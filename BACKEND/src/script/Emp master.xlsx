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 Master" sheetId="1" r:id="rId5"/>
    <sheet state="visible" name="Copy of Advance Sheet" sheetId="2" r:id="rId6"/>
  </sheets>
  <definedNames>
    <definedName hidden="1" localSheetId="0" name="_xlnm._FilterDatabase">'Emp Master'!$A$3:$AT$1500</definedName>
    <definedName hidden="1" localSheetId="1" name="_xlnm._FilterDatabase">'Copy of Advance Sheet'!$A$3:$DJ$1011</definedName>
    <definedName hidden="1" localSheetId="0" name="Z_0611FD0D_C295_4726_9974_AD1843523F92_.wvu.FilterData">'Emp Master'!$A$3:$AK$1500</definedName>
    <definedName hidden="1" localSheetId="1" name="Z_0611FD0D_C295_4726_9974_AD1843523F92_.wvu.FilterData">'Copy of Advance Sheet'!$A$1:$BH$1011</definedName>
    <definedName hidden="1" localSheetId="0" name="Z_23456004_571C_4DD9_B160_C9FE31C068B2_.wvu.FilterData">'Emp Master'!$A$3:$AM$1500</definedName>
  </definedNames>
  <calcPr/>
  <customWorkbookViews>
    <customWorkbookView activeSheetId="0" maximized="1" windowHeight="0" windowWidth="0" guid="{0611FD0D-C295-4726-9974-AD1843523F92}" name="Filter 1"/>
    <customWorkbookView activeSheetId="0" maximized="1" windowHeight="0" windowWidth="0" guid="{23456004-571C-4DD9-B160-C9FE31C068B2}" name="Gaurav Paliwal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430">
      <text>
        <t xml:space="preserve">Termintated as per vikram singh on 28-nov-2025</t>
      </text>
    </comment>
    <comment authorId="0" ref="N523">
      <text>
        <t xml:space="preserve">Termintated as per vikram singh on 28-nov-2025</t>
      </text>
    </comment>
    <comment authorId="0" ref="N521">
      <text>
        <t xml:space="preserve">Termintated as per vikram singh on 28-nov-2025</t>
      </text>
    </comment>
    <comment authorId="0" ref="N614">
      <text>
        <t xml:space="preserve">Terminated as per vikram singh on 28 nov 2025</t>
      </text>
    </comment>
    <comment authorId="0" ref="N678">
      <text>
        <t xml:space="preserve">Terminated as per vikram singh on 28 nov 2025</t>
      </text>
    </comment>
    <comment authorId="0" ref="N420">
      <text>
        <t xml:space="preserve">Termintated as per vikram singh on 28-nov-2025</t>
      </text>
    </comment>
    <comment authorId="0" ref="N482">
      <text>
        <t xml:space="preserve">Termintated as per vikram singh on 28-nov-2025</t>
      </text>
    </comment>
    <comment authorId="0" ref="N480">
      <text>
        <t xml:space="preserve">Termintated as per vikram singh on 28-nov-2025</t>
      </text>
    </comment>
    <comment authorId="0" ref="N478">
      <text>
        <t xml:space="preserve">Termintated as per vikram singh on 28-nov-2025</t>
      </text>
    </comment>
    <comment authorId="0" ref="N445">
      <text>
        <t xml:space="preserve">Termintated as per vikram singh on 28-nov-2025</t>
      </text>
    </comment>
    <comment authorId="0" ref="N441">
      <text>
        <t xml:space="preserve">Termintated as per vikram singh on 28-nov-2025</t>
      </text>
    </comment>
    <comment authorId="0" ref="N662">
      <text>
        <t xml:space="preserve">Terminated as per vikram singh on 28 nov 2025</t>
      </text>
    </comment>
    <comment authorId="0" ref="N437">
      <text>
        <t xml:space="preserve">Termintated as per vikram singh on 28-nov-2025</t>
      </text>
    </comment>
    <comment authorId="0" ref="N629">
      <text>
        <t xml:space="preserve">Terminated as per vikram singh on 28 nov 2025</t>
      </text>
    </comment>
    <comment authorId="0" ref="N431">
      <text>
        <t xml:space="preserve">Termintated as per vikram singh on 28-nov-2025</t>
      </text>
    </comment>
    <comment authorId="0" ref="N654">
      <text>
        <t xml:space="preserve">Terminated as per vikram singh on 28 nov 2025</t>
      </text>
    </comment>
    <comment authorId="0" ref="N522">
      <text>
        <t xml:space="preserve">Termintated as per vikram singh on 28-nov-2025</t>
      </text>
    </comment>
    <comment authorId="0" ref="N8">
      <text>
        <t xml:space="preserve">Terminated as per vikram singh on 28 nov 2025</t>
      </text>
    </comment>
    <comment authorId="0" ref="N677">
      <text>
        <t xml:space="preserve">Termintated as per vikram singh on 28-nov-2025</t>
      </text>
    </comment>
    <comment authorId="0" ref="N673">
      <text>
        <t xml:space="preserve">Terminated as per vikram singh on 28 nov 2025</t>
      </text>
    </comment>
    <comment authorId="0" ref="N669">
      <text>
        <t xml:space="preserve">Terminated as per vikram singh on 28 nov 2025</t>
      </text>
    </comment>
    <comment authorId="0" ref="N409">
      <text>
        <t xml:space="preserve">Termintated as per vikram singh on 28-nov-2025</t>
      </text>
    </comment>
    <comment authorId="0" ref="N438">
      <text>
        <t xml:space="preserve">Termintated as per vikram singh on 28-nov-2025</t>
      </text>
    </comment>
    <comment authorId="0" ref="N372">
      <text>
        <t xml:space="preserve">Termintated as per vikram singh on 28-nov-2025</t>
      </text>
    </comment>
    <comment authorId="0" ref="O661">
      <text>
        <t xml:space="preserve">update by renu madam instruction </t>
      </text>
    </comment>
    <comment authorId="0" ref="A259">
      <text>
        <t xml:space="preserve">code mention 2000 thats why delete 
because cs1201 is larges</t>
      </text>
    </comment>
    <comment authorId="0" ref="N399">
      <text>
        <t xml:space="preserve">Termintated as per vikram singh on 28-nov-2025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D94">
      <text>
        <t xml:space="preserve">Details of your transaction:
AMOUNT :	INR 10000
SENDER :	NARESH KUMAR SOLANKI
SENDER BRANCH IFSC :	ICIC0SF0002
UNIQUE TRANSACTION REFERENCE NUMBER (UTR) :	HS92434667589266
DATE OF CREDIT :	11-DEC-24</t>
      </text>
    </comment>
  </commentList>
</comments>
</file>

<file path=xl/sharedStrings.xml><?xml version="1.0" encoding="utf-8"?>
<sst xmlns="http://schemas.openxmlformats.org/spreadsheetml/2006/main" count="3827" uniqueCount="1044">
  <si>
    <t xml:space="preserve">  </t>
  </si>
  <si>
    <t>kuldeep</t>
  </si>
  <si>
    <t>SE</t>
  </si>
  <si>
    <t>CS</t>
  </si>
  <si>
    <t>Put-&gt;</t>
  </si>
  <si>
    <t>US, S</t>
  </si>
  <si>
    <t>Increament Method</t>
  </si>
  <si>
    <t>For Under 30K</t>
  </si>
  <si>
    <t>Max No is</t>
  </si>
  <si>
    <t>DUTY TIME</t>
  </si>
  <si>
    <t>Current</t>
  </si>
  <si>
    <t>Last Sal</t>
  </si>
  <si>
    <t>Old</t>
  </si>
  <si>
    <t>N= No</t>
  </si>
  <si>
    <t>For Over 30K</t>
  </si>
  <si>
    <t>Asset</t>
  </si>
  <si>
    <t>Employee Code</t>
  </si>
  <si>
    <t>NAME</t>
  </si>
  <si>
    <t>Type</t>
  </si>
  <si>
    <t>Department</t>
  </si>
  <si>
    <t>Designation</t>
  </si>
  <si>
    <t>Location</t>
  </si>
  <si>
    <t>IN</t>
  </si>
  <si>
    <t>OUT</t>
  </si>
  <si>
    <t>Working HRS</t>
  </si>
  <si>
    <t>DOJ</t>
  </si>
  <si>
    <t>COMPANY</t>
  </si>
  <si>
    <t>Salary</t>
  </si>
  <si>
    <t>Chq/Cs</t>
  </si>
  <si>
    <t>Status</t>
  </si>
  <si>
    <t>DoL inc</t>
  </si>
  <si>
    <t>L Sal</t>
  </si>
  <si>
    <t>TDS</t>
  </si>
  <si>
    <t>Terminated Date</t>
  </si>
  <si>
    <t>ESI</t>
  </si>
  <si>
    <t>OT</t>
  </si>
  <si>
    <t>Skill Level</t>
  </si>
  <si>
    <t>Inc %</t>
  </si>
  <si>
    <t>Extra Col</t>
  </si>
  <si>
    <t>Inc 2025</t>
  </si>
  <si>
    <t>Remarks</t>
  </si>
  <si>
    <t xml:space="preserve"> New Sal for Basic+HRA</t>
  </si>
  <si>
    <t>Basic</t>
  </si>
  <si>
    <t>HRA</t>
  </si>
  <si>
    <t>Conveyance</t>
  </si>
  <si>
    <t>Others</t>
  </si>
  <si>
    <t>Total Salary Ok?</t>
  </si>
  <si>
    <t>Min Salary ?</t>
  </si>
  <si>
    <t>Check in Advance</t>
  </si>
  <si>
    <t>Sal Made?</t>
  </si>
  <si>
    <t>PF to calculate (Y/N)</t>
  </si>
  <si>
    <t>Room Allowed</t>
  </si>
  <si>
    <t>Aged in Year</t>
  </si>
  <si>
    <t>Aged in Month</t>
  </si>
  <si>
    <t>Shoe Size</t>
  </si>
  <si>
    <t>T Shirt Size</t>
  </si>
  <si>
    <t>jacket Size</t>
  </si>
  <si>
    <t>ID card</t>
  </si>
  <si>
    <t>Tshirt</t>
  </si>
  <si>
    <t>Shoe</t>
  </si>
  <si>
    <t>Jacket</t>
  </si>
  <si>
    <t>CO1001</t>
  </si>
  <si>
    <t>HARESH</t>
  </si>
  <si>
    <t>Comm</t>
  </si>
  <si>
    <t>Sales &amp; Marketing</t>
  </si>
  <si>
    <t>BENG</t>
  </si>
  <si>
    <t>Deduction</t>
  </si>
  <si>
    <t>Outstanding</t>
  </si>
  <si>
    <t>Chq</t>
  </si>
  <si>
    <t>Employed</t>
  </si>
  <si>
    <t/>
  </si>
  <si>
    <t>NO</t>
  </si>
  <si>
    <t>Bal Adv Today</t>
  </si>
  <si>
    <t>Oct2021-D</t>
  </si>
  <si>
    <t>2021-D</t>
  </si>
  <si>
    <t>Nov2021-O</t>
  </si>
  <si>
    <t>Nov2021-D</t>
  </si>
  <si>
    <t>Dec2021-O</t>
  </si>
  <si>
    <t>Dec2021-D</t>
  </si>
  <si>
    <t>Jan2022-O</t>
  </si>
  <si>
    <t>Jan2022-D</t>
  </si>
  <si>
    <t>Feb2022-O</t>
  </si>
  <si>
    <t>Feb2022-D</t>
  </si>
  <si>
    <t>Mar2022-O</t>
  </si>
  <si>
    <t>Mar2022-D</t>
  </si>
  <si>
    <t>Apr2022-O</t>
  </si>
  <si>
    <t>Apr2022-D</t>
  </si>
  <si>
    <t>May2022-O</t>
  </si>
  <si>
    <t>May2022-D</t>
  </si>
  <si>
    <t>Jun2022-O</t>
  </si>
  <si>
    <t>Jun2022-D</t>
  </si>
  <si>
    <t>Jul2022-O</t>
  </si>
  <si>
    <t>Jul2022-D</t>
  </si>
  <si>
    <t>Aug2022-O</t>
  </si>
  <si>
    <t>Aug2022-D</t>
  </si>
  <si>
    <t>Sep2022-O</t>
  </si>
  <si>
    <t>Sep2022-D</t>
  </si>
  <si>
    <t>Oct2022-O</t>
  </si>
  <si>
    <t>Oct2022-D</t>
  </si>
  <si>
    <t>Nov2022-O</t>
  </si>
  <si>
    <t>Nov2022-D</t>
  </si>
  <si>
    <t>Dec2022-O</t>
  </si>
  <si>
    <t>Dec2022-D</t>
  </si>
  <si>
    <t>Jan2023-O</t>
  </si>
  <si>
    <t>Jan2023-D</t>
  </si>
  <si>
    <t>Feb2023-O</t>
  </si>
  <si>
    <t>Feb2023-D</t>
  </si>
  <si>
    <t>Mar2023-O</t>
  </si>
  <si>
    <t>Mar2023-D</t>
  </si>
  <si>
    <t>Apr2023-O</t>
  </si>
  <si>
    <t>Apr2023-D</t>
  </si>
  <si>
    <t>May2023-O</t>
  </si>
  <si>
    <t>May2023-D</t>
  </si>
  <si>
    <t>Jun2023-O</t>
  </si>
  <si>
    <t>Jun2023-D</t>
  </si>
  <si>
    <t>Jul2023-O</t>
  </si>
  <si>
    <t>Jul2023-D</t>
  </si>
  <si>
    <t>Aug2023-O</t>
  </si>
  <si>
    <t>Aug2023-D</t>
  </si>
  <si>
    <t>Sep2023-O</t>
  </si>
  <si>
    <t>Sep2023-D</t>
  </si>
  <si>
    <t>Oct2023-O</t>
  </si>
  <si>
    <t>Oct2023-D</t>
  </si>
  <si>
    <t>Nov2023-O</t>
  </si>
  <si>
    <t>Nov2023-D</t>
  </si>
  <si>
    <t>Dec2023-O</t>
  </si>
  <si>
    <t>Dec2023-D</t>
  </si>
  <si>
    <t>Jan2024-O</t>
  </si>
  <si>
    <t>Jan2024-D</t>
  </si>
  <si>
    <t>Feb2024-O</t>
  </si>
  <si>
    <t>Feb2024-D</t>
  </si>
  <si>
    <t>Mar2024-O</t>
  </si>
  <si>
    <t>Mar2024-D</t>
  </si>
  <si>
    <t>Apr2024-O</t>
  </si>
  <si>
    <t>Apr2024-D</t>
  </si>
  <si>
    <t>May2024-O</t>
  </si>
  <si>
    <t>May2024-D</t>
  </si>
  <si>
    <t>Jun2024-O</t>
  </si>
  <si>
    <t>Jun2024-D</t>
  </si>
  <si>
    <t>Jul2024-O</t>
  </si>
  <si>
    <t>Jul2024-D</t>
  </si>
  <si>
    <t>Aug2024-O</t>
  </si>
  <si>
    <t>Aug2024-D</t>
  </si>
  <si>
    <t>Sep2024-O</t>
  </si>
  <si>
    <t>Sep2024-D</t>
  </si>
  <si>
    <t>Oct2024-O</t>
  </si>
  <si>
    <t>Oct2024-D</t>
  </si>
  <si>
    <t>Nov2024-O</t>
  </si>
  <si>
    <t>Nov2024-D</t>
  </si>
  <si>
    <t>Dec2024-O</t>
  </si>
  <si>
    <t>Dec2024-D</t>
  </si>
  <si>
    <t>Jan2025-O</t>
  </si>
  <si>
    <t>Jan2025-D</t>
  </si>
  <si>
    <t>Feb2025-O</t>
  </si>
  <si>
    <t>Feb2025-D</t>
  </si>
  <si>
    <t>Mar2025-O</t>
  </si>
  <si>
    <t>Mar2025-D</t>
  </si>
  <si>
    <t>Apr2025-O</t>
  </si>
  <si>
    <t>Apr2025-D</t>
  </si>
  <si>
    <t>May2025-O</t>
  </si>
  <si>
    <t>May2025-D</t>
  </si>
  <si>
    <t>Jun2025-O</t>
  </si>
  <si>
    <t>Jun2025-D</t>
  </si>
  <si>
    <t>Jul2025-O</t>
  </si>
  <si>
    <t>Jul2025-D</t>
  </si>
  <si>
    <t>Aug2025-O</t>
  </si>
  <si>
    <t>Aug2025-D</t>
  </si>
  <si>
    <t>Sep2025-O</t>
  </si>
  <si>
    <t>Sep2025-D</t>
  </si>
  <si>
    <t>Bonus</t>
  </si>
  <si>
    <t>Oct2025-O</t>
  </si>
  <si>
    <t>Oct2025-D</t>
  </si>
  <si>
    <t>Nov2025-O</t>
  </si>
  <si>
    <t>Nov2025-D</t>
  </si>
  <si>
    <t>Dec2025-O</t>
  </si>
  <si>
    <t>Dec2025-D</t>
  </si>
  <si>
    <t>Jan2026-O</t>
  </si>
  <si>
    <t>Jan2026-D</t>
  </si>
  <si>
    <t>Feb2026-O</t>
  </si>
  <si>
    <t>Feb2026-D</t>
  </si>
  <si>
    <t>Mar2026-O</t>
  </si>
  <si>
    <t>Mar2026-D</t>
  </si>
  <si>
    <t>Apr2026-O</t>
  </si>
  <si>
    <t>Apr2026-D</t>
  </si>
  <si>
    <t>May2026-O</t>
  </si>
  <si>
    <t>May2026-D</t>
  </si>
  <si>
    <t>Jun2026-O</t>
  </si>
  <si>
    <t>Jun2026-D</t>
  </si>
  <si>
    <t>Jul2026-O</t>
  </si>
  <si>
    <t>Jul2026-D</t>
  </si>
  <si>
    <t>Aug2026-O</t>
  </si>
  <si>
    <t>Aug2026-D</t>
  </si>
  <si>
    <t>Sep2026-O</t>
  </si>
  <si>
    <t>N</t>
  </si>
  <si>
    <t>CO1002</t>
  </si>
  <si>
    <t>V UDAI SHANKAR</t>
  </si>
  <si>
    <t>Prof</t>
  </si>
  <si>
    <t>Agent</t>
  </si>
  <si>
    <t>Mis</t>
  </si>
  <si>
    <t>MUM</t>
  </si>
  <si>
    <t>CO1003</t>
  </si>
  <si>
    <t>VARUN KAUSHAL</t>
  </si>
  <si>
    <t>DEL</t>
  </si>
  <si>
    <t>CS1030</t>
  </si>
  <si>
    <t>SUBHASH CHAND</t>
  </si>
  <si>
    <t>Backend Ops</t>
  </si>
  <si>
    <t>Executive</t>
  </si>
  <si>
    <t>S</t>
  </si>
  <si>
    <t xml:space="preserve"> </t>
  </si>
  <si>
    <t>CS1226</t>
  </si>
  <si>
    <t>Ankit</t>
  </si>
  <si>
    <t>Machining</t>
  </si>
  <si>
    <t>Operator NC</t>
  </si>
  <si>
    <t>SNP</t>
  </si>
  <si>
    <t>CS1248</t>
  </si>
  <si>
    <t>Narayan Singh Charan</t>
  </si>
  <si>
    <t>Misc</t>
  </si>
  <si>
    <t>YES</t>
  </si>
  <si>
    <t>CS1251</t>
  </si>
  <si>
    <t>Manoj Kumar</t>
  </si>
  <si>
    <t>Logistics</t>
  </si>
  <si>
    <t>CS1257</t>
  </si>
  <si>
    <t>Dharamveer</t>
  </si>
  <si>
    <t>Driver</t>
  </si>
  <si>
    <t>CS1260</t>
  </si>
  <si>
    <t>Ramkawar</t>
  </si>
  <si>
    <t>Housekeeping</t>
  </si>
  <si>
    <t>Sweeper</t>
  </si>
  <si>
    <t>CS1261</t>
  </si>
  <si>
    <t>SURENDER SINGH</t>
  </si>
  <si>
    <t>LOGISTICS</t>
  </si>
  <si>
    <t>DRIVER</t>
  </si>
  <si>
    <t>CS1262</t>
  </si>
  <si>
    <t>RAJ KUMAR</t>
  </si>
  <si>
    <t>CS1003</t>
  </si>
  <si>
    <t>BABLI</t>
  </si>
  <si>
    <t>CS1263</t>
  </si>
  <si>
    <t>SANDEEP</t>
  </si>
  <si>
    <t>CS1265</t>
  </si>
  <si>
    <t>SANJEEV</t>
  </si>
  <si>
    <t>Garden</t>
  </si>
  <si>
    <t>Mali</t>
  </si>
  <si>
    <t>FM1008</t>
  </si>
  <si>
    <t>BALI RAM</t>
  </si>
  <si>
    <t>Cutting</t>
  </si>
  <si>
    <t>Helper</t>
  </si>
  <si>
    <t>FERMECH</t>
  </si>
  <si>
    <t>US</t>
  </si>
  <si>
    <t>CS1004</t>
  </si>
  <si>
    <t>CHINKI</t>
  </si>
  <si>
    <t>FM1012</t>
  </si>
  <si>
    <t>ABDUR RAJJAK FARUK MONDAL</t>
  </si>
  <si>
    <t>Operator</t>
  </si>
  <si>
    <t>CS1010</t>
  </si>
  <si>
    <t>Vinod</t>
  </si>
  <si>
    <t>ITI1009</t>
  </si>
  <si>
    <t>VIVEK</t>
  </si>
  <si>
    <t>ITI</t>
  </si>
  <si>
    <t>CS1011</t>
  </si>
  <si>
    <t>JAIDEEP</t>
  </si>
  <si>
    <t>ITI1010</t>
  </si>
  <si>
    <t>Dikshit</t>
  </si>
  <si>
    <t>ITI1011</t>
  </si>
  <si>
    <t>Mohit</t>
  </si>
  <si>
    <t>ITI1012</t>
  </si>
  <si>
    <t>Nitesh</t>
  </si>
  <si>
    <t>CS1013</t>
  </si>
  <si>
    <t>MOHAN</t>
  </si>
  <si>
    <t>ITI1013</t>
  </si>
  <si>
    <t>Saurabh</t>
  </si>
  <si>
    <t>ITI1014</t>
  </si>
  <si>
    <t>Sorabh</t>
  </si>
  <si>
    <t>ITI1015</t>
  </si>
  <si>
    <t>Ritesh</t>
  </si>
  <si>
    <t>CS1014</t>
  </si>
  <si>
    <t>PARDEEP SINGH</t>
  </si>
  <si>
    <t>ITI1016</t>
  </si>
  <si>
    <t>Monu</t>
  </si>
  <si>
    <t>MP1001</t>
  </si>
  <si>
    <t>JASWANT SINGH MALI</t>
  </si>
  <si>
    <t>MULTIPACK</t>
  </si>
  <si>
    <t>CS1017</t>
  </si>
  <si>
    <t>RAHUL</t>
  </si>
  <si>
    <t>Y</t>
  </si>
  <si>
    <t>SA1001</t>
  </si>
  <si>
    <t>RAJESH PURI</t>
  </si>
  <si>
    <t>Accounts &amp; Finance</t>
  </si>
  <si>
    <t>Executive Accounts</t>
  </si>
  <si>
    <t>CS1021</t>
  </si>
  <si>
    <t>VISHAL</t>
  </si>
  <si>
    <t>SE1001</t>
  </si>
  <si>
    <t>NAVEEN CHANDRA</t>
  </si>
  <si>
    <t>Supervisior</t>
  </si>
  <si>
    <t>SE1002</t>
  </si>
  <si>
    <t>KHAJAN SINGH RAWAT</t>
  </si>
  <si>
    <t>CS1022</t>
  </si>
  <si>
    <t>RAJU MUM</t>
  </si>
  <si>
    <t>SE1005</t>
  </si>
  <si>
    <t>DEEPAK JOSHI</t>
  </si>
  <si>
    <t>SE1007</t>
  </si>
  <si>
    <t>AMBICA YADAV</t>
  </si>
  <si>
    <t>CS1023</t>
  </si>
  <si>
    <t>RAM NARYAN SINGH</t>
  </si>
  <si>
    <t>SE1008</t>
  </si>
  <si>
    <t>ERADHEY SHYAM</t>
  </si>
  <si>
    <t>SE1009</t>
  </si>
  <si>
    <t>SATYENDRA RAM</t>
  </si>
  <si>
    <t>SE1012</t>
  </si>
  <si>
    <t>DADAN SHARMA</t>
  </si>
  <si>
    <t>CS1024</t>
  </si>
  <si>
    <t>RAVINDER RAM</t>
  </si>
  <si>
    <t>SE1020</t>
  </si>
  <si>
    <t>RAJENDRA PRASHAD JOSHI</t>
  </si>
  <si>
    <t>SE1021</t>
  </si>
  <si>
    <t>RAVI RAUSHAN KUMAR</t>
  </si>
  <si>
    <t>SE1024</t>
  </si>
  <si>
    <t>PRABHAT KUMAR SHRIVASTWA</t>
  </si>
  <si>
    <t>CS1025</t>
  </si>
  <si>
    <t>REKHA</t>
  </si>
  <si>
    <t>SE1031</t>
  </si>
  <si>
    <t>JAGDISH RAI BAHL</t>
  </si>
  <si>
    <t>Management</t>
  </si>
  <si>
    <t>SE1036</t>
  </si>
  <si>
    <t>PRANAV JAIN</t>
  </si>
  <si>
    <t>Office</t>
  </si>
  <si>
    <t>SE1037</t>
  </si>
  <si>
    <t>SHWETA JAIN</t>
  </si>
  <si>
    <t>CS1027</t>
  </si>
  <si>
    <t>SHIV CHARAN</t>
  </si>
  <si>
    <t>SE1040</t>
  </si>
  <si>
    <t>SONU MALI</t>
  </si>
  <si>
    <t>Hydra</t>
  </si>
  <si>
    <t>SE1043</t>
  </si>
  <si>
    <t>AMIT KUMAR</t>
  </si>
  <si>
    <t>CS1028</t>
  </si>
  <si>
    <t>SHUBHAM SHARMA</t>
  </si>
  <si>
    <t>SE1048</t>
  </si>
  <si>
    <t>ANIL YADAV</t>
  </si>
  <si>
    <t>SE1049</t>
  </si>
  <si>
    <t>BABOO RAM</t>
  </si>
  <si>
    <t>SE1052</t>
  </si>
  <si>
    <t>DILIP KUMAR MANDAL</t>
  </si>
  <si>
    <t>CS1029</t>
  </si>
  <si>
    <t>SONU KUMAR</t>
  </si>
  <si>
    <t>Field</t>
  </si>
  <si>
    <t>SE1056</t>
  </si>
  <si>
    <t>JITENDER</t>
  </si>
  <si>
    <t>Backend Sales &amp; Ops</t>
  </si>
  <si>
    <t>HOD</t>
  </si>
  <si>
    <t>SE1065</t>
  </si>
  <si>
    <t>LALAN MEHTO</t>
  </si>
  <si>
    <t>SE1069</t>
  </si>
  <si>
    <t>VINAY KUMAR</t>
  </si>
  <si>
    <t>GST</t>
  </si>
  <si>
    <t>SE1070</t>
  </si>
  <si>
    <t>VIKASH SHARMA</t>
  </si>
  <si>
    <t>Manager</t>
  </si>
  <si>
    <t>SE1073</t>
  </si>
  <si>
    <t>SANDEEP JAIN</t>
  </si>
  <si>
    <t>MD</t>
  </si>
  <si>
    <t>CS1034</t>
  </si>
  <si>
    <t>VICKY</t>
  </si>
  <si>
    <t>SE1082</t>
  </si>
  <si>
    <t>REKHA B.S.</t>
  </si>
  <si>
    <t>SE1084</t>
  </si>
  <si>
    <t>NIDHI SAXENA</t>
  </si>
  <si>
    <t>CS1036</t>
  </si>
  <si>
    <t>RAMJIT</t>
  </si>
  <si>
    <t>SE1095</t>
  </si>
  <si>
    <t>SURBHI BAHL</t>
  </si>
  <si>
    <t>SE1096</t>
  </si>
  <si>
    <t>RAJEEV KUMAR</t>
  </si>
  <si>
    <t>CS1038</t>
  </si>
  <si>
    <t>ROHIT</t>
  </si>
  <si>
    <t>SE1098</t>
  </si>
  <si>
    <t>NARESH SOLANKI</t>
  </si>
  <si>
    <t>SE1101</t>
  </si>
  <si>
    <t>SE1102</t>
  </si>
  <si>
    <t>SUMIT OPERATOR</t>
  </si>
  <si>
    <t>CS1039</t>
  </si>
  <si>
    <t>SE1114</t>
  </si>
  <si>
    <t>RAKESH KUMAR</t>
  </si>
  <si>
    <t>STOCK</t>
  </si>
  <si>
    <t>EXECUTIVE</t>
  </si>
  <si>
    <t>SE1125</t>
  </si>
  <si>
    <t>PARVESH</t>
  </si>
  <si>
    <t>july 450</t>
  </si>
  <si>
    <t>SE1131</t>
  </si>
  <si>
    <t>TEJINDER KAUR</t>
  </si>
  <si>
    <t>Admin</t>
  </si>
  <si>
    <t>Executive Assistant</t>
  </si>
  <si>
    <t>CS1040</t>
  </si>
  <si>
    <t>AJAY</t>
  </si>
  <si>
    <t>SE1132</t>
  </si>
  <si>
    <t>SANJEEV KUMAR</t>
  </si>
  <si>
    <t>SE1140</t>
  </si>
  <si>
    <t>DEEPAK</t>
  </si>
  <si>
    <t>CS1041</t>
  </si>
  <si>
    <t>JATIN</t>
  </si>
  <si>
    <t>SE1141</t>
  </si>
  <si>
    <t>POOJA</t>
  </si>
  <si>
    <t>SE1142</t>
  </si>
  <si>
    <t>suman kumar</t>
  </si>
  <si>
    <t>SE1144</t>
  </si>
  <si>
    <t>KANIKA SOLANKI</t>
  </si>
  <si>
    <t>ACCOUNTS &amp; FINANCE</t>
  </si>
  <si>
    <t>CS1042</t>
  </si>
  <si>
    <t>PRINCE</t>
  </si>
  <si>
    <t>SE1145</t>
  </si>
  <si>
    <t>GUDDU KUMAR RAM</t>
  </si>
  <si>
    <t>SE1149</t>
  </si>
  <si>
    <t>VICKEY JANGRA</t>
  </si>
  <si>
    <t>Programmer</t>
  </si>
  <si>
    <t>CS1047</t>
  </si>
  <si>
    <t>LEKHPAL SINGH</t>
  </si>
  <si>
    <t>SE1151</t>
  </si>
  <si>
    <t>VINAY SHANKER PRASAD</t>
  </si>
  <si>
    <t>SE1152</t>
  </si>
  <si>
    <t>SUKESH</t>
  </si>
  <si>
    <t>SE1154</t>
  </si>
  <si>
    <t>ANKIT</t>
  </si>
  <si>
    <t>SE1159</t>
  </si>
  <si>
    <t>RAVINDER</t>
  </si>
  <si>
    <t>Operator Grinder</t>
  </si>
  <si>
    <t>CS1048</t>
  </si>
  <si>
    <t>VIKAS</t>
  </si>
  <si>
    <t>april 1000</t>
  </si>
  <si>
    <t>SE1162</t>
  </si>
  <si>
    <t>Operator Multi</t>
  </si>
  <si>
    <t>april 500</t>
  </si>
  <si>
    <t>SE1164</t>
  </si>
  <si>
    <t>ADARSH</t>
  </si>
  <si>
    <t>SE1167</t>
  </si>
  <si>
    <t>GOVIND THAKUR</t>
  </si>
  <si>
    <t>CS1049</t>
  </si>
  <si>
    <t>DEEPAK KUMAR</t>
  </si>
  <si>
    <t>SE1168</t>
  </si>
  <si>
    <t>VIPIN</t>
  </si>
  <si>
    <t>SE1169</t>
  </si>
  <si>
    <t>SUSHANT JAIN</t>
  </si>
  <si>
    <t>Business Devlopment</t>
  </si>
  <si>
    <t>CS1050</t>
  </si>
  <si>
    <t>BOBI KUMAR</t>
  </si>
  <si>
    <t>SE1170</t>
  </si>
  <si>
    <t>SAMYAK JAIN</t>
  </si>
  <si>
    <t>SE1171</t>
  </si>
  <si>
    <t>VISHU JAIN</t>
  </si>
  <si>
    <t>SE1172</t>
  </si>
  <si>
    <t>SWATI JAIN</t>
  </si>
  <si>
    <t>SE1175</t>
  </si>
  <si>
    <t>CS1051</t>
  </si>
  <si>
    <t>GAURAV DAHIYA</t>
  </si>
  <si>
    <t>SE1176</t>
  </si>
  <si>
    <t>SHARVAN</t>
  </si>
  <si>
    <t>march 1000</t>
  </si>
  <si>
    <t>CS1052</t>
  </si>
  <si>
    <t>HARISHCHANDRA YADAV</t>
  </si>
  <si>
    <t>SE1179</t>
  </si>
  <si>
    <t>SUNITA DEVI</t>
  </si>
  <si>
    <t>Floor Shop</t>
  </si>
  <si>
    <t>SE1182</t>
  </si>
  <si>
    <t>RITA DEVI</t>
  </si>
  <si>
    <t>CS1053</t>
  </si>
  <si>
    <t>KRISHNA KUMAR</t>
  </si>
  <si>
    <t>CS1054</t>
  </si>
  <si>
    <t>SUJIT KUMAR</t>
  </si>
  <si>
    <t>SE1183</t>
  </si>
  <si>
    <t>SANJAY YADAV</t>
  </si>
  <si>
    <t>Operator Gas Cutting</t>
  </si>
  <si>
    <t>july 500</t>
  </si>
  <si>
    <t>SE1185</t>
  </si>
  <si>
    <t>MANOJ KUMAR</t>
  </si>
  <si>
    <t>CS1055</t>
  </si>
  <si>
    <t>AWADHESH KUMAR</t>
  </si>
  <si>
    <t>SE1190</t>
  </si>
  <si>
    <t>SAURABH</t>
  </si>
  <si>
    <t>SE1197</t>
  </si>
  <si>
    <t>AARTI ARORA</t>
  </si>
  <si>
    <t>CS1056</t>
  </si>
  <si>
    <t>MRITUNJAY KUMAR</t>
  </si>
  <si>
    <t>SE1199</t>
  </si>
  <si>
    <t>RAM AWADH PANDE</t>
  </si>
  <si>
    <t>HR &amp; ADMIN</t>
  </si>
  <si>
    <t>SE1200</t>
  </si>
  <si>
    <t>KRISHNNANDAN KUMAR</t>
  </si>
  <si>
    <t>MIS</t>
  </si>
  <si>
    <t>CS1057</t>
  </si>
  <si>
    <t>june 1100</t>
  </si>
  <si>
    <t>SE1202</t>
  </si>
  <si>
    <t>NAIPAL SINGH</t>
  </si>
  <si>
    <t>SE1203</t>
  </si>
  <si>
    <t>CS1059</t>
  </si>
  <si>
    <t>BHARAT KUMAR THAKUR</t>
  </si>
  <si>
    <t>SE1204</t>
  </si>
  <si>
    <t>RAM KIRPAL</t>
  </si>
  <si>
    <t>SE1208</t>
  </si>
  <si>
    <t>DEEPSHIKHA JAIN</t>
  </si>
  <si>
    <t>Director</t>
  </si>
  <si>
    <t>SE1209</t>
  </si>
  <si>
    <t>GAURAV PALIWAL</t>
  </si>
  <si>
    <t>CS1060</t>
  </si>
  <si>
    <t>SAHIL</t>
  </si>
  <si>
    <t>SE1212</t>
  </si>
  <si>
    <t>HIMANSHU</t>
  </si>
  <si>
    <t>Digital Marketing</t>
  </si>
  <si>
    <t>Designer</t>
  </si>
  <si>
    <t>13815 aug</t>
  </si>
  <si>
    <t>CS1061</t>
  </si>
  <si>
    <t xml:space="preserve">SURENDER </t>
  </si>
  <si>
    <t>SE1214</t>
  </si>
  <si>
    <t>PAWAN MALIK</t>
  </si>
  <si>
    <t>Quality</t>
  </si>
  <si>
    <t>SE1216</t>
  </si>
  <si>
    <t>SUMIT RANA</t>
  </si>
  <si>
    <t>SE1217</t>
  </si>
  <si>
    <t>JAI DEEP</t>
  </si>
  <si>
    <t>CS1062</t>
  </si>
  <si>
    <t>SHRIPAL</t>
  </si>
  <si>
    <t>SE1219</t>
  </si>
  <si>
    <t>DINSHA JAIN</t>
  </si>
  <si>
    <t>SE1222</t>
  </si>
  <si>
    <t>SALONI AGARWAL</t>
  </si>
  <si>
    <t>Sales &amp; BD</t>
  </si>
  <si>
    <t>CS1102</t>
  </si>
  <si>
    <t>SANJAY</t>
  </si>
  <si>
    <t>SE1226</t>
  </si>
  <si>
    <t>SOMBIR</t>
  </si>
  <si>
    <t>Purchase</t>
  </si>
  <si>
    <t>SE1227</t>
  </si>
  <si>
    <t>VIKRAM SINGH</t>
  </si>
  <si>
    <t>Manager-Production</t>
  </si>
  <si>
    <t>CS1112</t>
  </si>
  <si>
    <t>CHIRAG</t>
  </si>
  <si>
    <t>SE1228</t>
  </si>
  <si>
    <t>CHARU KOHLI</t>
  </si>
  <si>
    <t>SE1231</t>
  </si>
  <si>
    <t>TEENA SHARMA</t>
  </si>
  <si>
    <t>CS1132</t>
  </si>
  <si>
    <t>RAJU MAHTO</t>
  </si>
  <si>
    <t>SE1232</t>
  </si>
  <si>
    <t>CHANKY</t>
  </si>
  <si>
    <t>SE1233</t>
  </si>
  <si>
    <t>salary</t>
  </si>
  <si>
    <t>SE1235</t>
  </si>
  <si>
    <t>Vinod Kumar Singh</t>
  </si>
  <si>
    <t>june 1000</t>
  </si>
  <si>
    <t>CS1138</t>
  </si>
  <si>
    <t>KARAN SINGH</t>
  </si>
  <si>
    <t>SE1237</t>
  </si>
  <si>
    <t>HARJEET SINGH</t>
  </si>
  <si>
    <t>SE1241</t>
  </si>
  <si>
    <t>VIKAS JAIN</t>
  </si>
  <si>
    <t>CS1139</t>
  </si>
  <si>
    <t>RAJESH</t>
  </si>
  <si>
    <t>SE1253</t>
  </si>
  <si>
    <t>SONU 1</t>
  </si>
  <si>
    <t>MA1001</t>
  </si>
  <si>
    <t>SE1254</t>
  </si>
  <si>
    <t xml:space="preserve">NAVEEN  </t>
  </si>
  <si>
    <t>SE1255</t>
  </si>
  <si>
    <t>Maintenance</t>
  </si>
  <si>
    <t>Welder</t>
  </si>
  <si>
    <t>SE1262</t>
  </si>
  <si>
    <t>PAPPU BHAGAT</t>
  </si>
  <si>
    <t>SE1264</t>
  </si>
  <si>
    <t>SE1265</t>
  </si>
  <si>
    <t>RAM KUWAR</t>
  </si>
  <si>
    <t>MA1002</t>
  </si>
  <si>
    <t>SE1266</t>
  </si>
  <si>
    <t>RAVI</t>
  </si>
  <si>
    <t>SE1271</t>
  </si>
  <si>
    <t xml:space="preserve">SUNITA </t>
  </si>
  <si>
    <t>Scrap Collector</t>
  </si>
  <si>
    <t>SE1273</t>
  </si>
  <si>
    <t>SE1275</t>
  </si>
  <si>
    <t>SHEELA</t>
  </si>
  <si>
    <t>MP1004</t>
  </si>
  <si>
    <t>SE1277</t>
  </si>
  <si>
    <t>RENU RAWAT</t>
  </si>
  <si>
    <t>SE1279</t>
  </si>
  <si>
    <t>VINEET JAIN</t>
  </si>
  <si>
    <t>SE1281</t>
  </si>
  <si>
    <t>SONU</t>
  </si>
  <si>
    <t>MP1005</t>
  </si>
  <si>
    <t>VEER BHAN</t>
  </si>
  <si>
    <t>SE1283</t>
  </si>
  <si>
    <t>GOURAV</t>
  </si>
  <si>
    <t>Peon</t>
  </si>
  <si>
    <t>SE1289</t>
  </si>
  <si>
    <t>SAMIR</t>
  </si>
  <si>
    <t>SE1290</t>
  </si>
  <si>
    <t>RAMAN CHAHAL</t>
  </si>
  <si>
    <t>Operator VMC</t>
  </si>
  <si>
    <t>SE1294</t>
  </si>
  <si>
    <t xml:space="preserve">PAWAN KUMAR </t>
  </si>
  <si>
    <t>SE1295</t>
  </si>
  <si>
    <t>RAKESH</t>
  </si>
  <si>
    <t>SE1297</t>
  </si>
  <si>
    <t>Operator Gun Drill</t>
  </si>
  <si>
    <t>SE1301</t>
  </si>
  <si>
    <t>NARENDRA KUMAR</t>
  </si>
  <si>
    <t>SE1302</t>
  </si>
  <si>
    <t>SE1307</t>
  </si>
  <si>
    <t xml:space="preserve">KARAN  </t>
  </si>
  <si>
    <t>SE1311</t>
  </si>
  <si>
    <t>RAJ RANI</t>
  </si>
  <si>
    <t>SE1315</t>
  </si>
  <si>
    <t>ANIL KUMAR</t>
  </si>
  <si>
    <t>Operator CNC</t>
  </si>
  <si>
    <t>SE1003</t>
  </si>
  <si>
    <t>SANJAY SINGH</t>
  </si>
  <si>
    <t>SE1316</t>
  </si>
  <si>
    <t>NARENDER</t>
  </si>
  <si>
    <t>SE1325</t>
  </si>
  <si>
    <t>MANISH</t>
  </si>
  <si>
    <t>SE1326</t>
  </si>
  <si>
    <t>DIKSHA</t>
  </si>
  <si>
    <t>SE1331</t>
  </si>
  <si>
    <t>SE1004</t>
  </si>
  <si>
    <t>BIRENDRA PRASAD SAH</t>
  </si>
  <si>
    <t>SE1332</t>
  </si>
  <si>
    <t>SALARY</t>
  </si>
  <si>
    <t>Yes</t>
  </si>
  <si>
    <t>SE1335</t>
  </si>
  <si>
    <t>SUBHAM TYAGI</t>
  </si>
  <si>
    <t>SE1338</t>
  </si>
  <si>
    <t>SONU YADAV</t>
  </si>
  <si>
    <t>SE1340</t>
  </si>
  <si>
    <t>OMKAR</t>
  </si>
  <si>
    <t>SE1341</t>
  </si>
  <si>
    <t>RAJ KUMAR PRASAD</t>
  </si>
  <si>
    <t>SE1343</t>
  </si>
  <si>
    <t>VIKASH SONI</t>
  </si>
  <si>
    <t>SE1345</t>
  </si>
  <si>
    <t>Anamika Bodh</t>
  </si>
  <si>
    <t>SE1346</t>
  </si>
  <si>
    <t>KUNDAN KUMAR</t>
  </si>
  <si>
    <t>SE1347</t>
  </si>
  <si>
    <t>Narender Kumar</t>
  </si>
  <si>
    <t>SE1348</t>
  </si>
  <si>
    <t>SONALI</t>
  </si>
  <si>
    <t>SE1349</t>
  </si>
  <si>
    <t>GAUTAM</t>
  </si>
  <si>
    <t>SE1350</t>
  </si>
  <si>
    <t>SE1351</t>
  </si>
  <si>
    <t>GAURAV</t>
  </si>
  <si>
    <t>SE1352</t>
  </si>
  <si>
    <t>SE1353</t>
  </si>
  <si>
    <t>SONIYA</t>
  </si>
  <si>
    <t>SE1354</t>
  </si>
  <si>
    <t>Sneha</t>
  </si>
  <si>
    <t>SE1360</t>
  </si>
  <si>
    <t>SATISH KUMAR</t>
  </si>
  <si>
    <t>SE1361</t>
  </si>
  <si>
    <t>SURENDER</t>
  </si>
  <si>
    <t>SE1362</t>
  </si>
  <si>
    <t>Khushi Gautam</t>
  </si>
  <si>
    <t>SE1367</t>
  </si>
  <si>
    <t>OM KAILASH PATIL</t>
  </si>
  <si>
    <t>chq</t>
  </si>
  <si>
    <t>SE1371</t>
  </si>
  <si>
    <t>Vikas Choudhary</t>
  </si>
  <si>
    <t>SE1375</t>
  </si>
  <si>
    <t>Rishikesh Kumar Tiwari</t>
  </si>
  <si>
    <t>Electrician</t>
  </si>
  <si>
    <t>SE1376</t>
  </si>
  <si>
    <t>Varun Kumar Dharewa</t>
  </si>
  <si>
    <t>SE1377</t>
  </si>
  <si>
    <t>Deepali Jain</t>
  </si>
  <si>
    <t>SE1379</t>
  </si>
  <si>
    <t>Ramkanwar</t>
  </si>
  <si>
    <t>SE1381</t>
  </si>
  <si>
    <t>Manish Kumar</t>
  </si>
  <si>
    <t>SE1383</t>
  </si>
  <si>
    <t>Gaurav</t>
  </si>
  <si>
    <t>SE1385</t>
  </si>
  <si>
    <t>Mohana Priya</t>
  </si>
  <si>
    <t>SE1386</t>
  </si>
  <si>
    <t>Haridas</t>
  </si>
  <si>
    <t>SE1387</t>
  </si>
  <si>
    <t>Kiran Tyagi</t>
  </si>
  <si>
    <t>SE1388</t>
  </si>
  <si>
    <t>Romi</t>
  </si>
  <si>
    <t>SE1389</t>
  </si>
  <si>
    <t>Shailendra Kumar Ram</t>
  </si>
  <si>
    <t>SE1390</t>
  </si>
  <si>
    <t>SACHIN</t>
  </si>
  <si>
    <t>SE1391</t>
  </si>
  <si>
    <t>Rishi Pratap Singh</t>
  </si>
  <si>
    <t>SE1392</t>
  </si>
  <si>
    <t>Krishan</t>
  </si>
  <si>
    <t>SE1393</t>
  </si>
  <si>
    <t>Dushyant</t>
  </si>
  <si>
    <t>SE1394</t>
  </si>
  <si>
    <t>Roshan Dhonchak</t>
  </si>
  <si>
    <t>HR &amp; Admin</t>
  </si>
  <si>
    <t>SE1395</t>
  </si>
  <si>
    <t>AJAY KUMAR</t>
  </si>
  <si>
    <t>SE1396</t>
  </si>
  <si>
    <t>SE1397</t>
  </si>
  <si>
    <t>Rajeev Kumar Singh</t>
  </si>
  <si>
    <t>Store</t>
  </si>
  <si>
    <t>SE1398</t>
  </si>
  <si>
    <t>Prdeep Kumar</t>
  </si>
  <si>
    <t>march 500</t>
  </si>
  <si>
    <t>SE1399</t>
  </si>
  <si>
    <t>Ajay Kumar</t>
  </si>
  <si>
    <t>s</t>
  </si>
  <si>
    <t>SE1401</t>
  </si>
  <si>
    <t>Rajan</t>
  </si>
  <si>
    <t>SE1402</t>
  </si>
  <si>
    <t>Islam</t>
  </si>
  <si>
    <t>SE1403</t>
  </si>
  <si>
    <t>Preeti</t>
  </si>
  <si>
    <t>SE1405</t>
  </si>
  <si>
    <t>OK</t>
  </si>
  <si>
    <t>SE1406</t>
  </si>
  <si>
    <t>Pardeep</t>
  </si>
  <si>
    <t>SE1407</t>
  </si>
  <si>
    <t>Vikas Kumar Tanwar</t>
  </si>
  <si>
    <t>SE1408</t>
  </si>
  <si>
    <t>Anuj Kumar Yadav</t>
  </si>
  <si>
    <t>SE1409</t>
  </si>
  <si>
    <t>Neha Devi</t>
  </si>
  <si>
    <t>SE1410</t>
  </si>
  <si>
    <t>Deepak</t>
  </si>
  <si>
    <t>SE1411</t>
  </si>
  <si>
    <t>ANNU</t>
  </si>
  <si>
    <t>SE1412</t>
  </si>
  <si>
    <t>SE1416</t>
  </si>
  <si>
    <t>MOHANPAL</t>
  </si>
  <si>
    <t>SE1417</t>
  </si>
  <si>
    <t>MAHENDRA UNDIR PATIL</t>
  </si>
  <si>
    <t>OPERATOR</t>
  </si>
  <si>
    <t>SE1418</t>
  </si>
  <si>
    <t>SHRI NIWAS</t>
  </si>
  <si>
    <t>FITTER</t>
  </si>
  <si>
    <t>SE1419</t>
  </si>
  <si>
    <t>MUKESH</t>
  </si>
  <si>
    <t>HELPER</t>
  </si>
  <si>
    <t>SE1420</t>
  </si>
  <si>
    <t>NEERAJ KUMAR</t>
  </si>
  <si>
    <t>SE1421</t>
  </si>
  <si>
    <t>MANJEET KUMAR</t>
  </si>
  <si>
    <t>SE1422</t>
  </si>
  <si>
    <t>RAHUL KUMAR</t>
  </si>
  <si>
    <t>ELECTRICIAN</t>
  </si>
  <si>
    <t>SE1423</t>
  </si>
  <si>
    <t>MANJU</t>
  </si>
  <si>
    <t>SE1424</t>
  </si>
  <si>
    <t>ASHISH</t>
  </si>
  <si>
    <t>SE1425</t>
  </si>
  <si>
    <t>NAVNEET SINGH</t>
  </si>
  <si>
    <t>SE1426</t>
  </si>
  <si>
    <t>SUSHMA</t>
  </si>
  <si>
    <t>SE1427</t>
  </si>
  <si>
    <t>SHASHI</t>
  </si>
  <si>
    <t>CUTTING</t>
  </si>
  <si>
    <t>SE1428</t>
  </si>
  <si>
    <t>SHIVSHANKAR KUMAR</t>
  </si>
  <si>
    <t>SE1429</t>
  </si>
  <si>
    <t>SHUBHAM</t>
  </si>
  <si>
    <t>SHORT PCS</t>
  </si>
  <si>
    <t>SE1430</t>
  </si>
  <si>
    <t>SANDEEP KUMAR</t>
  </si>
  <si>
    <t>SE1431</t>
  </si>
  <si>
    <t>ANKIT KUMAR</t>
  </si>
  <si>
    <t>SE1432</t>
  </si>
  <si>
    <t>BUDDHRAJ</t>
  </si>
  <si>
    <t>SE1433</t>
  </si>
  <si>
    <t>MACHINING</t>
  </si>
  <si>
    <t>SE1434</t>
  </si>
  <si>
    <t>SE1435</t>
  </si>
  <si>
    <t>BIJENDER</t>
  </si>
  <si>
    <t>HOUSEKEEPING</t>
  </si>
  <si>
    <t>SWEEPER</t>
  </si>
  <si>
    <t>SE1436</t>
  </si>
  <si>
    <t>ADESH</t>
  </si>
  <si>
    <t>Operator Conv</t>
  </si>
  <si>
    <t>SE1437</t>
  </si>
  <si>
    <t>RAHUL SHRIVASTAV</t>
  </si>
  <si>
    <t>SE1438</t>
  </si>
  <si>
    <t>PRADEEP</t>
  </si>
  <si>
    <t>SE1439</t>
  </si>
  <si>
    <t>VIVEK KUMAR</t>
  </si>
  <si>
    <t>SE1440</t>
  </si>
  <si>
    <t>GARDEN</t>
  </si>
  <si>
    <t>MALI</t>
  </si>
  <si>
    <t>SE1441</t>
  </si>
  <si>
    <t>CHARANJEET KAUR</t>
  </si>
  <si>
    <t>SE1443</t>
  </si>
  <si>
    <t>SANTOSH MANGLYA THAKUR</t>
  </si>
  <si>
    <t>SE1444</t>
  </si>
  <si>
    <t>ROHIT KUMAR</t>
  </si>
  <si>
    <t>SE1445</t>
  </si>
  <si>
    <t>ARVIND KUMAR</t>
  </si>
  <si>
    <t>SE1446</t>
  </si>
  <si>
    <t>NAVEEN DAHIYA</t>
  </si>
  <si>
    <t>SE1447</t>
  </si>
  <si>
    <t>AMIT</t>
  </si>
  <si>
    <t>SE1448</t>
  </si>
  <si>
    <t>SE1449</t>
  </si>
  <si>
    <t>ANIL</t>
  </si>
  <si>
    <t>SE1450</t>
  </si>
  <si>
    <t>SE1451</t>
  </si>
  <si>
    <t>SUMIT</t>
  </si>
  <si>
    <t>SE1452</t>
  </si>
  <si>
    <t>DILEEP KUMAR</t>
  </si>
  <si>
    <t>SE1453</t>
  </si>
  <si>
    <t>AMAN KUMAR</t>
  </si>
  <si>
    <t>SE1454</t>
  </si>
  <si>
    <t>MUKUL</t>
  </si>
  <si>
    <t>SE1455</t>
  </si>
  <si>
    <t>NEHA</t>
  </si>
  <si>
    <t>OFFICE</t>
  </si>
  <si>
    <t>FRONT DESK</t>
  </si>
  <si>
    <t>SE1456</t>
  </si>
  <si>
    <t>MANAGER</t>
  </si>
  <si>
    <t>SE1457</t>
  </si>
  <si>
    <t>ANGAD KUMAR</t>
  </si>
  <si>
    <t>SE1458</t>
  </si>
  <si>
    <t>PAWAN KUMAR</t>
  </si>
  <si>
    <t>SE1459</t>
  </si>
  <si>
    <t>LAL JI</t>
  </si>
  <si>
    <t>SE1460</t>
  </si>
  <si>
    <t>RAHUL BHARDWAJ</t>
  </si>
  <si>
    <t>QUALITY</t>
  </si>
  <si>
    <t>SENIOR MANAGER</t>
  </si>
  <si>
    <t>SE1461</t>
  </si>
  <si>
    <t>BENI MADHAV</t>
  </si>
  <si>
    <t>SE1462</t>
  </si>
  <si>
    <t>SE1463</t>
  </si>
  <si>
    <t>DAYARAM VERMA</t>
  </si>
  <si>
    <t>SE1464</t>
  </si>
  <si>
    <t>BALBEER</t>
  </si>
  <si>
    <t>SE1465</t>
  </si>
  <si>
    <t>RAHUL GARG</t>
  </si>
  <si>
    <t>SUPERVISOR</t>
  </si>
  <si>
    <t>SE1466</t>
  </si>
  <si>
    <t>PROGRAMMER</t>
  </si>
  <si>
    <t>SE1467</t>
  </si>
  <si>
    <t>ANKIT SINGH</t>
  </si>
  <si>
    <t>IT</t>
  </si>
  <si>
    <t>SDE</t>
  </si>
  <si>
    <t>SF1001</t>
  </si>
  <si>
    <t>Gurjeet Singh</t>
  </si>
  <si>
    <t>Accounts</t>
  </si>
  <si>
    <t>Assistant</t>
  </si>
  <si>
    <t>SF1002</t>
  </si>
  <si>
    <t>SHIV NARAIN RAI</t>
  </si>
  <si>
    <t>SF1003</t>
  </si>
  <si>
    <t>SEEMA JAIN</t>
  </si>
  <si>
    <t>SF</t>
  </si>
  <si>
    <t>SF1004</t>
  </si>
  <si>
    <t>HARSHITA MALU</t>
  </si>
  <si>
    <t>SF1005</t>
  </si>
  <si>
    <t>MAHAK BHOLA</t>
  </si>
  <si>
    <t>SI</t>
  </si>
  <si>
    <t>SI1001</t>
  </si>
  <si>
    <t>SI1002</t>
  </si>
  <si>
    <t>SI1003</t>
  </si>
  <si>
    <t>AGASTYA JAIN</t>
  </si>
  <si>
    <t>VI1002</t>
  </si>
  <si>
    <t>BRIJ MOHAN RAWAT</t>
  </si>
  <si>
    <t>VESS</t>
  </si>
  <si>
    <t>VI1005</t>
  </si>
  <si>
    <t>SE1063</t>
  </si>
  <si>
    <t>Cs</t>
  </si>
  <si>
    <t>VI1006</t>
  </si>
  <si>
    <t>KAILASH ANANT PATIL</t>
  </si>
  <si>
    <t>VI1007</t>
  </si>
  <si>
    <t>ASHOK KUMAR RAM</t>
  </si>
  <si>
    <t>VI1009</t>
  </si>
  <si>
    <t>ABHITAV KUMAR</t>
  </si>
  <si>
    <t>VI1010</t>
  </si>
  <si>
    <t>VI1013</t>
  </si>
  <si>
    <t>SURAJ</t>
  </si>
  <si>
    <t>Data Entry Operator</t>
  </si>
  <si>
    <t>SE1066</t>
  </si>
  <si>
    <t>KISHAN RAY</t>
  </si>
  <si>
    <t>SE1071</t>
  </si>
  <si>
    <t>JYOTI YADAV</t>
  </si>
  <si>
    <t>SE1074</t>
  </si>
  <si>
    <t>SE1076</t>
  </si>
  <si>
    <t>BHUVANESH K. PAI</t>
  </si>
  <si>
    <t>SE1080</t>
  </si>
  <si>
    <t>VISHAL JAIN</t>
  </si>
  <si>
    <t>SE1081</t>
  </si>
  <si>
    <t>SE1087</t>
  </si>
  <si>
    <t>PATIL TRIVENI KAILAS</t>
  </si>
  <si>
    <t>SE1116</t>
  </si>
  <si>
    <t>jaswant singh</t>
  </si>
  <si>
    <t>SE1117</t>
  </si>
  <si>
    <t>SHWETA GANDHI</t>
  </si>
  <si>
    <t>SE1122</t>
  </si>
  <si>
    <t>ARVESH DRIVER D</t>
  </si>
  <si>
    <t>SE1123</t>
  </si>
  <si>
    <t>ANIRUDH</t>
  </si>
  <si>
    <t>SE1126</t>
  </si>
  <si>
    <t>RITESH D MECWAN</t>
  </si>
  <si>
    <t>SE1127</t>
  </si>
  <si>
    <t>ANIL KUMAR GUPTA</t>
  </si>
  <si>
    <t>SE1136</t>
  </si>
  <si>
    <t>SUNNY</t>
  </si>
  <si>
    <t>SE1143</t>
  </si>
  <si>
    <t>PARDEEP KUMAR</t>
  </si>
  <si>
    <t>SE1156</t>
  </si>
  <si>
    <t>SE1157</t>
  </si>
  <si>
    <t>CHANPREET SINGH</t>
  </si>
  <si>
    <t>SE1158</t>
  </si>
  <si>
    <t>SE1160</t>
  </si>
  <si>
    <t>JAI KISHAN</t>
  </si>
  <si>
    <t>SE1161</t>
  </si>
  <si>
    <t>VIKASH</t>
  </si>
  <si>
    <t>SE1163</t>
  </si>
  <si>
    <t>SE1166</t>
  </si>
  <si>
    <t>SUBHAM SHARMA</t>
  </si>
  <si>
    <t>SE1173</t>
  </si>
  <si>
    <t>RAJ KUMAR-I</t>
  </si>
  <si>
    <t>SE1174</t>
  </si>
  <si>
    <t>CHHOTU RAM</t>
  </si>
  <si>
    <t>SE1177</t>
  </si>
  <si>
    <t>SUNNY-I</t>
  </si>
  <si>
    <t>SE1178</t>
  </si>
  <si>
    <t>SUSHIL KUMAR</t>
  </si>
  <si>
    <t>SE1180</t>
  </si>
  <si>
    <t>PAWANKUMAR BALAI</t>
  </si>
  <si>
    <t>SE1181</t>
  </si>
  <si>
    <t>Priyam kaushik</t>
  </si>
  <si>
    <t>SE1184</t>
  </si>
  <si>
    <t>ASHOK KUMAR</t>
  </si>
  <si>
    <t>SE1186</t>
  </si>
  <si>
    <t>SE1187</t>
  </si>
  <si>
    <t>ANIL I</t>
  </si>
  <si>
    <t>SE1188</t>
  </si>
  <si>
    <t>SE1189</t>
  </si>
  <si>
    <t>ASHWANI CHUGH</t>
  </si>
  <si>
    <t>SE1191</t>
  </si>
  <si>
    <t>DHEERAJ</t>
  </si>
  <si>
    <t>SE1192</t>
  </si>
  <si>
    <t>ANKUR TYAGI</t>
  </si>
  <si>
    <t>SE1193</t>
  </si>
  <si>
    <t>DEVASHANKAR RAY</t>
  </si>
  <si>
    <t>SE1194</t>
  </si>
  <si>
    <t>SOURAV</t>
  </si>
  <si>
    <t>SE1195</t>
  </si>
  <si>
    <t>GANESH KUMAR THAKUR</t>
  </si>
  <si>
    <t>SE1196</t>
  </si>
  <si>
    <t>PRIYA GOYAL</t>
  </si>
  <si>
    <t>SE1198</t>
  </si>
  <si>
    <t>SANDEEP DAHIYA</t>
  </si>
  <si>
    <t>KRISHANNDAN</t>
  </si>
  <si>
    <t>NEPAL SINGH MALI</t>
  </si>
  <si>
    <t>SE1205</t>
  </si>
  <si>
    <t>MONU CHAUHAN</t>
  </si>
  <si>
    <t>SE1210</t>
  </si>
  <si>
    <t>SURAJ KUMAR</t>
  </si>
  <si>
    <t>SE1211</t>
  </si>
  <si>
    <t>SE1213</t>
  </si>
  <si>
    <t>SE1215</t>
  </si>
  <si>
    <t>ANKIT-01</t>
  </si>
  <si>
    <t xml:space="preserve">JAI DEEP  </t>
  </si>
  <si>
    <t>SE1218</t>
  </si>
  <si>
    <t>SE1225</t>
  </si>
  <si>
    <t>GOVIND</t>
  </si>
  <si>
    <t>VINOD KUMAR SINGH</t>
  </si>
  <si>
    <t>SE1242</t>
  </si>
  <si>
    <t>DEEPTI NAGPAL</t>
  </si>
  <si>
    <t>SE1244</t>
  </si>
  <si>
    <t>SE1245</t>
  </si>
  <si>
    <t>SE1247</t>
  </si>
  <si>
    <t>SE1248</t>
  </si>
  <si>
    <t>ANUJ KUMAR</t>
  </si>
  <si>
    <t>SE1249</t>
  </si>
  <si>
    <t>PRANAV KUMAR PINTOO</t>
  </si>
  <si>
    <t>SE1251</t>
  </si>
  <si>
    <t>SE1258</t>
  </si>
  <si>
    <t>SONU UP</t>
  </si>
  <si>
    <t>SE1259</t>
  </si>
  <si>
    <t>VIKASH KUMAR SAHANI</t>
  </si>
  <si>
    <t>SE1261</t>
  </si>
  <si>
    <t>SANJEEV KUMAR 1</t>
  </si>
  <si>
    <t>SE1263</t>
  </si>
  <si>
    <t>RAJAT</t>
  </si>
  <si>
    <t>RAVINDRA RAM</t>
  </si>
  <si>
    <t>SE1274</t>
  </si>
  <si>
    <t xml:space="preserve">VISHAL </t>
  </si>
  <si>
    <t>SE1276</t>
  </si>
  <si>
    <r>
      <rPr>
        <rFont val="&quot;Google Sans&quot;, Roboto, sans-serif"/>
        <color rgb="FF1F1F1F"/>
        <sz val="11.0"/>
      </rPr>
      <t>VIKAS</t>
    </r>
  </si>
  <si>
    <t>SE1282</t>
  </si>
  <si>
    <t>SE1285</t>
  </si>
  <si>
    <t>KAPIL KUMAR</t>
  </si>
  <si>
    <t>SE1287</t>
  </si>
  <si>
    <t>VALEEM AHMAD</t>
  </si>
  <si>
    <t>SE1288</t>
  </si>
  <si>
    <t>RANJEET KUMAR</t>
  </si>
  <si>
    <t>SE1292</t>
  </si>
  <si>
    <t>POOJA RANI</t>
  </si>
  <si>
    <t>SE1293</t>
  </si>
  <si>
    <t>MOHAN LAL</t>
  </si>
  <si>
    <t>VI1001</t>
  </si>
  <si>
    <t>BALRAM RAM</t>
  </si>
  <si>
    <t>VI1003</t>
  </si>
  <si>
    <t>VI1004</t>
  </si>
  <si>
    <t>RAM AVADH</t>
  </si>
  <si>
    <t>SE1019</t>
  </si>
  <si>
    <t>SUBHASH KUMAR</t>
  </si>
  <si>
    <t>SE1303</t>
  </si>
  <si>
    <t>SE1304</t>
  </si>
  <si>
    <t>BIJENTI DEVI</t>
  </si>
  <si>
    <t>SE1305</t>
  </si>
  <si>
    <t>GULAB CHAND</t>
  </si>
  <si>
    <t>CS1147</t>
  </si>
  <si>
    <t>SE1310</t>
  </si>
  <si>
    <t>SANDEEP SHARMA</t>
  </si>
  <si>
    <t>SE1313</t>
  </si>
  <si>
    <t>Santosh Kumar</t>
  </si>
  <si>
    <t>CS1182</t>
  </si>
  <si>
    <t>CS1183</t>
  </si>
  <si>
    <t>CS1185</t>
  </si>
  <si>
    <t>CS1186</t>
  </si>
  <si>
    <t>VANS</t>
  </si>
  <si>
    <t>SE1366</t>
  </si>
  <si>
    <t>Parves</t>
  </si>
  <si>
    <t>SE1368</t>
  </si>
  <si>
    <t>SONIA</t>
  </si>
  <si>
    <t>SE1370</t>
  </si>
  <si>
    <t>MOHIT</t>
  </si>
  <si>
    <t>SE1369</t>
  </si>
  <si>
    <t>SE1356</t>
  </si>
  <si>
    <t>VIKRANT KUMAR</t>
  </si>
  <si>
    <t>MAINTENANCE</t>
  </si>
  <si>
    <t xml:space="preserve">DATA ENTRY </t>
  </si>
  <si>
    <t>RISHIKESH</t>
  </si>
  <si>
    <t>SE1357</t>
  </si>
  <si>
    <t>SE1333</t>
  </si>
  <si>
    <t>STORE</t>
  </si>
  <si>
    <t>SE1373</t>
  </si>
  <si>
    <t>SE1342</t>
  </si>
  <si>
    <t>Plant Head</t>
  </si>
  <si>
    <t>SE1400</t>
  </si>
  <si>
    <t>PARVES</t>
  </si>
  <si>
    <t>ROSHAN DHONCHAK</t>
  </si>
  <si>
    <t>HR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</si>
</sst>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mmmyyyy"/>
    <numFmt numFmtId="165" formatCode="d&quot;-&quot;mmm&quot;-&quot;yyyy"/>
    <numFmt numFmtId="166" formatCode="0.0%"/>
    <numFmt numFmtId="167" formatCode="h&quot;:&quot;mm&quot; &quot;am/pm"/>
    <numFmt numFmtId="168" formatCode="[h]:mm"/>
    <numFmt numFmtId="169" formatCode="mmm-yyyy"/>
    <numFmt numFmtId="170" formatCode="dd&quot;-&quot;mmm&quot;-&quot;yy"/>
    <numFmt numFmtId="171" formatCode="h&quot;:&quot;mm&quot; &quot;am/pm"/>
    <numFmt numFmtId="172" formatCode="hh:mm"/>
    <numFmt numFmtId="173" formatCode="dd/mm/yyyy"/>
    <numFmt numFmtId="174" formatCode="d-mmm-yyyy"/>
    <numFmt numFmtId="175" formatCode="mmm yyyy"/>
    <numFmt numFmtId="176" formatCode="mmm-d"/>
    <numFmt numFmtId="177" formatCode="mmmm-yyyy"/>
    <numFmt numFmtId="178" formatCode="dd mmm"/>
    <numFmt numFmtId="179" formatCode="d-mmm-yy"/>
    <numFmt numFmtId="180" formatCode="hh:mm:ss"/>
    <numFmt numFmtId="181" formatCode="dd-mm-yyyy"/>
    <numFmt numFmtId="182" formatCode="d mmm-yy"/>
  </numFmts>
  <fonts count="3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rgb="FF000000"/>
      <name val="Calibri"/>
    </font>
    <font>
      <sz val="11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000000"/>
      <name val="Roboto"/>
    </font>
    <font>
      <sz val="9.0"/>
      <color rgb="FF000000"/>
      <name val="Arial"/>
    </font>
    <font>
      <b/>
      <color theme="1"/>
      <name val="Arial"/>
    </font>
    <font>
      <sz val="11.0"/>
      <color theme="1"/>
      <name val="Calibri"/>
    </font>
    <font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sz val="10.0"/>
      <color theme="1"/>
      <name val="Calibri"/>
    </font>
    <font>
      <sz val="11.0"/>
      <color theme="5"/>
      <name val="Calibri"/>
    </font>
    <font>
      <sz val="11.0"/>
      <color rgb="FFFF0000"/>
      <name val="Calibri"/>
    </font>
    <font>
      <color rgb="FFFF0000"/>
      <name val="Arial"/>
      <scheme val="minor"/>
    </font>
    <font>
      <color rgb="FFFF0000"/>
      <name val="Roboto"/>
    </font>
    <font>
      <sz val="12.0"/>
      <color rgb="FF000000"/>
      <name val="Roboto"/>
    </font>
    <font>
      <sz val="12.0"/>
      <color theme="1"/>
      <name val="Arial"/>
      <scheme val="minor"/>
    </font>
    <font>
      <color theme="1"/>
      <name val="Roboto"/>
    </font>
    <font>
      <sz val="12.0"/>
      <color theme="1"/>
      <name val="Arial"/>
    </font>
    <font>
      <color rgb="FF00FF00"/>
      <name val="Arial"/>
      <scheme val="minor"/>
    </font>
    <font>
      <sz val="12.0"/>
      <color rgb="FFFFFF00"/>
      <name val="Calibri"/>
    </font>
    <font>
      <sz val="12.0"/>
      <color theme="0"/>
      <name val="Calibri"/>
    </font>
    <font>
      <sz val="11.0"/>
      <color rgb="FF000000"/>
      <name val="Inconsolata"/>
    </font>
    <font>
      <color theme="1"/>
      <name val="Calibri"/>
    </font>
    <font>
      <sz val="11.0"/>
      <color rgb="FF1F1F1F"/>
      <name val="&quot;Google Sans&quot;"/>
    </font>
    <font>
      <sz val="9.0"/>
      <color rgb="FF1F1F1F"/>
      <name val="&quot;Google Sans&quot;"/>
    </font>
    <font>
      <sz val="11.0"/>
      <color rgb="FFFFFF00"/>
      <name val="Calibri"/>
    </font>
    <font>
      <sz val="11.0"/>
      <color rgb="FF434343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EEF7E3"/>
        <bgColor rgb="FFEEF7E3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theme="5"/>
        <bgColor theme="5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Alignment="1" applyBorder="1" applyFill="1" applyFont="1">
      <alignment horizontal="left" readingOrder="0"/>
    </xf>
    <xf borderId="1" fillId="3" fontId="1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horizontal="left" readingOrder="0" shrinkToFit="0" vertical="bottom" wrapText="0"/>
    </xf>
    <xf borderId="1" fillId="0" fontId="1" numFmtId="164" xfId="0" applyAlignment="1" applyBorder="1" applyFont="1" applyNumberFormat="1">
      <alignment readingOrder="0"/>
    </xf>
    <xf borderId="1" fillId="5" fontId="3" numFmtId="0" xfId="0" applyAlignment="1" applyBorder="1" applyFill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6" fontId="3" numFmtId="0" xfId="0" applyAlignment="1" applyBorder="1" applyFill="1" applyFont="1">
      <alignment horizontal="center" readingOrder="0" shrinkToFit="0" vertical="bottom" wrapText="0"/>
    </xf>
    <xf borderId="1" fillId="0" fontId="4" numFmtId="165" xfId="0" applyAlignment="1" applyBorder="1" applyFont="1" applyNumberFormat="1">
      <alignment horizontal="center" readingOrder="0" shrinkToFit="0" vertical="bottom" wrapText="0"/>
    </xf>
    <xf borderId="1" fillId="6" fontId="3" numFmtId="3" xfId="0" applyAlignment="1" applyBorder="1" applyFill="1" applyFont="1" applyNumberFormat="1">
      <alignment horizontal="right" readingOrder="0" shrinkToFit="0" vertical="bottom" wrapText="0"/>
    </xf>
    <xf borderId="1" fillId="0" fontId="3" numFmtId="165" xfId="0" applyAlignment="1" applyBorder="1" applyFont="1" applyNumberFormat="1">
      <alignment horizontal="left" readingOrder="0" shrinkToFit="0" vertical="bottom" wrapText="0"/>
    </xf>
    <xf borderId="1" fillId="6" fontId="2" numFmtId="3" xfId="0" applyAlignment="1" applyBorder="1" applyFill="1" applyFont="1" applyNumberFormat="1">
      <alignment horizontal="left" readingOrder="0" shrinkToFit="0" vertical="bottom" wrapText="0"/>
    </xf>
    <xf borderId="1" fillId="6" fontId="3" numFmtId="166" xfId="0" applyAlignment="1" applyBorder="1" applyFill="1" applyFont="1" applyNumberFormat="1">
      <alignment horizontal="left" readingOrder="0" shrinkToFit="0" vertical="bottom" wrapText="0"/>
    </xf>
    <xf borderId="1" fillId="6" fontId="3" numFmtId="0" xfId="0" applyAlignment="1" applyBorder="1" applyFill="1" applyFont="1">
      <alignment horizontal="left" readingOrder="0" shrinkToFit="0" vertical="bottom" wrapText="0"/>
    </xf>
    <xf borderId="1" fillId="3" fontId="1" numFmtId="164" xfId="0" applyAlignment="1" applyBorder="1" applyFill="1" applyFont="1" applyNumberFormat="1">
      <alignment horizontal="center" readingOrder="0" shrinkToFit="0" vertical="center" wrapText="1"/>
    </xf>
    <xf borderId="1" fillId="6" fontId="3" numFmtId="4" xfId="0" applyAlignment="1" applyBorder="1" applyFill="1" applyFont="1" applyNumberFormat="1">
      <alignment horizontal="left" readingOrder="0" shrinkToFit="0" vertical="bottom" wrapText="0"/>
    </xf>
    <xf borderId="1" fillId="6" fontId="3" numFmtId="0" xfId="0" applyAlignment="1" applyBorder="1" applyFill="1" applyFont="1">
      <alignment horizontal="right" readingOrder="0" shrinkToFit="0" vertical="bottom" wrapText="0"/>
    </xf>
    <xf borderId="1" fillId="6" fontId="1" numFmtId="0" xfId="0" applyAlignment="1" applyBorder="1" applyFill="1" applyFont="1">
      <alignment horizontal="left"/>
    </xf>
    <xf borderId="1" fillId="6" fontId="1" numFmtId="9" xfId="0" applyAlignment="1" applyBorder="1" applyFill="1" applyFont="1" applyNumberFormat="1">
      <alignment horizontal="left" readingOrder="0"/>
    </xf>
    <xf borderId="1" fillId="6" fontId="3" numFmtId="9" xfId="0" applyAlignment="1" applyBorder="1" applyFill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7" fontId="1" numFmtId="3" xfId="0" applyAlignment="1" applyBorder="1" applyFill="1" applyFont="1" applyNumberFormat="1">
      <alignment readingOrder="0"/>
    </xf>
    <xf borderId="0" fillId="8" fontId="3" numFmtId="0" xfId="0" applyAlignment="1" applyFill="1" applyFont="1">
      <alignment horizontal="center" readingOrder="0" shrinkToFit="0" vertical="bottom" wrapText="0"/>
    </xf>
    <xf borderId="1" fillId="0" fontId="1" numFmtId="3" xfId="0" applyAlignment="1" applyBorder="1" applyFont="1" applyNumberFormat="1">
      <alignment readingOrder="0"/>
    </xf>
    <xf borderId="1" fillId="0" fontId="1" numFmtId="0" xfId="0" applyAlignment="1" applyBorder="1" applyFont="1">
      <alignment horizontal="left"/>
    </xf>
    <xf borderId="1" fillId="9" fontId="3" numFmtId="0" xfId="0" applyAlignment="1" applyBorder="1" applyFill="1" applyFont="1">
      <alignment horizontal="left" readingOrder="0" shrinkToFit="0" vertical="bottom" wrapText="0"/>
    </xf>
    <xf borderId="1" fillId="6" fontId="3" numFmtId="3" xfId="0" applyAlignment="1" applyBorder="1" applyFill="1" applyFont="1" applyNumberFormat="1">
      <alignment horizontal="left" readingOrder="0" shrinkToFit="0" vertical="bottom" wrapText="0"/>
    </xf>
    <xf borderId="1" fillId="6" fontId="1" numFmtId="0" xfId="0" applyAlignment="1" applyBorder="1" applyFill="1" applyFont="1">
      <alignment horizontal="left" readingOrder="0"/>
    </xf>
    <xf borderId="1" fillId="6" fontId="3" numFmtId="9" xfId="0" applyAlignment="1" applyBorder="1" applyFill="1" applyFont="1" applyNumberFormat="1">
      <alignment horizontal="left" readingOrder="0" shrinkToFit="0" vertical="bottom" wrapText="0"/>
    </xf>
    <xf borderId="1" fillId="6" fontId="1" numFmtId="9" xfId="0" applyAlignment="1" applyBorder="1" applyFill="1" applyFont="1" applyNumberFormat="1">
      <alignment horizontal="center" readingOrder="0"/>
    </xf>
    <xf borderId="1" fillId="0" fontId="3" numFmtId="9" xfId="0" applyAlignment="1" applyBorder="1" applyFont="1" applyNumberFormat="1">
      <alignment horizontal="center" readingOrder="0" shrinkToFit="0" vertical="bottom" wrapText="0"/>
    </xf>
    <xf borderId="0" fillId="8" fontId="3" numFmtId="14" xfId="0" applyAlignment="1" applyFill="1" applyFont="1" applyNumberFormat="1">
      <alignment horizontal="center" readingOrder="0" shrinkToFit="0" vertical="bottom" wrapText="0"/>
    </xf>
    <xf borderId="1" fillId="10" fontId="3" numFmtId="0" xfId="0" applyAlignment="1" applyBorder="1" applyFill="1" applyFont="1">
      <alignment horizontal="left" readingOrder="0" shrinkToFit="0" vertical="bottom" wrapText="1"/>
    </xf>
    <xf borderId="1" fillId="6" fontId="3" numFmtId="0" xfId="0" applyAlignment="1" applyBorder="1" applyFill="1" applyFont="1">
      <alignment horizontal="center" readingOrder="0" shrinkToFit="0" vertical="bottom" wrapText="1"/>
    </xf>
    <xf borderId="1" fillId="10" fontId="3" numFmtId="165" xfId="0" applyAlignment="1" applyBorder="1" applyFill="1" applyFont="1" applyNumberFormat="1">
      <alignment horizontal="left" readingOrder="0" shrinkToFit="0" vertical="bottom" wrapText="1"/>
    </xf>
    <xf borderId="1" fillId="6" fontId="3" numFmtId="3" xfId="0" applyAlignment="1" applyBorder="1" applyFill="1" applyFont="1" applyNumberFormat="1">
      <alignment horizontal="right" readingOrder="0" shrinkToFit="0" vertical="bottom" wrapText="1"/>
    </xf>
    <xf borderId="1" fillId="7" fontId="3" numFmtId="0" xfId="0" applyAlignment="1" applyBorder="1" applyFill="1" applyFont="1">
      <alignment horizontal="left" readingOrder="0" shrinkToFit="0" vertical="bottom" wrapText="1"/>
    </xf>
    <xf borderId="1" fillId="0" fontId="3" numFmtId="0" xfId="0" applyAlignment="1" applyBorder="1" applyFont="1">
      <alignment horizontal="left" readingOrder="0" shrinkToFit="0" vertical="bottom" wrapText="1"/>
    </xf>
    <xf borderId="1" fillId="11" fontId="3" numFmtId="0" xfId="0" applyAlignment="1" applyBorder="1" applyFill="1" applyFont="1">
      <alignment horizontal="left" readingOrder="0" shrinkToFit="0" vertical="bottom" wrapText="1"/>
    </xf>
    <xf borderId="1" fillId="7" fontId="3" numFmtId="3" xfId="0" applyAlignment="1" applyBorder="1" applyFill="1" applyFont="1" applyNumberFormat="1">
      <alignment horizontal="left" readingOrder="0" shrinkToFit="0" vertical="bottom" wrapText="1"/>
    </xf>
    <xf borderId="1" fillId="7" fontId="3" numFmtId="166" xfId="0" applyAlignment="1" applyBorder="1" applyFill="1" applyFont="1" applyNumberFormat="1">
      <alignment horizontal="left" readingOrder="0" shrinkToFit="0" vertical="bottom" wrapText="1"/>
    </xf>
    <xf borderId="1" fillId="7" fontId="5" numFmtId="0" xfId="0" applyAlignment="1" applyBorder="1" applyFill="1" applyFont="1">
      <alignment horizontal="left" readingOrder="0" shrinkToFit="0" wrapText="1"/>
    </xf>
    <xf borderId="1" fillId="6" fontId="3" numFmtId="0" xfId="0" applyAlignment="1" applyBorder="1" applyFill="1" applyFont="1">
      <alignment horizontal="left" readingOrder="0" shrinkToFit="0" vertical="bottom" wrapText="1"/>
    </xf>
    <xf borderId="1" fillId="10" fontId="2" numFmtId="0" xfId="0" applyAlignment="1" applyBorder="1" applyFill="1" applyFont="1">
      <alignment horizontal="center" readingOrder="0" shrinkToFit="0" vertical="bottom" wrapText="1"/>
    </xf>
    <xf borderId="0" fillId="8" fontId="2" numFmtId="0" xfId="0" applyAlignment="1" applyFill="1" applyFont="1">
      <alignment horizontal="center" readingOrder="0" shrinkToFit="0" vertical="bottom" wrapText="1"/>
    </xf>
    <xf borderId="0" fillId="10" fontId="2" numFmtId="0" xfId="0" applyAlignment="1" applyFill="1" applyFont="1">
      <alignment horizontal="center" readingOrder="0" shrinkToFit="0" vertical="bottom" wrapText="1"/>
    </xf>
    <xf borderId="1" fillId="5" fontId="1" numFmtId="3" xfId="0" applyAlignment="1" applyBorder="1" applyFill="1" applyFont="1" applyNumberFormat="1">
      <alignment readingOrder="0"/>
    </xf>
    <xf borderId="1" fillId="0" fontId="6" numFmtId="3" xfId="0" applyAlignment="1" applyBorder="1" applyFont="1" applyNumberFormat="1">
      <alignment horizontal="right" vertical="bottom"/>
    </xf>
    <xf borderId="1" fillId="0" fontId="3" numFmtId="167" xfId="0" applyAlignment="1" applyBorder="1" applyFont="1" applyNumberFormat="1">
      <alignment horizontal="left" readingOrder="0" shrinkToFit="0" vertical="bottom" wrapText="0"/>
    </xf>
    <xf borderId="1" fillId="12" fontId="7" numFmtId="3" xfId="0" applyAlignment="1" applyBorder="1" applyFill="1" applyFont="1" applyNumberFormat="1">
      <alignment readingOrder="0"/>
    </xf>
    <xf borderId="1" fillId="6" fontId="3" numFmtId="168" xfId="0" applyAlignment="1" applyBorder="1" applyFill="1" applyFont="1" applyNumberFormat="1">
      <alignment horizontal="center" readingOrder="0" shrinkToFit="0" vertical="bottom" wrapText="0"/>
    </xf>
    <xf borderId="1" fillId="0" fontId="7" numFmtId="3" xfId="0" applyAlignment="1" applyBorder="1" applyFont="1" applyNumberFormat="1">
      <alignment readingOrder="0"/>
    </xf>
    <xf borderId="1" fillId="3" fontId="3" numFmtId="165" xfId="0" applyAlignment="1" applyBorder="1" applyFill="1" applyFont="1" applyNumberFormat="1">
      <alignment horizontal="center" readingOrder="0" shrinkToFit="0" vertical="bottom" wrapText="0"/>
    </xf>
    <xf borderId="1" fillId="13" fontId="7" numFmtId="3" xfId="0" applyAlignment="1" applyBorder="1" applyFill="1" applyFont="1" applyNumberFormat="1">
      <alignment readingOrder="0"/>
    </xf>
    <xf borderId="1" fillId="14" fontId="8" numFmtId="0" xfId="0" applyAlignment="1" applyBorder="1" applyFill="1" applyFont="1">
      <alignment horizontal="left" readingOrder="0"/>
    </xf>
    <xf borderId="1" fillId="3" fontId="3" numFmtId="169" xfId="0" applyAlignment="1" applyBorder="1" applyFill="1" applyFont="1" applyNumberFormat="1">
      <alignment horizontal="left" readingOrder="0" shrinkToFit="0" vertical="bottom" wrapText="0"/>
    </xf>
    <xf borderId="1" fillId="0" fontId="3" numFmtId="3" xfId="0" applyAlignment="1" applyBorder="1" applyFont="1" applyNumberFormat="1">
      <alignment horizontal="right" readingOrder="0" shrinkToFit="0" vertical="bottom" wrapText="0"/>
    </xf>
    <xf borderId="1" fillId="0" fontId="9" numFmtId="0" xfId="0" applyAlignment="1" applyBorder="1" applyFont="1">
      <alignment horizontal="left" readingOrder="0"/>
    </xf>
    <xf borderId="1" fillId="3" fontId="3" numFmtId="166" xfId="0" applyAlignment="1" applyBorder="1" applyFill="1" applyFont="1" applyNumberFormat="1">
      <alignment horizontal="left" readingOrder="0" shrinkToFit="0" vertical="bottom" wrapText="0"/>
    </xf>
    <xf borderId="1" fillId="5" fontId="7" numFmtId="3" xfId="0" applyAlignment="1" applyBorder="1" applyFill="1" applyFont="1" applyNumberFormat="1">
      <alignment readingOrder="0"/>
    </xf>
    <xf borderId="1" fillId="13" fontId="10" numFmtId="3" xfId="0" applyAlignment="1" applyBorder="1" applyFill="1" applyFont="1" applyNumberFormat="1">
      <alignment vertical="bottom"/>
    </xf>
    <xf borderId="0" fillId="13" fontId="10" numFmtId="3" xfId="0" applyAlignment="1" applyFill="1" applyFont="1" applyNumberFormat="1">
      <alignment vertical="bottom"/>
    </xf>
    <xf borderId="0" fillId="0" fontId="7" numFmtId="3" xfId="0" applyAlignment="1" applyFont="1" applyNumberFormat="1">
      <alignment readingOrder="0"/>
    </xf>
    <xf borderId="1" fillId="0" fontId="1" numFmtId="0" xfId="0" applyAlignment="1" applyBorder="1" applyFont="1">
      <alignment readingOrder="0" shrinkToFit="0" wrapText="1"/>
    </xf>
    <xf borderId="1" fillId="12" fontId="7" numFmtId="3" xfId="0" applyAlignment="1" applyBorder="1" applyFill="1" applyFont="1" applyNumberFormat="1">
      <alignment readingOrder="0" shrinkToFit="0" wrapText="1"/>
    </xf>
    <xf borderId="1" fillId="0" fontId="7" numFmtId="49" xfId="0" applyAlignment="1" applyBorder="1" applyFont="1" applyNumberFormat="1">
      <alignment readingOrder="0" shrinkToFit="0" wrapText="1"/>
    </xf>
    <xf borderId="1" fillId="13" fontId="7" numFmtId="49" xfId="0" applyAlignment="1" applyBorder="1" applyFill="1" applyFont="1" applyNumberForma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6" fontId="3" numFmtId="3" xfId="0" applyAlignment="1" applyBorder="1" applyFill="1" applyFont="1" applyNumberFormat="1">
      <alignment horizontal="center" readingOrder="0" shrinkToFit="0" vertical="bottom" wrapText="0"/>
    </xf>
    <xf borderId="1" fillId="0" fontId="7" numFmtId="0" xfId="0" applyAlignment="1" applyBorder="1" applyFont="1">
      <alignment readingOrder="0" shrinkToFit="0" wrapText="1"/>
    </xf>
    <xf borderId="1" fillId="5" fontId="7" numFmtId="0" xfId="0" applyAlignment="1" applyBorder="1" applyFill="1" applyFont="1">
      <alignment readingOrder="0" shrinkToFit="0" wrapText="1"/>
    </xf>
    <xf borderId="1" fillId="6" fontId="11" numFmtId="0" xfId="0" applyAlignment="1" applyBorder="1" applyFill="1" applyFont="1">
      <alignment horizontal="center" vertical="bottom"/>
    </xf>
    <xf borderId="1" fillId="0" fontId="10" numFmtId="0" xfId="0" applyAlignment="1" applyBorder="1" applyFont="1">
      <alignment readingOrder="0"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3" fontId="3" numFmtId="0" xfId="0" applyAlignment="1" applyFill="1" applyFont="1">
      <alignment horizontal="center" readingOrder="0" shrinkToFit="0" vertical="bottom" wrapText="0"/>
    </xf>
    <xf borderId="1" fillId="12" fontId="1" numFmtId="3" xfId="0" applyBorder="1" applyFill="1" applyFont="1" applyNumberFormat="1"/>
    <xf borderId="1" fillId="0" fontId="1" numFmtId="0" xfId="0" applyAlignment="1" applyBorder="1" applyFont="1">
      <alignment horizontal="left" readingOrder="0"/>
    </xf>
    <xf borderId="1" fillId="6" fontId="3" numFmtId="165" xfId="0" applyAlignment="1" applyBorder="1" applyFill="1" applyFont="1" applyNumberFormat="1">
      <alignment horizontal="left" readingOrder="0" shrinkToFit="0" vertical="bottom" wrapText="0"/>
    </xf>
    <xf borderId="1" fillId="0" fontId="1" numFmtId="3" xfId="0" applyBorder="1" applyFont="1" applyNumberFormat="1"/>
    <xf borderId="1" fillId="13" fontId="1" numFmtId="3" xfId="0" applyBorder="1" applyFill="1" applyFont="1" applyNumberFormat="1"/>
    <xf borderId="0" fillId="3" fontId="3" numFmtId="0" xfId="0" applyAlignment="1" applyFill="1" applyFont="1">
      <alignment horizontal="left" readingOrder="0" shrinkToFit="0" vertical="bottom" wrapText="0"/>
    </xf>
    <xf borderId="1" fillId="0" fontId="12" numFmtId="165" xfId="0" applyAlignment="1" applyBorder="1" applyFont="1" applyNumberFormat="1">
      <alignment horizontal="center" readingOrder="0" shrinkToFit="0" vertical="bottom" wrapText="0"/>
    </xf>
    <xf borderId="1" fillId="14" fontId="8" numFmtId="0" xfId="0" applyAlignment="1" applyBorder="1" applyFill="1" applyFont="1">
      <alignment readingOrder="0"/>
    </xf>
    <xf borderId="1" fillId="0" fontId="3" numFmtId="169" xfId="0" applyAlignment="1" applyBorder="1" applyFont="1" applyNumberFormat="1">
      <alignment horizontal="left" readingOrder="0" shrinkToFit="0" vertical="bottom" wrapText="0"/>
    </xf>
    <xf borderId="1" fillId="0" fontId="3" numFmtId="1" xfId="0" applyAlignment="1" applyBorder="1" applyFont="1" applyNumberFormat="1">
      <alignment horizontal="left" readingOrder="0" shrinkToFit="0" vertical="bottom" wrapText="0"/>
    </xf>
    <xf borderId="1" fillId="0" fontId="3" numFmtId="170" xfId="0" applyAlignment="1" applyBorder="1" applyFont="1" applyNumberFormat="1">
      <alignment horizontal="center" readingOrder="0" shrinkToFit="0" vertical="bottom" wrapText="0"/>
    </xf>
    <xf borderId="1" fillId="0" fontId="13" numFmtId="0" xfId="0" applyAlignment="1" applyBorder="1" applyFont="1">
      <alignment horizontal="left" readingOrder="0" shrinkToFit="0" vertical="bottom" wrapText="0"/>
    </xf>
    <xf borderId="1" fillId="0" fontId="13" numFmtId="171" xfId="0" applyAlignment="1" applyBorder="1" applyFont="1" applyNumberFormat="1">
      <alignment horizontal="left" readingOrder="0" shrinkToFit="0" vertical="bottom" wrapText="0"/>
    </xf>
    <xf borderId="1" fillId="6" fontId="13" numFmtId="168" xfId="0" applyAlignment="1" applyBorder="1" applyFill="1" applyFont="1" applyNumberFormat="1">
      <alignment horizontal="center" readingOrder="0" shrinkToFit="0" vertical="bottom" wrapText="0"/>
    </xf>
    <xf borderId="1" fillId="0" fontId="13" numFmtId="165" xfId="0" applyAlignment="1" applyBorder="1" applyFont="1" applyNumberFormat="1">
      <alignment horizontal="center" readingOrder="0" shrinkToFit="0" vertical="bottom" wrapText="0"/>
    </xf>
    <xf borderId="1" fillId="5" fontId="1" numFmtId="3" xfId="0" applyBorder="1" applyFill="1" applyFont="1" applyNumberFormat="1"/>
    <xf borderId="1" fillId="6" fontId="13" numFmtId="0" xfId="0" applyAlignment="1" applyBorder="1" applyFill="1" applyFont="1">
      <alignment horizontal="right" readingOrder="0" shrinkToFit="0" vertical="bottom" wrapText="0"/>
    </xf>
    <xf borderId="0" fillId="0" fontId="1" numFmtId="3" xfId="0" applyFont="1" applyNumberFormat="1"/>
    <xf borderId="1" fillId="6" fontId="13" numFmtId="3" xfId="0" applyAlignment="1" applyBorder="1" applyFill="1" applyFont="1" applyNumberFormat="1">
      <alignment horizontal="right" readingOrder="0" shrinkToFit="0" vertical="bottom" wrapText="0"/>
    </xf>
    <xf borderId="1" fillId="0" fontId="13" numFmtId="165" xfId="0" applyAlignment="1" applyBorder="1" applyFont="1" applyNumberFormat="1">
      <alignment horizontal="left" readingOrder="0" shrinkToFit="0" vertical="bottom" wrapText="0"/>
    </xf>
    <xf borderId="0" fillId="0" fontId="6" numFmtId="3" xfId="0" applyAlignment="1" applyFont="1" applyNumberFormat="1">
      <alignment vertical="bottom"/>
    </xf>
    <xf borderId="1" fillId="6" fontId="13" numFmtId="3" xfId="0" applyAlignment="1" applyBorder="1" applyFill="1" applyFont="1" applyNumberFormat="1">
      <alignment horizontal="left" readingOrder="0" shrinkToFit="0" vertical="bottom" wrapText="0"/>
    </xf>
    <xf borderId="1" fillId="6" fontId="13" numFmtId="166" xfId="0" applyAlignment="1" applyBorder="1" applyFill="1" applyFont="1" applyNumberFormat="1">
      <alignment horizontal="left" readingOrder="0" shrinkToFit="0" vertical="bottom" wrapText="0"/>
    </xf>
    <xf borderId="1" fillId="6" fontId="13" numFmtId="0" xfId="0" applyAlignment="1" applyBorder="1" applyFill="1" applyFont="1">
      <alignment horizontal="left" readingOrder="0" shrinkToFit="0" vertical="bottom" wrapText="0"/>
    </xf>
    <xf borderId="0" fillId="0" fontId="1" numFmtId="3" xfId="0" applyAlignment="1" applyFont="1" applyNumberFormat="1">
      <alignment readingOrder="0"/>
    </xf>
    <xf borderId="1" fillId="6" fontId="13" numFmtId="0" xfId="0" applyAlignment="1" applyBorder="1" applyFill="1" applyFont="1">
      <alignment horizontal="center" readingOrder="0" shrinkToFit="0" vertical="bottom" wrapText="0"/>
    </xf>
    <xf borderId="1" fillId="6" fontId="14" numFmtId="0" xfId="0" applyAlignment="1" applyBorder="1" applyFill="1" applyFont="1">
      <alignment horizontal="center" vertical="bottom"/>
    </xf>
    <xf borderId="1" fillId="0" fontId="13" numFmtId="0" xfId="0" applyAlignment="1" applyBorder="1" applyFont="1">
      <alignment horizontal="center" readingOrder="0" shrinkToFit="0" vertical="bottom" wrapText="0"/>
    </xf>
    <xf borderId="1" fillId="8" fontId="13" numFmtId="0" xfId="0" applyAlignment="1" applyBorder="1" applyFill="1" applyFont="1">
      <alignment horizontal="center" readingOrder="0" shrinkToFit="0" vertical="bottom" wrapText="0"/>
    </xf>
    <xf borderId="0" fillId="3" fontId="13" numFmtId="0" xfId="0" applyAlignment="1" applyFill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/>
    </xf>
    <xf borderId="1" fillId="0" fontId="3" numFmtId="171" xfId="0" applyAlignment="1" applyBorder="1" applyFont="1" applyNumberFormat="1">
      <alignment horizontal="left" readingOrder="0" shrinkToFit="0" vertical="bottom" wrapText="0"/>
    </xf>
    <xf borderId="1" fillId="0" fontId="3" numFmtId="165" xfId="0" applyAlignment="1" applyBorder="1" applyFont="1" applyNumberFormat="1">
      <alignment horizontal="center" readingOrder="0" shrinkToFit="0" vertical="bottom" wrapText="0"/>
    </xf>
    <xf borderId="1" fillId="13" fontId="3" numFmtId="0" xfId="0" applyAlignment="1" applyBorder="1" applyFill="1" applyFont="1">
      <alignment horizontal="left" readingOrder="0" shrinkToFit="0" vertical="bottom" wrapText="0"/>
    </xf>
    <xf borderId="1" fillId="8" fontId="3" numFmtId="0" xfId="0" applyAlignment="1" applyBorder="1" applyFill="1" applyFont="1">
      <alignment horizontal="center" readingOrder="0" shrinkToFit="0" vertical="bottom" wrapText="0"/>
    </xf>
    <xf borderId="1" fillId="6" fontId="11" numFmtId="168" xfId="0" applyAlignment="1" applyBorder="1" applyFill="1" applyFont="1" applyNumberFormat="1">
      <alignment horizontal="center" vertical="bottom"/>
    </xf>
    <xf borderId="1" fillId="0" fontId="3" numFmtId="172" xfId="0" applyAlignment="1" applyBorder="1" applyFont="1" applyNumberFormat="1">
      <alignment horizontal="left" readingOrder="0" shrinkToFit="0" vertical="bottom" wrapText="0"/>
    </xf>
    <xf borderId="1" fillId="0" fontId="15" numFmtId="165" xfId="0" applyAlignment="1" applyBorder="1" applyFont="1" applyNumberFormat="1">
      <alignment horizontal="center" readingOrder="0"/>
    </xf>
    <xf borderId="1" fillId="0" fontId="3" numFmtId="173" xfId="0" applyAlignment="1" applyBorder="1" applyFont="1" applyNumberFormat="1">
      <alignment horizontal="left" readingOrder="0" shrinkToFit="0" vertical="bottom" wrapText="0"/>
    </xf>
    <xf borderId="1" fillId="0" fontId="14" numFmtId="167" xfId="0" applyAlignment="1" applyBorder="1" applyFont="1" applyNumberFormat="1">
      <alignment horizontal="left" vertical="bottom"/>
    </xf>
    <xf borderId="1" fillId="0" fontId="13" numFmtId="167" xfId="0" applyAlignment="1" applyBorder="1" applyFont="1" applyNumberFormat="1">
      <alignment horizontal="left" readingOrder="0" shrinkToFit="0" vertical="bottom" wrapText="0"/>
    </xf>
    <xf borderId="1" fillId="6" fontId="14" numFmtId="168" xfId="0" applyAlignment="1" applyBorder="1" applyFill="1" applyFont="1" applyNumberFormat="1">
      <alignment horizontal="center" vertical="bottom"/>
    </xf>
    <xf borderId="1" fillId="0" fontId="13" numFmtId="165" xfId="0" applyAlignment="1" applyBorder="1" applyFont="1" applyNumberFormat="1">
      <alignment horizontal="center" readingOrder="0" shrinkToFit="0" vertical="bottom" wrapText="0"/>
    </xf>
    <xf borderId="1" fillId="6" fontId="13" numFmtId="0" xfId="0" applyAlignment="1" applyBorder="1" applyFill="1" applyFont="1">
      <alignment horizontal="left" readingOrder="0" shrinkToFit="0" vertical="bottom" wrapText="1"/>
    </xf>
    <xf borderId="1" fillId="6" fontId="13" numFmtId="3" xfId="0" applyAlignment="1" applyBorder="1" applyFill="1" applyFont="1" applyNumberFormat="1">
      <alignment horizontal="center" readingOrder="0" shrinkToFit="0" vertical="bottom" wrapText="0"/>
    </xf>
    <xf borderId="0" fillId="3" fontId="13" numFmtId="1" xfId="0" applyAlignment="1" applyFill="1" applyFont="1" applyNumberFormat="1">
      <alignment horizontal="center" readingOrder="0" shrinkToFit="0" vertical="bottom" wrapText="0"/>
    </xf>
    <xf borderId="1" fillId="0" fontId="16" numFmtId="0" xfId="0" applyAlignment="1" applyBorder="1" applyFont="1">
      <alignment horizontal="left" readingOrder="0" shrinkToFit="0" vertical="bottom" wrapText="0"/>
    </xf>
    <xf borderId="1" fillId="0" fontId="17" numFmtId="0" xfId="0" applyAlignment="1" applyBorder="1" applyFont="1">
      <alignment horizontal="center" readingOrder="0" shrinkToFit="0" vertical="bottom" wrapText="0"/>
    </xf>
    <xf borderId="1" fillId="8" fontId="3" numFmtId="170" xfId="0" applyAlignment="1" applyBorder="1" applyFill="1" applyFont="1" applyNumberFormat="1">
      <alignment horizontal="center" readingOrder="0" shrinkToFit="0" vertical="bottom" wrapText="0"/>
    </xf>
    <xf borderId="1" fillId="0" fontId="3" numFmtId="3" xfId="0" applyAlignment="1" applyBorder="1" applyFont="1" applyNumberFormat="1">
      <alignment readingOrder="0" shrinkToFit="0" vertical="bottom" wrapText="0"/>
    </xf>
    <xf borderId="1" fillId="13" fontId="1" numFmtId="3" xfId="0" applyAlignment="1" applyBorder="1" applyFill="1" applyFont="1" applyNumberFormat="1">
      <alignment readingOrder="0"/>
    </xf>
    <xf borderId="1" fillId="0" fontId="18" numFmtId="0" xfId="0" applyAlignment="1" applyBorder="1" applyFont="1">
      <alignment readingOrder="0"/>
    </xf>
    <xf borderId="1" fillId="0" fontId="17" numFmtId="0" xfId="0" applyAlignment="1" applyBorder="1" applyFont="1">
      <alignment horizontal="left" readingOrder="0" shrinkToFit="0" vertical="bottom" wrapText="0"/>
    </xf>
    <xf borderId="1" fillId="6" fontId="17" numFmtId="168" xfId="0" applyAlignment="1" applyBorder="1" applyFill="1" applyFont="1" applyNumberFormat="1">
      <alignment horizontal="center" readingOrder="0" shrinkToFit="0" vertical="bottom" wrapText="0"/>
    </xf>
    <xf borderId="1" fillId="14" fontId="19" numFmtId="0" xfId="0" applyAlignment="1" applyBorder="1" applyFill="1" applyFont="1">
      <alignment readingOrder="0"/>
    </xf>
    <xf borderId="1" fillId="0" fontId="17" numFmtId="3" xfId="0" applyAlignment="1" applyBorder="1" applyFont="1" applyNumberFormat="1">
      <alignment horizontal="right" readingOrder="0" shrinkToFit="0" vertical="bottom" wrapText="0"/>
    </xf>
    <xf borderId="1" fillId="6" fontId="17" numFmtId="0" xfId="0" applyAlignment="1" applyBorder="1" applyFill="1" applyFont="1">
      <alignment horizontal="left" readingOrder="0" shrinkToFit="0" vertical="bottom" wrapText="0"/>
    </xf>
    <xf borderId="1" fillId="6" fontId="17" numFmtId="0" xfId="0" applyAlignment="1" applyBorder="1" applyFill="1" applyFont="1">
      <alignment horizontal="center" readingOrder="0" shrinkToFit="0" vertical="bottom" wrapText="0"/>
    </xf>
    <xf borderId="1" fillId="14" fontId="20" numFmtId="0" xfId="0" applyAlignment="1" applyBorder="1" applyFill="1" applyFont="1">
      <alignment readingOrder="0"/>
    </xf>
    <xf borderId="1" fillId="0" fontId="13" numFmtId="169" xfId="0" applyAlignment="1" applyBorder="1" applyFont="1" applyNumberFormat="1">
      <alignment horizontal="left" readingOrder="0" shrinkToFit="0" vertical="bottom" wrapText="0"/>
    </xf>
    <xf borderId="1" fillId="0" fontId="13" numFmtId="3" xfId="0" applyAlignment="1" applyBorder="1" applyFont="1" applyNumberFormat="1">
      <alignment horizontal="right" readingOrder="0" shrinkToFit="0" vertical="bottom" wrapText="0"/>
    </xf>
    <xf borderId="1" fillId="8" fontId="13" numFmtId="170" xfId="0" applyAlignment="1" applyBorder="1" applyFill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15" fontId="3" numFmtId="0" xfId="0" applyAlignment="1" applyBorder="1" applyFill="1" applyFont="1">
      <alignment horizontal="left" readingOrder="0" shrinkToFit="0" vertical="bottom" wrapText="0"/>
    </xf>
    <xf borderId="1" fillId="7" fontId="8" numFmtId="0" xfId="0" applyAlignment="1" applyBorder="1" applyFill="1" applyFont="1">
      <alignment readingOrder="0"/>
    </xf>
    <xf borderId="1" fillId="0" fontId="13" numFmtId="1" xfId="0" applyAlignment="1" applyBorder="1" applyFont="1" applyNumberFormat="1">
      <alignment horizontal="left" readingOrder="0" shrinkToFit="0" vertical="bottom" wrapText="0"/>
    </xf>
    <xf borderId="1" fillId="13" fontId="1" numFmtId="0" xfId="0" applyBorder="1" applyFill="1" applyFont="1"/>
    <xf borderId="1" fillId="0" fontId="21" numFmtId="0" xfId="0" applyBorder="1" applyFont="1"/>
    <xf borderId="1" fillId="0" fontId="3" numFmtId="3" xfId="0" applyAlignment="1" applyBorder="1" applyFont="1" applyNumberFormat="1">
      <alignment horizontal="left" readingOrder="0" shrinkToFit="0" vertical="bottom" wrapText="0"/>
    </xf>
    <xf borderId="1" fillId="0" fontId="17" numFmtId="3" xfId="0" applyAlignment="1" applyBorder="1" applyFont="1" applyNumberFormat="1">
      <alignment horizontal="left" readingOrder="0" shrinkToFit="0" vertical="bottom" wrapText="0"/>
    </xf>
    <xf borderId="1" fillId="3" fontId="1" numFmtId="0" xfId="0" applyBorder="1" applyFill="1" applyFont="1"/>
    <xf borderId="1" fillId="0" fontId="11" numFmtId="0" xfId="0" applyAlignment="1" applyBorder="1" applyFont="1">
      <alignment horizontal="left" readingOrder="0" vertical="bottom"/>
    </xf>
    <xf borderId="1" fillId="0" fontId="11" numFmtId="0" xfId="0" applyAlignment="1" applyBorder="1" applyFont="1">
      <alignment horizontal="left" vertical="bottom"/>
    </xf>
    <xf borderId="1" fillId="0" fontId="11" numFmtId="167" xfId="0" applyAlignment="1" applyBorder="1" applyFont="1" applyNumberFormat="1">
      <alignment horizontal="left" vertical="bottom"/>
    </xf>
    <xf borderId="1" fillId="14" fontId="22" numFmtId="0" xfId="0" applyAlignment="1" applyBorder="1" applyFill="1" applyFont="1">
      <alignment horizontal="left" vertical="bottom"/>
    </xf>
    <xf borderId="1" fillId="0" fontId="11" numFmtId="3" xfId="0" applyAlignment="1" applyBorder="1" applyFont="1" applyNumberFormat="1">
      <alignment horizontal="right" readingOrder="0" vertical="bottom"/>
    </xf>
    <xf borderId="1" fillId="0" fontId="6" numFmtId="0" xfId="0" applyAlignment="1" applyBorder="1" applyFont="1">
      <alignment horizontal="left" vertical="bottom"/>
    </xf>
    <xf borderId="1" fillId="0" fontId="11" numFmtId="165" xfId="0" applyAlignment="1" applyBorder="1" applyFont="1" applyNumberFormat="1">
      <alignment horizontal="left" vertical="bottom"/>
    </xf>
    <xf borderId="1" fillId="6" fontId="11" numFmtId="3" xfId="0" applyAlignment="1" applyBorder="1" applyFill="1" applyFont="1" applyNumberForma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8" fontId="6" numFmtId="170" xfId="0" applyAlignment="1" applyBorder="1" applyFill="1" applyFont="1" applyNumberFormat="1">
      <alignment horizontal="center" vertical="bottom"/>
    </xf>
    <xf borderId="1" fillId="0" fontId="14" numFmtId="0" xfId="0" applyAlignment="1" applyBorder="1" applyFont="1">
      <alignment horizontal="left" readingOrder="0" vertical="bottom"/>
    </xf>
    <xf borderId="1" fillId="0" fontId="14" numFmtId="0" xfId="0" applyAlignment="1" applyBorder="1" applyFont="1">
      <alignment horizontal="left" vertical="bottom"/>
    </xf>
    <xf borderId="1" fillId="0" fontId="14" numFmtId="3" xfId="0" applyAlignment="1" applyBorder="1" applyFont="1" applyNumberFormat="1">
      <alignment horizontal="right" readingOrder="0" vertical="bottom"/>
    </xf>
    <xf borderId="1" fillId="0" fontId="23" numFmtId="0" xfId="0" applyAlignment="1" applyBorder="1" applyFont="1">
      <alignment horizontal="left" vertical="bottom"/>
    </xf>
    <xf borderId="1" fillId="0" fontId="14" numFmtId="165" xfId="0" applyAlignment="1" applyBorder="1" applyFont="1" applyNumberFormat="1">
      <alignment horizontal="left" vertical="bottom"/>
    </xf>
    <xf borderId="1" fillId="0" fontId="23" numFmtId="0" xfId="0" applyAlignment="1" applyBorder="1" applyFont="1">
      <alignment horizontal="center" vertical="bottom"/>
    </xf>
    <xf borderId="1" fillId="8" fontId="23" numFmtId="170" xfId="0" applyAlignment="1" applyBorder="1" applyFill="1" applyFont="1" applyNumberFormat="1">
      <alignment horizontal="center" vertical="bottom"/>
    </xf>
    <xf borderId="1" fillId="0" fontId="15" numFmtId="165" xfId="0" applyAlignment="1" applyBorder="1" applyFont="1" applyNumberFormat="1">
      <alignment horizontal="center" readingOrder="0" vertical="bottom"/>
    </xf>
    <xf borderId="1" fillId="0" fontId="3" numFmtId="168" xfId="0" applyAlignment="1" applyBorder="1" applyFont="1" applyNumberFormat="1">
      <alignment horizontal="center" readingOrder="0" shrinkToFit="0" vertical="bottom" wrapText="0"/>
    </xf>
    <xf borderId="1" fillId="0" fontId="3" numFmtId="3" xfId="0" applyAlignment="1" applyBorder="1" applyFont="1" applyNumberFormat="1">
      <alignment horizontal="center" readingOrder="0" shrinkToFit="0" vertical="bottom" wrapText="0"/>
    </xf>
    <xf borderId="1" fillId="0" fontId="13" numFmtId="0" xfId="0" applyAlignment="1" applyBorder="1" applyFont="1">
      <alignment horizontal="right" readingOrder="0" shrinkToFit="0" vertical="bottom" wrapText="0"/>
    </xf>
    <xf borderId="1" fillId="0" fontId="6" numFmtId="0" xfId="0" applyAlignment="1" applyBorder="1" applyFont="1">
      <alignment readingOrder="0" vertical="bottom"/>
    </xf>
    <xf borderId="1" fillId="0" fontId="11" numFmtId="0" xfId="0" applyAlignment="1" applyBorder="1" applyFont="1">
      <alignment vertical="bottom"/>
    </xf>
    <xf borderId="1" fillId="14" fontId="22" numFmtId="0" xfId="0" applyAlignment="1" applyBorder="1" applyFill="1" applyFont="1">
      <alignment vertical="bottom"/>
    </xf>
    <xf borderId="1" fillId="0" fontId="6" numFmtId="0" xfId="0" applyAlignment="1" applyBorder="1" applyFont="1">
      <alignment vertical="bottom"/>
    </xf>
    <xf borderId="1" fillId="0" fontId="11" numFmtId="165" xfId="0" applyAlignment="1" applyBorder="1" applyFont="1" applyNumberFormat="1">
      <alignment vertical="bottom"/>
    </xf>
    <xf borderId="1" fillId="6" fontId="11" numFmtId="3" xfId="0" applyAlignment="1" applyBorder="1" applyFill="1" applyFont="1" applyNumberFormat="1">
      <alignment vertical="bottom"/>
    </xf>
    <xf borderId="1" fillId="6" fontId="11" numFmtId="0" xfId="0" applyAlignment="1" applyBorder="1" applyFill="1" applyFont="1">
      <alignment vertical="bottom"/>
    </xf>
    <xf borderId="1" fillId="6" fontId="14" numFmtId="0" xfId="0" applyAlignment="1" applyBorder="1" applyFill="1" applyFont="1">
      <alignment vertical="bottom"/>
    </xf>
    <xf borderId="1" fillId="0" fontId="24" numFmtId="3" xfId="0" applyBorder="1" applyFont="1" applyNumberFormat="1"/>
    <xf borderId="0" fillId="3" fontId="11" numFmtId="0" xfId="0" applyAlignment="1" applyFill="1" applyFont="1">
      <alignment horizontal="center" vertical="bottom"/>
    </xf>
    <xf borderId="0" fillId="0" fontId="6" numFmtId="3" xfId="0" applyAlignment="1" applyFont="1" applyNumberFormat="1">
      <alignment readingOrder="0" vertical="bottom"/>
    </xf>
    <xf borderId="1" fillId="0" fontId="14" numFmtId="0" xfId="0" applyAlignment="1" applyBorder="1" applyFont="1">
      <alignment readingOrder="0" vertical="bottom"/>
    </xf>
    <xf borderId="1" fillId="0" fontId="14" numFmtId="0" xfId="0" applyAlignment="1" applyBorder="1" applyFont="1">
      <alignment vertical="bottom"/>
    </xf>
    <xf borderId="1" fillId="0" fontId="14" numFmtId="171" xfId="0" applyAlignment="1" applyBorder="1" applyFont="1" applyNumberFormat="1">
      <alignment horizontal="left" vertical="bottom"/>
    </xf>
    <xf borderId="1" fillId="0" fontId="14" numFmtId="165" xfId="0" applyAlignment="1" applyBorder="1" applyFont="1" applyNumberFormat="1">
      <alignment horizontal="center" vertical="bottom"/>
    </xf>
    <xf borderId="1" fillId="0" fontId="14" numFmtId="3" xfId="0" applyAlignment="1" applyBorder="1" applyFont="1" applyNumberFormat="1">
      <alignment horizontal="right" vertical="bottom"/>
    </xf>
    <xf borderId="1" fillId="0" fontId="23" numFmtId="0" xfId="0" applyAlignment="1" applyBorder="1" applyFont="1">
      <alignment vertical="bottom"/>
    </xf>
    <xf borderId="1" fillId="0" fontId="23" numFmtId="165" xfId="0" applyAlignment="1" applyBorder="1" applyFont="1" applyNumberFormat="1">
      <alignment vertical="bottom"/>
    </xf>
    <xf borderId="1" fillId="13" fontId="23" numFmtId="0" xfId="0" applyAlignment="1" applyBorder="1" applyFill="1" applyFont="1">
      <alignment vertical="bottom"/>
    </xf>
    <xf borderId="1" fillId="6" fontId="14" numFmtId="3" xfId="0" applyAlignment="1" applyBorder="1" applyFill="1" applyFont="1" applyNumberFormat="1">
      <alignment vertical="bottom"/>
    </xf>
    <xf borderId="1" fillId="0" fontId="14" numFmtId="0" xfId="0" applyAlignment="1" applyBorder="1" applyFont="1">
      <alignment horizontal="center" vertical="bottom"/>
    </xf>
    <xf borderId="1" fillId="0" fontId="23" numFmtId="170" xfId="0" applyAlignment="1" applyBorder="1" applyFont="1" applyNumberFormat="1">
      <alignment horizontal="center" vertical="bottom"/>
    </xf>
    <xf borderId="1" fillId="16" fontId="25" numFmtId="0" xfId="0" applyAlignment="1" applyBorder="1" applyFill="1" applyFont="1">
      <alignment horizontal="left" readingOrder="0" shrinkToFit="0" vertical="bottom" wrapText="0"/>
    </xf>
    <xf borderId="1" fillId="0" fontId="3" numFmtId="174" xfId="0" applyAlignment="1" applyBorder="1" applyFont="1" applyNumberFormat="1">
      <alignment horizontal="center" readingOrder="0" shrinkToFit="0" vertical="bottom" wrapText="0"/>
    </xf>
    <xf borderId="1" fillId="7" fontId="3" numFmtId="0" xfId="0" applyAlignment="1" applyBorder="1" applyFill="1" applyFont="1">
      <alignment horizontal="left" readingOrder="0" shrinkToFit="0" vertical="bottom" wrapText="0"/>
    </xf>
    <xf borderId="1" fillId="0" fontId="13" numFmtId="174" xfId="0" applyAlignment="1" applyBorder="1" applyFont="1" applyNumberFormat="1">
      <alignment horizontal="center" readingOrder="0" shrinkToFit="0" vertical="bottom" wrapText="0"/>
    </xf>
    <xf borderId="1" fillId="13" fontId="13" numFmtId="0" xfId="0" applyAlignment="1" applyBorder="1" applyFill="1" applyFont="1">
      <alignment horizontal="left" readingOrder="0" shrinkToFit="0" vertical="bottom" wrapText="0"/>
    </xf>
    <xf borderId="1" fillId="0" fontId="11" numFmtId="0" xfId="0" applyAlignment="1" applyBorder="1" applyFont="1">
      <alignment readingOrder="0" vertical="bottom"/>
    </xf>
    <xf borderId="1" fillId="0" fontId="11" numFmtId="165" xfId="0" applyAlignment="1" applyBorder="1" applyFont="1" applyNumberFormat="1">
      <alignment horizontal="center" readingOrder="0" vertical="bottom"/>
    </xf>
    <xf borderId="1" fillId="6" fontId="11" numFmtId="3" xfId="0" applyAlignment="1" applyBorder="1" applyFill="1" applyFont="1" applyNumberFormat="1">
      <alignment horizontal="right" vertical="bottom"/>
    </xf>
    <xf borderId="1" fillId="0" fontId="6" numFmtId="165" xfId="0" applyAlignment="1" applyBorder="1" applyFont="1" applyNumberFormat="1">
      <alignment vertical="bottom"/>
    </xf>
    <xf borderId="1" fillId="13" fontId="6" numFmtId="166" xfId="0" applyAlignment="1" applyBorder="1" applyFill="1" applyFont="1" applyNumberFormat="1">
      <alignment vertical="bottom"/>
    </xf>
    <xf borderId="1" fillId="13" fontId="6" numFmtId="0" xfId="0" applyAlignment="1" applyBorder="1" applyFill="1" applyFont="1">
      <alignment vertical="bottom"/>
    </xf>
    <xf borderId="1" fillId="13" fontId="17" numFmtId="0" xfId="0" applyAlignment="1" applyBorder="1" applyFill="1" applyFont="1">
      <alignment vertical="bottom"/>
    </xf>
    <xf borderId="1" fillId="13" fontId="17" numFmtId="0" xfId="0" applyAlignment="1" applyBorder="1" applyFill="1" applyFont="1">
      <alignment horizontal="center" vertical="bottom"/>
    </xf>
    <xf borderId="1" fillId="8" fontId="11" numFmtId="0" xfId="0" applyAlignment="1" applyBorder="1" applyFill="1" applyFont="1">
      <alignment horizontal="center" vertical="bottom"/>
    </xf>
    <xf borderId="0" fillId="3" fontId="6" numFmtId="0" xfId="0" applyAlignment="1" applyFill="1" applyFont="1">
      <alignment horizontal="center" vertical="bottom"/>
    </xf>
    <xf borderId="1" fillId="6" fontId="3" numFmtId="168" xfId="0" applyAlignment="1" applyBorder="1" applyFill="1" applyFont="1" applyNumberFormat="1">
      <alignment horizontal="center" shrinkToFit="0" vertical="bottom" wrapText="0"/>
    </xf>
    <xf borderId="1" fillId="15" fontId="26" numFmtId="0" xfId="0" applyAlignment="1" applyBorder="1" applyFill="1" applyFont="1">
      <alignment horizontal="left" readingOrder="0" shrinkToFit="0" vertical="bottom" wrapText="0"/>
    </xf>
    <xf borderId="0" fillId="0" fontId="6" numFmtId="3" xfId="0" applyAlignment="1" applyFont="1" applyNumberFormat="1">
      <alignment horizontal="right" vertical="bottom"/>
    </xf>
    <xf borderId="0" fillId="0" fontId="6" numFmtId="3" xfId="0" applyAlignment="1" applyFont="1" applyNumberFormat="1">
      <alignment horizontal="right" readingOrder="0" vertical="bottom"/>
    </xf>
    <xf borderId="1" fillId="17" fontId="3" numFmtId="0" xfId="0" applyAlignment="1" applyBorder="1" applyFill="1" applyFont="1">
      <alignment horizontal="left" readingOrder="0" shrinkToFit="0" vertical="bottom" wrapText="0"/>
    </xf>
    <xf borderId="1" fillId="0" fontId="3" numFmtId="175" xfId="0" applyAlignment="1" applyBorder="1" applyFont="1" applyNumberFormat="1">
      <alignment horizontal="left" readingOrder="0" shrinkToFit="0" vertical="bottom" wrapText="0"/>
    </xf>
    <xf borderId="1" fillId="0" fontId="3" numFmtId="167" xfId="0" applyAlignment="1" applyBorder="1" applyFont="1" applyNumberFormat="1">
      <alignment horizontal="left" readingOrder="0" shrinkToFit="0" vertical="bottom" wrapText="0"/>
    </xf>
    <xf borderId="1" fillId="0" fontId="3" numFmtId="9" xfId="0" applyAlignment="1" applyBorder="1" applyFont="1" applyNumberFormat="1">
      <alignment horizontal="left" readingOrder="0" shrinkToFit="0" vertical="bottom" wrapText="0"/>
    </xf>
    <xf borderId="1" fillId="14" fontId="27" numFmtId="0" xfId="0" applyBorder="1" applyFill="1" applyFont="1"/>
    <xf borderId="1" fillId="3" fontId="3" numFmtId="176" xfId="0" applyAlignment="1" applyBorder="1" applyFill="1" applyFont="1" applyNumberFormat="1">
      <alignment horizontal="left" readingOrder="0" shrinkToFit="0" vertical="bottom" wrapText="0"/>
    </xf>
    <xf borderId="1" fillId="0" fontId="1" numFmtId="165" xfId="0" applyAlignment="1" applyBorder="1" applyFont="1" applyNumberFormat="1">
      <alignment horizontal="center" readingOrder="0"/>
    </xf>
    <xf borderId="1" fillId="0" fontId="3" numFmtId="177" xfId="0" applyAlignment="1" applyBorder="1" applyFont="1" applyNumberFormat="1">
      <alignment horizontal="left" readingOrder="0" shrinkToFit="0" vertical="bottom" wrapText="0"/>
    </xf>
    <xf borderId="1" fillId="0" fontId="3" numFmtId="166" xfId="0" applyAlignment="1" applyBorder="1" applyFont="1" applyNumberFormat="1">
      <alignment horizontal="left" readingOrder="0" shrinkToFit="0" vertical="bottom" wrapText="0"/>
    </xf>
    <xf borderId="1" fillId="0" fontId="9" numFmtId="167" xfId="0" applyAlignment="1" applyBorder="1" applyFont="1" applyNumberFormat="1">
      <alignment horizontal="left" readingOrder="0"/>
    </xf>
    <xf borderId="0" fillId="0" fontId="3" numFmtId="0" xfId="0" applyAlignment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shrinkToFit="0" vertical="bottom" wrapText="0"/>
    </xf>
    <xf borderId="0" fillId="0" fontId="28" numFmtId="0" xfId="0" applyFont="1"/>
    <xf borderId="0" fillId="0" fontId="1" numFmtId="0" xfId="0" applyFont="1"/>
    <xf borderId="1" fillId="12" fontId="1" numFmtId="3" xfId="0" applyAlignment="1" applyBorder="1" applyFill="1" applyFont="1" applyNumberFormat="1">
      <alignment readingOrder="0"/>
    </xf>
    <xf borderId="1" fillId="0" fontId="21" numFmtId="0" xfId="0" applyAlignment="1" applyBorder="1" applyFont="1">
      <alignment readingOrder="0"/>
    </xf>
    <xf borderId="1" fillId="18" fontId="20" numFmtId="0" xfId="0" applyAlignment="1" applyBorder="1" applyFill="1" applyFont="1">
      <alignment readingOrder="0"/>
    </xf>
    <xf borderId="1" fillId="3" fontId="12" numFmtId="165" xfId="0" applyAlignment="1" applyBorder="1" applyFill="1" applyFont="1" applyNumberFormat="1">
      <alignment horizontal="center" readingOrder="0" shrinkToFit="0" vertical="bottom" wrapText="0"/>
    </xf>
    <xf borderId="1" fillId="3" fontId="3" numFmtId="0" xfId="0" applyAlignment="1" applyBorder="1" applyFill="1" applyFont="1">
      <alignment horizontal="left" readingOrder="0" shrinkToFit="0" vertical="bottom" wrapText="0"/>
    </xf>
    <xf borderId="1" fillId="13" fontId="17" numFmtId="0" xfId="0" applyAlignment="1" applyBorder="1" applyFill="1" applyFont="1">
      <alignment horizontal="left" readingOrder="0" shrinkToFit="0" vertical="bottom" wrapText="0"/>
    </xf>
    <xf borderId="1" fillId="14" fontId="29" numFmtId="0" xfId="0" applyAlignment="1" applyBorder="1" applyFill="1" applyFont="1">
      <alignment horizontal="left" readingOrder="0"/>
    </xf>
    <xf borderId="1" fillId="0" fontId="11" numFmtId="168" xfId="0" applyAlignment="1" applyBorder="1" applyFont="1" applyNumberFormat="1">
      <alignment horizontal="center" vertical="bottom"/>
    </xf>
    <xf borderId="1" fillId="14" fontId="30" numFmtId="0" xfId="0" applyAlignment="1" applyBorder="1" applyFill="1" applyFont="1">
      <alignment horizontal="left" readingOrder="0"/>
    </xf>
    <xf borderId="1" fillId="14" fontId="27" numFmtId="0" xfId="0" applyAlignment="1" applyBorder="1" applyFill="1" applyFont="1">
      <alignment horizontal="left"/>
    </xf>
    <xf borderId="1" fillId="0" fontId="3" numFmtId="176" xfId="0" applyAlignment="1" applyBorder="1" applyFont="1" applyNumberFormat="1">
      <alignment horizontal="left" readingOrder="0" shrinkToFit="0" vertical="bottom" wrapText="0"/>
    </xf>
    <xf borderId="1" fillId="8" fontId="3" numFmtId="169" xfId="0" applyAlignment="1" applyBorder="1" applyFill="1" applyFont="1" applyNumberFormat="1">
      <alignment horizontal="center" readingOrder="0" shrinkToFit="0" vertical="bottom" wrapText="0"/>
    </xf>
    <xf borderId="1" fillId="8" fontId="3" numFmtId="178" xfId="0" applyAlignment="1" applyBorder="1" applyFill="1" applyFont="1" applyNumberFormat="1">
      <alignment horizontal="center" readingOrder="0" shrinkToFit="0" vertical="bottom" wrapText="0"/>
    </xf>
    <xf borderId="1" fillId="8" fontId="3" numFmtId="179" xfId="0" applyAlignment="1" applyBorder="1" applyFill="1" applyFont="1" applyNumberFormat="1">
      <alignment horizontal="center" readingOrder="0" shrinkToFit="0" vertical="bottom" wrapText="0"/>
    </xf>
    <xf borderId="1" fillId="0" fontId="3" numFmtId="180" xfId="0" applyAlignment="1" applyBorder="1" applyFont="1" applyNumberFormat="1">
      <alignment horizontal="left" readingOrder="0" shrinkToFit="0" vertical="bottom" wrapText="0"/>
    </xf>
    <xf borderId="1" fillId="0" fontId="3" numFmtId="169" xfId="0" applyAlignment="1" applyBorder="1" applyFont="1" applyNumberFormat="1">
      <alignment horizontal="center" readingOrder="0" shrinkToFit="0" vertical="bottom" wrapText="0"/>
    </xf>
    <xf borderId="1" fillId="0" fontId="11" numFmtId="167" xfId="0" applyAlignment="1" applyBorder="1" applyFont="1" applyNumberFormat="1">
      <alignment horizontal="left" readingOrder="0" vertical="bottom"/>
    </xf>
    <xf borderId="1" fillId="16" fontId="31" numFmtId="0" xfId="0" applyAlignment="1" applyBorder="1" applyFill="1" applyFont="1">
      <alignment horizontal="left" readingOrder="0" shrinkToFit="0" vertical="bottom" wrapText="0"/>
    </xf>
    <xf borderId="0" fillId="0" fontId="3" numFmtId="171" xfId="0" applyAlignment="1" applyFont="1" applyNumberFormat="1">
      <alignment horizontal="left" readingOrder="0" shrinkToFit="0" vertical="bottom" wrapText="0"/>
    </xf>
    <xf borderId="0" fillId="6" fontId="3" numFmtId="168" xfId="0" applyAlignment="1" applyFill="1" applyFont="1" applyNumberFormat="1">
      <alignment horizontal="center" readingOrder="0" shrinkToFit="0" vertical="bottom" wrapText="0"/>
    </xf>
    <xf borderId="0" fillId="0" fontId="3" numFmtId="165" xfId="0" applyAlignment="1" applyFont="1" applyNumberFormat="1">
      <alignment horizontal="center" readingOrder="0" shrinkToFit="0" vertical="bottom" wrapText="0"/>
    </xf>
    <xf borderId="0" fillId="6" fontId="3" numFmtId="3" xfId="0" applyAlignment="1" applyFill="1" applyFont="1" applyNumberFormat="1">
      <alignment horizontal="right" readingOrder="0" shrinkToFit="0" vertical="bottom" wrapText="0"/>
    </xf>
    <xf borderId="0" fillId="6" fontId="3" numFmtId="0" xfId="0" applyAlignment="1" applyFill="1" applyFont="1">
      <alignment horizontal="left" readingOrder="0" shrinkToFit="0" vertical="bottom" wrapText="0"/>
    </xf>
    <xf borderId="0" fillId="6" fontId="3" numFmtId="165" xfId="0" applyAlignment="1" applyFill="1" applyFont="1" applyNumberFormat="1">
      <alignment horizontal="left" readingOrder="0" shrinkToFit="0" vertical="bottom" wrapText="0"/>
    </xf>
    <xf borderId="0" fillId="6" fontId="3" numFmtId="166" xfId="0" applyAlignment="1" applyFill="1" applyFont="1" applyNumberFormat="1">
      <alignment horizontal="left" readingOrder="0" shrinkToFit="0" vertical="bottom" wrapText="0"/>
    </xf>
    <xf borderId="0" fillId="6" fontId="3" numFmtId="0" xfId="0" applyAlignment="1" applyFill="1" applyFont="1">
      <alignment horizontal="left" readingOrder="0" shrinkToFit="0" vertical="bottom" wrapText="1"/>
    </xf>
    <xf borderId="0" fillId="6" fontId="3" numFmtId="0" xfId="0" applyAlignment="1" applyFill="1" applyFont="1">
      <alignment horizontal="center" readingOrder="0" shrinkToFit="0" vertical="bottom" wrapText="0"/>
    </xf>
    <xf borderId="0" fillId="6" fontId="11" numFmtId="0" xfId="0" applyAlignment="1" applyFill="1" applyFont="1">
      <alignment horizontal="center" vertical="bottom"/>
    </xf>
    <xf borderId="0" fillId="0" fontId="3" numFmtId="0" xfId="0" applyAlignment="1" applyFont="1">
      <alignment horizontal="center" readingOrder="0" shrinkToFit="0" vertical="bottom" wrapText="0"/>
    </xf>
    <xf borderId="1" fillId="0" fontId="3" numFmtId="179" xfId="0" applyAlignment="1" applyBorder="1" applyFont="1" applyNumberFormat="1">
      <alignment horizontal="left" readingOrder="0" shrinkToFit="0" vertical="bottom" wrapText="0"/>
    </xf>
    <xf borderId="1" fillId="15" fontId="3" numFmtId="9" xfId="0" applyAlignment="1" applyBorder="1" applyFill="1" applyFont="1" applyNumberFormat="1">
      <alignment horizontal="left" readingOrder="0" shrinkToFit="0" vertical="bottom" wrapText="0"/>
    </xf>
    <xf borderId="1" fillId="14" fontId="30" numFmtId="0" xfId="0" applyAlignment="1" applyBorder="1" applyFill="1" applyFont="1">
      <alignment readingOrder="0"/>
    </xf>
    <xf borderId="1" fillId="19" fontId="3" numFmtId="0" xfId="0" applyAlignment="1" applyBorder="1" applyFill="1" applyFont="1">
      <alignment horizontal="left" readingOrder="0" shrinkToFit="0" vertical="bottom" wrapText="0"/>
    </xf>
    <xf borderId="1" fillId="15" fontId="32" numFmtId="0" xfId="0" applyAlignment="1" applyBorder="1" applyFill="1" applyFont="1">
      <alignment horizontal="left" readingOrder="0" shrinkToFit="0" vertical="bottom" wrapText="0"/>
    </xf>
    <xf borderId="1" fillId="3" fontId="8" numFmtId="0" xfId="0" applyAlignment="1" applyBorder="1" applyFill="1" applyFont="1">
      <alignment readingOrder="0"/>
    </xf>
    <xf borderId="0" fillId="0" fontId="3" numFmtId="170" xfId="0" applyAlignment="1" applyFont="1" applyNumberFormat="1">
      <alignment horizontal="center" readingOrder="0" shrinkToFit="0" vertical="bottom" wrapText="0"/>
    </xf>
    <xf borderId="0" fillId="0" fontId="3" numFmtId="173" xfId="0" applyAlignment="1" applyFont="1" applyNumberFormat="1">
      <alignment horizontal="center" readingOrder="0" shrinkToFit="0" vertical="bottom" wrapText="0"/>
    </xf>
    <xf borderId="1" fillId="8" fontId="3" numFmtId="174" xfId="0" applyAlignment="1" applyBorder="1" applyFill="1" applyFont="1" applyNumberFormat="1">
      <alignment horizontal="center" readingOrder="0" shrinkToFit="0" vertical="bottom" wrapText="0"/>
    </xf>
    <xf borderId="1" fillId="0" fontId="21" numFmtId="0" xfId="0" applyAlignment="1" applyBorder="1" applyFont="1">
      <alignment horizontal="left" readingOrder="0"/>
    </xf>
    <xf borderId="1" fillId="0" fontId="3" numFmtId="181" xfId="0" applyAlignment="1" applyBorder="1" applyFont="1" applyNumberFormat="1">
      <alignment horizontal="center" readingOrder="0" shrinkToFit="0" vertical="bottom" wrapText="0"/>
    </xf>
    <xf borderId="1" fillId="6" fontId="6" numFmtId="0" xfId="0" applyAlignment="1" applyBorder="1" applyFill="1" applyFont="1">
      <alignment horizontal="left" readingOrder="0" vertical="bottom"/>
    </xf>
    <xf borderId="1" fillId="0" fontId="6" numFmtId="165" xfId="0" applyAlignment="1" applyBorder="1" applyFont="1" applyNumberFormat="1">
      <alignment horizontal="left" vertical="bottom"/>
    </xf>
    <xf borderId="1" fillId="0" fontId="6" numFmtId="0" xfId="0" applyAlignment="1" applyBorder="1" applyFont="1">
      <alignment horizontal="left" readingOrder="0" vertical="bottom"/>
    </xf>
    <xf borderId="1" fillId="13" fontId="11" numFmtId="0" xfId="0" applyAlignment="1" applyBorder="1" applyFill="1" applyFont="1">
      <alignment horizontal="left" vertical="bottom"/>
    </xf>
    <xf borderId="1" fillId="0" fontId="11" numFmtId="0" xfId="0" applyAlignment="1" applyBorder="1" applyFont="1">
      <alignment horizontal="center" vertical="bottom"/>
    </xf>
    <xf borderId="1" fillId="8" fontId="6" numFmtId="0" xfId="0" applyAlignment="1" applyBorder="1" applyFill="1" applyFont="1">
      <alignment horizontal="center" vertical="bottom"/>
    </xf>
    <xf borderId="1" fillId="14" fontId="29" numFmtId="10" xfId="0" applyAlignment="1" applyBorder="1" applyFill="1" applyFont="1" applyNumberFormat="1">
      <alignment horizontal="left" readingOrder="0"/>
    </xf>
    <xf borderId="1" fillId="13" fontId="11" numFmtId="0" xfId="0" applyAlignment="1" applyBorder="1" applyFill="1" applyFont="1">
      <alignment vertical="bottom"/>
    </xf>
    <xf borderId="0" fillId="8" fontId="3" numFmtId="169" xfId="0" applyAlignment="1" applyFill="1" applyFont="1" applyNumberFormat="1">
      <alignment horizontal="center" readingOrder="0" shrinkToFit="0" vertical="bottom" wrapText="0"/>
    </xf>
    <xf borderId="0" fillId="8" fontId="3" numFmtId="170" xfId="0" applyAlignment="1" applyFill="1" applyFont="1" applyNumberForma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8" fontId="13" numFmtId="0" xfId="0" applyAlignment="1" applyFill="1" applyFont="1">
      <alignment horizontal="center" readingOrder="0" shrinkToFit="0" vertical="bottom" wrapText="0"/>
    </xf>
    <xf borderId="0" fillId="8" fontId="3" numFmtId="179" xfId="0" applyAlignment="1" applyFill="1" applyFont="1" applyNumberFormat="1">
      <alignment horizontal="center" readingOrder="0" shrinkToFit="0" vertical="bottom" wrapText="0"/>
    </xf>
    <xf borderId="0" fillId="8" fontId="3" numFmtId="182" xfId="0" applyAlignment="1" applyFill="1" applyFont="1" applyNumberFormat="1">
      <alignment horizontal="center" readingOrder="0" shrinkToFit="0" vertical="bottom" wrapText="0"/>
    </xf>
    <xf borderId="1" fillId="0" fontId="13" numFmtId="172" xfId="0" applyAlignment="1" applyBorder="1" applyFont="1" applyNumberFormat="1">
      <alignment horizontal="left" readingOrder="0" shrinkToFit="0" vertical="bottom" wrapText="0"/>
    </xf>
    <xf borderId="1" fillId="18" fontId="13" numFmtId="0" xfId="0" applyAlignment="1" applyBorder="1" applyFill="1" applyFont="1">
      <alignment horizontal="left" readingOrder="0" shrinkToFit="0" vertical="bottom" wrapText="0"/>
    </xf>
    <xf borderId="1" fillId="6" fontId="13" numFmtId="165" xfId="0" applyAlignment="1" applyBorder="1" applyFill="1" applyFont="1" applyNumberFormat="1">
      <alignment horizontal="left" readingOrder="0" shrinkToFit="0" vertical="bottom" wrapText="0"/>
    </xf>
    <xf borderId="0" fillId="8" fontId="13" numFmtId="170" xfId="0" applyAlignment="1" applyFill="1" applyFont="1" applyNumberFormat="1">
      <alignment horizontal="center" readingOrder="0" shrinkToFit="0" vertical="bottom" wrapText="0"/>
    </xf>
    <xf borderId="1" fillId="14" fontId="13" numFmtId="0" xfId="0" applyAlignment="1" applyBorder="1" applyFill="1" applyFont="1">
      <alignment horizontal="left" readingOrder="0" shrinkToFit="0" vertical="bottom" wrapText="0"/>
    </xf>
    <xf borderId="1" fillId="14" fontId="13" numFmtId="167" xfId="0" applyAlignment="1" applyBorder="1" applyFill="1" applyFont="1" applyNumberFormat="1">
      <alignment horizontal="left" readingOrder="0" shrinkToFit="0" vertical="bottom" wrapText="0"/>
    </xf>
    <xf borderId="1" fillId="14" fontId="14" numFmtId="168" xfId="0" applyAlignment="1" applyBorder="1" applyFill="1" applyFont="1" applyNumberFormat="1">
      <alignment horizontal="center" vertical="bottom"/>
    </xf>
    <xf borderId="1" fillId="14" fontId="13" numFmtId="165" xfId="0" applyAlignment="1" applyBorder="1" applyFill="1" applyFont="1" applyNumberFormat="1">
      <alignment horizontal="center" readingOrder="0" shrinkToFit="0" vertical="bottom" wrapText="0"/>
    </xf>
    <xf borderId="1" fillId="14" fontId="13" numFmtId="0" xfId="0" applyAlignment="1" applyBorder="1" applyFill="1" applyFont="1">
      <alignment horizontal="right" readingOrder="0" shrinkToFit="0" vertical="bottom" wrapText="0"/>
    </xf>
    <xf borderId="1" fillId="14" fontId="13" numFmtId="169" xfId="0" applyAlignment="1" applyBorder="1" applyFill="1" applyFont="1" applyNumberFormat="1">
      <alignment horizontal="left" readingOrder="0" shrinkToFit="0" vertical="bottom" wrapText="0"/>
    </xf>
    <xf borderId="1" fillId="14" fontId="13" numFmtId="3" xfId="0" applyAlignment="1" applyBorder="1" applyFill="1" applyFont="1" applyNumberFormat="1">
      <alignment horizontal="right" readingOrder="0" shrinkToFit="0" vertical="bottom" wrapText="0"/>
    </xf>
    <xf borderId="1" fillId="14" fontId="13" numFmtId="165" xfId="0" applyAlignment="1" applyBorder="1" applyFill="1" applyFont="1" applyNumberFormat="1">
      <alignment horizontal="left" readingOrder="0" shrinkToFit="0" vertical="bottom" wrapText="0"/>
    </xf>
    <xf borderId="1" fillId="14" fontId="13" numFmtId="3" xfId="0" applyAlignment="1" applyBorder="1" applyFill="1" applyFont="1" applyNumberFormat="1">
      <alignment horizontal="left" readingOrder="0" shrinkToFit="0" vertical="bottom" wrapText="0"/>
    </xf>
    <xf borderId="1" fillId="14" fontId="13" numFmtId="166" xfId="0" applyAlignment="1" applyBorder="1" applyFill="1" applyFont="1" applyNumberFormat="1">
      <alignment horizontal="left" readingOrder="0" shrinkToFit="0" vertical="bottom" wrapText="0"/>
    </xf>
    <xf borderId="1" fillId="14" fontId="13" numFmtId="0" xfId="0" applyAlignment="1" applyBorder="1" applyFill="1" applyFont="1">
      <alignment horizontal="left" readingOrder="0" shrinkToFit="0" vertical="bottom" wrapText="1"/>
    </xf>
    <xf borderId="1" fillId="14" fontId="13" numFmtId="0" xfId="0" applyAlignment="1" applyBorder="1" applyFill="1" applyFont="1">
      <alignment horizontal="center" readingOrder="0" shrinkToFit="0" vertical="bottom" wrapText="0"/>
    </xf>
    <xf borderId="1" fillId="14" fontId="14" numFmtId="0" xfId="0" applyAlignment="1" applyBorder="1" applyFill="1" applyFont="1">
      <alignment horizontal="center" vertical="bottom"/>
    </xf>
    <xf borderId="0" fillId="14" fontId="13" numFmtId="0" xfId="0" applyAlignment="1" applyFill="1" applyFont="1">
      <alignment horizontal="center" readingOrder="0" shrinkToFit="0" vertical="bottom" wrapText="0"/>
    </xf>
    <xf borderId="0" fillId="14" fontId="13" numFmtId="170" xfId="0" applyAlignment="1" applyFill="1" applyFont="1" applyNumberFormat="1">
      <alignment horizontal="center" readingOrder="0" shrinkToFit="0" vertical="bottom" wrapText="0"/>
    </xf>
    <xf borderId="0" fillId="14" fontId="3" numFmtId="0" xfId="0" applyAlignment="1" applyFill="1" applyFont="1">
      <alignment horizontal="center" readingOrder="0" shrinkToFit="0" vertical="bottom" wrapText="0"/>
    </xf>
    <xf borderId="1" fillId="0" fontId="13" numFmtId="3" xfId="0" applyAlignment="1" applyBorder="1" applyFont="1" applyNumberFormat="1">
      <alignment horizontal="left" readingOrder="0" shrinkToFit="0" vertical="bottom" wrapText="0"/>
    </xf>
    <xf borderId="1" fillId="14" fontId="3" numFmtId="0" xfId="0" applyAlignment="1" applyBorder="1" applyFill="1" applyFont="1">
      <alignment horizontal="left" readingOrder="0" shrinkToFit="0" vertical="bottom" wrapText="0"/>
    </xf>
    <xf borderId="1" fillId="0" fontId="13" numFmtId="179" xfId="0" applyAlignment="1" applyBorder="1" applyFont="1" applyNumberFormat="1">
      <alignment horizontal="left" readingOrder="0" shrinkToFit="0" vertical="bottom" wrapText="0"/>
    </xf>
    <xf borderId="1" fillId="7" fontId="13" numFmtId="0" xfId="0" applyAlignment="1" applyBorder="1" applyFill="1" applyFont="1">
      <alignment horizontal="left" readingOrder="0" shrinkToFit="0" vertical="bottom" wrapText="0"/>
    </xf>
    <xf borderId="1" fillId="0" fontId="3" numFmtId="182" xfId="0" applyAlignment="1" applyBorder="1" applyFont="1" applyNumberFormat="1">
      <alignment horizontal="center" readingOrder="0" shrinkToFit="0" vertical="bottom" wrapText="0"/>
    </xf>
    <xf borderId="0" fillId="0" fontId="3" numFmtId="165" xfId="0" applyAlignment="1" applyFont="1" applyNumberFormat="1">
      <alignment horizontal="left" readingOrder="0" shrinkToFit="0" vertical="bottom" wrapText="0"/>
    </xf>
    <xf borderId="0" fillId="6" fontId="3" numFmtId="3" xfId="0" applyAlignment="1" applyFill="1" applyFont="1" applyNumberFormat="1">
      <alignment horizontal="left" readingOrder="0" shrinkToFit="0" vertical="bottom" wrapText="0"/>
    </xf>
    <xf borderId="0" fillId="0" fontId="6" numFmtId="3" xfId="0" applyAlignment="1" applyFont="1" applyNumberFormat="1">
      <alignment horizontal="center" readingOrder="0" vertical="bottom"/>
    </xf>
    <xf borderId="1" fillId="13" fontId="1" numFmtId="0" xfId="0" applyAlignment="1" applyBorder="1" applyFill="1" applyFont="1">
      <alignment readingOrder="0"/>
    </xf>
    <xf borderId="0" fillId="14" fontId="8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1" numFmtId="0" xfId="0" applyAlignment="1" applyFont="1">
      <alignment readingOrder="0"/>
    </xf>
    <xf borderId="1" fillId="12" fontId="1" numFmtId="0" xfId="0" applyAlignment="1" applyBorder="1" applyFill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>
        <color rgb="FFFF0000"/>
      </font>
      <fill>
        <patternFill patternType="solid">
          <fgColor rgb="FFFFF2CC"/>
          <bgColor rgb="FFFFF2CC"/>
        </patternFill>
      </fill>
      <border/>
    </dxf>
    <dxf>
      <font>
        <color rgb="FFFFFF0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75"/>
  <cols>
    <col customWidth="1" min="1" max="1" width="11.5"/>
    <col customWidth="1" min="2" max="2" width="19.25"/>
    <col customWidth="1" min="3" max="3" width="7.13"/>
    <col customWidth="1" min="4" max="4" width="18.63"/>
    <col customWidth="1" min="5" max="5" width="17.75"/>
    <col customWidth="1" min="6" max="6" width="10.0"/>
    <col customWidth="1" min="7" max="8" width="9.88"/>
    <col customWidth="1" min="9" max="9" width="9.25"/>
    <col customWidth="1" min="10" max="10" width="11.25"/>
    <col customWidth="1" min="11" max="11" width="9.63"/>
    <col customWidth="1" min="12" max="12" width="9.75"/>
    <col customWidth="1" min="13" max="13" width="7.75"/>
    <col customWidth="1" min="14" max="14" width="13.0"/>
    <col customWidth="1" min="15" max="15" width="10.63"/>
    <col customWidth="1" min="16" max="16" width="8.13"/>
    <col customWidth="1" min="17" max="17" width="12.5"/>
    <col customWidth="1" min="18" max="18" width="13.13"/>
    <col customWidth="1" min="19" max="20" width="6.25"/>
    <col customWidth="1" min="21" max="21" width="8.88"/>
    <col customWidth="1" min="22" max="22" width="10.63"/>
    <col customWidth="1" min="23" max="23" width="7.38"/>
    <col customWidth="1" min="24" max="25" width="8.13"/>
    <col customWidth="1" min="27" max="27" width="11.5"/>
    <col customWidth="1" min="28" max="28" width="11.38"/>
    <col customWidth="1" min="29" max="29" width="10.38"/>
    <col customWidth="1" min="34" max="35" width="11.5"/>
    <col customWidth="1" min="36" max="36" width="10.25"/>
    <col customWidth="1" min="37" max="37" width="12.63"/>
    <col customWidth="1" min="38" max="38" width="9.25"/>
    <col customWidth="1" min="39" max="46" width="8.63"/>
  </cols>
  <sheetData>
    <row r="1" ht="22.5" customHeight="1">
      <c r="A1" s="2" t="s">
        <v>0</v>
      </c>
      <c r="B1" s="4" t="s">
        <v>1</v>
      </c>
      <c r="C1" s="6" t="s">
        <v>2</v>
      </c>
      <c r="D1" s="7" t="s">
        <v>3</v>
      </c>
      <c r="E1" s="7"/>
      <c r="F1" s="7"/>
      <c r="G1" s="7"/>
      <c r="H1" s="7"/>
      <c r="I1" s="8"/>
      <c r="J1" s="9"/>
      <c r="K1" s="7"/>
      <c r="L1" s="10">
        <f>SUBTOTAL(9,L4:L1516)</f>
        <v>7786257</v>
      </c>
      <c r="M1" s="7"/>
      <c r="N1" s="7"/>
      <c r="O1" s="7"/>
      <c r="P1" s="10">
        <f>SUBTOTAL(9,P4:P1516)</f>
        <v>5725687</v>
      </c>
      <c r="Q1" s="7"/>
      <c r="R1" s="11"/>
      <c r="S1" s="7"/>
      <c r="T1" s="7" t="s">
        <v>4</v>
      </c>
      <c r="U1" s="7" t="s">
        <v>5</v>
      </c>
      <c r="V1" s="12" t="s">
        <v>6</v>
      </c>
      <c r="W1" s="13"/>
      <c r="X1" s="14"/>
      <c r="Y1" s="16">
        <f>SUBTOTAL(9,Y4:Y1516)</f>
        <v>5846320</v>
      </c>
      <c r="Z1" s="17">
        <v>35000.0</v>
      </c>
      <c r="AA1" s="18"/>
      <c r="AB1" s="19"/>
      <c r="AC1" s="20">
        <v>0.4</v>
      </c>
      <c r="AD1" s="20">
        <v>0.3</v>
      </c>
      <c r="AE1" s="20">
        <v>0.3</v>
      </c>
      <c r="AF1" s="8" t="s">
        <v>7</v>
      </c>
      <c r="AG1" s="8"/>
      <c r="AH1" s="8"/>
      <c r="AI1" s="8"/>
      <c r="AJ1" s="21"/>
      <c r="AK1" s="23">
        <f>COLUMN()</f>
        <v>37</v>
      </c>
      <c r="AL1" s="23"/>
      <c r="AM1" s="23"/>
      <c r="AN1" s="23"/>
      <c r="AO1" s="23"/>
      <c r="AP1" s="23"/>
      <c r="AQ1" s="23"/>
      <c r="AR1" s="23"/>
      <c r="AS1" s="23"/>
      <c r="AT1" s="23"/>
    </row>
    <row r="2" ht="22.5" customHeight="1">
      <c r="A2" s="25">
        <f>SUBTOTAL(3,A4:A1516)</f>
        <v>255</v>
      </c>
      <c r="B2" s="4" t="s">
        <v>8</v>
      </c>
      <c r="C2" s="26" t="str">
        <f>IFERROR(__xludf.DUMMYFUNCTION("ARRAY_CONSTRAIN(SORT(FILTER(RIGHT($A:$A,4),LEFT($A:$A,2)=C1),1,false),1,1)"),"1467")</f>
        <v>1467</v>
      </c>
      <c r="D2" s="26" t="str">
        <f>IFERROR(__xludf.DUMMYFUNCTION("ARRAY_CONSTRAIN(SORT(FILTER(RIGHT($A:$A,4),LEFT($A:$A,2)=D1),1,false),1,1)"),"1265")</f>
        <v>1265</v>
      </c>
      <c r="E2" s="26"/>
      <c r="F2" s="26"/>
      <c r="G2" s="7" t="s">
        <v>9</v>
      </c>
      <c r="H2" s="7"/>
      <c r="I2" s="8"/>
      <c r="J2" s="9"/>
      <c r="K2" s="7"/>
      <c r="L2" s="10" t="s">
        <v>10</v>
      </c>
      <c r="M2" s="7"/>
      <c r="N2" s="7"/>
      <c r="O2" s="7"/>
      <c r="P2" s="10" t="s">
        <v>11</v>
      </c>
      <c r="Q2" s="7"/>
      <c r="R2" s="11"/>
      <c r="S2" s="7"/>
      <c r="T2" s="7"/>
      <c r="U2" s="7"/>
      <c r="V2" s="27" t="s">
        <v>12</v>
      </c>
      <c r="W2" s="13"/>
      <c r="X2" s="14" t="s">
        <v>13</v>
      </c>
      <c r="Y2" s="14">
        <v>100.0</v>
      </c>
      <c r="Z2" s="14" t="str">
        <f>CONCAT("Base: ",(Z1*AB2))</f>
        <v>Base: 17500</v>
      </c>
      <c r="AA2" s="28"/>
      <c r="AB2" s="29">
        <v>0.5</v>
      </c>
      <c r="AC2" s="30">
        <v>0.2</v>
      </c>
      <c r="AD2" s="30">
        <v>0.15</v>
      </c>
      <c r="AE2" s="30">
        <v>0.15</v>
      </c>
      <c r="AF2" s="8" t="s">
        <v>14</v>
      </c>
      <c r="AG2" s="20"/>
      <c r="AH2" s="20"/>
      <c r="AI2" s="8"/>
      <c r="AJ2" s="31"/>
      <c r="AK2" s="23"/>
      <c r="AL2" s="23"/>
      <c r="AM2" s="32">
        <f>today()</f>
        <v>46292</v>
      </c>
      <c r="AN2" s="23"/>
      <c r="AO2" s="23"/>
      <c r="AP2" s="23"/>
      <c r="AQ2" s="23" t="s">
        <v>15</v>
      </c>
      <c r="AR2" s="23" t="s">
        <v>15</v>
      </c>
      <c r="AS2" s="23" t="s">
        <v>15</v>
      </c>
      <c r="AT2" s="23" t="s">
        <v>15</v>
      </c>
    </row>
    <row r="3">
      <c r="A3" s="33" t="s">
        <v>16</v>
      </c>
      <c r="B3" s="33" t="s">
        <v>17</v>
      </c>
      <c r="C3" s="33" t="s">
        <v>18</v>
      </c>
      <c r="D3" s="33" t="s">
        <v>19</v>
      </c>
      <c r="E3" s="33" t="s">
        <v>20</v>
      </c>
      <c r="F3" s="33" t="s">
        <v>21</v>
      </c>
      <c r="G3" s="33" t="s">
        <v>22</v>
      </c>
      <c r="H3" s="33" t="s">
        <v>23</v>
      </c>
      <c r="I3" s="34" t="s">
        <v>24</v>
      </c>
      <c r="J3" s="35" t="s">
        <v>25</v>
      </c>
      <c r="K3" s="33" t="s">
        <v>26</v>
      </c>
      <c r="L3" s="36" t="s">
        <v>27</v>
      </c>
      <c r="M3" s="33" t="s">
        <v>28</v>
      </c>
      <c r="N3" s="33" t="s">
        <v>29</v>
      </c>
      <c r="O3" s="33" t="s">
        <v>30</v>
      </c>
      <c r="P3" s="36" t="s">
        <v>31</v>
      </c>
      <c r="Q3" s="37" t="s">
        <v>32</v>
      </c>
      <c r="R3" s="38" t="s">
        <v>33</v>
      </c>
      <c r="S3" s="39" t="s">
        <v>34</v>
      </c>
      <c r="T3" s="33" t="s">
        <v>35</v>
      </c>
      <c r="U3" s="37" t="s">
        <v>36</v>
      </c>
      <c r="V3" s="40" t="s">
        <v>27</v>
      </c>
      <c r="W3" s="41" t="s">
        <v>37</v>
      </c>
      <c r="X3" s="42" t="s">
        <v>38</v>
      </c>
      <c r="Y3" s="37" t="s">
        <v>39</v>
      </c>
      <c r="Z3" s="37" t="s">
        <v>40</v>
      </c>
      <c r="AA3" s="43" t="s">
        <v>41</v>
      </c>
      <c r="AB3" s="33" t="s">
        <v>42</v>
      </c>
      <c r="AC3" s="33" t="s">
        <v>43</v>
      </c>
      <c r="AD3" s="33" t="s">
        <v>44</v>
      </c>
      <c r="AE3" s="33" t="s">
        <v>45</v>
      </c>
      <c r="AF3" s="43" t="s">
        <v>46</v>
      </c>
      <c r="AG3" s="43" t="s">
        <v>47</v>
      </c>
      <c r="AH3" s="43" t="s">
        <v>48</v>
      </c>
      <c r="AI3" s="43" t="s">
        <v>49</v>
      </c>
      <c r="AJ3" s="33" t="s">
        <v>50</v>
      </c>
      <c r="AK3" s="44" t="s">
        <v>51</v>
      </c>
      <c r="AL3" s="45" t="s">
        <v>52</v>
      </c>
      <c r="AM3" s="45" t="s">
        <v>53</v>
      </c>
      <c r="AN3" s="46" t="s">
        <v>54</v>
      </c>
      <c r="AO3" s="46" t="s">
        <v>55</v>
      </c>
      <c r="AP3" s="46" t="s">
        <v>56</v>
      </c>
      <c r="AQ3" s="46" t="s">
        <v>57</v>
      </c>
      <c r="AR3" s="46" t="s">
        <v>58</v>
      </c>
      <c r="AS3" s="46" t="s">
        <v>59</v>
      </c>
      <c r="AT3" s="46" t="s">
        <v>60</v>
      </c>
    </row>
    <row r="4" ht="22.5" customHeight="1">
      <c r="A4" s="7" t="s">
        <v>61</v>
      </c>
      <c r="B4" s="7" t="s">
        <v>62</v>
      </c>
      <c r="C4" s="7" t="s">
        <v>63</v>
      </c>
      <c r="D4" s="7" t="s">
        <v>64</v>
      </c>
      <c r="E4" s="7" t="s">
        <v>64</v>
      </c>
      <c r="F4" s="7" t="s">
        <v>65</v>
      </c>
      <c r="G4" s="49">
        <v>0.375</v>
      </c>
      <c r="H4" s="49">
        <v>0.75</v>
      </c>
      <c r="I4" s="51">
        <f t="shared" ref="I4:I183" si="1">IF(ISBLANK(H4),,H4-G4)</f>
        <v>0.375</v>
      </c>
      <c r="J4" s="53"/>
      <c r="K4" s="7" t="s">
        <v>2</v>
      </c>
      <c r="L4" s="10">
        <f t="shared" ref="L4:L7" si="2">Y4</f>
        <v>11800</v>
      </c>
      <c r="M4" s="7" t="s">
        <v>68</v>
      </c>
      <c r="N4" s="55" t="s">
        <v>69</v>
      </c>
      <c r="O4" s="56"/>
      <c r="P4" s="57">
        <v>11800.0</v>
      </c>
      <c r="Q4" s="7">
        <v>200.0</v>
      </c>
      <c r="R4" s="11"/>
      <c r="S4" s="7" t="s">
        <v>70</v>
      </c>
      <c r="T4" s="58" t="s">
        <v>71</v>
      </c>
      <c r="U4" s="7"/>
      <c r="V4" s="27">
        <f t="shared" ref="V4:V9" si="3">P4</f>
        <v>11800</v>
      </c>
      <c r="W4" s="59">
        <v>0.0</v>
      </c>
      <c r="X4" s="14"/>
      <c r="Y4" s="14">
        <f t="shared" ref="Y4:Y9" si="4">if(W4="",V4,round(V4*(1+W4),-1))</f>
        <v>11800</v>
      </c>
      <c r="Z4" s="43"/>
      <c r="AA4" s="27">
        <f t="shared" ref="AA4:AA8" si="5">L4</f>
        <v>11800</v>
      </c>
      <c r="AB4" s="14">
        <f t="shared" ref="AB4:AB7" si="6">IFS(AA4&lt;=12000,AA4,AND(AA4&gt;12000,AA4&lt;=15200),15200,AND(AA4&gt;15200,AA4&lt;15500),AA4,AND(AA4&gt;=15500,AA4&lt;30000),15500,AA4&gt;=30000,AA4*$AB$2)</f>
        <v>11800</v>
      </c>
      <c r="AC4" s="8">
        <f t="shared" ref="AC4:AC7" si="7">IF($AA4&lt;=$Z$1,($AA4-$AB4)*AC$1,$AA4*AC$2)</f>
        <v>0</v>
      </c>
      <c r="AD4" s="69">
        <f>IF($AA4&lt;=$Z$1,($AA4-$AB4)*AD$1,$AA4*AD$2)+AA4-AB4-AC4-IF($AA4&lt;=$Z$1,($AA4-$AB4)*AD$1,$AA4*AD$2)</f>
        <v>0</v>
      </c>
      <c r="AE4" s="8">
        <v>0.0</v>
      </c>
      <c r="AF4" s="8" t="str">
        <f t="shared" ref="AF4:AF10" si="8">IF(SUM(AB4:AE4)=AA4,"OK","NO")</f>
        <v>OK</v>
      </c>
      <c r="AG4" s="8" t="str">
        <f t="shared" ref="AG4:AG8" si="9">IF(U4="US",IF(AA4&lt;9750,"Under","US OK"),IF(U4="S",IF(AA4&lt;12000,"Under","S OK"),"Skill Missing"))</f>
        <v>Skill Missing</v>
      </c>
      <c r="AH4" s="72" t="str">
        <f t="shared" ref="AH4:AH8" si="10">VLOOKUP(A4,'Advance Sheet'!$A$4:$A$165,1,FALSE)</f>
        <v>#REF!</v>
      </c>
      <c r="AI4" s="8" t="str">
        <f t="shared" ref="AI4:AI8" si="11">IF(ISERROR(VLOOKUP(A4,'SNP Sal Main'!$A$3:$A1516,1,false))=FALSE,"SNP SAL",IF(ISERROR(VLOOKUP(A4,'Rest Sal Main org'!$A$3:$A1516,1,false))=FALSE,"Rest Sal","Not Found"))</f>
        <v>Not Found</v>
      </c>
      <c r="AJ4" s="21" t="s">
        <v>193</v>
      </c>
      <c r="AK4" s="21"/>
      <c r="AL4" s="75"/>
      <c r="AM4" s="75" t="str">
        <f t="shared" ref="AM4:AM15" si="12">if(J4="","",datedif(J4,$AM$2,"M"))</f>
        <v/>
      </c>
      <c r="AN4" s="75"/>
      <c r="AO4" s="75"/>
      <c r="AP4" s="75"/>
      <c r="AQ4" s="75"/>
      <c r="AR4" s="75"/>
      <c r="AS4" s="75"/>
      <c r="AT4" s="75"/>
    </row>
    <row r="5" ht="22.5" customHeight="1">
      <c r="A5" s="7" t="s">
        <v>194</v>
      </c>
      <c r="B5" s="7" t="s">
        <v>195</v>
      </c>
      <c r="C5" s="7" t="s">
        <v>196</v>
      </c>
      <c r="D5" s="7" t="s">
        <v>197</v>
      </c>
      <c r="E5" s="7" t="s">
        <v>198</v>
      </c>
      <c r="F5" s="7" t="s">
        <v>199</v>
      </c>
      <c r="G5" s="49">
        <v>0.375</v>
      </c>
      <c r="H5" s="49">
        <v>0.75</v>
      </c>
      <c r="I5" s="51">
        <f t="shared" si="1"/>
        <v>0.375</v>
      </c>
      <c r="J5" s="53"/>
      <c r="K5" s="7" t="s">
        <v>2</v>
      </c>
      <c r="L5" s="10">
        <f t="shared" si="2"/>
        <v>100000</v>
      </c>
      <c r="M5" s="7" t="s">
        <v>68</v>
      </c>
      <c r="N5" s="55" t="s">
        <v>69</v>
      </c>
      <c r="O5" s="56"/>
      <c r="P5" s="7">
        <v>100000.0</v>
      </c>
      <c r="Q5" s="77">
        <v>10000.0</v>
      </c>
      <c r="R5" s="78"/>
      <c r="S5" s="7" t="s">
        <v>70</v>
      </c>
      <c r="T5" s="7" t="s">
        <v>71</v>
      </c>
      <c r="U5" s="7"/>
      <c r="V5" s="27">
        <f t="shared" si="3"/>
        <v>100000</v>
      </c>
      <c r="W5" s="59">
        <v>0.0</v>
      </c>
      <c r="X5" s="14"/>
      <c r="Y5" s="14">
        <f t="shared" si="4"/>
        <v>100000</v>
      </c>
      <c r="Z5" s="43" t="str">
        <f>CONCATENATE(VLOOKUP(A5,'Copy of Emp Master'!$A$3:$Q$227,COLUMN(#REF!),FALSE)," ",VLOOKUP(A5,'Copy of Emp Master'!$A$3:$Q$227,COLUMN(#REF!),FALSE))</f>
        <v>#REF!</v>
      </c>
      <c r="AA5" s="27">
        <f t="shared" si="5"/>
        <v>100000</v>
      </c>
      <c r="AB5" s="14">
        <f t="shared" si="6"/>
        <v>50000</v>
      </c>
      <c r="AC5" s="8">
        <f t="shared" si="7"/>
        <v>20000</v>
      </c>
      <c r="AD5" s="69">
        <f t="shared" ref="AD5:AD40" si="13">round(IF($AA5&lt;=$Z$1,($AA5-$AB5)*AD$1,$AA5*AD$2),-1)+AA5-AB5-AC5-round(IF($AA5&lt;=$Z$1,($AA5-$AB5)*AD$1,$AA5*AD$2),-1)</f>
        <v>30000</v>
      </c>
      <c r="AE5" s="8">
        <v>0.0</v>
      </c>
      <c r="AF5" s="8" t="str">
        <f t="shared" si="8"/>
        <v>OK</v>
      </c>
      <c r="AG5" s="8" t="str">
        <f t="shared" si="9"/>
        <v>Skill Missing</v>
      </c>
      <c r="AH5" s="72" t="str">
        <f t="shared" si="10"/>
        <v>#REF!</v>
      </c>
      <c r="AI5" s="8" t="str">
        <f t="shared" si="11"/>
        <v>Not Found</v>
      </c>
      <c r="AJ5" s="21" t="s">
        <v>193</v>
      </c>
      <c r="AK5" s="21"/>
      <c r="AL5" s="81"/>
      <c r="AM5" s="81" t="str">
        <f t="shared" si="12"/>
        <v/>
      </c>
      <c r="AN5" s="81"/>
      <c r="AO5" s="81"/>
      <c r="AP5" s="81"/>
      <c r="AQ5" s="81"/>
      <c r="AR5" s="81"/>
      <c r="AS5" s="81"/>
      <c r="AT5" s="81"/>
    </row>
    <row r="6" ht="22.5" customHeight="1">
      <c r="A6" s="7" t="s">
        <v>200</v>
      </c>
      <c r="B6" s="7" t="s">
        <v>201</v>
      </c>
      <c r="C6" s="7" t="s">
        <v>63</v>
      </c>
      <c r="D6" s="7" t="s">
        <v>64</v>
      </c>
      <c r="E6" s="7" t="s">
        <v>64</v>
      </c>
      <c r="F6" s="7" t="s">
        <v>202</v>
      </c>
      <c r="G6" s="49">
        <v>0.375</v>
      </c>
      <c r="H6" s="49">
        <v>0.75</v>
      </c>
      <c r="I6" s="51">
        <f t="shared" si="1"/>
        <v>0.375</v>
      </c>
      <c r="J6" s="53"/>
      <c r="K6" s="7" t="s">
        <v>2</v>
      </c>
      <c r="L6" s="10">
        <f t="shared" si="2"/>
        <v>20000</v>
      </c>
      <c r="M6" s="7" t="s">
        <v>68</v>
      </c>
      <c r="N6" s="55" t="s">
        <v>69</v>
      </c>
      <c r="O6" s="56"/>
      <c r="P6" s="57">
        <v>20000.0</v>
      </c>
      <c r="Q6" s="77">
        <v>400.0</v>
      </c>
      <c r="R6" s="11"/>
      <c r="S6" s="7" t="s">
        <v>70</v>
      </c>
      <c r="T6" s="7" t="s">
        <v>71</v>
      </c>
      <c r="U6" s="7"/>
      <c r="V6" s="27">
        <f t="shared" si="3"/>
        <v>20000</v>
      </c>
      <c r="W6" s="59">
        <v>0.0</v>
      </c>
      <c r="X6" s="14"/>
      <c r="Y6" s="14">
        <f t="shared" si="4"/>
        <v>20000</v>
      </c>
      <c r="Z6" s="43"/>
      <c r="AA6" s="27">
        <f t="shared" si="5"/>
        <v>20000</v>
      </c>
      <c r="AB6" s="14">
        <f t="shared" si="6"/>
        <v>15500</v>
      </c>
      <c r="AC6" s="8">
        <f t="shared" si="7"/>
        <v>1800</v>
      </c>
      <c r="AD6" s="69">
        <f t="shared" si="13"/>
        <v>2700</v>
      </c>
      <c r="AE6" s="8">
        <v>0.0</v>
      </c>
      <c r="AF6" s="8" t="str">
        <f t="shared" si="8"/>
        <v>OK</v>
      </c>
      <c r="AG6" s="8" t="str">
        <f t="shared" si="9"/>
        <v>Skill Missing</v>
      </c>
      <c r="AH6" s="72" t="str">
        <f t="shared" si="10"/>
        <v>#REF!</v>
      </c>
      <c r="AI6" s="8" t="str">
        <f t="shared" si="11"/>
        <v>Not Found</v>
      </c>
      <c r="AJ6" s="21" t="s">
        <v>193</v>
      </c>
      <c r="AK6" s="21"/>
      <c r="AL6" s="75"/>
      <c r="AM6" s="75" t="str">
        <f t="shared" si="12"/>
        <v/>
      </c>
      <c r="AN6" s="75"/>
      <c r="AO6" s="75"/>
      <c r="AP6" s="75"/>
      <c r="AQ6" s="75"/>
      <c r="AR6" s="75"/>
      <c r="AS6" s="75"/>
      <c r="AT6" s="75"/>
    </row>
    <row r="7" ht="22.5" customHeight="1">
      <c r="A7" s="7" t="s">
        <v>203</v>
      </c>
      <c r="B7" s="7" t="s">
        <v>204</v>
      </c>
      <c r="C7" s="7" t="s">
        <v>27</v>
      </c>
      <c r="D7" s="7" t="s">
        <v>205</v>
      </c>
      <c r="E7" s="7" t="s">
        <v>206</v>
      </c>
      <c r="F7" s="7" t="s">
        <v>202</v>
      </c>
      <c r="G7" s="49">
        <v>0.3958333333333333</v>
      </c>
      <c r="H7" s="49">
        <v>0.7916666666666666</v>
      </c>
      <c r="I7" s="51">
        <f t="shared" si="1"/>
        <v>0.3958333333</v>
      </c>
      <c r="J7" s="82">
        <v>33604.0</v>
      </c>
      <c r="K7" s="7" t="s">
        <v>2</v>
      </c>
      <c r="L7" s="10">
        <f t="shared" si="2"/>
        <v>28580</v>
      </c>
      <c r="M7" s="7" t="s">
        <v>3</v>
      </c>
      <c r="N7" s="83" t="s">
        <v>69</v>
      </c>
      <c r="O7" s="84">
        <v>45901.0</v>
      </c>
      <c r="P7" s="57">
        <v>25980.0</v>
      </c>
      <c r="Q7" s="7"/>
      <c r="R7" s="11"/>
      <c r="S7" s="85"/>
      <c r="T7" s="7" t="s">
        <v>71</v>
      </c>
      <c r="U7" s="7" t="s">
        <v>207</v>
      </c>
      <c r="V7" s="27">
        <f t="shared" si="3"/>
        <v>25980</v>
      </c>
      <c r="W7" s="13">
        <v>0.1</v>
      </c>
      <c r="X7" s="14"/>
      <c r="Y7" s="14">
        <f t="shared" si="4"/>
        <v>28580</v>
      </c>
      <c r="Z7" s="43" t="s">
        <v>208</v>
      </c>
      <c r="AA7" s="27">
        <f t="shared" si="5"/>
        <v>28580</v>
      </c>
      <c r="AB7" s="14">
        <f t="shared" si="6"/>
        <v>15500</v>
      </c>
      <c r="AC7" s="8">
        <f t="shared" si="7"/>
        <v>5232</v>
      </c>
      <c r="AD7" s="69">
        <f t="shared" si="13"/>
        <v>7848</v>
      </c>
      <c r="AE7" s="8">
        <v>0.0</v>
      </c>
      <c r="AF7" s="8" t="str">
        <f t="shared" si="8"/>
        <v>OK</v>
      </c>
      <c r="AG7" s="8" t="str">
        <f t="shared" si="9"/>
        <v>S OK</v>
      </c>
      <c r="AH7" s="72" t="str">
        <f t="shared" si="10"/>
        <v>#REF!</v>
      </c>
      <c r="AI7" s="8" t="str">
        <f t="shared" si="11"/>
        <v>Not Found</v>
      </c>
      <c r="AJ7" s="21" t="s">
        <v>193</v>
      </c>
      <c r="AK7" s="86"/>
      <c r="AL7" s="75"/>
      <c r="AM7" s="75">
        <f t="shared" si="12"/>
        <v>416</v>
      </c>
      <c r="AN7" s="75"/>
      <c r="AO7" s="75"/>
      <c r="AP7" s="75"/>
      <c r="AQ7" s="75"/>
      <c r="AR7" s="75"/>
      <c r="AS7" s="75"/>
      <c r="AT7" s="75"/>
    </row>
    <row r="8" ht="22.5" customHeight="1">
      <c r="A8" s="87" t="s">
        <v>209</v>
      </c>
      <c r="B8" s="87" t="s">
        <v>210</v>
      </c>
      <c r="C8" s="87" t="s">
        <v>27</v>
      </c>
      <c r="D8" s="87" t="s">
        <v>211</v>
      </c>
      <c r="E8" s="87" t="s">
        <v>212</v>
      </c>
      <c r="F8" s="87" t="s">
        <v>213</v>
      </c>
      <c r="G8" s="88">
        <v>0.3333333333333333</v>
      </c>
      <c r="H8" s="88">
        <v>0.75</v>
      </c>
      <c r="I8" s="89">
        <f t="shared" si="1"/>
        <v>0.4166666667</v>
      </c>
      <c r="J8" s="90">
        <v>45940.0</v>
      </c>
      <c r="K8" s="87" t="s">
        <v>2</v>
      </c>
      <c r="L8" s="92">
        <v>13200.0</v>
      </c>
      <c r="M8" s="87" t="s">
        <v>3</v>
      </c>
      <c r="N8" s="87" t="s">
        <v>69</v>
      </c>
      <c r="O8" s="87"/>
      <c r="P8" s="94">
        <v>12000.0</v>
      </c>
      <c r="Q8" s="87"/>
      <c r="R8" s="95"/>
      <c r="S8" s="87"/>
      <c r="T8" s="87"/>
      <c r="U8" s="87"/>
      <c r="V8" s="97">
        <f t="shared" si="3"/>
        <v>12000</v>
      </c>
      <c r="W8" s="98">
        <v>0.0</v>
      </c>
      <c r="X8" s="99"/>
      <c r="Y8" s="99">
        <f t="shared" si="4"/>
        <v>12000</v>
      </c>
      <c r="Z8" s="99"/>
      <c r="AA8" s="99">
        <f t="shared" si="5"/>
        <v>13200</v>
      </c>
      <c r="AB8" s="99">
        <f t="shared" ref="AB8:AB16" si="14">IFS(AND(AA8&lt;=15000),15300,AND(AA8&gt;15000,AA8&lt;15500),AA8,AND(AA8&gt;=15500,AA8&lt;$Z$1),15500,AA8&gt;=$Z$1,AA8*$AB$2)</f>
        <v>15300</v>
      </c>
      <c r="AC8" s="101">
        <f t="shared" ref="AC8:AC16" si="15">round(IF($AA8&lt;=$Z$1,($AA8-$AB8)*AC$1,$AA8*AC$2),-1)</f>
        <v>-840</v>
      </c>
      <c r="AD8" s="101">
        <f t="shared" si="13"/>
        <v>-1260</v>
      </c>
      <c r="AE8" s="101">
        <v>0.0</v>
      </c>
      <c r="AF8" s="101" t="str">
        <f t="shared" si="8"/>
        <v>OK</v>
      </c>
      <c r="AG8" s="101" t="str">
        <f t="shared" si="9"/>
        <v>Skill Missing</v>
      </c>
      <c r="AH8" s="102" t="str">
        <f t="shared" si="10"/>
        <v>#REF!</v>
      </c>
      <c r="AI8" s="101" t="str">
        <f t="shared" si="11"/>
        <v>Not Found</v>
      </c>
      <c r="AJ8" s="103"/>
      <c r="AK8" s="104"/>
      <c r="AL8" s="105">
        <f>if(J8="","",datedif(J8,$AM$2,"Y"))</f>
        <v>0</v>
      </c>
      <c r="AM8" s="105">
        <f t="shared" si="12"/>
        <v>11</v>
      </c>
      <c r="AN8" s="105"/>
      <c r="AO8" s="105"/>
      <c r="AP8" s="105"/>
      <c r="AQ8" s="105"/>
      <c r="AR8" s="105"/>
      <c r="AS8" s="105"/>
      <c r="AT8" s="105"/>
    </row>
    <row r="9" ht="22.5" customHeight="1">
      <c r="A9" s="7" t="s">
        <v>214</v>
      </c>
      <c r="B9" s="7" t="s">
        <v>215</v>
      </c>
      <c r="C9" s="7" t="s">
        <v>27</v>
      </c>
      <c r="D9" s="7"/>
      <c r="E9" s="7" t="s">
        <v>216</v>
      </c>
      <c r="F9" s="7" t="s">
        <v>213</v>
      </c>
      <c r="G9" s="107">
        <v>0.375</v>
      </c>
      <c r="H9" s="107">
        <v>0.7708333333333334</v>
      </c>
      <c r="I9" s="51">
        <f t="shared" si="1"/>
        <v>0.3958333333</v>
      </c>
      <c r="J9" s="108">
        <v>46038.0</v>
      </c>
      <c r="K9" s="7" t="s">
        <v>2</v>
      </c>
      <c r="L9" s="10">
        <v>15000.0</v>
      </c>
      <c r="M9" s="7" t="s">
        <v>3</v>
      </c>
      <c r="N9" s="7" t="s">
        <v>69</v>
      </c>
      <c r="O9" s="7"/>
      <c r="P9" s="7">
        <v>15000.0</v>
      </c>
      <c r="Q9" s="7"/>
      <c r="R9" s="78"/>
      <c r="S9" s="7"/>
      <c r="T9" s="7" t="s">
        <v>71</v>
      </c>
      <c r="U9" s="7"/>
      <c r="V9" s="27">
        <f t="shared" si="3"/>
        <v>15000</v>
      </c>
      <c r="W9" s="59">
        <v>0.0</v>
      </c>
      <c r="X9" s="14"/>
      <c r="Y9" s="14">
        <f t="shared" si="4"/>
        <v>15000</v>
      </c>
      <c r="Z9" s="14"/>
      <c r="AA9" s="14">
        <v>15000.0</v>
      </c>
      <c r="AB9" s="109">
        <f t="shared" si="14"/>
        <v>15300</v>
      </c>
      <c r="AC9" s="21">
        <f t="shared" si="15"/>
        <v>-120</v>
      </c>
      <c r="AD9" s="21">
        <f t="shared" si="13"/>
        <v>-180</v>
      </c>
      <c r="AE9" s="21">
        <v>0.0</v>
      </c>
      <c r="AF9" s="8" t="str">
        <f t="shared" si="8"/>
        <v>OK</v>
      </c>
      <c r="AG9" s="8"/>
      <c r="AH9" s="72"/>
      <c r="AI9" s="8"/>
      <c r="AJ9" s="21"/>
      <c r="AK9" s="110" t="s">
        <v>217</v>
      </c>
      <c r="AL9" s="81"/>
      <c r="AM9" s="81">
        <f t="shared" si="12"/>
        <v>8</v>
      </c>
      <c r="AN9" s="105"/>
      <c r="AO9" s="105"/>
      <c r="AP9" s="105"/>
      <c r="AQ9" s="105"/>
      <c r="AR9" s="105"/>
      <c r="AS9" s="105"/>
      <c r="AT9" s="105"/>
    </row>
    <row r="10" ht="22.5" customHeight="1">
      <c r="A10" s="7" t="s">
        <v>218</v>
      </c>
      <c r="B10" s="7" t="s">
        <v>219</v>
      </c>
      <c r="C10" s="7" t="s">
        <v>27</v>
      </c>
      <c r="D10" s="7" t="s">
        <v>220</v>
      </c>
      <c r="E10" s="7" t="s">
        <v>220</v>
      </c>
      <c r="F10" s="7" t="s">
        <v>213</v>
      </c>
      <c r="G10" s="7"/>
      <c r="H10" s="7"/>
      <c r="I10" s="111" t="str">
        <f t="shared" si="1"/>
        <v/>
      </c>
      <c r="J10" s="108">
        <v>46064.0</v>
      </c>
      <c r="K10" s="7" t="s">
        <v>2</v>
      </c>
      <c r="L10" s="10">
        <v>16000.0</v>
      </c>
      <c r="M10" s="7" t="s">
        <v>3</v>
      </c>
      <c r="N10" s="7" t="s">
        <v>69</v>
      </c>
      <c r="O10" s="7"/>
      <c r="P10" s="10">
        <v>16000.0</v>
      </c>
      <c r="Q10" s="7"/>
      <c r="R10" s="11"/>
      <c r="S10" s="7"/>
      <c r="T10" s="7"/>
      <c r="U10" s="7"/>
      <c r="V10" s="27">
        <v>16000.0</v>
      </c>
      <c r="W10" s="13"/>
      <c r="X10" s="14"/>
      <c r="Y10" s="14"/>
      <c r="Z10" s="14"/>
      <c r="AA10" s="14">
        <v>16000.0</v>
      </c>
      <c r="AB10" s="109">
        <f t="shared" si="14"/>
        <v>15500</v>
      </c>
      <c r="AC10" s="21">
        <f t="shared" si="15"/>
        <v>200</v>
      </c>
      <c r="AD10" s="21">
        <f t="shared" si="13"/>
        <v>300</v>
      </c>
      <c r="AE10" s="21">
        <v>0.0</v>
      </c>
      <c r="AF10" s="8" t="str">
        <f t="shared" si="8"/>
        <v>OK</v>
      </c>
      <c r="AG10" s="8"/>
      <c r="AH10" s="72"/>
      <c r="AI10" s="8"/>
      <c r="AJ10" s="21"/>
      <c r="AK10" s="110" t="s">
        <v>71</v>
      </c>
      <c r="AL10" s="75"/>
      <c r="AM10" s="75">
        <f t="shared" si="12"/>
        <v>7</v>
      </c>
      <c r="AN10" s="75"/>
      <c r="AO10" s="75"/>
      <c r="AP10" s="75"/>
      <c r="AQ10" s="75"/>
      <c r="AR10" s="75"/>
      <c r="AS10" s="75"/>
      <c r="AT10" s="75"/>
    </row>
    <row r="11" ht="22.5" customHeight="1">
      <c r="A11" s="7" t="s">
        <v>221</v>
      </c>
      <c r="B11" s="7" t="s">
        <v>222</v>
      </c>
      <c r="C11" s="7" t="s">
        <v>27</v>
      </c>
      <c r="D11" s="7" t="s">
        <v>220</v>
      </c>
      <c r="E11" s="7" t="s">
        <v>223</v>
      </c>
      <c r="F11" s="7" t="s">
        <v>213</v>
      </c>
      <c r="G11" s="7"/>
      <c r="H11" s="7"/>
      <c r="I11" s="51" t="str">
        <f t="shared" si="1"/>
        <v/>
      </c>
      <c r="J11" s="108">
        <v>46075.0</v>
      </c>
      <c r="K11" s="7" t="s">
        <v>2</v>
      </c>
      <c r="L11" s="10">
        <v>20000.0</v>
      </c>
      <c r="M11" s="7" t="s">
        <v>3</v>
      </c>
      <c r="N11" s="7" t="s">
        <v>69</v>
      </c>
      <c r="O11" s="7"/>
      <c r="P11" s="10"/>
      <c r="Q11" s="7"/>
      <c r="R11" s="11"/>
      <c r="S11" s="7" t="s">
        <v>71</v>
      </c>
      <c r="T11" s="7" t="s">
        <v>71</v>
      </c>
      <c r="U11" s="7"/>
      <c r="V11" s="27"/>
      <c r="W11" s="13"/>
      <c r="X11" s="14"/>
      <c r="Y11" s="14"/>
      <c r="Z11" s="14"/>
      <c r="AA11" s="14">
        <v>25000.0</v>
      </c>
      <c r="AB11" s="14">
        <f t="shared" si="14"/>
        <v>15500</v>
      </c>
      <c r="AC11" s="8">
        <f t="shared" si="15"/>
        <v>3800</v>
      </c>
      <c r="AD11" s="8">
        <f t="shared" si="13"/>
        <v>5700</v>
      </c>
      <c r="AE11" s="8">
        <v>0.0</v>
      </c>
      <c r="AF11" s="8"/>
      <c r="AG11" s="8"/>
      <c r="AH11" s="72"/>
      <c r="AI11" s="8"/>
      <c r="AJ11" s="21"/>
      <c r="AK11" s="110" t="s">
        <v>71</v>
      </c>
      <c r="AL11" s="75"/>
      <c r="AM11" s="75">
        <f t="shared" si="12"/>
        <v>7</v>
      </c>
      <c r="AN11" s="75"/>
      <c r="AO11" s="75"/>
      <c r="AP11" s="75"/>
      <c r="AQ11" s="75"/>
      <c r="AR11" s="75"/>
      <c r="AS11" s="75"/>
      <c r="AT11" s="75"/>
    </row>
    <row r="12" ht="22.5" customHeight="1">
      <c r="A12" s="7" t="s">
        <v>224</v>
      </c>
      <c r="B12" s="7" t="s">
        <v>225</v>
      </c>
      <c r="C12" s="7" t="s">
        <v>27</v>
      </c>
      <c r="D12" s="7" t="s">
        <v>226</v>
      </c>
      <c r="E12" s="7" t="s">
        <v>227</v>
      </c>
      <c r="F12" s="7" t="s">
        <v>213</v>
      </c>
      <c r="G12" s="112">
        <v>0.3333333333333333</v>
      </c>
      <c r="H12" s="112">
        <v>0.75</v>
      </c>
      <c r="I12" s="89">
        <f t="shared" si="1"/>
        <v>0.4166666667</v>
      </c>
      <c r="J12" s="108">
        <v>46101.0</v>
      </c>
      <c r="K12" s="7" t="s">
        <v>2</v>
      </c>
      <c r="L12" s="10">
        <v>11000.0</v>
      </c>
      <c r="M12" s="7" t="s">
        <v>3</v>
      </c>
      <c r="N12" s="7" t="s">
        <v>69</v>
      </c>
      <c r="O12" s="7"/>
      <c r="P12" s="10"/>
      <c r="Q12" s="7"/>
      <c r="R12" s="11"/>
      <c r="S12" s="7" t="s">
        <v>217</v>
      </c>
      <c r="T12" s="7" t="s">
        <v>71</v>
      </c>
      <c r="U12" s="7"/>
      <c r="V12" s="27"/>
      <c r="W12" s="13"/>
      <c r="X12" s="14"/>
      <c r="Y12" s="14"/>
      <c r="Z12" s="14"/>
      <c r="AA12" s="27">
        <v>11000.0</v>
      </c>
      <c r="AB12" s="14">
        <f t="shared" si="14"/>
        <v>15300</v>
      </c>
      <c r="AC12" s="8">
        <f t="shared" si="15"/>
        <v>-1720</v>
      </c>
      <c r="AD12" s="69">
        <f t="shared" si="13"/>
        <v>-2580</v>
      </c>
      <c r="AE12" s="8">
        <v>0.0</v>
      </c>
      <c r="AF12" s="8" t="str">
        <f t="shared" ref="AF12:AF15" si="16">IF(SUM(AB12:AE12)=AA12,"OK","NO")</f>
        <v>OK</v>
      </c>
      <c r="AG12" s="8"/>
      <c r="AH12" s="72"/>
      <c r="AI12" s="8"/>
      <c r="AJ12" s="21"/>
      <c r="AK12" s="110" t="s">
        <v>71</v>
      </c>
      <c r="AL12" s="75"/>
      <c r="AM12" s="75">
        <f t="shared" si="12"/>
        <v>6</v>
      </c>
      <c r="AN12" s="75"/>
      <c r="AO12" s="75"/>
      <c r="AP12" s="75"/>
      <c r="AQ12" s="75"/>
      <c r="AR12" s="75"/>
      <c r="AS12" s="75"/>
      <c r="AT12" s="75"/>
    </row>
    <row r="13" ht="22.5" customHeight="1">
      <c r="A13" s="7" t="s">
        <v>228</v>
      </c>
      <c r="B13" s="7" t="s">
        <v>229</v>
      </c>
      <c r="C13" s="7" t="s">
        <v>27</v>
      </c>
      <c r="D13" s="7" t="s">
        <v>230</v>
      </c>
      <c r="E13" s="7" t="s">
        <v>231</v>
      </c>
      <c r="F13" s="7" t="s">
        <v>213</v>
      </c>
      <c r="G13" s="112">
        <v>0.3333333333333333</v>
      </c>
      <c r="H13" s="112">
        <v>0.75</v>
      </c>
      <c r="I13" s="51">
        <f t="shared" si="1"/>
        <v>0.4166666667</v>
      </c>
      <c r="J13" s="108">
        <v>46148.0</v>
      </c>
      <c r="K13" s="7" t="s">
        <v>2</v>
      </c>
      <c r="L13" s="10">
        <v>23000.0</v>
      </c>
      <c r="M13" s="87" t="s">
        <v>3</v>
      </c>
      <c r="N13" s="7" t="s">
        <v>69</v>
      </c>
      <c r="O13" s="7"/>
      <c r="P13" s="10"/>
      <c r="Q13" s="7"/>
      <c r="R13" s="11"/>
      <c r="S13" s="7"/>
      <c r="T13" s="7"/>
      <c r="U13" s="7"/>
      <c r="V13" s="27"/>
      <c r="W13" s="13"/>
      <c r="X13" s="14"/>
      <c r="Y13" s="14"/>
      <c r="Z13" s="14"/>
      <c r="AA13" s="27">
        <f t="shared" ref="AA13:AA16" si="17">L13</f>
        <v>23000</v>
      </c>
      <c r="AB13" s="14">
        <f t="shared" si="14"/>
        <v>15500</v>
      </c>
      <c r="AC13" s="8">
        <f t="shared" si="15"/>
        <v>3000</v>
      </c>
      <c r="AD13" s="69">
        <f t="shared" si="13"/>
        <v>4500</v>
      </c>
      <c r="AE13" s="8">
        <v>0.0</v>
      </c>
      <c r="AF13" s="8" t="str">
        <f t="shared" si="16"/>
        <v>OK</v>
      </c>
      <c r="AG13" s="8" t="str">
        <f t="shared" ref="AG13:AG15" si="18">IF(U13="US",IF(AA13&lt;9750,"Under","US OK"),IF(U13="S",IF(AA13&lt;12000,"Under","S OK"),"Skill Missing"))</f>
        <v>Skill Missing</v>
      </c>
      <c r="AH13" s="72"/>
      <c r="AI13" s="8" t="str">
        <f t="shared" ref="AI13:AI15" si="19">IF(ISERROR(VLOOKUP(A13,'SNP Sal Main'!$A$3:$A1516,1,false))=FALSE,"SNP SAL",IF(ISERROR(VLOOKUP(A13,'Rest Sal Main org'!$A$3:$A1516,1,false))=FALSE,"Rest Sal","Not Found"))</f>
        <v>Not Found</v>
      </c>
      <c r="AJ13" s="21"/>
      <c r="AK13" s="110"/>
      <c r="AL13" s="75"/>
      <c r="AM13" s="75">
        <f t="shared" si="12"/>
        <v>4</v>
      </c>
      <c r="AN13" s="75"/>
      <c r="AO13" s="75"/>
      <c r="AP13" s="75"/>
      <c r="AQ13" s="75"/>
      <c r="AR13" s="75"/>
      <c r="AS13" s="75"/>
      <c r="AT13" s="75"/>
    </row>
    <row r="14" ht="22.5" customHeight="1">
      <c r="A14" s="7" t="s">
        <v>232</v>
      </c>
      <c r="B14" s="7" t="s">
        <v>233</v>
      </c>
      <c r="C14" s="7" t="s">
        <v>27</v>
      </c>
      <c r="D14" s="7" t="s">
        <v>230</v>
      </c>
      <c r="E14" s="7" t="s">
        <v>231</v>
      </c>
      <c r="F14" s="7" t="s">
        <v>213</v>
      </c>
      <c r="G14" s="112">
        <v>0.3333333333333333</v>
      </c>
      <c r="H14" s="112">
        <v>0.75</v>
      </c>
      <c r="I14" s="51">
        <f t="shared" si="1"/>
        <v>0.4166666667</v>
      </c>
      <c r="J14" s="108">
        <v>46148.0</v>
      </c>
      <c r="K14" s="7" t="s">
        <v>2</v>
      </c>
      <c r="L14" s="10">
        <v>23000.0</v>
      </c>
      <c r="M14" s="87" t="s">
        <v>3</v>
      </c>
      <c r="N14" s="7" t="s">
        <v>69</v>
      </c>
      <c r="O14" s="7"/>
      <c r="P14" s="10"/>
      <c r="Q14" s="7"/>
      <c r="R14" s="11"/>
      <c r="S14" s="7"/>
      <c r="T14" s="7"/>
      <c r="U14" s="7"/>
      <c r="V14" s="27"/>
      <c r="W14" s="13"/>
      <c r="X14" s="14"/>
      <c r="Y14" s="14"/>
      <c r="Z14" s="14"/>
      <c r="AA14" s="27">
        <f t="shared" si="17"/>
        <v>23000</v>
      </c>
      <c r="AB14" s="14">
        <f t="shared" si="14"/>
        <v>15500</v>
      </c>
      <c r="AC14" s="8">
        <f t="shared" si="15"/>
        <v>3000</v>
      </c>
      <c r="AD14" s="69">
        <f t="shared" si="13"/>
        <v>4500</v>
      </c>
      <c r="AE14" s="8">
        <v>0.0</v>
      </c>
      <c r="AF14" s="8" t="str">
        <f t="shared" si="16"/>
        <v>OK</v>
      </c>
      <c r="AG14" s="8" t="str">
        <f t="shared" si="18"/>
        <v>Skill Missing</v>
      </c>
      <c r="AH14" s="72"/>
      <c r="AI14" s="8" t="str">
        <f t="shared" si="19"/>
        <v>Not Found</v>
      </c>
      <c r="AJ14" s="21"/>
      <c r="AK14" s="110"/>
      <c r="AL14" s="75"/>
      <c r="AM14" s="75">
        <f t="shared" si="12"/>
        <v>4</v>
      </c>
      <c r="AN14" s="75"/>
      <c r="AO14" s="75"/>
      <c r="AP14" s="75"/>
      <c r="AQ14" s="75"/>
      <c r="AR14" s="75"/>
      <c r="AS14" s="75"/>
      <c r="AT14" s="75"/>
    </row>
    <row r="15" ht="22.5" customHeight="1">
      <c r="A15" s="7" t="s">
        <v>236</v>
      </c>
      <c r="B15" s="7" t="s">
        <v>237</v>
      </c>
      <c r="C15" s="7" t="s">
        <v>27</v>
      </c>
      <c r="D15" s="7" t="s">
        <v>230</v>
      </c>
      <c r="E15" s="7" t="s">
        <v>231</v>
      </c>
      <c r="F15" s="7" t="s">
        <v>213</v>
      </c>
      <c r="G15" s="112">
        <v>0.3333333333333333</v>
      </c>
      <c r="H15" s="112">
        <v>0.75</v>
      </c>
      <c r="I15" s="51">
        <f t="shared" si="1"/>
        <v>0.4166666667</v>
      </c>
      <c r="J15" s="108">
        <v>46148.0</v>
      </c>
      <c r="K15" s="7" t="s">
        <v>2</v>
      </c>
      <c r="L15" s="10">
        <v>23000.0</v>
      </c>
      <c r="M15" s="87" t="s">
        <v>3</v>
      </c>
      <c r="N15" s="7" t="s">
        <v>69</v>
      </c>
      <c r="O15" s="7"/>
      <c r="P15" s="10"/>
      <c r="Q15" s="7"/>
      <c r="R15" s="11"/>
      <c r="S15" s="7"/>
      <c r="T15" s="7"/>
      <c r="U15" s="7"/>
      <c r="V15" s="27"/>
      <c r="W15" s="13"/>
      <c r="X15" s="14"/>
      <c r="Y15" s="14"/>
      <c r="Z15" s="14"/>
      <c r="AA15" s="27">
        <f t="shared" si="17"/>
        <v>23000</v>
      </c>
      <c r="AB15" s="14">
        <f t="shared" si="14"/>
        <v>15500</v>
      </c>
      <c r="AC15" s="8">
        <f t="shared" si="15"/>
        <v>3000</v>
      </c>
      <c r="AD15" s="69">
        <f t="shared" si="13"/>
        <v>4500</v>
      </c>
      <c r="AE15" s="8">
        <v>0.0</v>
      </c>
      <c r="AF15" s="8" t="str">
        <f t="shared" si="16"/>
        <v>OK</v>
      </c>
      <c r="AG15" s="8" t="str">
        <f t="shared" si="18"/>
        <v>Skill Missing</v>
      </c>
      <c r="AH15" s="72"/>
      <c r="AI15" s="8" t="str">
        <f t="shared" si="19"/>
        <v>Not Found</v>
      </c>
      <c r="AJ15" s="21"/>
      <c r="AK15" s="110"/>
      <c r="AL15" s="75"/>
      <c r="AM15" s="75">
        <f t="shared" si="12"/>
        <v>4</v>
      </c>
      <c r="AN15" s="75"/>
      <c r="AO15" s="75"/>
      <c r="AP15" s="75"/>
      <c r="AQ15" s="75"/>
      <c r="AR15" s="75"/>
      <c r="AS15" s="75"/>
      <c r="AT15" s="75"/>
    </row>
    <row r="16" ht="22.5" customHeight="1">
      <c r="A16" s="7" t="s">
        <v>238</v>
      </c>
      <c r="B16" s="7" t="s">
        <v>239</v>
      </c>
      <c r="C16" s="7" t="s">
        <v>27</v>
      </c>
      <c r="D16" s="7" t="s">
        <v>240</v>
      </c>
      <c r="E16" s="7" t="s">
        <v>241</v>
      </c>
      <c r="F16" s="7" t="s">
        <v>213</v>
      </c>
      <c r="G16" s="112">
        <v>0.3333333333333333</v>
      </c>
      <c r="H16" s="112">
        <v>0.75</v>
      </c>
      <c r="I16" s="51">
        <f t="shared" si="1"/>
        <v>0.4166666667</v>
      </c>
      <c r="J16" s="82">
        <v>46265.0</v>
      </c>
      <c r="K16" s="7" t="s">
        <v>2</v>
      </c>
      <c r="L16" s="10">
        <v>13000.0</v>
      </c>
      <c r="M16" s="87" t="s">
        <v>68</v>
      </c>
      <c r="N16" s="87" t="s">
        <v>69</v>
      </c>
      <c r="O16" s="84"/>
      <c r="P16" s="57"/>
      <c r="Q16" s="7"/>
      <c r="R16" s="11"/>
      <c r="S16" s="7"/>
      <c r="T16" s="7"/>
      <c r="U16" s="7"/>
      <c r="V16" s="27"/>
      <c r="W16" s="13"/>
      <c r="X16" s="14"/>
      <c r="Y16" s="14"/>
      <c r="Z16" s="43"/>
      <c r="AA16" s="27">
        <f t="shared" si="17"/>
        <v>13000</v>
      </c>
      <c r="AB16" s="14">
        <f t="shared" si="14"/>
        <v>15300</v>
      </c>
      <c r="AC16" s="8">
        <f t="shared" si="15"/>
        <v>-920</v>
      </c>
      <c r="AD16" s="69">
        <f t="shared" si="13"/>
        <v>-1380</v>
      </c>
      <c r="AE16" s="8">
        <v>0.0</v>
      </c>
      <c r="AF16" s="8"/>
      <c r="AG16" s="8"/>
      <c r="AH16" s="72"/>
      <c r="AI16" s="8"/>
      <c r="AJ16" s="21"/>
      <c r="AK16" s="86"/>
      <c r="AL16" s="75"/>
      <c r="AM16" s="75"/>
      <c r="AN16" s="75"/>
      <c r="AO16" s="75"/>
      <c r="AP16" s="75"/>
      <c r="AQ16" s="75"/>
      <c r="AR16" s="75"/>
      <c r="AS16" s="75"/>
      <c r="AT16" s="75"/>
    </row>
    <row r="17" ht="22.5" customHeight="1">
      <c r="A17" s="7" t="s">
        <v>242</v>
      </c>
      <c r="B17" s="7" t="s">
        <v>243</v>
      </c>
      <c r="C17" s="7" t="s">
        <v>27</v>
      </c>
      <c r="D17" s="7" t="s">
        <v>244</v>
      </c>
      <c r="E17" s="7" t="s">
        <v>245</v>
      </c>
      <c r="F17" s="7" t="s">
        <v>199</v>
      </c>
      <c r="G17" s="49">
        <v>0.375</v>
      </c>
      <c r="H17" s="49">
        <v>0.7916666666666666</v>
      </c>
      <c r="I17" s="51">
        <f t="shared" si="1"/>
        <v>0.4166666667</v>
      </c>
      <c r="J17" s="82">
        <v>45809.0</v>
      </c>
      <c r="K17" s="7" t="s">
        <v>246</v>
      </c>
      <c r="L17" s="10">
        <v>16737.0</v>
      </c>
      <c r="M17" s="7" t="s">
        <v>68</v>
      </c>
      <c r="N17" s="83" t="s">
        <v>69</v>
      </c>
      <c r="O17" s="84">
        <v>45536.0</v>
      </c>
      <c r="P17" s="57">
        <v>15940.0</v>
      </c>
      <c r="Q17" s="7"/>
      <c r="R17" s="11"/>
      <c r="S17" s="7" t="s">
        <v>70</v>
      </c>
      <c r="T17" s="7" t="s">
        <v>71</v>
      </c>
      <c r="U17" s="7" t="s">
        <v>247</v>
      </c>
      <c r="V17" s="27">
        <f t="shared" ref="V17:V180" si="20">P17</f>
        <v>15940</v>
      </c>
      <c r="W17" s="13">
        <v>0.0</v>
      </c>
      <c r="X17" s="14"/>
      <c r="Y17" s="14">
        <f t="shared" ref="Y17:Y135" si="21">if(W17="",V17,round(V17*(1+W17),-1))</f>
        <v>15940</v>
      </c>
      <c r="Z17" s="43" t="s">
        <v>208</v>
      </c>
      <c r="AA17" s="14">
        <v>16737.0</v>
      </c>
      <c r="AB17" s="14">
        <f>IFS(AA17&lt;=12000,AA17,AND(AA17&gt;12000,AA17&lt;=15200),15200,AND(AA17&gt;15200,AA17&lt;15500),AA17,AND(AA17&gt;=15500,AA17&lt;30000),15500,AA17&gt;=30000,AA17*$AB$2)</f>
        <v>15500</v>
      </c>
      <c r="AC17" s="8">
        <f>IF($AA17&lt;=$Z$1,($AA17-$AB17)*AC$1,$AA17*AC$2)</f>
        <v>494.8</v>
      </c>
      <c r="AD17" s="8">
        <f t="shared" si="13"/>
        <v>742.2</v>
      </c>
      <c r="AE17" s="8">
        <v>0.0</v>
      </c>
      <c r="AF17" s="8" t="str">
        <f t="shared" ref="AF17:AF183" si="22">IF(SUM(AB17:AE17)=AA17,"OK","NO")</f>
        <v>OK</v>
      </c>
      <c r="AG17" s="8" t="str">
        <f t="shared" ref="AG17:AG166" si="23">IF(U17="US",IF(AA17&lt;9750,"Under","US OK"),IF(U17="S",IF(AA17&lt;12000,"Under","S OK"),"Skill Missing"))</f>
        <v>US OK</v>
      </c>
      <c r="AH17" s="72" t="str">
        <f t="shared" ref="AH17:AH165" si="24">VLOOKUP(A17,'Advance Sheet'!$A$4:$A$165,1,FALSE)</f>
        <v>#REF!</v>
      </c>
      <c r="AI17" s="8" t="str">
        <f t="shared" ref="AI17:AI165" si="25">IF(ISERROR(VLOOKUP(A17,'SNP Sal Main'!$A$3:$A1516,1,false))=FALSE,"SNP SAL",IF(ISERROR(VLOOKUP(A17,'Rest Sal Main org'!$A$3:$A1516,1,false))=FALSE,"Rest Sal","Not Found"))</f>
        <v>Not Found</v>
      </c>
      <c r="AJ17" s="21" t="s">
        <v>193</v>
      </c>
      <c r="AK17" s="86"/>
      <c r="AL17" s="75"/>
      <c r="AM17" s="75">
        <f t="shared" ref="AM17:AM235" si="26">if(J17="","",datedif(J17,$AM$2,"M"))</f>
        <v>15</v>
      </c>
      <c r="AN17" s="75"/>
      <c r="AO17" s="75"/>
      <c r="AP17" s="75"/>
      <c r="AQ17" s="75"/>
      <c r="AR17" s="75"/>
      <c r="AS17" s="75"/>
      <c r="AT17" s="75"/>
    </row>
    <row r="18" ht="22.5" customHeight="1">
      <c r="A18" s="106" t="s">
        <v>250</v>
      </c>
      <c r="B18" s="106" t="s">
        <v>251</v>
      </c>
      <c r="C18" s="7" t="s">
        <v>27</v>
      </c>
      <c r="D18" s="7" t="s">
        <v>244</v>
      </c>
      <c r="E18" s="7" t="s">
        <v>252</v>
      </c>
      <c r="F18" s="7" t="s">
        <v>199</v>
      </c>
      <c r="G18" s="49">
        <v>0.3333333333333333</v>
      </c>
      <c r="H18" s="49">
        <v>0.75</v>
      </c>
      <c r="I18" s="51">
        <f t="shared" si="1"/>
        <v>0.4166666667</v>
      </c>
      <c r="J18" s="113">
        <v>45809.0</v>
      </c>
      <c r="K18" s="106" t="s">
        <v>246</v>
      </c>
      <c r="L18" s="10">
        <v>15400.0</v>
      </c>
      <c r="M18" s="7" t="s">
        <v>68</v>
      </c>
      <c r="N18" s="7" t="s">
        <v>69</v>
      </c>
      <c r="O18" s="114">
        <v>45809.0</v>
      </c>
      <c r="P18" s="57">
        <v>14000.0</v>
      </c>
      <c r="Q18" s="7"/>
      <c r="R18" s="11"/>
      <c r="S18" s="85"/>
      <c r="T18" s="7" t="s">
        <v>71</v>
      </c>
      <c r="U18" s="7"/>
      <c r="V18" s="27">
        <f t="shared" si="20"/>
        <v>14000</v>
      </c>
      <c r="W18" s="13">
        <v>0.0</v>
      </c>
      <c r="X18" s="14"/>
      <c r="Y18" s="14">
        <f t="shared" si="21"/>
        <v>14000</v>
      </c>
      <c r="Z18" s="43"/>
      <c r="AA18" s="27">
        <f t="shared" ref="AA18:AA19" si="27">L18</f>
        <v>15400</v>
      </c>
      <c r="AB18" s="14">
        <f t="shared" ref="AB18:AB26" si="28">IFS(AND(AA18&lt;=15000),15300,AND(AA18&gt;15000,AA18&lt;15500),AA18,AND(AA18&gt;=15500,AA18&lt;$Z$1),15500,AA18&gt;=$Z$1,AA18*$AB$2)</f>
        <v>15400</v>
      </c>
      <c r="AC18" s="8">
        <f t="shared" ref="AC18:AC26" si="29">round(IF($AA18&lt;=$Z$1,($AA18-$AB18)*AC$1,$AA18*AC$2),-1)</f>
        <v>0</v>
      </c>
      <c r="AD18" s="69">
        <f t="shared" si="13"/>
        <v>0</v>
      </c>
      <c r="AE18" s="8">
        <v>0.0</v>
      </c>
      <c r="AF18" s="8" t="str">
        <f t="shared" si="22"/>
        <v>OK</v>
      </c>
      <c r="AG18" s="8" t="str">
        <f t="shared" si="23"/>
        <v>Skill Missing</v>
      </c>
      <c r="AH18" s="72" t="str">
        <f t="shared" si="24"/>
        <v>#REF!</v>
      </c>
      <c r="AI18" s="8" t="str">
        <f t="shared" si="25"/>
        <v>Not Found</v>
      </c>
      <c r="AJ18" s="21"/>
      <c r="AK18" s="21"/>
      <c r="AL18" s="75"/>
      <c r="AM18" s="75">
        <f t="shared" si="26"/>
        <v>15</v>
      </c>
      <c r="AN18" s="75"/>
      <c r="AO18" s="75"/>
      <c r="AP18" s="75"/>
      <c r="AQ18" s="75"/>
      <c r="AR18" s="75"/>
      <c r="AS18" s="75"/>
      <c r="AT18" s="75"/>
    </row>
    <row r="19" ht="22.5" customHeight="1">
      <c r="A19" s="87" t="s">
        <v>255</v>
      </c>
      <c r="B19" s="87" t="s">
        <v>256</v>
      </c>
      <c r="C19" s="87" t="s">
        <v>27</v>
      </c>
      <c r="D19" s="87" t="s">
        <v>211</v>
      </c>
      <c r="E19" s="87" t="s">
        <v>257</v>
      </c>
      <c r="F19" s="87" t="s">
        <v>213</v>
      </c>
      <c r="G19" s="115">
        <v>0.3333333333333333</v>
      </c>
      <c r="H19" s="116">
        <v>0.75</v>
      </c>
      <c r="I19" s="117">
        <f t="shared" si="1"/>
        <v>0.4166666667</v>
      </c>
      <c r="J19" s="118">
        <v>45614.0</v>
      </c>
      <c r="K19" s="87" t="s">
        <v>2</v>
      </c>
      <c r="L19" s="94">
        <f>Y19</f>
        <v>6550</v>
      </c>
      <c r="M19" s="87" t="s">
        <v>3</v>
      </c>
      <c r="N19" s="87" t="s">
        <v>69</v>
      </c>
      <c r="O19" s="87"/>
      <c r="P19" s="94">
        <v>6550.0</v>
      </c>
      <c r="Q19" s="87"/>
      <c r="R19" s="95"/>
      <c r="S19" s="87" t="s">
        <v>70</v>
      </c>
      <c r="T19" s="87" t="s">
        <v>217</v>
      </c>
      <c r="U19" s="87"/>
      <c r="V19" s="97">
        <f t="shared" si="20"/>
        <v>6550</v>
      </c>
      <c r="W19" s="98">
        <v>0.0</v>
      </c>
      <c r="X19" s="99"/>
      <c r="Y19" s="99">
        <f t="shared" si="21"/>
        <v>6550</v>
      </c>
      <c r="Z19" s="119"/>
      <c r="AA19" s="97">
        <f t="shared" si="27"/>
        <v>6550</v>
      </c>
      <c r="AB19" s="99">
        <f t="shared" si="28"/>
        <v>15300</v>
      </c>
      <c r="AC19" s="101">
        <f t="shared" si="29"/>
        <v>-3500</v>
      </c>
      <c r="AD19" s="120">
        <f t="shared" si="13"/>
        <v>-5250</v>
      </c>
      <c r="AE19" s="101">
        <f>IF($AA19&lt;=$Z$1,($AA19-$AB19)*AE$1,$AA19*AE$2)</f>
        <v>-2625</v>
      </c>
      <c r="AF19" s="101" t="str">
        <f t="shared" si="22"/>
        <v>NO</v>
      </c>
      <c r="AG19" s="101" t="str">
        <f t="shared" si="23"/>
        <v>Skill Missing</v>
      </c>
      <c r="AH19" s="102" t="str">
        <f t="shared" si="24"/>
        <v>#REF!</v>
      </c>
      <c r="AI19" s="101" t="str">
        <f t="shared" si="25"/>
        <v>Not Found</v>
      </c>
      <c r="AJ19" s="103"/>
      <c r="AK19" s="104"/>
      <c r="AL19" s="105">
        <f t="shared" ref="AL19:AL26" si="30">if(J19="","",datedif(J19,$AM$2,"Y"))</f>
        <v>1</v>
      </c>
      <c r="AM19" s="105">
        <f t="shared" si="26"/>
        <v>22</v>
      </c>
      <c r="AN19" s="75"/>
      <c r="AO19" s="75"/>
      <c r="AP19" s="75"/>
      <c r="AQ19" s="75"/>
      <c r="AR19" s="75"/>
      <c r="AS19" s="75"/>
      <c r="AT19" s="75"/>
    </row>
    <row r="20" ht="22.5" customHeight="1">
      <c r="A20" s="87" t="s">
        <v>260</v>
      </c>
      <c r="B20" s="87" t="s">
        <v>261</v>
      </c>
      <c r="C20" s="87" t="s">
        <v>27</v>
      </c>
      <c r="D20" s="87" t="s">
        <v>211</v>
      </c>
      <c r="E20" s="87" t="s">
        <v>257</v>
      </c>
      <c r="F20" s="87" t="s">
        <v>213</v>
      </c>
      <c r="G20" s="88">
        <v>0.3333333333333333</v>
      </c>
      <c r="H20" s="88">
        <v>0.75</v>
      </c>
      <c r="I20" s="89">
        <f t="shared" si="1"/>
        <v>0.4166666667</v>
      </c>
      <c r="J20" s="90">
        <v>45908.0</v>
      </c>
      <c r="K20" s="87" t="s">
        <v>2</v>
      </c>
      <c r="L20" s="94">
        <v>12500.0</v>
      </c>
      <c r="M20" s="87" t="s">
        <v>3</v>
      </c>
      <c r="N20" s="87" t="s">
        <v>69</v>
      </c>
      <c r="O20" s="87"/>
      <c r="P20" s="94">
        <v>12000.0</v>
      </c>
      <c r="Q20" s="87"/>
      <c r="R20" s="95"/>
      <c r="S20" s="87"/>
      <c r="T20" s="7" t="s">
        <v>217</v>
      </c>
      <c r="U20" s="87"/>
      <c r="V20" s="97">
        <f t="shared" si="20"/>
        <v>12000</v>
      </c>
      <c r="W20" s="98">
        <v>0.0</v>
      </c>
      <c r="X20" s="99"/>
      <c r="Y20" s="99">
        <f t="shared" si="21"/>
        <v>12000</v>
      </c>
      <c r="Z20" s="99"/>
      <c r="AA20" s="99">
        <v>12000.0</v>
      </c>
      <c r="AB20" s="99">
        <f t="shared" si="28"/>
        <v>15300</v>
      </c>
      <c r="AC20" s="101">
        <f t="shared" si="29"/>
        <v>-1320</v>
      </c>
      <c r="AD20" s="101">
        <f t="shared" si="13"/>
        <v>-1980</v>
      </c>
      <c r="AE20" s="101">
        <v>0.0</v>
      </c>
      <c r="AF20" s="101" t="str">
        <f t="shared" si="22"/>
        <v>OK</v>
      </c>
      <c r="AG20" s="101" t="str">
        <f t="shared" si="23"/>
        <v>Skill Missing</v>
      </c>
      <c r="AH20" s="102" t="str">
        <f t="shared" si="24"/>
        <v>#REF!</v>
      </c>
      <c r="AI20" s="101" t="str">
        <f t="shared" si="25"/>
        <v>Not Found</v>
      </c>
      <c r="AJ20" s="103"/>
      <c r="AK20" s="104"/>
      <c r="AL20" s="105">
        <f t="shared" si="30"/>
        <v>1</v>
      </c>
      <c r="AM20" s="105">
        <f t="shared" si="26"/>
        <v>12</v>
      </c>
      <c r="AN20" s="75"/>
      <c r="AO20" s="75"/>
      <c r="AP20" s="75"/>
      <c r="AQ20" s="75"/>
      <c r="AR20" s="75"/>
      <c r="AS20" s="75"/>
      <c r="AT20" s="75"/>
    </row>
    <row r="21" ht="22.5" customHeight="1">
      <c r="A21" s="87" t="s">
        <v>262</v>
      </c>
      <c r="B21" s="87" t="s">
        <v>263</v>
      </c>
      <c r="C21" s="87" t="s">
        <v>27</v>
      </c>
      <c r="D21" s="87" t="s">
        <v>211</v>
      </c>
      <c r="E21" s="87" t="s">
        <v>257</v>
      </c>
      <c r="F21" s="87" t="s">
        <v>213</v>
      </c>
      <c r="G21" s="88">
        <v>0.3333333333333333</v>
      </c>
      <c r="H21" s="88">
        <v>0.75</v>
      </c>
      <c r="I21" s="89">
        <f t="shared" si="1"/>
        <v>0.4166666667</v>
      </c>
      <c r="J21" s="90">
        <v>45908.0</v>
      </c>
      <c r="K21" s="87" t="s">
        <v>2</v>
      </c>
      <c r="L21" s="94">
        <v>12500.0</v>
      </c>
      <c r="M21" s="87" t="s">
        <v>3</v>
      </c>
      <c r="N21" s="87" t="s">
        <v>69</v>
      </c>
      <c r="O21" s="87"/>
      <c r="P21" s="94">
        <v>12000.0</v>
      </c>
      <c r="Q21" s="87"/>
      <c r="R21" s="95"/>
      <c r="S21" s="87"/>
      <c r="T21" s="7" t="s">
        <v>217</v>
      </c>
      <c r="U21" s="87"/>
      <c r="V21" s="97">
        <f t="shared" si="20"/>
        <v>12000</v>
      </c>
      <c r="W21" s="98">
        <v>0.0</v>
      </c>
      <c r="X21" s="99"/>
      <c r="Y21" s="99">
        <f t="shared" si="21"/>
        <v>12000</v>
      </c>
      <c r="Z21" s="99"/>
      <c r="AA21" s="99">
        <v>12000.0</v>
      </c>
      <c r="AB21" s="99">
        <f t="shared" si="28"/>
        <v>15300</v>
      </c>
      <c r="AC21" s="101">
        <f t="shared" si="29"/>
        <v>-1320</v>
      </c>
      <c r="AD21" s="101">
        <f t="shared" si="13"/>
        <v>-1980</v>
      </c>
      <c r="AE21" s="101">
        <v>0.0</v>
      </c>
      <c r="AF21" s="101" t="str">
        <f t="shared" si="22"/>
        <v>OK</v>
      </c>
      <c r="AG21" s="101" t="str">
        <f t="shared" si="23"/>
        <v>Skill Missing</v>
      </c>
      <c r="AH21" s="102" t="str">
        <f t="shared" si="24"/>
        <v>#REF!</v>
      </c>
      <c r="AI21" s="101" t="str">
        <f t="shared" si="25"/>
        <v>Not Found</v>
      </c>
      <c r="AJ21" s="103"/>
      <c r="AK21" s="104"/>
      <c r="AL21" s="105">
        <f t="shared" si="30"/>
        <v>1</v>
      </c>
      <c r="AM21" s="105">
        <f t="shared" si="26"/>
        <v>12</v>
      </c>
      <c r="AN21" s="75"/>
      <c r="AO21" s="75"/>
      <c r="AP21" s="75"/>
      <c r="AQ21" s="75"/>
      <c r="AR21" s="75"/>
      <c r="AS21" s="75"/>
      <c r="AT21" s="75"/>
    </row>
    <row r="22" ht="22.5" customHeight="1">
      <c r="A22" s="87" t="s">
        <v>264</v>
      </c>
      <c r="B22" s="87" t="s">
        <v>265</v>
      </c>
      <c r="C22" s="87" t="s">
        <v>27</v>
      </c>
      <c r="D22" s="87" t="s">
        <v>211</v>
      </c>
      <c r="E22" s="87" t="s">
        <v>257</v>
      </c>
      <c r="F22" s="87" t="s">
        <v>213</v>
      </c>
      <c r="G22" s="88">
        <v>0.3333333333333333</v>
      </c>
      <c r="H22" s="88">
        <v>0.75</v>
      </c>
      <c r="I22" s="89">
        <f t="shared" si="1"/>
        <v>0.4166666667</v>
      </c>
      <c r="J22" s="90">
        <v>45908.0</v>
      </c>
      <c r="K22" s="87" t="s">
        <v>2</v>
      </c>
      <c r="L22" s="94">
        <v>14000.0</v>
      </c>
      <c r="M22" s="87" t="s">
        <v>3</v>
      </c>
      <c r="N22" s="87" t="s">
        <v>69</v>
      </c>
      <c r="O22" s="87"/>
      <c r="P22" s="94">
        <v>12000.0</v>
      </c>
      <c r="Q22" s="87"/>
      <c r="R22" s="95"/>
      <c r="S22" s="87"/>
      <c r="T22" s="7" t="s">
        <v>217</v>
      </c>
      <c r="U22" s="87"/>
      <c r="V22" s="97">
        <f t="shared" si="20"/>
        <v>12000</v>
      </c>
      <c r="W22" s="98">
        <v>0.0</v>
      </c>
      <c r="X22" s="99"/>
      <c r="Y22" s="99">
        <f t="shared" si="21"/>
        <v>12000</v>
      </c>
      <c r="Z22" s="99"/>
      <c r="AA22" s="99">
        <v>14000.0</v>
      </c>
      <c r="AB22" s="99">
        <f t="shared" si="28"/>
        <v>15300</v>
      </c>
      <c r="AC22" s="101">
        <f t="shared" si="29"/>
        <v>-520</v>
      </c>
      <c r="AD22" s="101">
        <f t="shared" si="13"/>
        <v>-780</v>
      </c>
      <c r="AE22" s="101">
        <v>0.0</v>
      </c>
      <c r="AF22" s="101" t="str">
        <f t="shared" si="22"/>
        <v>OK</v>
      </c>
      <c r="AG22" s="101" t="str">
        <f t="shared" si="23"/>
        <v>Skill Missing</v>
      </c>
      <c r="AH22" s="102" t="str">
        <f t="shared" si="24"/>
        <v>#REF!</v>
      </c>
      <c r="AI22" s="101" t="str">
        <f t="shared" si="25"/>
        <v>Not Found</v>
      </c>
      <c r="AJ22" s="103"/>
      <c r="AK22" s="104"/>
      <c r="AL22" s="121">
        <f t="shared" si="30"/>
        <v>1</v>
      </c>
      <c r="AM22" s="105">
        <f t="shared" si="26"/>
        <v>12</v>
      </c>
      <c r="AN22" s="75"/>
      <c r="AO22" s="75"/>
      <c r="AP22" s="75"/>
      <c r="AQ22" s="75"/>
      <c r="AR22" s="75"/>
      <c r="AS22" s="75"/>
      <c r="AT22" s="75"/>
    </row>
    <row r="23" ht="22.5" customHeight="1">
      <c r="A23" s="87" t="s">
        <v>268</v>
      </c>
      <c r="B23" s="87" t="s">
        <v>269</v>
      </c>
      <c r="C23" s="87" t="s">
        <v>27</v>
      </c>
      <c r="D23" s="87" t="s">
        <v>211</v>
      </c>
      <c r="E23" s="87" t="s">
        <v>257</v>
      </c>
      <c r="F23" s="87" t="s">
        <v>213</v>
      </c>
      <c r="G23" s="88">
        <v>0.3333333333333333</v>
      </c>
      <c r="H23" s="88">
        <v>0.75</v>
      </c>
      <c r="I23" s="89">
        <f t="shared" si="1"/>
        <v>0.4166666667</v>
      </c>
      <c r="J23" s="90">
        <v>45940.0</v>
      </c>
      <c r="K23" s="87" t="s">
        <v>2</v>
      </c>
      <c r="L23" s="94">
        <v>12500.0</v>
      </c>
      <c r="M23" s="87" t="s">
        <v>3</v>
      </c>
      <c r="N23" s="87" t="s">
        <v>69</v>
      </c>
      <c r="O23" s="87"/>
      <c r="P23" s="94">
        <v>12000.0</v>
      </c>
      <c r="Q23" s="87"/>
      <c r="R23" s="95"/>
      <c r="S23" s="87"/>
      <c r="T23" s="7" t="s">
        <v>217</v>
      </c>
      <c r="U23" s="87"/>
      <c r="V23" s="97">
        <f t="shared" si="20"/>
        <v>12000</v>
      </c>
      <c r="W23" s="98">
        <v>0.0</v>
      </c>
      <c r="X23" s="99"/>
      <c r="Y23" s="99">
        <f t="shared" si="21"/>
        <v>12000</v>
      </c>
      <c r="Z23" s="99"/>
      <c r="AA23" s="99">
        <v>12000.0</v>
      </c>
      <c r="AB23" s="99">
        <f t="shared" si="28"/>
        <v>15300</v>
      </c>
      <c r="AC23" s="101">
        <f t="shared" si="29"/>
        <v>-1320</v>
      </c>
      <c r="AD23" s="101">
        <f t="shared" si="13"/>
        <v>-1980</v>
      </c>
      <c r="AE23" s="101">
        <v>0.0</v>
      </c>
      <c r="AF23" s="101" t="str">
        <f t="shared" si="22"/>
        <v>OK</v>
      </c>
      <c r="AG23" s="101" t="str">
        <f t="shared" si="23"/>
        <v>Skill Missing</v>
      </c>
      <c r="AH23" s="102" t="str">
        <f t="shared" si="24"/>
        <v>#REF!</v>
      </c>
      <c r="AI23" s="101" t="str">
        <f t="shared" si="25"/>
        <v>Not Found</v>
      </c>
      <c r="AJ23" s="103"/>
      <c r="AK23" s="104"/>
      <c r="AL23" s="105">
        <f t="shared" si="30"/>
        <v>0</v>
      </c>
      <c r="AM23" s="105">
        <f t="shared" si="26"/>
        <v>11</v>
      </c>
      <c r="AN23" s="75"/>
      <c r="AO23" s="75"/>
      <c r="AP23" s="75"/>
      <c r="AQ23" s="75"/>
      <c r="AR23" s="75"/>
      <c r="AS23" s="75"/>
      <c r="AT23" s="75"/>
    </row>
    <row r="24" ht="22.5" customHeight="1">
      <c r="A24" s="87" t="s">
        <v>270</v>
      </c>
      <c r="B24" s="87" t="s">
        <v>271</v>
      </c>
      <c r="C24" s="87" t="s">
        <v>27</v>
      </c>
      <c r="D24" s="87" t="s">
        <v>211</v>
      </c>
      <c r="E24" s="87" t="s">
        <v>257</v>
      </c>
      <c r="F24" s="87" t="s">
        <v>213</v>
      </c>
      <c r="G24" s="88">
        <v>0.3333333333333333</v>
      </c>
      <c r="H24" s="88">
        <v>0.75</v>
      </c>
      <c r="I24" s="89">
        <f t="shared" si="1"/>
        <v>0.4166666667</v>
      </c>
      <c r="J24" s="90">
        <v>45940.0</v>
      </c>
      <c r="K24" s="87" t="s">
        <v>2</v>
      </c>
      <c r="L24" s="94">
        <v>12500.0</v>
      </c>
      <c r="M24" s="87" t="s">
        <v>3</v>
      </c>
      <c r="N24" s="87" t="s">
        <v>69</v>
      </c>
      <c r="O24" s="87"/>
      <c r="P24" s="94">
        <v>12000.0</v>
      </c>
      <c r="Q24" s="87"/>
      <c r="R24" s="95"/>
      <c r="S24" s="87"/>
      <c r="T24" s="7" t="s">
        <v>217</v>
      </c>
      <c r="U24" s="87"/>
      <c r="V24" s="97">
        <f t="shared" si="20"/>
        <v>12000</v>
      </c>
      <c r="W24" s="98">
        <v>0.0</v>
      </c>
      <c r="X24" s="99"/>
      <c r="Y24" s="99">
        <f t="shared" si="21"/>
        <v>12000</v>
      </c>
      <c r="Z24" s="99"/>
      <c r="AA24" s="99">
        <v>12000.0</v>
      </c>
      <c r="AB24" s="99">
        <f t="shared" si="28"/>
        <v>15300</v>
      </c>
      <c r="AC24" s="101">
        <f t="shared" si="29"/>
        <v>-1320</v>
      </c>
      <c r="AD24" s="101">
        <f t="shared" si="13"/>
        <v>-1980</v>
      </c>
      <c r="AE24" s="101">
        <v>0.0</v>
      </c>
      <c r="AF24" s="101" t="str">
        <f t="shared" si="22"/>
        <v>OK</v>
      </c>
      <c r="AG24" s="101" t="str">
        <f t="shared" si="23"/>
        <v>Skill Missing</v>
      </c>
      <c r="AH24" s="102" t="str">
        <f t="shared" si="24"/>
        <v>#REF!</v>
      </c>
      <c r="AI24" s="101" t="str">
        <f t="shared" si="25"/>
        <v>Not Found</v>
      </c>
      <c r="AJ24" s="103"/>
      <c r="AK24" s="104"/>
      <c r="AL24" s="105">
        <f t="shared" si="30"/>
        <v>0</v>
      </c>
      <c r="AM24" s="105">
        <f t="shared" si="26"/>
        <v>11</v>
      </c>
      <c r="AN24" s="75"/>
      <c r="AO24" s="75"/>
      <c r="AP24" s="75"/>
      <c r="AQ24" s="75"/>
      <c r="AR24" s="75"/>
      <c r="AS24" s="75"/>
      <c r="AT24" s="75"/>
    </row>
    <row r="25" ht="22.5" customHeight="1">
      <c r="A25" s="87" t="s">
        <v>272</v>
      </c>
      <c r="B25" s="87" t="s">
        <v>273</v>
      </c>
      <c r="C25" s="87" t="s">
        <v>27</v>
      </c>
      <c r="D25" s="87" t="s">
        <v>211</v>
      </c>
      <c r="E25" s="87" t="s">
        <v>257</v>
      </c>
      <c r="F25" s="87" t="s">
        <v>213</v>
      </c>
      <c r="G25" s="88">
        <v>0.3333333333333333</v>
      </c>
      <c r="H25" s="88">
        <v>0.75</v>
      </c>
      <c r="I25" s="89">
        <f t="shared" si="1"/>
        <v>0.4166666667</v>
      </c>
      <c r="J25" s="90">
        <v>45985.0</v>
      </c>
      <c r="K25" s="87" t="s">
        <v>2</v>
      </c>
      <c r="L25" s="94">
        <f t="shared" ref="L25:L28" si="31">Y25</f>
        <v>14000</v>
      </c>
      <c r="M25" s="87" t="s">
        <v>3</v>
      </c>
      <c r="N25" s="87" t="s">
        <v>69</v>
      </c>
      <c r="O25" s="87"/>
      <c r="P25" s="94">
        <v>14000.0</v>
      </c>
      <c r="Q25" s="87"/>
      <c r="R25" s="95"/>
      <c r="S25" s="87"/>
      <c r="T25" s="7" t="s">
        <v>217</v>
      </c>
      <c r="U25" s="87"/>
      <c r="V25" s="97">
        <f t="shared" si="20"/>
        <v>14000</v>
      </c>
      <c r="W25" s="98"/>
      <c r="X25" s="99"/>
      <c r="Y25" s="97">
        <f t="shared" si="21"/>
        <v>14000</v>
      </c>
      <c r="Z25" s="99"/>
      <c r="AA25" s="99">
        <v>14000.0</v>
      </c>
      <c r="AB25" s="99">
        <f t="shared" si="28"/>
        <v>15300</v>
      </c>
      <c r="AC25" s="101">
        <f t="shared" si="29"/>
        <v>-520</v>
      </c>
      <c r="AD25" s="101">
        <f t="shared" si="13"/>
        <v>-780</v>
      </c>
      <c r="AE25" s="101">
        <v>0.0</v>
      </c>
      <c r="AF25" s="101" t="str">
        <f t="shared" si="22"/>
        <v>OK</v>
      </c>
      <c r="AG25" s="101" t="str">
        <f t="shared" si="23"/>
        <v>Skill Missing</v>
      </c>
      <c r="AH25" s="102" t="str">
        <f t="shared" si="24"/>
        <v>#REF!</v>
      </c>
      <c r="AI25" s="101" t="str">
        <f t="shared" si="25"/>
        <v>Not Found</v>
      </c>
      <c r="AJ25" s="103"/>
      <c r="AK25" s="104"/>
      <c r="AL25" s="105">
        <f t="shared" si="30"/>
        <v>0</v>
      </c>
      <c r="AM25" s="105">
        <f t="shared" si="26"/>
        <v>10</v>
      </c>
      <c r="AN25" s="75"/>
      <c r="AO25" s="75"/>
      <c r="AP25" s="75"/>
      <c r="AQ25" s="75"/>
      <c r="AR25" s="75"/>
      <c r="AS25" s="75"/>
      <c r="AT25" s="75"/>
    </row>
    <row r="26" ht="22.5" customHeight="1">
      <c r="A26" s="87" t="s">
        <v>276</v>
      </c>
      <c r="B26" s="87" t="s">
        <v>277</v>
      </c>
      <c r="C26" s="87" t="s">
        <v>27</v>
      </c>
      <c r="D26" s="87" t="s">
        <v>211</v>
      </c>
      <c r="E26" s="87" t="s">
        <v>257</v>
      </c>
      <c r="F26" s="87" t="s">
        <v>213</v>
      </c>
      <c r="G26" s="88">
        <v>0.3333333333333333</v>
      </c>
      <c r="H26" s="88">
        <v>0.75</v>
      </c>
      <c r="I26" s="89">
        <f t="shared" si="1"/>
        <v>0.4166666667</v>
      </c>
      <c r="J26" s="90">
        <v>45979.0</v>
      </c>
      <c r="K26" s="87" t="s">
        <v>2</v>
      </c>
      <c r="L26" s="94">
        <f t="shared" si="31"/>
        <v>14000</v>
      </c>
      <c r="M26" s="87" t="s">
        <v>3</v>
      </c>
      <c r="N26" s="87" t="s">
        <v>69</v>
      </c>
      <c r="O26" s="87"/>
      <c r="P26" s="94">
        <v>14000.0</v>
      </c>
      <c r="Q26" s="87"/>
      <c r="R26" s="95"/>
      <c r="S26" s="87"/>
      <c r="T26" s="7" t="s">
        <v>217</v>
      </c>
      <c r="U26" s="87"/>
      <c r="V26" s="97">
        <f t="shared" si="20"/>
        <v>14000</v>
      </c>
      <c r="W26" s="98"/>
      <c r="X26" s="99"/>
      <c r="Y26" s="97">
        <f t="shared" si="21"/>
        <v>14000</v>
      </c>
      <c r="Z26" s="99"/>
      <c r="AA26" s="99">
        <v>14000.0</v>
      </c>
      <c r="AB26" s="99">
        <f t="shared" si="28"/>
        <v>15300</v>
      </c>
      <c r="AC26" s="101">
        <f t="shared" si="29"/>
        <v>-520</v>
      </c>
      <c r="AD26" s="101">
        <f t="shared" si="13"/>
        <v>-780</v>
      </c>
      <c r="AE26" s="101">
        <v>0.0</v>
      </c>
      <c r="AF26" s="101" t="str">
        <f t="shared" si="22"/>
        <v>OK</v>
      </c>
      <c r="AG26" s="101" t="str">
        <f t="shared" si="23"/>
        <v>Skill Missing</v>
      </c>
      <c r="AH26" s="102" t="str">
        <f t="shared" si="24"/>
        <v>#REF!</v>
      </c>
      <c r="AI26" s="101" t="str">
        <f t="shared" si="25"/>
        <v>Not Found</v>
      </c>
      <c r="AJ26" s="103"/>
      <c r="AK26" s="104"/>
      <c r="AL26" s="105">
        <f t="shared" si="30"/>
        <v>0</v>
      </c>
      <c r="AM26" s="105">
        <f t="shared" si="26"/>
        <v>10</v>
      </c>
      <c r="AN26" s="75"/>
      <c r="AO26" s="75"/>
      <c r="AP26" s="75"/>
      <c r="AQ26" s="75"/>
      <c r="AR26" s="75"/>
      <c r="AS26" s="75"/>
      <c r="AT26" s="75"/>
    </row>
    <row r="27" ht="22.5" customHeight="1">
      <c r="A27" s="7" t="s">
        <v>278</v>
      </c>
      <c r="B27" s="7" t="s">
        <v>279</v>
      </c>
      <c r="C27" s="7" t="s">
        <v>27</v>
      </c>
      <c r="D27" s="7" t="s">
        <v>240</v>
      </c>
      <c r="E27" s="7" t="s">
        <v>241</v>
      </c>
      <c r="F27" s="7" t="s">
        <v>213</v>
      </c>
      <c r="G27" s="49">
        <v>0.3333333333333333</v>
      </c>
      <c r="H27" s="49">
        <v>0.75</v>
      </c>
      <c r="I27" s="51">
        <f t="shared" si="1"/>
        <v>0.4166666667</v>
      </c>
      <c r="J27" s="82">
        <v>43269.0</v>
      </c>
      <c r="K27" s="7" t="s">
        <v>280</v>
      </c>
      <c r="L27" s="10">
        <f t="shared" si="31"/>
        <v>17140</v>
      </c>
      <c r="M27" s="7" t="s">
        <v>68</v>
      </c>
      <c r="N27" s="83" t="s">
        <v>69</v>
      </c>
      <c r="O27" s="84">
        <v>45901.0</v>
      </c>
      <c r="P27" s="57">
        <v>15440.0</v>
      </c>
      <c r="Q27" s="7"/>
      <c r="R27" s="11"/>
      <c r="S27" s="7" t="s">
        <v>70</v>
      </c>
      <c r="T27" s="7" t="s">
        <v>71</v>
      </c>
      <c r="U27" s="7" t="s">
        <v>247</v>
      </c>
      <c r="V27" s="27">
        <f t="shared" si="20"/>
        <v>15440</v>
      </c>
      <c r="W27" s="13">
        <v>0.11</v>
      </c>
      <c r="X27" s="14"/>
      <c r="Y27" s="14">
        <f t="shared" si="21"/>
        <v>17140</v>
      </c>
      <c r="Z27" s="43" t="s">
        <v>208</v>
      </c>
      <c r="AA27" s="27">
        <f t="shared" ref="AA27:AA35" si="32">L27</f>
        <v>17140</v>
      </c>
      <c r="AB27" s="14">
        <f t="shared" ref="AB27:AB28" si="33">IFS(AA27&lt;=12000,AA27,AND(AA27&gt;12000,AA27&lt;=15200),15200,AND(AA27&gt;15200,AA27&lt;15500),AA27,AND(AA27&gt;=15500,AA27&lt;30000),15500,AA27&gt;=30000,AA27*$AB$2)</f>
        <v>15500</v>
      </c>
      <c r="AC27" s="8">
        <f t="shared" ref="AC27:AC28" si="34">IF($AA27&lt;=$Z$1,($AA27-$AB27)*AC$1,$AA27*AC$2)</f>
        <v>656</v>
      </c>
      <c r="AD27" s="69">
        <f t="shared" si="13"/>
        <v>984</v>
      </c>
      <c r="AE27" s="8">
        <v>0.0</v>
      </c>
      <c r="AF27" s="8" t="str">
        <f t="shared" si="22"/>
        <v>OK</v>
      </c>
      <c r="AG27" s="8" t="str">
        <f t="shared" si="23"/>
        <v>US OK</v>
      </c>
      <c r="AH27" s="72" t="str">
        <f t="shared" si="24"/>
        <v>#REF!</v>
      </c>
      <c r="AI27" s="8" t="str">
        <f t="shared" si="25"/>
        <v>Not Found</v>
      </c>
      <c r="AJ27" s="21" t="s">
        <v>193</v>
      </c>
      <c r="AK27" s="110" t="s">
        <v>283</v>
      </c>
      <c r="AL27" s="75"/>
      <c r="AM27" s="75">
        <f t="shared" si="26"/>
        <v>99</v>
      </c>
      <c r="AN27" s="105"/>
      <c r="AO27" s="105"/>
      <c r="AP27" s="105"/>
      <c r="AQ27" s="105"/>
      <c r="AR27" s="105"/>
      <c r="AS27" s="105"/>
      <c r="AT27" s="105"/>
    </row>
    <row r="28" ht="22.5" customHeight="1">
      <c r="A28" s="7" t="s">
        <v>284</v>
      </c>
      <c r="B28" s="122" t="s">
        <v>285</v>
      </c>
      <c r="C28" s="7" t="s">
        <v>196</v>
      </c>
      <c r="D28" s="7" t="s">
        <v>286</v>
      </c>
      <c r="E28" s="7" t="s">
        <v>287</v>
      </c>
      <c r="F28" s="7" t="s">
        <v>202</v>
      </c>
      <c r="G28" s="49">
        <v>0.375</v>
      </c>
      <c r="H28" s="49">
        <v>0.7708333333333334</v>
      </c>
      <c r="I28" s="51">
        <f t="shared" si="1"/>
        <v>0.3958333333</v>
      </c>
      <c r="J28" s="108">
        <v>36678.0</v>
      </c>
      <c r="K28" s="7" t="s">
        <v>2</v>
      </c>
      <c r="L28" s="10">
        <f t="shared" si="31"/>
        <v>75620</v>
      </c>
      <c r="M28" s="7" t="s">
        <v>68</v>
      </c>
      <c r="N28" s="83" t="s">
        <v>69</v>
      </c>
      <c r="O28" s="84">
        <v>45901.0</v>
      </c>
      <c r="P28" s="57">
        <v>70020.0</v>
      </c>
      <c r="Q28" s="7">
        <v>756.0</v>
      </c>
      <c r="R28" s="11"/>
      <c r="S28" s="85"/>
      <c r="T28" s="7" t="s">
        <v>71</v>
      </c>
      <c r="U28" s="7"/>
      <c r="V28" s="27">
        <f t="shared" si="20"/>
        <v>70020</v>
      </c>
      <c r="W28" s="13">
        <v>0.08</v>
      </c>
      <c r="X28" s="14"/>
      <c r="Y28" s="14">
        <f t="shared" si="21"/>
        <v>75620</v>
      </c>
      <c r="Z28" s="43"/>
      <c r="AA28" s="27">
        <f t="shared" si="32"/>
        <v>75620</v>
      </c>
      <c r="AB28" s="14">
        <f t="shared" si="33"/>
        <v>37810</v>
      </c>
      <c r="AC28" s="8">
        <f t="shared" si="34"/>
        <v>15124</v>
      </c>
      <c r="AD28" s="69">
        <f t="shared" si="13"/>
        <v>22686</v>
      </c>
      <c r="AE28" s="8">
        <v>0.0</v>
      </c>
      <c r="AF28" s="8" t="str">
        <f t="shared" si="22"/>
        <v>OK</v>
      </c>
      <c r="AG28" s="8" t="str">
        <f t="shared" si="23"/>
        <v>Skill Missing</v>
      </c>
      <c r="AH28" s="72" t="str">
        <f t="shared" si="24"/>
        <v>#REF!</v>
      </c>
      <c r="AI28" s="8" t="str">
        <f t="shared" si="25"/>
        <v>Not Found</v>
      </c>
      <c r="AJ28" s="21" t="s">
        <v>193</v>
      </c>
      <c r="AK28" s="86"/>
      <c r="AL28" s="75"/>
      <c r="AM28" s="75">
        <f t="shared" si="26"/>
        <v>315</v>
      </c>
      <c r="AN28" s="75"/>
      <c r="AO28" s="75"/>
      <c r="AP28" s="75"/>
      <c r="AQ28" s="75"/>
      <c r="AR28" s="75"/>
      <c r="AS28" s="75"/>
      <c r="AT28" s="75"/>
    </row>
    <row r="29" ht="22.5" customHeight="1">
      <c r="A29" s="7" t="s">
        <v>290</v>
      </c>
      <c r="B29" s="7" t="s">
        <v>291</v>
      </c>
      <c r="C29" s="7" t="s">
        <v>27</v>
      </c>
      <c r="D29" s="7" t="s">
        <v>244</v>
      </c>
      <c r="E29" s="7" t="s">
        <v>292</v>
      </c>
      <c r="F29" s="7" t="s">
        <v>213</v>
      </c>
      <c r="G29" s="49">
        <v>0.3333333333333333</v>
      </c>
      <c r="H29" s="49">
        <v>0.75</v>
      </c>
      <c r="I29" s="51">
        <f t="shared" si="1"/>
        <v>0.4166666667</v>
      </c>
      <c r="J29" s="82">
        <v>41974.0</v>
      </c>
      <c r="K29" s="7" t="s">
        <v>2</v>
      </c>
      <c r="L29" s="10">
        <v>37383.0</v>
      </c>
      <c r="M29" s="7" t="s">
        <v>68</v>
      </c>
      <c r="N29" s="83" t="s">
        <v>69</v>
      </c>
      <c r="O29" s="84">
        <v>45901.0</v>
      </c>
      <c r="P29" s="57">
        <v>36650.0</v>
      </c>
      <c r="Q29" s="7"/>
      <c r="R29" s="11"/>
      <c r="S29" s="85"/>
      <c r="T29" s="7" t="s">
        <v>217</v>
      </c>
      <c r="U29" s="7" t="s">
        <v>207</v>
      </c>
      <c r="V29" s="27">
        <f t="shared" si="20"/>
        <v>36650</v>
      </c>
      <c r="W29" s="13">
        <v>0.1</v>
      </c>
      <c r="X29" s="14"/>
      <c r="Y29" s="14">
        <f t="shared" si="21"/>
        <v>40320</v>
      </c>
      <c r="Z29" s="43"/>
      <c r="AA29" s="27">
        <f t="shared" si="32"/>
        <v>37383</v>
      </c>
      <c r="AB29" s="14">
        <f>roundup(IFS(AND(AA29&lt;=15000),15300,AND(AA29&gt;15000,AA29&lt;15500),AA29,AND(AA29&gt;=15500,AA29&lt;$Z$1),15500,AA29&gt;=$Z$1,AA29*$AB$2),0)</f>
        <v>18692</v>
      </c>
      <c r="AC29" s="8">
        <f t="shared" ref="AC29:AC39" si="35">round(IF($AA29&lt;=$Z$1,($AA29-$AB29)*AC$1,$AA29*AC$2),-1)</f>
        <v>7480</v>
      </c>
      <c r="AD29" s="69">
        <f t="shared" si="13"/>
        <v>11211</v>
      </c>
      <c r="AE29" s="8">
        <v>0.0</v>
      </c>
      <c r="AF29" s="8" t="str">
        <f t="shared" si="22"/>
        <v>OK</v>
      </c>
      <c r="AG29" s="8" t="str">
        <f t="shared" si="23"/>
        <v>S OK</v>
      </c>
      <c r="AH29" s="72" t="str">
        <f t="shared" si="24"/>
        <v>#REF!</v>
      </c>
      <c r="AI29" s="8" t="str">
        <f t="shared" si="25"/>
        <v>Not Found</v>
      </c>
      <c r="AJ29" s="21"/>
      <c r="AK29" s="110" t="s">
        <v>283</v>
      </c>
      <c r="AL29" s="75"/>
      <c r="AM29" s="75">
        <f t="shared" si="26"/>
        <v>141</v>
      </c>
      <c r="AN29" s="105"/>
      <c r="AO29" s="105"/>
      <c r="AP29" s="105"/>
      <c r="AQ29" s="105"/>
      <c r="AR29" s="105"/>
      <c r="AS29" s="105"/>
      <c r="AT29" s="105"/>
    </row>
    <row r="30" ht="22.5" customHeight="1">
      <c r="A30" s="7" t="s">
        <v>293</v>
      </c>
      <c r="B30" s="7" t="s">
        <v>294</v>
      </c>
      <c r="C30" s="7" t="s">
        <v>27</v>
      </c>
      <c r="D30" s="7" t="s">
        <v>244</v>
      </c>
      <c r="E30" s="7" t="s">
        <v>252</v>
      </c>
      <c r="F30" s="7" t="s">
        <v>213</v>
      </c>
      <c r="G30" s="49">
        <v>0.3333333333333333</v>
      </c>
      <c r="H30" s="49">
        <v>0.75</v>
      </c>
      <c r="I30" s="51">
        <f t="shared" si="1"/>
        <v>0.4166666667</v>
      </c>
      <c r="J30" s="82">
        <v>44275.0</v>
      </c>
      <c r="K30" s="7" t="s">
        <v>2</v>
      </c>
      <c r="L30" s="10">
        <v>28470.0</v>
      </c>
      <c r="M30" s="7" t="s">
        <v>68</v>
      </c>
      <c r="N30" s="83" t="s">
        <v>69</v>
      </c>
      <c r="O30" s="84">
        <v>45901.0</v>
      </c>
      <c r="P30" s="57">
        <v>27640.0</v>
      </c>
      <c r="Q30" s="7"/>
      <c r="R30" s="11"/>
      <c r="S30" s="7" t="s">
        <v>217</v>
      </c>
      <c r="T30" s="7" t="s">
        <v>217</v>
      </c>
      <c r="U30" s="7" t="s">
        <v>207</v>
      </c>
      <c r="V30" s="27">
        <f t="shared" si="20"/>
        <v>27640</v>
      </c>
      <c r="W30" s="13">
        <v>0.1</v>
      </c>
      <c r="X30" s="14"/>
      <c r="Y30" s="14">
        <f t="shared" si="21"/>
        <v>30400</v>
      </c>
      <c r="Z30" s="43" t="s">
        <v>208</v>
      </c>
      <c r="AA30" s="27">
        <f t="shared" si="32"/>
        <v>28470</v>
      </c>
      <c r="AB30" s="14">
        <f t="shared" ref="AB30:AB39" si="36">IFS(AND(AA30&lt;=15000),15300,AND(AA30&gt;15000,AA30&lt;15500),AA30,AND(AA30&gt;=15500,AA30&lt;$Z$1),15500,AA30&gt;=$Z$1,AA30*$AB$2)</f>
        <v>15500</v>
      </c>
      <c r="AC30" s="8">
        <f t="shared" si="35"/>
        <v>5190</v>
      </c>
      <c r="AD30" s="69">
        <f t="shared" si="13"/>
        <v>7780</v>
      </c>
      <c r="AE30" s="8">
        <v>0.0</v>
      </c>
      <c r="AF30" s="8" t="str">
        <f t="shared" si="22"/>
        <v>OK</v>
      </c>
      <c r="AG30" s="8" t="str">
        <f t="shared" si="23"/>
        <v>S OK</v>
      </c>
      <c r="AH30" s="72" t="str">
        <f t="shared" si="24"/>
        <v>#REF!</v>
      </c>
      <c r="AI30" s="8" t="str">
        <f t="shared" si="25"/>
        <v>Not Found</v>
      </c>
      <c r="AJ30" s="21"/>
      <c r="AK30" s="110" t="s">
        <v>283</v>
      </c>
      <c r="AL30" s="75"/>
      <c r="AM30" s="75">
        <f t="shared" si="26"/>
        <v>66</v>
      </c>
      <c r="AN30" s="75"/>
      <c r="AO30" s="75"/>
      <c r="AP30" s="75"/>
      <c r="AQ30" s="75"/>
      <c r="AR30" s="75"/>
      <c r="AS30" s="75"/>
      <c r="AT30" s="75"/>
    </row>
    <row r="31" ht="22.5" customHeight="1">
      <c r="A31" s="7" t="s">
        <v>297</v>
      </c>
      <c r="B31" s="7" t="s">
        <v>298</v>
      </c>
      <c r="C31" s="7" t="s">
        <v>27</v>
      </c>
      <c r="D31" s="7" t="s">
        <v>244</v>
      </c>
      <c r="E31" s="7" t="s">
        <v>252</v>
      </c>
      <c r="F31" s="7" t="s">
        <v>213</v>
      </c>
      <c r="G31" s="49">
        <v>0.3333333333333333</v>
      </c>
      <c r="H31" s="49">
        <v>0.75</v>
      </c>
      <c r="I31" s="51">
        <f t="shared" si="1"/>
        <v>0.4166666667</v>
      </c>
      <c r="J31" s="82">
        <v>41974.0</v>
      </c>
      <c r="K31" s="7" t="s">
        <v>2</v>
      </c>
      <c r="L31" s="10">
        <v>31426.0</v>
      </c>
      <c r="M31" s="7" t="s">
        <v>68</v>
      </c>
      <c r="N31" s="83" t="s">
        <v>69</v>
      </c>
      <c r="O31" s="84">
        <v>45901.0</v>
      </c>
      <c r="P31" s="57">
        <v>30510.0</v>
      </c>
      <c r="Q31" s="7"/>
      <c r="R31" s="11"/>
      <c r="S31" s="85"/>
      <c r="T31" s="7" t="s">
        <v>217</v>
      </c>
      <c r="U31" s="7" t="s">
        <v>207</v>
      </c>
      <c r="V31" s="27">
        <f t="shared" si="20"/>
        <v>30510</v>
      </c>
      <c r="W31" s="13">
        <v>0.1</v>
      </c>
      <c r="X31" s="14"/>
      <c r="Y31" s="14">
        <f t="shared" si="21"/>
        <v>33560</v>
      </c>
      <c r="Z31" s="43" t="s">
        <v>208</v>
      </c>
      <c r="AA31" s="27">
        <f t="shared" si="32"/>
        <v>31426</v>
      </c>
      <c r="AB31" s="14">
        <f t="shared" si="36"/>
        <v>15500</v>
      </c>
      <c r="AC31" s="8">
        <f t="shared" si="35"/>
        <v>6370</v>
      </c>
      <c r="AD31" s="69">
        <f t="shared" si="13"/>
        <v>9556</v>
      </c>
      <c r="AE31" s="8">
        <v>0.0</v>
      </c>
      <c r="AF31" s="8" t="str">
        <f t="shared" si="22"/>
        <v>OK</v>
      </c>
      <c r="AG31" s="8" t="str">
        <f t="shared" si="23"/>
        <v>S OK</v>
      </c>
      <c r="AH31" s="72" t="str">
        <f t="shared" si="24"/>
        <v>#REF!</v>
      </c>
      <c r="AI31" s="8" t="str">
        <f t="shared" si="25"/>
        <v>Not Found</v>
      </c>
      <c r="AJ31" s="123"/>
      <c r="AK31" s="110" t="s">
        <v>283</v>
      </c>
      <c r="AL31" s="75"/>
      <c r="AM31" s="75">
        <f t="shared" si="26"/>
        <v>141</v>
      </c>
      <c r="AN31" s="75"/>
      <c r="AO31" s="75"/>
      <c r="AP31" s="75"/>
      <c r="AQ31" s="75"/>
      <c r="AR31" s="75"/>
      <c r="AS31" s="75"/>
      <c r="AT31" s="75"/>
    </row>
    <row r="32" ht="22.5" customHeight="1">
      <c r="A32" s="7" t="s">
        <v>299</v>
      </c>
      <c r="B32" s="7" t="s">
        <v>300</v>
      </c>
      <c r="C32" s="7" t="s">
        <v>27</v>
      </c>
      <c r="D32" s="7" t="s">
        <v>244</v>
      </c>
      <c r="E32" s="7" t="s">
        <v>245</v>
      </c>
      <c r="F32" s="7" t="s">
        <v>213</v>
      </c>
      <c r="G32" s="49">
        <v>0.3333333333333333</v>
      </c>
      <c r="H32" s="49">
        <v>0.75</v>
      </c>
      <c r="I32" s="51">
        <f t="shared" si="1"/>
        <v>0.4166666667</v>
      </c>
      <c r="J32" s="82">
        <v>41974.0</v>
      </c>
      <c r="K32" s="7" t="s">
        <v>2</v>
      </c>
      <c r="L32" s="10">
        <v>28573.0</v>
      </c>
      <c r="M32" s="7" t="s">
        <v>68</v>
      </c>
      <c r="N32" s="83" t="s">
        <v>69</v>
      </c>
      <c r="O32" s="84">
        <v>45901.0</v>
      </c>
      <c r="P32" s="57">
        <v>27740.0</v>
      </c>
      <c r="Q32" s="7"/>
      <c r="R32" s="11"/>
      <c r="S32" s="7" t="s">
        <v>217</v>
      </c>
      <c r="T32" s="7" t="s">
        <v>217</v>
      </c>
      <c r="U32" s="7" t="s">
        <v>247</v>
      </c>
      <c r="V32" s="27">
        <f t="shared" si="20"/>
        <v>27740</v>
      </c>
      <c r="W32" s="13">
        <v>0.11</v>
      </c>
      <c r="X32" s="14"/>
      <c r="Y32" s="14">
        <f t="shared" si="21"/>
        <v>30790</v>
      </c>
      <c r="Z32" s="43" t="s">
        <v>208</v>
      </c>
      <c r="AA32" s="27">
        <f t="shared" si="32"/>
        <v>28573</v>
      </c>
      <c r="AB32" s="14">
        <f t="shared" si="36"/>
        <v>15500</v>
      </c>
      <c r="AC32" s="8">
        <f t="shared" si="35"/>
        <v>5230</v>
      </c>
      <c r="AD32" s="69">
        <f t="shared" si="13"/>
        <v>7843</v>
      </c>
      <c r="AE32" s="8">
        <v>0.0</v>
      </c>
      <c r="AF32" s="8" t="str">
        <f t="shared" si="22"/>
        <v>OK</v>
      </c>
      <c r="AG32" s="8" t="str">
        <f t="shared" si="23"/>
        <v>US OK</v>
      </c>
      <c r="AH32" s="72" t="str">
        <f t="shared" si="24"/>
        <v>#REF!</v>
      </c>
      <c r="AI32" s="8" t="str">
        <f t="shared" si="25"/>
        <v>Not Found</v>
      </c>
      <c r="AJ32" s="21"/>
      <c r="AK32" s="124"/>
      <c r="AL32" s="75"/>
      <c r="AM32" s="75">
        <f t="shared" si="26"/>
        <v>141</v>
      </c>
      <c r="AN32" s="75"/>
      <c r="AO32" s="75"/>
      <c r="AP32" s="75"/>
      <c r="AQ32" s="75"/>
      <c r="AR32" s="75"/>
      <c r="AS32" s="75"/>
      <c r="AT32" s="75"/>
    </row>
    <row r="33" ht="22.5" customHeight="1">
      <c r="A33" s="7" t="s">
        <v>303</v>
      </c>
      <c r="B33" s="7" t="s">
        <v>304</v>
      </c>
      <c r="C33" s="7" t="s">
        <v>27</v>
      </c>
      <c r="D33" s="7" t="s">
        <v>244</v>
      </c>
      <c r="E33" s="7" t="s">
        <v>292</v>
      </c>
      <c r="F33" s="7" t="s">
        <v>213</v>
      </c>
      <c r="G33" s="49">
        <v>0.3333333333333333</v>
      </c>
      <c r="H33" s="49">
        <v>0.75</v>
      </c>
      <c r="I33" s="51">
        <f t="shared" si="1"/>
        <v>0.4166666667</v>
      </c>
      <c r="J33" s="82">
        <v>41977.0</v>
      </c>
      <c r="K33" s="7" t="s">
        <v>2</v>
      </c>
      <c r="L33" s="10">
        <v>26894.0</v>
      </c>
      <c r="M33" s="7" t="s">
        <v>68</v>
      </c>
      <c r="N33" s="83" t="s">
        <v>69</v>
      </c>
      <c r="O33" s="84">
        <v>45901.0</v>
      </c>
      <c r="P33" s="57">
        <v>26110.0</v>
      </c>
      <c r="Q33" s="7"/>
      <c r="R33" s="11"/>
      <c r="S33" s="7" t="s">
        <v>217</v>
      </c>
      <c r="T33" s="7" t="s">
        <v>217</v>
      </c>
      <c r="U33" s="7" t="s">
        <v>247</v>
      </c>
      <c r="V33" s="27">
        <f t="shared" si="20"/>
        <v>26110</v>
      </c>
      <c r="W33" s="13">
        <v>0.11</v>
      </c>
      <c r="X33" s="14"/>
      <c r="Y33" s="14">
        <f t="shared" si="21"/>
        <v>28980</v>
      </c>
      <c r="Z33" s="43" t="s">
        <v>208</v>
      </c>
      <c r="AA33" s="27">
        <f t="shared" si="32"/>
        <v>26894</v>
      </c>
      <c r="AB33" s="14">
        <f t="shared" si="36"/>
        <v>15500</v>
      </c>
      <c r="AC33" s="8">
        <f t="shared" si="35"/>
        <v>4560</v>
      </c>
      <c r="AD33" s="69">
        <f t="shared" si="13"/>
        <v>6834</v>
      </c>
      <c r="AE33" s="8">
        <v>0.0</v>
      </c>
      <c r="AF33" s="8" t="str">
        <f t="shared" si="22"/>
        <v>OK</v>
      </c>
      <c r="AG33" s="8" t="str">
        <f t="shared" si="23"/>
        <v>US OK</v>
      </c>
      <c r="AH33" s="72" t="str">
        <f t="shared" si="24"/>
        <v>#REF!</v>
      </c>
      <c r="AI33" s="8" t="str">
        <f t="shared" si="25"/>
        <v>Not Found</v>
      </c>
      <c r="AJ33" s="21"/>
      <c r="AK33" s="110" t="s">
        <v>283</v>
      </c>
      <c r="AL33" s="75"/>
      <c r="AM33" s="75">
        <f t="shared" si="26"/>
        <v>141</v>
      </c>
      <c r="AN33" s="75"/>
      <c r="AO33" s="75"/>
      <c r="AP33" s="75"/>
      <c r="AQ33" s="75"/>
      <c r="AR33" s="75"/>
      <c r="AS33" s="75"/>
      <c r="AT33" s="75"/>
    </row>
    <row r="34" ht="22.5" customHeight="1">
      <c r="A34" s="7" t="s">
        <v>305</v>
      </c>
      <c r="B34" s="7" t="s">
        <v>306</v>
      </c>
      <c r="C34" s="7" t="s">
        <v>27</v>
      </c>
      <c r="D34" s="7" t="s">
        <v>244</v>
      </c>
      <c r="E34" s="7" t="s">
        <v>292</v>
      </c>
      <c r="F34" s="7" t="s">
        <v>213</v>
      </c>
      <c r="G34" s="49">
        <v>0.3333333333333333</v>
      </c>
      <c r="H34" s="49">
        <v>0.75</v>
      </c>
      <c r="I34" s="51">
        <f t="shared" si="1"/>
        <v>0.4166666667</v>
      </c>
      <c r="J34" s="82">
        <v>41974.0</v>
      </c>
      <c r="K34" s="7" t="s">
        <v>2</v>
      </c>
      <c r="L34" s="10">
        <v>31364.0</v>
      </c>
      <c r="M34" s="7" t="s">
        <v>68</v>
      </c>
      <c r="N34" s="83" t="s">
        <v>69</v>
      </c>
      <c r="O34" s="84">
        <v>45901.0</v>
      </c>
      <c r="P34" s="57">
        <v>30450.0</v>
      </c>
      <c r="Q34" s="7"/>
      <c r="R34" s="11"/>
      <c r="S34" s="85"/>
      <c r="T34" s="7" t="s">
        <v>217</v>
      </c>
      <c r="U34" s="7" t="s">
        <v>207</v>
      </c>
      <c r="V34" s="27">
        <f t="shared" si="20"/>
        <v>30450</v>
      </c>
      <c r="W34" s="13">
        <v>0.1</v>
      </c>
      <c r="X34" s="14"/>
      <c r="Y34" s="14">
        <f t="shared" si="21"/>
        <v>33500</v>
      </c>
      <c r="Z34" s="43" t="s">
        <v>208</v>
      </c>
      <c r="AA34" s="27">
        <f t="shared" si="32"/>
        <v>31364</v>
      </c>
      <c r="AB34" s="14">
        <f t="shared" si="36"/>
        <v>15500</v>
      </c>
      <c r="AC34" s="8">
        <f t="shared" si="35"/>
        <v>6350</v>
      </c>
      <c r="AD34" s="69">
        <f t="shared" si="13"/>
        <v>9514</v>
      </c>
      <c r="AE34" s="8">
        <v>0.0</v>
      </c>
      <c r="AF34" s="8" t="str">
        <f t="shared" si="22"/>
        <v>OK</v>
      </c>
      <c r="AG34" s="8" t="str">
        <f t="shared" si="23"/>
        <v>S OK</v>
      </c>
      <c r="AH34" s="72" t="str">
        <f t="shared" si="24"/>
        <v>#REF!</v>
      </c>
      <c r="AI34" s="8" t="str">
        <f t="shared" si="25"/>
        <v>Not Found</v>
      </c>
      <c r="AJ34" s="21"/>
      <c r="AK34" s="110" t="s">
        <v>283</v>
      </c>
      <c r="AL34" s="75"/>
      <c r="AM34" s="75">
        <f t="shared" si="26"/>
        <v>141</v>
      </c>
      <c r="AN34" s="75"/>
      <c r="AO34" s="75"/>
      <c r="AP34" s="75"/>
      <c r="AQ34" s="75"/>
      <c r="AR34" s="75"/>
      <c r="AS34" s="75"/>
      <c r="AT34" s="75"/>
    </row>
    <row r="35" ht="22.5" customHeight="1">
      <c r="A35" s="7" t="s">
        <v>307</v>
      </c>
      <c r="B35" s="7" t="s">
        <v>308</v>
      </c>
      <c r="C35" s="7" t="s">
        <v>27</v>
      </c>
      <c r="D35" s="7" t="s">
        <v>244</v>
      </c>
      <c r="E35" s="7" t="s">
        <v>252</v>
      </c>
      <c r="F35" s="7" t="s">
        <v>213</v>
      </c>
      <c r="G35" s="49">
        <v>0.3333333333333333</v>
      </c>
      <c r="H35" s="49">
        <v>0.75</v>
      </c>
      <c r="I35" s="51">
        <f t="shared" si="1"/>
        <v>0.4166666667</v>
      </c>
      <c r="J35" s="82">
        <v>41978.0</v>
      </c>
      <c r="K35" s="7" t="s">
        <v>2</v>
      </c>
      <c r="L35" s="10">
        <v>31364.0</v>
      </c>
      <c r="M35" s="7" t="s">
        <v>68</v>
      </c>
      <c r="N35" s="83" t="s">
        <v>69</v>
      </c>
      <c r="O35" s="84">
        <v>45901.0</v>
      </c>
      <c r="P35" s="57">
        <v>30450.0</v>
      </c>
      <c r="Q35" s="7"/>
      <c r="R35" s="11"/>
      <c r="S35" s="85"/>
      <c r="T35" s="7" t="s">
        <v>217</v>
      </c>
      <c r="U35" s="7" t="s">
        <v>207</v>
      </c>
      <c r="V35" s="27">
        <f t="shared" si="20"/>
        <v>30450</v>
      </c>
      <c r="W35" s="13">
        <v>0.1</v>
      </c>
      <c r="X35" s="14"/>
      <c r="Y35" s="14">
        <f t="shared" si="21"/>
        <v>33500</v>
      </c>
      <c r="Z35" s="43" t="s">
        <v>208</v>
      </c>
      <c r="AA35" s="27">
        <f t="shared" si="32"/>
        <v>31364</v>
      </c>
      <c r="AB35" s="14">
        <f t="shared" si="36"/>
        <v>15500</v>
      </c>
      <c r="AC35" s="8">
        <f t="shared" si="35"/>
        <v>6350</v>
      </c>
      <c r="AD35" s="69">
        <f t="shared" si="13"/>
        <v>9514</v>
      </c>
      <c r="AE35" s="8">
        <v>0.0</v>
      </c>
      <c r="AF35" s="8" t="str">
        <f t="shared" si="22"/>
        <v>OK</v>
      </c>
      <c r="AG35" s="8" t="str">
        <f t="shared" si="23"/>
        <v>S OK</v>
      </c>
      <c r="AH35" s="72" t="str">
        <f t="shared" si="24"/>
        <v>#REF!</v>
      </c>
      <c r="AI35" s="8" t="str">
        <f t="shared" si="25"/>
        <v>Not Found</v>
      </c>
      <c r="AJ35" s="21" t="s">
        <v>283</v>
      </c>
      <c r="AK35" s="110" t="s">
        <v>283</v>
      </c>
      <c r="AL35" s="75"/>
      <c r="AM35" s="75">
        <f t="shared" si="26"/>
        <v>141</v>
      </c>
      <c r="AN35" s="75"/>
      <c r="AO35" s="75"/>
      <c r="AP35" s="75"/>
      <c r="AQ35" s="75"/>
      <c r="AR35" s="75"/>
      <c r="AS35" s="75"/>
      <c r="AT35" s="75"/>
    </row>
    <row r="36" ht="22.5" customHeight="1">
      <c r="A36" s="7" t="s">
        <v>311</v>
      </c>
      <c r="B36" s="7" t="s">
        <v>312</v>
      </c>
      <c r="C36" s="7" t="s">
        <v>27</v>
      </c>
      <c r="D36" s="7" t="s">
        <v>244</v>
      </c>
      <c r="E36" s="7" t="s">
        <v>252</v>
      </c>
      <c r="F36" s="7" t="s">
        <v>213</v>
      </c>
      <c r="G36" s="49">
        <v>0.3333333333333333</v>
      </c>
      <c r="H36" s="49">
        <v>0.75</v>
      </c>
      <c r="I36" s="51">
        <f t="shared" si="1"/>
        <v>0.4166666667</v>
      </c>
      <c r="J36" s="82">
        <v>41944.0</v>
      </c>
      <c r="K36" s="7" t="s">
        <v>2</v>
      </c>
      <c r="L36" s="10">
        <v>22134.0</v>
      </c>
      <c r="M36" s="7" t="s">
        <v>68</v>
      </c>
      <c r="N36" s="83" t="s">
        <v>69</v>
      </c>
      <c r="O36" s="84">
        <v>45901.0</v>
      </c>
      <c r="P36" s="57">
        <v>18990.0</v>
      </c>
      <c r="Q36" s="7"/>
      <c r="R36" s="11"/>
      <c r="S36" s="7" t="s">
        <v>217</v>
      </c>
      <c r="T36" s="7" t="s">
        <v>217</v>
      </c>
      <c r="U36" s="7" t="s">
        <v>207</v>
      </c>
      <c r="V36" s="27">
        <f t="shared" si="20"/>
        <v>18990</v>
      </c>
      <c r="W36" s="13">
        <v>0.11</v>
      </c>
      <c r="X36" s="14"/>
      <c r="Y36" s="14">
        <f t="shared" si="21"/>
        <v>21080</v>
      </c>
      <c r="Z36" s="43" t="s">
        <v>208</v>
      </c>
      <c r="AA36" s="14">
        <v>22134.0</v>
      </c>
      <c r="AB36" s="14">
        <f t="shared" si="36"/>
        <v>15500</v>
      </c>
      <c r="AC36" s="8">
        <f t="shared" si="35"/>
        <v>2650</v>
      </c>
      <c r="AD36" s="8">
        <f t="shared" si="13"/>
        <v>3984</v>
      </c>
      <c r="AE36" s="8">
        <v>0.0</v>
      </c>
      <c r="AF36" s="8" t="str">
        <f t="shared" si="22"/>
        <v>OK</v>
      </c>
      <c r="AG36" s="8" t="str">
        <f t="shared" si="23"/>
        <v>S OK</v>
      </c>
      <c r="AH36" s="72" t="str">
        <f t="shared" si="24"/>
        <v>#REF!</v>
      </c>
      <c r="AI36" s="8" t="str">
        <f t="shared" si="25"/>
        <v>Not Found</v>
      </c>
      <c r="AJ36" s="21"/>
      <c r="AK36" s="110" t="s">
        <v>283</v>
      </c>
      <c r="AL36" s="75"/>
      <c r="AM36" s="75">
        <f t="shared" si="26"/>
        <v>142</v>
      </c>
      <c r="AN36" s="105"/>
      <c r="AO36" s="105"/>
      <c r="AP36" s="105"/>
      <c r="AQ36" s="105"/>
      <c r="AR36" s="105"/>
      <c r="AS36" s="105"/>
      <c r="AT36" s="105"/>
    </row>
    <row r="37" ht="22.5" customHeight="1">
      <c r="A37" s="7" t="s">
        <v>313</v>
      </c>
      <c r="B37" s="7" t="s">
        <v>314</v>
      </c>
      <c r="C37" s="7" t="s">
        <v>27</v>
      </c>
      <c r="D37" s="7" t="s">
        <v>244</v>
      </c>
      <c r="E37" s="7" t="s">
        <v>245</v>
      </c>
      <c r="F37" s="7" t="s">
        <v>213</v>
      </c>
      <c r="G37" s="49">
        <v>0.3333333333333333</v>
      </c>
      <c r="H37" s="49">
        <v>0.75</v>
      </c>
      <c r="I37" s="51">
        <f t="shared" si="1"/>
        <v>0.4166666667</v>
      </c>
      <c r="J37" s="82">
        <v>41621.0</v>
      </c>
      <c r="K37" s="7" t="s">
        <v>2</v>
      </c>
      <c r="L37" s="10">
        <v>22470.0</v>
      </c>
      <c r="M37" s="7" t="s">
        <v>68</v>
      </c>
      <c r="N37" s="83" t="s">
        <v>69</v>
      </c>
      <c r="O37" s="84">
        <v>45901.0</v>
      </c>
      <c r="P37" s="57">
        <v>19280.0</v>
      </c>
      <c r="Q37" s="7"/>
      <c r="R37" s="11"/>
      <c r="S37" s="7" t="s">
        <v>217</v>
      </c>
      <c r="T37" s="7" t="s">
        <v>217</v>
      </c>
      <c r="U37" s="7" t="s">
        <v>247</v>
      </c>
      <c r="V37" s="27">
        <f t="shared" si="20"/>
        <v>19280</v>
      </c>
      <c r="W37" s="13">
        <v>0.11</v>
      </c>
      <c r="X37" s="14"/>
      <c r="Y37" s="14">
        <f t="shared" si="21"/>
        <v>21400</v>
      </c>
      <c r="Z37" s="43" t="s">
        <v>208</v>
      </c>
      <c r="AA37" s="27">
        <f t="shared" ref="AA37:AA95" si="37">L37</f>
        <v>22470</v>
      </c>
      <c r="AB37" s="14">
        <f t="shared" si="36"/>
        <v>15500</v>
      </c>
      <c r="AC37" s="8">
        <f t="shared" si="35"/>
        <v>2790</v>
      </c>
      <c r="AD37" s="69">
        <f t="shared" si="13"/>
        <v>4180</v>
      </c>
      <c r="AE37" s="8">
        <v>0.0</v>
      </c>
      <c r="AF37" s="8" t="str">
        <f t="shared" si="22"/>
        <v>OK</v>
      </c>
      <c r="AG37" s="8" t="str">
        <f t="shared" si="23"/>
        <v>US OK</v>
      </c>
      <c r="AH37" s="72" t="str">
        <f t="shared" si="24"/>
        <v>#REF!</v>
      </c>
      <c r="AI37" s="8" t="str">
        <f t="shared" si="25"/>
        <v>Not Found</v>
      </c>
      <c r="AJ37" s="21"/>
      <c r="AK37" s="110" t="s">
        <v>283</v>
      </c>
      <c r="AL37" s="75"/>
      <c r="AM37" s="75">
        <f t="shared" si="26"/>
        <v>153</v>
      </c>
      <c r="AN37" s="75"/>
      <c r="AO37" s="75"/>
      <c r="AP37" s="75"/>
      <c r="AQ37" s="75"/>
      <c r="AR37" s="75"/>
      <c r="AS37" s="75"/>
      <c r="AT37" s="75"/>
    </row>
    <row r="38" ht="22.5" customHeight="1">
      <c r="A38" s="7" t="s">
        <v>315</v>
      </c>
      <c r="B38" s="7" t="s">
        <v>316</v>
      </c>
      <c r="C38" s="7" t="s">
        <v>27</v>
      </c>
      <c r="D38" s="7" t="s">
        <v>64</v>
      </c>
      <c r="E38" s="7" t="s">
        <v>64</v>
      </c>
      <c r="F38" s="7" t="s">
        <v>202</v>
      </c>
      <c r="G38" s="49">
        <v>0.4166666666666667</v>
      </c>
      <c r="H38" s="49">
        <v>0.7916666666666666</v>
      </c>
      <c r="I38" s="51">
        <f t="shared" si="1"/>
        <v>0.375</v>
      </c>
      <c r="J38" s="82">
        <v>41634.0</v>
      </c>
      <c r="K38" s="7" t="s">
        <v>2</v>
      </c>
      <c r="L38" s="10">
        <f t="shared" ref="L38:L39" si="38">Y38</f>
        <v>46770</v>
      </c>
      <c r="M38" s="7" t="s">
        <v>68</v>
      </c>
      <c r="N38" s="83" t="s">
        <v>69</v>
      </c>
      <c r="O38" s="84">
        <v>45901.0</v>
      </c>
      <c r="P38" s="57">
        <v>42910.0</v>
      </c>
      <c r="Q38" s="7"/>
      <c r="R38" s="11"/>
      <c r="S38" s="85"/>
      <c r="T38" s="7" t="s">
        <v>71</v>
      </c>
      <c r="U38" s="7" t="s">
        <v>207</v>
      </c>
      <c r="V38" s="27">
        <f t="shared" si="20"/>
        <v>42910</v>
      </c>
      <c r="W38" s="13">
        <v>0.09</v>
      </c>
      <c r="X38" s="14"/>
      <c r="Y38" s="14">
        <f t="shared" si="21"/>
        <v>46770</v>
      </c>
      <c r="Z38" s="43" t="s">
        <v>208</v>
      </c>
      <c r="AA38" s="27">
        <f t="shared" si="37"/>
        <v>46770</v>
      </c>
      <c r="AB38" s="14">
        <f t="shared" si="36"/>
        <v>23385</v>
      </c>
      <c r="AC38" s="8">
        <f t="shared" si="35"/>
        <v>9350</v>
      </c>
      <c r="AD38" s="69">
        <f t="shared" si="13"/>
        <v>14035</v>
      </c>
      <c r="AE38" s="8">
        <v>0.0</v>
      </c>
      <c r="AF38" s="8" t="str">
        <f t="shared" si="22"/>
        <v>OK</v>
      </c>
      <c r="AG38" s="8" t="str">
        <f t="shared" si="23"/>
        <v>S OK</v>
      </c>
      <c r="AH38" s="72" t="str">
        <f t="shared" si="24"/>
        <v>#REF!</v>
      </c>
      <c r="AI38" s="8" t="str">
        <f t="shared" si="25"/>
        <v>Not Found</v>
      </c>
      <c r="AJ38" s="21"/>
      <c r="AK38" s="86"/>
      <c r="AL38" s="75"/>
      <c r="AM38" s="75">
        <f t="shared" si="26"/>
        <v>153</v>
      </c>
      <c r="AN38" s="75"/>
      <c r="AO38" s="75"/>
      <c r="AP38" s="75"/>
      <c r="AQ38" s="75"/>
      <c r="AR38" s="75"/>
      <c r="AS38" s="75"/>
      <c r="AT38" s="75"/>
    </row>
    <row r="39" ht="22.5" customHeight="1">
      <c r="A39" s="7" t="s">
        <v>319</v>
      </c>
      <c r="B39" s="7" t="s">
        <v>320</v>
      </c>
      <c r="C39" s="7" t="s">
        <v>27</v>
      </c>
      <c r="D39" s="7" t="s">
        <v>321</v>
      </c>
      <c r="E39" s="7" t="s">
        <v>64</v>
      </c>
      <c r="F39" s="7" t="s">
        <v>202</v>
      </c>
      <c r="G39" s="49">
        <v>0.375</v>
      </c>
      <c r="H39" s="49">
        <v>0.75</v>
      </c>
      <c r="I39" s="51">
        <f t="shared" si="1"/>
        <v>0.375</v>
      </c>
      <c r="J39" s="82">
        <v>42248.0</v>
      </c>
      <c r="K39" s="7" t="s">
        <v>2</v>
      </c>
      <c r="L39" s="10">
        <f t="shared" si="38"/>
        <v>221230</v>
      </c>
      <c r="M39" s="7" t="s">
        <v>68</v>
      </c>
      <c r="N39" s="83" t="s">
        <v>69</v>
      </c>
      <c r="O39" s="84">
        <v>45901.0</v>
      </c>
      <c r="P39" s="57">
        <v>204840.0</v>
      </c>
      <c r="Q39" s="125">
        <v>39870.0</v>
      </c>
      <c r="R39" s="11"/>
      <c r="S39" s="85"/>
      <c r="T39" s="7" t="s">
        <v>71</v>
      </c>
      <c r="U39" s="7"/>
      <c r="V39" s="27">
        <f t="shared" si="20"/>
        <v>204840</v>
      </c>
      <c r="W39" s="13">
        <v>0.08</v>
      </c>
      <c r="X39" s="14"/>
      <c r="Y39" s="14">
        <f t="shared" si="21"/>
        <v>221230</v>
      </c>
      <c r="Z39" s="43"/>
      <c r="AA39" s="27">
        <f t="shared" si="37"/>
        <v>221230</v>
      </c>
      <c r="AB39" s="14">
        <f t="shared" si="36"/>
        <v>110615</v>
      </c>
      <c r="AC39" s="8">
        <f t="shared" si="35"/>
        <v>44250</v>
      </c>
      <c r="AD39" s="69">
        <f t="shared" si="13"/>
        <v>66365</v>
      </c>
      <c r="AE39" s="8">
        <v>0.0</v>
      </c>
      <c r="AF39" s="8" t="str">
        <f t="shared" si="22"/>
        <v>OK</v>
      </c>
      <c r="AG39" s="8" t="str">
        <f t="shared" si="23"/>
        <v>Skill Missing</v>
      </c>
      <c r="AH39" s="72" t="str">
        <f t="shared" si="24"/>
        <v>#REF!</v>
      </c>
      <c r="AI39" s="8" t="str">
        <f t="shared" si="25"/>
        <v>Not Found</v>
      </c>
      <c r="AJ39" s="21"/>
      <c r="AK39" s="86"/>
      <c r="AL39" s="75"/>
      <c r="AM39" s="75">
        <f t="shared" si="26"/>
        <v>132</v>
      </c>
      <c r="AN39" s="75"/>
      <c r="AO39" s="75"/>
      <c r="AP39" s="75"/>
      <c r="AQ39" s="75"/>
      <c r="AR39" s="75"/>
      <c r="AS39" s="75"/>
      <c r="AT39" s="75"/>
    </row>
    <row r="40" ht="22.5" customHeight="1">
      <c r="A40" s="7" t="s">
        <v>322</v>
      </c>
      <c r="B40" s="7" t="s">
        <v>323</v>
      </c>
      <c r="C40" s="7" t="s">
        <v>27</v>
      </c>
      <c r="D40" s="7" t="s">
        <v>324</v>
      </c>
      <c r="E40" s="7" t="s">
        <v>216</v>
      </c>
      <c r="F40" s="7" t="s">
        <v>202</v>
      </c>
      <c r="G40" s="49">
        <v>0.375</v>
      </c>
      <c r="H40" s="49">
        <v>0.75</v>
      </c>
      <c r="I40" s="51">
        <f t="shared" si="1"/>
        <v>0.375</v>
      </c>
      <c r="J40" s="82">
        <v>42248.0</v>
      </c>
      <c r="K40" s="7" t="s">
        <v>2</v>
      </c>
      <c r="L40" s="10">
        <v>80000.0</v>
      </c>
      <c r="M40" s="7" t="s">
        <v>68</v>
      </c>
      <c r="N40" s="83" t="s">
        <v>69</v>
      </c>
      <c r="O40" s="84">
        <v>45748.0</v>
      </c>
      <c r="P40" s="7">
        <v>75000.0</v>
      </c>
      <c r="Q40" s="7"/>
      <c r="R40" s="78"/>
      <c r="S40" s="85"/>
      <c r="T40" s="7" t="s">
        <v>71</v>
      </c>
      <c r="U40" s="7"/>
      <c r="V40" s="27">
        <f t="shared" si="20"/>
        <v>75000</v>
      </c>
      <c r="W40" s="59">
        <v>0.0</v>
      </c>
      <c r="X40" s="14"/>
      <c r="Y40" s="14">
        <f t="shared" si="21"/>
        <v>75000</v>
      </c>
      <c r="Z40" s="43"/>
      <c r="AA40" s="27">
        <f t="shared" si="37"/>
        <v>80000</v>
      </c>
      <c r="AB40" s="14">
        <v>58850.0</v>
      </c>
      <c r="AC40" s="8">
        <v>16150.0</v>
      </c>
      <c r="AD40" s="69">
        <f t="shared" si="13"/>
        <v>5000</v>
      </c>
      <c r="AE40" s="8">
        <v>0.0</v>
      </c>
      <c r="AF40" s="8" t="str">
        <f t="shared" si="22"/>
        <v>OK</v>
      </c>
      <c r="AG40" s="8" t="str">
        <f t="shared" si="23"/>
        <v>Skill Missing</v>
      </c>
      <c r="AH40" s="72" t="str">
        <f t="shared" si="24"/>
        <v>#REF!</v>
      </c>
      <c r="AI40" s="8" t="str">
        <f t="shared" si="25"/>
        <v>Not Found</v>
      </c>
      <c r="AJ40" s="21"/>
      <c r="AK40" s="86"/>
      <c r="AL40" s="81"/>
      <c r="AM40" s="81">
        <f t="shared" si="26"/>
        <v>132</v>
      </c>
      <c r="AN40" s="81"/>
      <c r="AO40" s="81"/>
      <c r="AP40" s="81"/>
      <c r="AQ40" s="81"/>
      <c r="AR40" s="81"/>
      <c r="AS40" s="81"/>
      <c r="AT40" s="81"/>
    </row>
    <row r="41" ht="22.5" customHeight="1">
      <c r="A41" s="7" t="s">
        <v>325</v>
      </c>
      <c r="B41" s="7" t="s">
        <v>326</v>
      </c>
      <c r="C41" s="7" t="s">
        <v>27</v>
      </c>
      <c r="D41" s="7" t="s">
        <v>324</v>
      </c>
      <c r="E41" s="7" t="s">
        <v>216</v>
      </c>
      <c r="F41" s="7" t="s">
        <v>202</v>
      </c>
      <c r="G41" s="49">
        <v>0.375</v>
      </c>
      <c r="H41" s="49">
        <v>0.75</v>
      </c>
      <c r="I41" s="51">
        <f t="shared" si="1"/>
        <v>0.375</v>
      </c>
      <c r="J41" s="82">
        <v>42248.0</v>
      </c>
      <c r="K41" s="7" t="s">
        <v>2</v>
      </c>
      <c r="L41" s="10">
        <v>60000.0</v>
      </c>
      <c r="M41" s="7" t="s">
        <v>68</v>
      </c>
      <c r="N41" s="83" t="s">
        <v>69</v>
      </c>
      <c r="O41" s="84">
        <v>45170.0</v>
      </c>
      <c r="P41" s="7">
        <v>47520.0</v>
      </c>
      <c r="Q41" s="7"/>
      <c r="R41" s="78"/>
      <c r="S41" s="85"/>
      <c r="T41" s="7" t="s">
        <v>71</v>
      </c>
      <c r="U41" s="7"/>
      <c r="V41" s="27">
        <f t="shared" si="20"/>
        <v>47520</v>
      </c>
      <c r="W41" s="59">
        <v>0.0</v>
      </c>
      <c r="X41" s="14"/>
      <c r="Y41" s="14">
        <f t="shared" si="21"/>
        <v>47520</v>
      </c>
      <c r="Z41" s="43"/>
      <c r="AA41" s="27">
        <f t="shared" si="37"/>
        <v>60000</v>
      </c>
      <c r="AB41" s="27">
        <v>60000.0</v>
      </c>
      <c r="AC41" s="8"/>
      <c r="AD41" s="8"/>
      <c r="AE41" s="8">
        <v>0.0</v>
      </c>
      <c r="AF41" s="8" t="str">
        <f t="shared" si="22"/>
        <v>OK</v>
      </c>
      <c r="AG41" s="8" t="str">
        <f t="shared" si="23"/>
        <v>Skill Missing</v>
      </c>
      <c r="AH41" s="72" t="str">
        <f t="shared" si="24"/>
        <v>#REF!</v>
      </c>
      <c r="AI41" s="8" t="str">
        <f t="shared" si="25"/>
        <v>Not Found</v>
      </c>
      <c r="AJ41" s="21"/>
      <c r="AK41" s="86"/>
      <c r="AL41" s="81"/>
      <c r="AM41" s="81">
        <f t="shared" si="26"/>
        <v>132</v>
      </c>
      <c r="AN41" s="81"/>
      <c r="AO41" s="81"/>
      <c r="AP41" s="81"/>
      <c r="AQ41" s="81"/>
      <c r="AR41" s="81"/>
      <c r="AS41" s="81"/>
      <c r="AT41" s="81"/>
    </row>
    <row r="42" ht="22.5" customHeight="1">
      <c r="A42" s="7" t="s">
        <v>329</v>
      </c>
      <c r="B42" s="7" t="s">
        <v>330</v>
      </c>
      <c r="C42" s="7" t="s">
        <v>27</v>
      </c>
      <c r="D42" s="7" t="s">
        <v>223</v>
      </c>
      <c r="E42" s="7" t="s">
        <v>331</v>
      </c>
      <c r="F42" s="7" t="s">
        <v>213</v>
      </c>
      <c r="G42" s="49">
        <v>0.3333333333333333</v>
      </c>
      <c r="H42" s="49">
        <v>0.75</v>
      </c>
      <c r="I42" s="51">
        <f t="shared" si="1"/>
        <v>0.4166666667</v>
      </c>
      <c r="J42" s="82">
        <v>42278.0</v>
      </c>
      <c r="K42" s="7" t="s">
        <v>2</v>
      </c>
      <c r="L42" s="10">
        <v>31106.0</v>
      </c>
      <c r="M42" s="7" t="s">
        <v>68</v>
      </c>
      <c r="N42" s="83" t="s">
        <v>69</v>
      </c>
      <c r="O42" s="84">
        <v>45901.0</v>
      </c>
      <c r="P42" s="57">
        <v>30200.0</v>
      </c>
      <c r="Q42" s="7"/>
      <c r="R42" s="11"/>
      <c r="S42" s="7" t="s">
        <v>217</v>
      </c>
      <c r="T42" s="7" t="s">
        <v>217</v>
      </c>
      <c r="U42" s="7" t="s">
        <v>207</v>
      </c>
      <c r="V42" s="27">
        <f t="shared" si="20"/>
        <v>30200</v>
      </c>
      <c r="W42" s="13">
        <v>0.1</v>
      </c>
      <c r="X42" s="14"/>
      <c r="Y42" s="14">
        <f t="shared" si="21"/>
        <v>33220</v>
      </c>
      <c r="Z42" s="43" t="s">
        <v>208</v>
      </c>
      <c r="AA42" s="27">
        <f t="shared" si="37"/>
        <v>31106</v>
      </c>
      <c r="AB42" s="14">
        <f t="shared" ref="AB42:AB43" si="39">IFS(AND(AA42&lt;=15000),15300,AND(AA42&gt;15000,AA42&lt;15500),AA42,AND(AA42&gt;=15500,AA42&lt;$Z$1),15500,AA42&gt;=$Z$1,AA42*$AB$2)</f>
        <v>15500</v>
      </c>
      <c r="AC42" s="8">
        <f t="shared" ref="AC42:AC50" si="40">round(IF($AA42&lt;=$Z$1,($AA42-$AB42)*AC$1,$AA42*AC$2),-1)</f>
        <v>6240</v>
      </c>
      <c r="AD42" s="69">
        <f t="shared" ref="AD42:AD50" si="41">round(IF($AA42&lt;=$Z$1,($AA42-$AB42)*AD$1,$AA42*AD$2),-1)+AA42-AB42-AC42-round(IF($AA42&lt;=$Z$1,($AA42-$AB42)*AD$1,$AA42*AD$2),-1)</f>
        <v>9366</v>
      </c>
      <c r="AE42" s="8">
        <v>0.0</v>
      </c>
      <c r="AF42" s="8" t="str">
        <f t="shared" si="22"/>
        <v>OK</v>
      </c>
      <c r="AG42" s="8" t="str">
        <f t="shared" si="23"/>
        <v>S OK</v>
      </c>
      <c r="AH42" s="72" t="str">
        <f t="shared" si="24"/>
        <v>#REF!</v>
      </c>
      <c r="AI42" s="8" t="str">
        <f t="shared" si="25"/>
        <v>Not Found</v>
      </c>
      <c r="AJ42" s="21"/>
      <c r="AK42" s="124"/>
      <c r="AL42" s="75"/>
      <c r="AM42" s="75">
        <f t="shared" si="26"/>
        <v>131</v>
      </c>
      <c r="AN42" s="75"/>
      <c r="AO42" s="75"/>
      <c r="AP42" s="75"/>
      <c r="AQ42" s="75"/>
      <c r="AR42" s="75"/>
      <c r="AS42" s="75"/>
      <c r="AT42" s="75"/>
    </row>
    <row r="43" ht="22.5" customHeight="1">
      <c r="A43" s="7" t="s">
        <v>332</v>
      </c>
      <c r="B43" s="7" t="s">
        <v>333</v>
      </c>
      <c r="C43" s="7" t="s">
        <v>27</v>
      </c>
      <c r="D43" s="7" t="s">
        <v>286</v>
      </c>
      <c r="E43" s="7" t="s">
        <v>287</v>
      </c>
      <c r="F43" s="7" t="s">
        <v>213</v>
      </c>
      <c r="G43" s="49">
        <v>0.375</v>
      </c>
      <c r="H43" s="49">
        <v>0.7708333333333334</v>
      </c>
      <c r="I43" s="51">
        <f t="shared" si="1"/>
        <v>0.3958333333</v>
      </c>
      <c r="J43" s="82">
        <v>42058.0</v>
      </c>
      <c r="K43" s="7" t="s">
        <v>2</v>
      </c>
      <c r="L43" s="10">
        <f t="shared" ref="L43:L47" si="42">Y43</f>
        <v>34620</v>
      </c>
      <c r="M43" s="7" t="s">
        <v>68</v>
      </c>
      <c r="N43" s="83" t="s">
        <v>69</v>
      </c>
      <c r="O43" s="84">
        <v>45901.0</v>
      </c>
      <c r="P43" s="57">
        <v>31470.0</v>
      </c>
      <c r="Q43" s="7"/>
      <c r="R43" s="11"/>
      <c r="S43" s="7" t="s">
        <v>217</v>
      </c>
      <c r="T43" s="7" t="s">
        <v>71</v>
      </c>
      <c r="U43" s="7" t="s">
        <v>207</v>
      </c>
      <c r="V43" s="27">
        <f t="shared" si="20"/>
        <v>31470</v>
      </c>
      <c r="W43" s="13">
        <v>0.1</v>
      </c>
      <c r="X43" s="14"/>
      <c r="Y43" s="14">
        <f t="shared" si="21"/>
        <v>34620</v>
      </c>
      <c r="Z43" s="43"/>
      <c r="AA43" s="27">
        <f t="shared" si="37"/>
        <v>34620</v>
      </c>
      <c r="AB43" s="14">
        <f t="shared" si="39"/>
        <v>15500</v>
      </c>
      <c r="AC43" s="8">
        <f t="shared" si="40"/>
        <v>7650</v>
      </c>
      <c r="AD43" s="69">
        <f t="shared" si="41"/>
        <v>11470</v>
      </c>
      <c r="AE43" s="8">
        <v>0.0</v>
      </c>
      <c r="AF43" s="8" t="str">
        <f t="shared" si="22"/>
        <v>OK</v>
      </c>
      <c r="AG43" s="8" t="str">
        <f t="shared" si="23"/>
        <v>S OK</v>
      </c>
      <c r="AH43" s="72" t="str">
        <f t="shared" si="24"/>
        <v>#REF!</v>
      </c>
      <c r="AI43" s="8" t="str">
        <f t="shared" si="25"/>
        <v>Not Found</v>
      </c>
      <c r="AJ43" s="21" t="s">
        <v>193</v>
      </c>
      <c r="AK43" s="124"/>
      <c r="AL43" s="75"/>
      <c r="AM43" s="75">
        <f t="shared" si="26"/>
        <v>139</v>
      </c>
      <c r="AN43" s="105"/>
      <c r="AO43" s="105"/>
      <c r="AP43" s="105"/>
      <c r="AQ43" s="105"/>
      <c r="AR43" s="105"/>
      <c r="AS43" s="105"/>
      <c r="AT43" s="105"/>
    </row>
    <row r="44" ht="22.5" customHeight="1">
      <c r="A44" s="7" t="s">
        <v>336</v>
      </c>
      <c r="B44" s="7" t="s">
        <v>337</v>
      </c>
      <c r="C44" s="7" t="s">
        <v>27</v>
      </c>
      <c r="D44" s="7" t="s">
        <v>244</v>
      </c>
      <c r="E44" s="7" t="s">
        <v>252</v>
      </c>
      <c r="F44" s="7" t="s">
        <v>199</v>
      </c>
      <c r="G44" s="49">
        <v>0.375</v>
      </c>
      <c r="H44" s="49">
        <v>0.7916666666666666</v>
      </c>
      <c r="I44" s="51">
        <f t="shared" si="1"/>
        <v>0.4166666667</v>
      </c>
      <c r="J44" s="82">
        <v>42230.0</v>
      </c>
      <c r="K44" s="7" t="s">
        <v>2</v>
      </c>
      <c r="L44" s="10">
        <f t="shared" si="42"/>
        <v>25130</v>
      </c>
      <c r="M44" s="7" t="s">
        <v>68</v>
      </c>
      <c r="N44" s="83" t="s">
        <v>69</v>
      </c>
      <c r="O44" s="84">
        <v>45901.0</v>
      </c>
      <c r="P44" s="57">
        <v>22640.0</v>
      </c>
      <c r="Q44" s="7"/>
      <c r="R44" s="11"/>
      <c r="S44" s="7" t="s">
        <v>217</v>
      </c>
      <c r="T44" s="7" t="s">
        <v>217</v>
      </c>
      <c r="U44" s="7" t="s">
        <v>207</v>
      </c>
      <c r="V44" s="27">
        <f t="shared" si="20"/>
        <v>22640</v>
      </c>
      <c r="W44" s="13">
        <v>0.11</v>
      </c>
      <c r="X44" s="14"/>
      <c r="Y44" s="14">
        <f t="shared" si="21"/>
        <v>25130</v>
      </c>
      <c r="Z44" s="43" t="s">
        <v>208</v>
      </c>
      <c r="AA44" s="27">
        <f t="shared" si="37"/>
        <v>25130</v>
      </c>
      <c r="AB44" s="14">
        <v>11700.0</v>
      </c>
      <c r="AC44" s="8">
        <f t="shared" si="40"/>
        <v>5370</v>
      </c>
      <c r="AD44" s="69">
        <f t="shared" si="41"/>
        <v>8060</v>
      </c>
      <c r="AE44" s="8">
        <v>0.0</v>
      </c>
      <c r="AF44" s="8" t="str">
        <f t="shared" si="22"/>
        <v>OK</v>
      </c>
      <c r="AG44" s="8" t="str">
        <f t="shared" si="23"/>
        <v>S OK</v>
      </c>
      <c r="AH44" s="72" t="str">
        <f t="shared" si="24"/>
        <v>#REF!</v>
      </c>
      <c r="AI44" s="8" t="str">
        <f t="shared" si="25"/>
        <v>Not Found</v>
      </c>
      <c r="AJ44" s="21"/>
      <c r="AK44" s="86"/>
      <c r="AL44" s="75"/>
      <c r="AM44" s="75">
        <f t="shared" si="26"/>
        <v>133</v>
      </c>
      <c r="AN44" s="75"/>
      <c r="AO44" s="75"/>
      <c r="AP44" s="75"/>
      <c r="AQ44" s="75"/>
      <c r="AR44" s="75"/>
      <c r="AS44" s="75"/>
      <c r="AT44" s="75"/>
    </row>
    <row r="45" ht="22.5" customHeight="1">
      <c r="A45" s="7" t="s">
        <v>338</v>
      </c>
      <c r="B45" s="7" t="s">
        <v>339</v>
      </c>
      <c r="C45" s="7" t="s">
        <v>27</v>
      </c>
      <c r="D45" s="7" t="s">
        <v>205</v>
      </c>
      <c r="E45" s="7" t="s">
        <v>206</v>
      </c>
      <c r="F45" s="7" t="s">
        <v>202</v>
      </c>
      <c r="G45" s="49">
        <v>0.375</v>
      </c>
      <c r="H45" s="49">
        <v>0.7708333333333334</v>
      </c>
      <c r="I45" s="51">
        <f t="shared" si="1"/>
        <v>0.3958333333</v>
      </c>
      <c r="J45" s="82">
        <v>42583.0</v>
      </c>
      <c r="K45" s="7" t="s">
        <v>2</v>
      </c>
      <c r="L45" s="10">
        <f t="shared" si="42"/>
        <v>22320</v>
      </c>
      <c r="M45" s="7" t="s">
        <v>68</v>
      </c>
      <c r="N45" s="83" t="s">
        <v>69</v>
      </c>
      <c r="O45" s="84">
        <v>45901.0</v>
      </c>
      <c r="P45" s="57">
        <v>20110.0</v>
      </c>
      <c r="Q45" s="7"/>
      <c r="R45" s="11"/>
      <c r="S45" s="7" t="s">
        <v>217</v>
      </c>
      <c r="T45" s="7" t="s">
        <v>71</v>
      </c>
      <c r="U45" s="7" t="s">
        <v>207</v>
      </c>
      <c r="V45" s="27">
        <f t="shared" si="20"/>
        <v>20110</v>
      </c>
      <c r="W45" s="13">
        <v>0.11</v>
      </c>
      <c r="X45" s="14"/>
      <c r="Y45" s="14">
        <f t="shared" si="21"/>
        <v>22320</v>
      </c>
      <c r="Z45" s="43" t="s">
        <v>208</v>
      </c>
      <c r="AA45" s="27">
        <f t="shared" si="37"/>
        <v>22320</v>
      </c>
      <c r="AB45" s="14">
        <v>11700.0</v>
      </c>
      <c r="AC45" s="8">
        <f t="shared" si="40"/>
        <v>4250</v>
      </c>
      <c r="AD45" s="69">
        <f t="shared" si="41"/>
        <v>6370</v>
      </c>
      <c r="AE45" s="8">
        <v>0.0</v>
      </c>
      <c r="AF45" s="8" t="str">
        <f t="shared" si="22"/>
        <v>OK</v>
      </c>
      <c r="AG45" s="8" t="str">
        <f t="shared" si="23"/>
        <v>S OK</v>
      </c>
      <c r="AH45" s="72" t="str">
        <f t="shared" si="24"/>
        <v>#REF!</v>
      </c>
      <c r="AI45" s="8" t="str">
        <f t="shared" si="25"/>
        <v>Not Found</v>
      </c>
      <c r="AJ45" s="21"/>
      <c r="AK45" s="86"/>
      <c r="AL45" s="75"/>
      <c r="AM45" s="75">
        <f t="shared" si="26"/>
        <v>121</v>
      </c>
      <c r="AN45" s="75"/>
      <c r="AO45" s="75"/>
      <c r="AP45" s="75"/>
      <c r="AQ45" s="75"/>
      <c r="AR45" s="75"/>
      <c r="AS45" s="75"/>
      <c r="AT45" s="75"/>
    </row>
    <row r="46" ht="22.5" customHeight="1">
      <c r="A46" s="7" t="s">
        <v>340</v>
      </c>
      <c r="B46" s="7" t="s">
        <v>341</v>
      </c>
      <c r="C46" s="7" t="s">
        <v>27</v>
      </c>
      <c r="D46" s="7" t="s">
        <v>205</v>
      </c>
      <c r="E46" s="7" t="s">
        <v>344</v>
      </c>
      <c r="F46" s="7" t="s">
        <v>202</v>
      </c>
      <c r="G46" s="49">
        <v>0.3958333333333333</v>
      </c>
      <c r="H46" s="49">
        <v>0.7916666666666666</v>
      </c>
      <c r="I46" s="51">
        <f t="shared" si="1"/>
        <v>0.3958333333</v>
      </c>
      <c r="J46" s="82">
        <v>42095.0</v>
      </c>
      <c r="K46" s="7" t="s">
        <v>2</v>
      </c>
      <c r="L46" s="10">
        <f t="shared" si="42"/>
        <v>27240</v>
      </c>
      <c r="M46" s="7" t="s">
        <v>68</v>
      </c>
      <c r="N46" s="83" t="s">
        <v>69</v>
      </c>
      <c r="O46" s="84">
        <v>45901.0</v>
      </c>
      <c r="P46" s="57">
        <v>24540.0</v>
      </c>
      <c r="Q46" s="7"/>
      <c r="R46" s="11"/>
      <c r="S46" s="7" t="s">
        <v>217</v>
      </c>
      <c r="T46" s="7" t="s">
        <v>71</v>
      </c>
      <c r="U46" s="7" t="s">
        <v>207</v>
      </c>
      <c r="V46" s="27">
        <f t="shared" si="20"/>
        <v>24540</v>
      </c>
      <c r="W46" s="13">
        <v>0.11</v>
      </c>
      <c r="X46" s="14"/>
      <c r="Y46" s="14">
        <f t="shared" si="21"/>
        <v>27240</v>
      </c>
      <c r="Z46" s="43" t="s">
        <v>208</v>
      </c>
      <c r="AA46" s="27">
        <f t="shared" si="37"/>
        <v>27240</v>
      </c>
      <c r="AB46" s="14">
        <v>12000.0</v>
      </c>
      <c r="AC46" s="8">
        <f t="shared" si="40"/>
        <v>6100</v>
      </c>
      <c r="AD46" s="69">
        <f t="shared" si="41"/>
        <v>9140</v>
      </c>
      <c r="AE46" s="8">
        <v>0.0</v>
      </c>
      <c r="AF46" s="8" t="str">
        <f t="shared" si="22"/>
        <v>OK</v>
      </c>
      <c r="AG46" s="8" t="str">
        <f t="shared" si="23"/>
        <v>S OK</v>
      </c>
      <c r="AH46" s="72" t="str">
        <f t="shared" si="24"/>
        <v>#REF!</v>
      </c>
      <c r="AI46" s="8" t="str">
        <f t="shared" si="25"/>
        <v>Not Found</v>
      </c>
      <c r="AJ46" s="21"/>
      <c r="AK46" s="86"/>
      <c r="AL46" s="75"/>
      <c r="AM46" s="75">
        <f t="shared" si="26"/>
        <v>137</v>
      </c>
      <c r="AN46" s="75"/>
      <c r="AO46" s="75"/>
      <c r="AP46" s="75"/>
      <c r="AQ46" s="75"/>
      <c r="AR46" s="75"/>
      <c r="AS46" s="75"/>
      <c r="AT46" s="75"/>
    </row>
    <row r="47" ht="22.5" customHeight="1">
      <c r="A47" s="7" t="s">
        <v>345</v>
      </c>
      <c r="B47" s="7" t="s">
        <v>346</v>
      </c>
      <c r="C47" s="7" t="s">
        <v>27</v>
      </c>
      <c r="D47" s="7" t="s">
        <v>347</v>
      </c>
      <c r="E47" s="7" t="s">
        <v>348</v>
      </c>
      <c r="F47" s="7" t="s">
        <v>213</v>
      </c>
      <c r="G47" s="49">
        <v>0.375</v>
      </c>
      <c r="H47" s="49">
        <v>0.7708333333333334</v>
      </c>
      <c r="I47" s="51">
        <f t="shared" si="1"/>
        <v>0.3958333333</v>
      </c>
      <c r="J47" s="82">
        <v>42548.0</v>
      </c>
      <c r="K47" s="7" t="s">
        <v>2</v>
      </c>
      <c r="L47" s="10">
        <f t="shared" si="42"/>
        <v>29960</v>
      </c>
      <c r="M47" s="7" t="s">
        <v>68</v>
      </c>
      <c r="N47" s="83" t="s">
        <v>69</v>
      </c>
      <c r="O47" s="84">
        <v>45901.0</v>
      </c>
      <c r="P47" s="57">
        <v>27240.0</v>
      </c>
      <c r="Q47" s="7"/>
      <c r="R47" s="11"/>
      <c r="S47" s="85"/>
      <c r="T47" s="7" t="s">
        <v>71</v>
      </c>
      <c r="U47" s="7" t="s">
        <v>207</v>
      </c>
      <c r="V47" s="27">
        <f t="shared" si="20"/>
        <v>27240</v>
      </c>
      <c r="W47" s="13">
        <v>0.1</v>
      </c>
      <c r="X47" s="14"/>
      <c r="Y47" s="14">
        <f t="shared" si="21"/>
        <v>29960</v>
      </c>
      <c r="Z47" s="43" t="s">
        <v>208</v>
      </c>
      <c r="AA47" s="27">
        <f t="shared" si="37"/>
        <v>29960</v>
      </c>
      <c r="AB47" s="14">
        <v>13200.0</v>
      </c>
      <c r="AC47" s="8">
        <f t="shared" si="40"/>
        <v>6700</v>
      </c>
      <c r="AD47" s="69">
        <f t="shared" si="41"/>
        <v>10060</v>
      </c>
      <c r="AE47" s="8">
        <v>0.0</v>
      </c>
      <c r="AF47" s="8" t="str">
        <f t="shared" si="22"/>
        <v>OK</v>
      </c>
      <c r="AG47" s="8" t="str">
        <f t="shared" si="23"/>
        <v>S OK</v>
      </c>
      <c r="AH47" s="72" t="str">
        <f t="shared" si="24"/>
        <v>#REF!</v>
      </c>
      <c r="AI47" s="8" t="str">
        <f t="shared" si="25"/>
        <v>Not Found</v>
      </c>
      <c r="AJ47" s="21"/>
      <c r="AK47" s="124"/>
      <c r="AL47" s="75"/>
      <c r="AM47" s="75">
        <f t="shared" si="26"/>
        <v>123</v>
      </c>
      <c r="AN47" s="75"/>
      <c r="AO47" s="75"/>
      <c r="AP47" s="75"/>
      <c r="AQ47" s="75"/>
      <c r="AR47" s="75"/>
      <c r="AS47" s="75"/>
      <c r="AT47" s="75"/>
    </row>
    <row r="48" ht="22.5" customHeight="1">
      <c r="A48" s="7" t="s">
        <v>349</v>
      </c>
      <c r="B48" s="7" t="s">
        <v>350</v>
      </c>
      <c r="C48" s="7" t="s">
        <v>27</v>
      </c>
      <c r="D48" s="7" t="s">
        <v>244</v>
      </c>
      <c r="E48" s="7" t="s">
        <v>245</v>
      </c>
      <c r="F48" s="7" t="s">
        <v>213</v>
      </c>
      <c r="G48" s="49">
        <v>0.3333333333333333</v>
      </c>
      <c r="H48" s="49">
        <v>0.75</v>
      </c>
      <c r="I48" s="51">
        <f t="shared" si="1"/>
        <v>0.4166666667</v>
      </c>
      <c r="J48" s="82">
        <v>42033.0</v>
      </c>
      <c r="K48" s="7" t="s">
        <v>2</v>
      </c>
      <c r="L48" s="10">
        <v>18333.0</v>
      </c>
      <c r="M48" s="7" t="s">
        <v>68</v>
      </c>
      <c r="N48" s="83" t="s">
        <v>69</v>
      </c>
      <c r="O48" s="84">
        <v>45901.0</v>
      </c>
      <c r="P48" s="57">
        <v>15730.0</v>
      </c>
      <c r="Q48" s="7"/>
      <c r="R48" s="11"/>
      <c r="S48" s="7" t="s">
        <v>217</v>
      </c>
      <c r="T48" s="7" t="s">
        <v>217</v>
      </c>
      <c r="U48" s="7" t="s">
        <v>247</v>
      </c>
      <c r="V48" s="27">
        <f t="shared" si="20"/>
        <v>15730</v>
      </c>
      <c r="W48" s="13">
        <v>0.11</v>
      </c>
      <c r="X48" s="14"/>
      <c r="Y48" s="14">
        <f t="shared" si="21"/>
        <v>17460</v>
      </c>
      <c r="Z48" s="43"/>
      <c r="AA48" s="27">
        <f t="shared" si="37"/>
        <v>18333</v>
      </c>
      <c r="AB48" s="14">
        <f t="shared" ref="AB48:AB50" si="43">IFS(AND(AA48&lt;=15000),15300,AND(AA48&gt;15000,AA48&lt;15500),AA48,AND(AA48&gt;=15500,AA48&lt;$Z$1),15500,AA48&gt;=$Z$1,AA48*$AB$2)</f>
        <v>15500</v>
      </c>
      <c r="AC48" s="8">
        <f t="shared" si="40"/>
        <v>1130</v>
      </c>
      <c r="AD48" s="69">
        <f t="shared" si="41"/>
        <v>1703</v>
      </c>
      <c r="AE48" s="8">
        <v>0.0</v>
      </c>
      <c r="AF48" s="8" t="str">
        <f t="shared" si="22"/>
        <v>OK</v>
      </c>
      <c r="AG48" s="8" t="str">
        <f t="shared" si="23"/>
        <v>US OK</v>
      </c>
      <c r="AH48" s="72" t="str">
        <f t="shared" si="24"/>
        <v>#REF!</v>
      </c>
      <c r="AI48" s="8" t="str">
        <f t="shared" si="25"/>
        <v>Not Found</v>
      </c>
      <c r="AJ48" s="21"/>
      <c r="AK48" s="110" t="s">
        <v>283</v>
      </c>
      <c r="AL48" s="75"/>
      <c r="AM48" s="75">
        <f t="shared" si="26"/>
        <v>139</v>
      </c>
      <c r="AN48" s="105"/>
      <c r="AO48" s="105"/>
      <c r="AP48" s="105"/>
      <c r="AQ48" s="105"/>
      <c r="AR48" s="105"/>
      <c r="AS48" s="105"/>
      <c r="AT48" s="105"/>
    </row>
    <row r="49" ht="22.5" customHeight="1">
      <c r="A49" s="7" t="s">
        <v>351</v>
      </c>
      <c r="B49" s="7" t="s">
        <v>352</v>
      </c>
      <c r="C49" s="7" t="s">
        <v>27</v>
      </c>
      <c r="D49" s="7" t="s">
        <v>286</v>
      </c>
      <c r="E49" s="7" t="s">
        <v>353</v>
      </c>
      <c r="F49" s="7" t="s">
        <v>202</v>
      </c>
      <c r="G49" s="49">
        <v>0.375</v>
      </c>
      <c r="H49" s="49">
        <v>0.7708333333333334</v>
      </c>
      <c r="I49" s="51">
        <f t="shared" si="1"/>
        <v>0.3958333333</v>
      </c>
      <c r="J49" s="82">
        <v>40940.0</v>
      </c>
      <c r="K49" s="7" t="s">
        <v>2</v>
      </c>
      <c r="L49" s="10">
        <f t="shared" ref="L49:L55" si="44">Y49</f>
        <v>55540</v>
      </c>
      <c r="M49" s="7" t="s">
        <v>68</v>
      </c>
      <c r="N49" s="83" t="s">
        <v>69</v>
      </c>
      <c r="O49" s="84">
        <v>45901.0</v>
      </c>
      <c r="P49" s="57">
        <v>51430.0</v>
      </c>
      <c r="Q49" s="7"/>
      <c r="R49" s="11"/>
      <c r="S49" s="85"/>
      <c r="T49" s="7" t="s">
        <v>71</v>
      </c>
      <c r="U49" s="7" t="s">
        <v>207</v>
      </c>
      <c r="V49" s="27">
        <f t="shared" si="20"/>
        <v>51430</v>
      </c>
      <c r="W49" s="13">
        <v>0.08</v>
      </c>
      <c r="X49" s="14"/>
      <c r="Y49" s="14">
        <f t="shared" si="21"/>
        <v>55540</v>
      </c>
      <c r="Z49" s="43"/>
      <c r="AA49" s="27">
        <f t="shared" si="37"/>
        <v>55540</v>
      </c>
      <c r="AB49" s="14">
        <f t="shared" si="43"/>
        <v>27770</v>
      </c>
      <c r="AC49" s="8">
        <f t="shared" si="40"/>
        <v>11110</v>
      </c>
      <c r="AD49" s="69">
        <f t="shared" si="41"/>
        <v>16660</v>
      </c>
      <c r="AE49" s="8">
        <v>0.0</v>
      </c>
      <c r="AF49" s="8" t="str">
        <f t="shared" si="22"/>
        <v>OK</v>
      </c>
      <c r="AG49" s="8" t="str">
        <f t="shared" si="23"/>
        <v>S OK</v>
      </c>
      <c r="AH49" s="72" t="str">
        <f t="shared" si="24"/>
        <v>#REF!</v>
      </c>
      <c r="AI49" s="8" t="str">
        <f t="shared" si="25"/>
        <v>Not Found</v>
      </c>
      <c r="AJ49" s="21"/>
      <c r="AK49" s="86"/>
      <c r="AL49" s="75"/>
      <c r="AM49" s="75">
        <f t="shared" si="26"/>
        <v>175</v>
      </c>
      <c r="AN49" s="75"/>
      <c r="AO49" s="75"/>
      <c r="AP49" s="75"/>
      <c r="AQ49" s="75"/>
      <c r="AR49" s="75"/>
      <c r="AS49" s="75"/>
      <c r="AT49" s="75"/>
    </row>
    <row r="50" ht="22.5" customHeight="1">
      <c r="A50" s="7" t="s">
        <v>354</v>
      </c>
      <c r="B50" s="7" t="s">
        <v>355</v>
      </c>
      <c r="C50" s="7" t="s">
        <v>27</v>
      </c>
      <c r="D50" s="7" t="s">
        <v>244</v>
      </c>
      <c r="E50" s="7" t="s">
        <v>356</v>
      </c>
      <c r="F50" s="7" t="s">
        <v>213</v>
      </c>
      <c r="G50" s="49">
        <v>0.375</v>
      </c>
      <c r="H50" s="49">
        <v>0.7708333333333334</v>
      </c>
      <c r="I50" s="51">
        <f t="shared" si="1"/>
        <v>0.3958333333</v>
      </c>
      <c r="J50" s="82">
        <v>41000.0</v>
      </c>
      <c r="K50" s="7" t="s">
        <v>2</v>
      </c>
      <c r="L50" s="10">
        <f t="shared" si="44"/>
        <v>56410</v>
      </c>
      <c r="M50" s="7" t="s">
        <v>68</v>
      </c>
      <c r="N50" s="83" t="s">
        <v>69</v>
      </c>
      <c r="O50" s="84">
        <v>45901.0</v>
      </c>
      <c r="P50" s="57">
        <v>52230.0</v>
      </c>
      <c r="Q50" s="7"/>
      <c r="R50" s="11"/>
      <c r="S50" s="85"/>
      <c r="T50" s="7" t="s">
        <v>71</v>
      </c>
      <c r="U50" s="7" t="s">
        <v>207</v>
      </c>
      <c r="V50" s="27">
        <f t="shared" si="20"/>
        <v>52230</v>
      </c>
      <c r="W50" s="13">
        <v>0.08</v>
      </c>
      <c r="X50" s="14"/>
      <c r="Y50" s="14">
        <f t="shared" si="21"/>
        <v>56410</v>
      </c>
      <c r="Z50" s="43"/>
      <c r="AA50" s="27">
        <f t="shared" si="37"/>
        <v>56410</v>
      </c>
      <c r="AB50" s="14">
        <f t="shared" si="43"/>
        <v>28205</v>
      </c>
      <c r="AC50" s="8">
        <f t="shared" si="40"/>
        <v>11280</v>
      </c>
      <c r="AD50" s="69">
        <f t="shared" si="41"/>
        <v>16925</v>
      </c>
      <c r="AE50" s="8">
        <v>0.0</v>
      </c>
      <c r="AF50" s="8" t="str">
        <f t="shared" si="22"/>
        <v>OK</v>
      </c>
      <c r="AG50" s="8" t="str">
        <f t="shared" si="23"/>
        <v>S OK</v>
      </c>
      <c r="AH50" s="72" t="str">
        <f t="shared" si="24"/>
        <v>#REF!</v>
      </c>
      <c r="AI50" s="8" t="str">
        <f t="shared" si="25"/>
        <v>Not Found</v>
      </c>
      <c r="AJ50" s="21"/>
      <c r="AK50" s="124"/>
      <c r="AL50" s="75"/>
      <c r="AM50" s="75">
        <f t="shared" si="26"/>
        <v>173</v>
      </c>
      <c r="AN50" s="105"/>
      <c r="AO50" s="105"/>
      <c r="AP50" s="105"/>
      <c r="AQ50" s="105"/>
      <c r="AR50" s="105"/>
      <c r="AS50" s="105"/>
      <c r="AT50" s="105"/>
    </row>
    <row r="51" ht="22.5" customHeight="1">
      <c r="A51" s="128" t="s">
        <v>357</v>
      </c>
      <c r="B51" s="128" t="s">
        <v>358</v>
      </c>
      <c r="C51" s="128" t="s">
        <v>27</v>
      </c>
      <c r="D51" s="7" t="s">
        <v>321</v>
      </c>
      <c r="E51" s="128" t="s">
        <v>359</v>
      </c>
      <c r="F51" s="128" t="s">
        <v>202</v>
      </c>
      <c r="G51" s="49">
        <v>0.375</v>
      </c>
      <c r="H51" s="49">
        <v>0.75</v>
      </c>
      <c r="I51" s="129">
        <f t="shared" si="1"/>
        <v>0.375</v>
      </c>
      <c r="J51" s="82">
        <v>41000.0</v>
      </c>
      <c r="K51" s="128" t="s">
        <v>2</v>
      </c>
      <c r="L51" s="10">
        <f t="shared" si="44"/>
        <v>250000</v>
      </c>
      <c r="M51" s="7" t="s">
        <v>68</v>
      </c>
      <c r="N51" s="130" t="s">
        <v>69</v>
      </c>
      <c r="O51" s="84"/>
      <c r="P51" s="131">
        <v>250000.0</v>
      </c>
      <c r="Q51" s="128">
        <v>72150.0</v>
      </c>
      <c r="R51" s="11"/>
      <c r="S51" s="85"/>
      <c r="T51" s="128" t="s">
        <v>71</v>
      </c>
      <c r="U51" s="128"/>
      <c r="V51" s="27">
        <f t="shared" si="20"/>
        <v>250000</v>
      </c>
      <c r="W51" s="59">
        <v>0.0</v>
      </c>
      <c r="X51" s="14"/>
      <c r="Y51" s="14">
        <f t="shared" si="21"/>
        <v>250000</v>
      </c>
      <c r="Z51" s="43"/>
      <c r="AA51" s="27">
        <f t="shared" si="37"/>
        <v>250000</v>
      </c>
      <c r="AB51" s="132">
        <f>150000+100000</f>
        <v>250000</v>
      </c>
      <c r="AC51" s="133"/>
      <c r="AD51" s="133"/>
      <c r="AE51" s="8">
        <v>0.0</v>
      </c>
      <c r="AF51" s="8" t="str">
        <f t="shared" si="22"/>
        <v>OK</v>
      </c>
      <c r="AG51" s="8" t="str">
        <f t="shared" si="23"/>
        <v>Skill Missing</v>
      </c>
      <c r="AH51" s="72" t="str">
        <f t="shared" si="24"/>
        <v>#REF!</v>
      </c>
      <c r="AI51" s="8" t="str">
        <f t="shared" si="25"/>
        <v>Not Found</v>
      </c>
      <c r="AJ51" s="21"/>
      <c r="AK51" s="86"/>
      <c r="AL51" s="75"/>
      <c r="AM51" s="75">
        <f t="shared" si="26"/>
        <v>173</v>
      </c>
      <c r="AN51" s="75"/>
      <c r="AO51" s="75"/>
      <c r="AP51" s="75"/>
      <c r="AQ51" s="75"/>
      <c r="AR51" s="75"/>
      <c r="AS51" s="75"/>
      <c r="AT51" s="75"/>
    </row>
    <row r="52" ht="22.5" customHeight="1">
      <c r="A52" s="7" t="s">
        <v>362</v>
      </c>
      <c r="B52" s="7" t="s">
        <v>363</v>
      </c>
      <c r="C52" s="7" t="s">
        <v>27</v>
      </c>
      <c r="D52" s="7" t="s">
        <v>324</v>
      </c>
      <c r="E52" s="7" t="s">
        <v>198</v>
      </c>
      <c r="F52" s="7" t="s">
        <v>202</v>
      </c>
      <c r="G52" s="49">
        <v>0.375</v>
      </c>
      <c r="H52" s="49">
        <v>0.75</v>
      </c>
      <c r="I52" s="51">
        <f t="shared" si="1"/>
        <v>0.375</v>
      </c>
      <c r="J52" s="108">
        <v>42156.0</v>
      </c>
      <c r="K52" s="7" t="s">
        <v>2</v>
      </c>
      <c r="L52" s="10">
        <f t="shared" si="44"/>
        <v>30000</v>
      </c>
      <c r="M52" s="7" t="s">
        <v>68</v>
      </c>
      <c r="N52" s="83" t="s">
        <v>69</v>
      </c>
      <c r="O52" s="84">
        <v>45170.0</v>
      </c>
      <c r="P52" s="7">
        <v>30000.0</v>
      </c>
      <c r="Q52" s="7"/>
      <c r="R52" s="78"/>
      <c r="S52" s="85"/>
      <c r="T52" s="7" t="s">
        <v>71</v>
      </c>
      <c r="U52" s="7"/>
      <c r="V52" s="27">
        <f t="shared" si="20"/>
        <v>30000</v>
      </c>
      <c r="W52" s="59">
        <v>0.0</v>
      </c>
      <c r="X52" s="14"/>
      <c r="Y52" s="14">
        <f t="shared" si="21"/>
        <v>30000</v>
      </c>
      <c r="Z52" s="43"/>
      <c r="AA52" s="27">
        <f t="shared" si="37"/>
        <v>30000</v>
      </c>
      <c r="AB52" s="14">
        <v>25000.0</v>
      </c>
      <c r="AC52" s="8">
        <f t="shared" ref="AC52:AC76" si="45">round(IF($AA52&lt;=$Z$1,($AA52-$AB52)*AC$1,$AA52*AC$2),-1)</f>
        <v>2000</v>
      </c>
      <c r="AD52" s="69">
        <f t="shared" ref="AD52:AD76" si="46">round(IF($AA52&lt;=$Z$1,($AA52-$AB52)*AD$1,$AA52*AD$2),-1)+AA52-AB52-AC52-round(IF($AA52&lt;=$Z$1,($AA52-$AB52)*AD$1,$AA52*AD$2),-1)</f>
        <v>3000</v>
      </c>
      <c r="AE52" s="8">
        <v>0.0</v>
      </c>
      <c r="AF52" s="8" t="str">
        <f t="shared" si="22"/>
        <v>OK</v>
      </c>
      <c r="AG52" s="8" t="str">
        <f t="shared" si="23"/>
        <v>Skill Missing</v>
      </c>
      <c r="AH52" s="72" t="str">
        <f t="shared" si="24"/>
        <v>#REF!</v>
      </c>
      <c r="AI52" s="8" t="str">
        <f t="shared" si="25"/>
        <v>Not Found</v>
      </c>
      <c r="AJ52" s="21" t="s">
        <v>283</v>
      </c>
      <c r="AK52" s="21"/>
      <c r="AL52" s="81"/>
      <c r="AM52" s="81">
        <f t="shared" si="26"/>
        <v>135</v>
      </c>
      <c r="AN52" s="81"/>
      <c r="AO52" s="81"/>
      <c r="AP52" s="81"/>
      <c r="AQ52" s="81"/>
      <c r="AR52" s="81"/>
      <c r="AS52" s="81"/>
      <c r="AT52" s="81"/>
    </row>
    <row r="53" ht="22.5" customHeight="1">
      <c r="A53" s="7" t="s">
        <v>364</v>
      </c>
      <c r="B53" s="7" t="s">
        <v>365</v>
      </c>
      <c r="C53" s="7" t="s">
        <v>27</v>
      </c>
      <c r="D53" s="7" t="s">
        <v>347</v>
      </c>
      <c r="E53" s="7" t="s">
        <v>206</v>
      </c>
      <c r="F53" s="7" t="s">
        <v>202</v>
      </c>
      <c r="G53" s="49">
        <v>0.4166666666666667</v>
      </c>
      <c r="H53" s="49">
        <v>0.7708333333333334</v>
      </c>
      <c r="I53" s="51">
        <f t="shared" si="1"/>
        <v>0.3541666667</v>
      </c>
      <c r="J53" s="82">
        <v>42675.0</v>
      </c>
      <c r="K53" s="7" t="s">
        <v>2</v>
      </c>
      <c r="L53" s="10">
        <f t="shared" si="44"/>
        <v>51110</v>
      </c>
      <c r="M53" s="7" t="s">
        <v>68</v>
      </c>
      <c r="N53" s="83" t="s">
        <v>69</v>
      </c>
      <c r="O53" s="84">
        <v>45901.0</v>
      </c>
      <c r="P53" s="57">
        <v>46890.0</v>
      </c>
      <c r="Q53" s="7"/>
      <c r="R53" s="11"/>
      <c r="S53" s="85"/>
      <c r="T53" s="7" t="s">
        <v>71</v>
      </c>
      <c r="U53" s="7" t="s">
        <v>207</v>
      </c>
      <c r="V53" s="27">
        <f t="shared" si="20"/>
        <v>46890</v>
      </c>
      <c r="W53" s="13">
        <v>0.09</v>
      </c>
      <c r="X53" s="14"/>
      <c r="Y53" s="14">
        <f t="shared" si="21"/>
        <v>51110</v>
      </c>
      <c r="Z53" s="43"/>
      <c r="AA53" s="27">
        <f t="shared" si="37"/>
        <v>51110</v>
      </c>
      <c r="AB53" s="14">
        <f t="shared" ref="AB53:AB54" si="47">IFS(AND(AA53&lt;=15000),15300,AND(AA53&gt;15000,AA53&lt;15500),AA53,AND(AA53&gt;=15500,AA53&lt;$Z$1),15500,AA53&gt;=$Z$1,AA53*$AB$2)</f>
        <v>25555</v>
      </c>
      <c r="AC53" s="8">
        <f t="shared" si="45"/>
        <v>10220</v>
      </c>
      <c r="AD53" s="69">
        <f t="shared" si="46"/>
        <v>15335</v>
      </c>
      <c r="AE53" s="8">
        <v>0.0</v>
      </c>
      <c r="AF53" s="8" t="str">
        <f t="shared" si="22"/>
        <v>OK</v>
      </c>
      <c r="AG53" s="8" t="str">
        <f t="shared" si="23"/>
        <v>S OK</v>
      </c>
      <c r="AH53" s="72" t="str">
        <f t="shared" si="24"/>
        <v>#REF!</v>
      </c>
      <c r="AI53" s="8" t="str">
        <f t="shared" si="25"/>
        <v>Not Found</v>
      </c>
      <c r="AJ53" s="21"/>
      <c r="AK53" s="86"/>
      <c r="AL53" s="75"/>
      <c r="AM53" s="75">
        <f t="shared" si="26"/>
        <v>118</v>
      </c>
      <c r="AN53" s="75"/>
      <c r="AO53" s="75"/>
      <c r="AP53" s="75"/>
      <c r="AQ53" s="75"/>
      <c r="AR53" s="75"/>
      <c r="AS53" s="75"/>
      <c r="AT53" s="75"/>
    </row>
    <row r="54" ht="22.5" customHeight="1">
      <c r="A54" s="7" t="s">
        <v>368</v>
      </c>
      <c r="B54" s="7" t="s">
        <v>369</v>
      </c>
      <c r="C54" s="7" t="s">
        <v>27</v>
      </c>
      <c r="D54" s="7" t="s">
        <v>324</v>
      </c>
      <c r="E54" s="7" t="s">
        <v>198</v>
      </c>
      <c r="F54" s="7" t="s">
        <v>202</v>
      </c>
      <c r="G54" s="49">
        <v>0.375</v>
      </c>
      <c r="H54" s="49">
        <v>0.75</v>
      </c>
      <c r="I54" s="51">
        <f t="shared" si="1"/>
        <v>0.375</v>
      </c>
      <c r="J54" s="108">
        <v>43070.0</v>
      </c>
      <c r="K54" s="7" t="s">
        <v>2</v>
      </c>
      <c r="L54" s="10">
        <f t="shared" si="44"/>
        <v>47300</v>
      </c>
      <c r="M54" s="7" t="s">
        <v>68</v>
      </c>
      <c r="N54" s="7" t="s">
        <v>69</v>
      </c>
      <c r="O54" s="84">
        <v>45536.0</v>
      </c>
      <c r="P54" s="7">
        <v>47300.0</v>
      </c>
      <c r="Q54" s="7"/>
      <c r="R54" s="78"/>
      <c r="S54" s="85"/>
      <c r="T54" s="7" t="s">
        <v>71</v>
      </c>
      <c r="U54" s="7"/>
      <c r="V54" s="27">
        <f t="shared" si="20"/>
        <v>47300</v>
      </c>
      <c r="W54" s="59">
        <v>0.0</v>
      </c>
      <c r="X54" s="14"/>
      <c r="Y54" s="14">
        <f t="shared" si="21"/>
        <v>47300</v>
      </c>
      <c r="Z54" s="43"/>
      <c r="AA54" s="27">
        <f t="shared" si="37"/>
        <v>47300</v>
      </c>
      <c r="AB54" s="14">
        <f t="shared" si="47"/>
        <v>23650</v>
      </c>
      <c r="AC54" s="8">
        <f t="shared" si="45"/>
        <v>9460</v>
      </c>
      <c r="AD54" s="69">
        <f t="shared" si="46"/>
        <v>14190</v>
      </c>
      <c r="AE54" s="8">
        <v>0.0</v>
      </c>
      <c r="AF54" s="8" t="str">
        <f t="shared" si="22"/>
        <v>OK</v>
      </c>
      <c r="AG54" s="8" t="str">
        <f t="shared" si="23"/>
        <v>Skill Missing</v>
      </c>
      <c r="AH54" s="72" t="str">
        <f t="shared" si="24"/>
        <v>#REF!</v>
      </c>
      <c r="AI54" s="8" t="str">
        <f t="shared" si="25"/>
        <v>Not Found</v>
      </c>
      <c r="AJ54" s="21"/>
      <c r="AK54" s="21"/>
      <c r="AL54" s="81"/>
      <c r="AM54" s="81">
        <f t="shared" si="26"/>
        <v>105</v>
      </c>
      <c r="AN54" s="81"/>
      <c r="AO54" s="81"/>
      <c r="AP54" s="81"/>
      <c r="AQ54" s="81"/>
      <c r="AR54" s="81"/>
      <c r="AS54" s="81"/>
      <c r="AT54" s="81"/>
    </row>
    <row r="55" ht="22.5" customHeight="1">
      <c r="A55" s="7" t="s">
        <v>370</v>
      </c>
      <c r="B55" s="7" t="s">
        <v>371</v>
      </c>
      <c r="C55" s="7" t="s">
        <v>27</v>
      </c>
      <c r="D55" s="7" t="s">
        <v>244</v>
      </c>
      <c r="E55" s="7" t="s">
        <v>292</v>
      </c>
      <c r="F55" s="7" t="s">
        <v>199</v>
      </c>
      <c r="G55" s="49">
        <v>0.375</v>
      </c>
      <c r="H55" s="49">
        <v>0.7916666666666666</v>
      </c>
      <c r="I55" s="51">
        <f t="shared" si="1"/>
        <v>0.4166666667</v>
      </c>
      <c r="J55" s="82">
        <v>43070.0</v>
      </c>
      <c r="K55" s="7" t="s">
        <v>2</v>
      </c>
      <c r="L55" s="10">
        <f t="shared" si="44"/>
        <v>35660</v>
      </c>
      <c r="M55" s="7" t="s">
        <v>68</v>
      </c>
      <c r="N55" s="83" t="s">
        <v>69</v>
      </c>
      <c r="O55" s="84">
        <v>45901.0</v>
      </c>
      <c r="P55" s="57">
        <v>32420.0</v>
      </c>
      <c r="Q55" s="7"/>
      <c r="R55" s="11"/>
      <c r="S55" s="7" t="s">
        <v>217</v>
      </c>
      <c r="T55" s="7" t="s">
        <v>71</v>
      </c>
      <c r="U55" s="7" t="s">
        <v>207</v>
      </c>
      <c r="V55" s="27">
        <f t="shared" si="20"/>
        <v>32420</v>
      </c>
      <c r="W55" s="13">
        <v>0.1</v>
      </c>
      <c r="X55" s="14"/>
      <c r="Y55" s="14">
        <f t="shared" si="21"/>
        <v>35660</v>
      </c>
      <c r="Z55" s="43" t="s">
        <v>208</v>
      </c>
      <c r="AA55" s="27">
        <f t="shared" si="37"/>
        <v>35660</v>
      </c>
      <c r="AB55" s="14">
        <f>IFS(AA55&lt;=12000,AA55,AND(AA55&gt;12000,AA55&lt;=15200),15200,AND(AA55&gt;15200,AA55&lt;15500),AA55,AND(AA55&gt;=15500,AA55&lt;30000),15500,AA55&gt;=30000,AA55*$AB$2)</f>
        <v>17830</v>
      </c>
      <c r="AC55" s="8">
        <f t="shared" si="45"/>
        <v>7130</v>
      </c>
      <c r="AD55" s="69">
        <f t="shared" si="46"/>
        <v>10700</v>
      </c>
      <c r="AE55" s="8">
        <v>0.0</v>
      </c>
      <c r="AF55" s="8" t="str">
        <f t="shared" si="22"/>
        <v>OK</v>
      </c>
      <c r="AG55" s="8" t="str">
        <f t="shared" si="23"/>
        <v>S OK</v>
      </c>
      <c r="AH55" s="72" t="str">
        <f t="shared" si="24"/>
        <v>#REF!</v>
      </c>
      <c r="AI55" s="8" t="str">
        <f t="shared" si="25"/>
        <v>Not Found</v>
      </c>
      <c r="AJ55" s="21"/>
      <c r="AK55" s="86"/>
      <c r="AL55" s="75"/>
      <c r="AM55" s="75">
        <f t="shared" si="26"/>
        <v>105</v>
      </c>
      <c r="AN55" s="75"/>
      <c r="AO55" s="75"/>
      <c r="AP55" s="75"/>
      <c r="AQ55" s="75"/>
      <c r="AR55" s="75"/>
      <c r="AS55" s="75"/>
      <c r="AT55" s="75"/>
    </row>
    <row r="56" ht="22.5" customHeight="1">
      <c r="A56" s="7" t="s">
        <v>374</v>
      </c>
      <c r="B56" s="7" t="s">
        <v>375</v>
      </c>
      <c r="C56" s="7" t="s">
        <v>27</v>
      </c>
      <c r="D56" s="7" t="s">
        <v>286</v>
      </c>
      <c r="E56" s="7" t="s">
        <v>348</v>
      </c>
      <c r="F56" s="7" t="s">
        <v>213</v>
      </c>
      <c r="G56" s="49">
        <v>0.375</v>
      </c>
      <c r="H56" s="49">
        <v>0.7708333333333334</v>
      </c>
      <c r="I56" s="51">
        <f t="shared" si="1"/>
        <v>0.3958333333</v>
      </c>
      <c r="J56" s="82">
        <v>43070.0</v>
      </c>
      <c r="K56" s="7" t="s">
        <v>2</v>
      </c>
      <c r="L56" s="10">
        <v>76130.0</v>
      </c>
      <c r="M56" s="7" t="s">
        <v>68</v>
      </c>
      <c r="N56" s="83" t="s">
        <v>69</v>
      </c>
      <c r="O56" s="84">
        <v>45901.0</v>
      </c>
      <c r="P56" s="57">
        <v>53150.0</v>
      </c>
      <c r="Q56" s="7"/>
      <c r="R56" s="11"/>
      <c r="S56" s="85"/>
      <c r="T56" s="7" t="s">
        <v>71</v>
      </c>
      <c r="U56" s="7" t="s">
        <v>207</v>
      </c>
      <c r="V56" s="27">
        <f t="shared" si="20"/>
        <v>53150</v>
      </c>
      <c r="W56" s="13">
        <v>0.08</v>
      </c>
      <c r="X56" s="14"/>
      <c r="Y56" s="14">
        <f t="shared" si="21"/>
        <v>57400</v>
      </c>
      <c r="Z56" s="43" t="s">
        <v>208</v>
      </c>
      <c r="AA56" s="27">
        <f t="shared" si="37"/>
        <v>76130</v>
      </c>
      <c r="AB56" s="14">
        <f t="shared" ref="AB56:AB67" si="48">IFS(AND(AA56&lt;=15000),15300,AND(AA56&gt;15000,AA56&lt;15500),AA56,AND(AA56&gt;=15500,AA56&lt;$Z$1),15500,AA56&gt;=$Z$1,AA56*$AB$2)</f>
        <v>38065</v>
      </c>
      <c r="AC56" s="8">
        <f t="shared" si="45"/>
        <v>15230</v>
      </c>
      <c r="AD56" s="69">
        <f t="shared" si="46"/>
        <v>22835</v>
      </c>
      <c r="AE56" s="8">
        <v>0.0</v>
      </c>
      <c r="AF56" s="8" t="str">
        <f t="shared" si="22"/>
        <v>OK</v>
      </c>
      <c r="AG56" s="8" t="str">
        <f t="shared" si="23"/>
        <v>S OK</v>
      </c>
      <c r="AH56" s="72" t="str">
        <f t="shared" si="24"/>
        <v>#REF!</v>
      </c>
      <c r="AI56" s="8" t="str">
        <f t="shared" si="25"/>
        <v>Not Found</v>
      </c>
      <c r="AJ56" s="21"/>
      <c r="AK56" s="124"/>
      <c r="AL56" s="75"/>
      <c r="AM56" s="75">
        <f t="shared" si="26"/>
        <v>105</v>
      </c>
      <c r="AN56" s="105"/>
      <c r="AO56" s="105"/>
      <c r="AP56" s="105"/>
      <c r="AQ56" s="105"/>
      <c r="AR56" s="105"/>
      <c r="AS56" s="105"/>
      <c r="AT56" s="105"/>
    </row>
    <row r="57" ht="22.5" customHeight="1">
      <c r="A57" s="7" t="s">
        <v>376</v>
      </c>
      <c r="B57" s="7" t="s">
        <v>233</v>
      </c>
      <c r="C57" s="7" t="s">
        <v>27</v>
      </c>
      <c r="D57" s="7" t="s">
        <v>244</v>
      </c>
      <c r="E57" s="7" t="s">
        <v>245</v>
      </c>
      <c r="F57" s="7" t="s">
        <v>213</v>
      </c>
      <c r="G57" s="49">
        <v>0.3333333333333333</v>
      </c>
      <c r="H57" s="49">
        <v>0.75</v>
      </c>
      <c r="I57" s="51">
        <f t="shared" si="1"/>
        <v>0.4166666667</v>
      </c>
      <c r="J57" s="82">
        <v>43116.0</v>
      </c>
      <c r="K57" s="7" t="s">
        <v>2</v>
      </c>
      <c r="L57" s="10">
        <v>21294.0</v>
      </c>
      <c r="M57" s="7" t="s">
        <v>68</v>
      </c>
      <c r="N57" s="83" t="s">
        <v>69</v>
      </c>
      <c r="O57" s="84">
        <v>45901.0</v>
      </c>
      <c r="P57" s="57">
        <v>18270.0</v>
      </c>
      <c r="Q57" s="7"/>
      <c r="R57" s="11"/>
      <c r="S57" s="7" t="s">
        <v>217</v>
      </c>
      <c r="T57" s="7" t="s">
        <v>217</v>
      </c>
      <c r="U57" s="7" t="s">
        <v>247</v>
      </c>
      <c r="V57" s="27">
        <f t="shared" si="20"/>
        <v>18270</v>
      </c>
      <c r="W57" s="13">
        <v>0.11</v>
      </c>
      <c r="X57" s="14"/>
      <c r="Y57" s="14">
        <f t="shared" si="21"/>
        <v>20280</v>
      </c>
      <c r="Z57" s="43" t="s">
        <v>208</v>
      </c>
      <c r="AA57" s="27">
        <f t="shared" si="37"/>
        <v>21294</v>
      </c>
      <c r="AB57" s="14">
        <f t="shared" si="48"/>
        <v>15500</v>
      </c>
      <c r="AC57" s="8">
        <f t="shared" si="45"/>
        <v>2320</v>
      </c>
      <c r="AD57" s="69">
        <f t="shared" si="46"/>
        <v>3474</v>
      </c>
      <c r="AE57" s="8">
        <v>0.0</v>
      </c>
      <c r="AF57" s="8" t="str">
        <f t="shared" si="22"/>
        <v>OK</v>
      </c>
      <c r="AG57" s="8" t="str">
        <f t="shared" si="23"/>
        <v>US OK</v>
      </c>
      <c r="AH57" s="72" t="str">
        <f t="shared" si="24"/>
        <v>#REF!</v>
      </c>
      <c r="AI57" s="8" t="str">
        <f t="shared" si="25"/>
        <v>Not Found</v>
      </c>
      <c r="AJ57" s="21"/>
      <c r="AK57" s="124"/>
      <c r="AL57" s="75"/>
      <c r="AM57" s="75">
        <f t="shared" si="26"/>
        <v>104</v>
      </c>
      <c r="AN57" s="105"/>
      <c r="AO57" s="105"/>
      <c r="AP57" s="105"/>
      <c r="AQ57" s="105"/>
      <c r="AR57" s="105"/>
      <c r="AS57" s="105"/>
      <c r="AT57" s="105"/>
    </row>
    <row r="58" ht="22.5" customHeight="1">
      <c r="A58" s="87" t="s">
        <v>377</v>
      </c>
      <c r="B58" s="87" t="s">
        <v>378</v>
      </c>
      <c r="C58" s="87" t="s">
        <v>27</v>
      </c>
      <c r="D58" s="87" t="s">
        <v>211</v>
      </c>
      <c r="E58" s="87" t="s">
        <v>292</v>
      </c>
      <c r="F58" s="87" t="s">
        <v>213</v>
      </c>
      <c r="G58" s="116">
        <v>0.3333333333333333</v>
      </c>
      <c r="H58" s="116">
        <v>0.75</v>
      </c>
      <c r="I58" s="89">
        <f t="shared" si="1"/>
        <v>0.4166666667</v>
      </c>
      <c r="J58" s="90">
        <v>43115.0</v>
      </c>
      <c r="K58" s="87" t="s">
        <v>2</v>
      </c>
      <c r="L58" s="94">
        <v>29355.0</v>
      </c>
      <c r="M58" s="87" t="s">
        <v>68</v>
      </c>
      <c r="N58" s="134" t="s">
        <v>69</v>
      </c>
      <c r="O58" s="135">
        <v>45901.0</v>
      </c>
      <c r="P58" s="136">
        <v>28500.0</v>
      </c>
      <c r="Q58" s="87"/>
      <c r="R58" s="95"/>
      <c r="S58" s="87" t="s">
        <v>217</v>
      </c>
      <c r="T58" s="87" t="s">
        <v>71</v>
      </c>
      <c r="U58" s="87" t="s">
        <v>207</v>
      </c>
      <c r="V58" s="97">
        <f t="shared" si="20"/>
        <v>28500</v>
      </c>
      <c r="W58" s="98">
        <v>0.11</v>
      </c>
      <c r="X58" s="99"/>
      <c r="Y58" s="99">
        <f t="shared" si="21"/>
        <v>31640</v>
      </c>
      <c r="Z58" s="119" t="s">
        <v>208</v>
      </c>
      <c r="AA58" s="27">
        <f t="shared" si="37"/>
        <v>29355</v>
      </c>
      <c r="AB58" s="14">
        <f t="shared" si="48"/>
        <v>15500</v>
      </c>
      <c r="AC58" s="8">
        <f t="shared" si="45"/>
        <v>5540</v>
      </c>
      <c r="AD58" s="69">
        <f t="shared" si="46"/>
        <v>8315</v>
      </c>
      <c r="AE58" s="8">
        <v>0.0</v>
      </c>
      <c r="AF58" s="101" t="str">
        <f t="shared" si="22"/>
        <v>OK</v>
      </c>
      <c r="AG58" s="101" t="str">
        <f t="shared" si="23"/>
        <v>S OK</v>
      </c>
      <c r="AH58" s="102" t="str">
        <f t="shared" si="24"/>
        <v>#REF!</v>
      </c>
      <c r="AI58" s="101" t="str">
        <f t="shared" si="25"/>
        <v>Not Found</v>
      </c>
      <c r="AJ58" s="103"/>
      <c r="AK58" s="137"/>
      <c r="AL58" s="121">
        <f>AM58/12</f>
        <v>8.666666667</v>
      </c>
      <c r="AM58" s="105">
        <f t="shared" si="26"/>
        <v>104</v>
      </c>
      <c r="AN58" s="75"/>
      <c r="AO58" s="75"/>
      <c r="AP58" s="75"/>
      <c r="AQ58" s="75"/>
      <c r="AR58" s="75"/>
      <c r="AS58" s="75"/>
      <c r="AT58" s="75"/>
    </row>
    <row r="59" ht="22.5" customHeight="1">
      <c r="A59" s="7" t="s">
        <v>380</v>
      </c>
      <c r="B59" s="7" t="s">
        <v>381</v>
      </c>
      <c r="C59" s="7" t="s">
        <v>27</v>
      </c>
      <c r="D59" s="7" t="s">
        <v>382</v>
      </c>
      <c r="E59" s="7" t="s">
        <v>383</v>
      </c>
      <c r="F59" s="7" t="s">
        <v>213</v>
      </c>
      <c r="G59" s="49">
        <v>0.375</v>
      </c>
      <c r="H59" s="49">
        <v>0.7708333333333334</v>
      </c>
      <c r="I59" s="51">
        <f t="shared" si="1"/>
        <v>0.3958333333</v>
      </c>
      <c r="J59" s="82">
        <v>43241.0</v>
      </c>
      <c r="K59" s="7" t="s">
        <v>2</v>
      </c>
      <c r="L59" s="10">
        <f>Y59</f>
        <v>26570</v>
      </c>
      <c r="M59" s="7" t="s">
        <v>68</v>
      </c>
      <c r="N59" s="83" t="s">
        <v>69</v>
      </c>
      <c r="O59" s="84">
        <v>45901.0</v>
      </c>
      <c r="P59" s="57">
        <v>23940.0</v>
      </c>
      <c r="Q59" s="7"/>
      <c r="R59" s="11"/>
      <c r="S59" s="7" t="s">
        <v>217</v>
      </c>
      <c r="T59" s="7" t="s">
        <v>71</v>
      </c>
      <c r="U59" s="7" t="s">
        <v>207</v>
      </c>
      <c r="V59" s="27">
        <f t="shared" si="20"/>
        <v>23940</v>
      </c>
      <c r="W59" s="13">
        <v>0.11</v>
      </c>
      <c r="X59" s="14"/>
      <c r="Y59" s="14">
        <f t="shared" si="21"/>
        <v>26570</v>
      </c>
      <c r="Z59" s="43" t="s">
        <v>208</v>
      </c>
      <c r="AA59" s="27">
        <f t="shared" si="37"/>
        <v>26570</v>
      </c>
      <c r="AB59" s="14">
        <f t="shared" si="48"/>
        <v>15500</v>
      </c>
      <c r="AC59" s="8">
        <f t="shared" si="45"/>
        <v>4430</v>
      </c>
      <c r="AD59" s="69">
        <f t="shared" si="46"/>
        <v>6640</v>
      </c>
      <c r="AE59" s="8">
        <v>0.0</v>
      </c>
      <c r="AF59" s="8" t="str">
        <f t="shared" si="22"/>
        <v>OK</v>
      </c>
      <c r="AG59" s="8" t="str">
        <f t="shared" si="23"/>
        <v>S OK</v>
      </c>
      <c r="AH59" s="72" t="str">
        <f t="shared" si="24"/>
        <v>#REF!</v>
      </c>
      <c r="AI59" s="8" t="str">
        <f t="shared" si="25"/>
        <v>Not Found</v>
      </c>
      <c r="AJ59" s="21"/>
      <c r="AK59" s="124"/>
      <c r="AL59" s="75"/>
      <c r="AM59" s="75">
        <f t="shared" si="26"/>
        <v>100</v>
      </c>
      <c r="AN59" s="75"/>
      <c r="AO59" s="75"/>
      <c r="AP59" s="75"/>
      <c r="AQ59" s="75"/>
      <c r="AR59" s="75"/>
      <c r="AS59" s="75"/>
      <c r="AT59" s="75"/>
    </row>
    <row r="60" ht="22.5" customHeight="1">
      <c r="A60" s="7" t="s">
        <v>384</v>
      </c>
      <c r="B60" s="7" t="s">
        <v>385</v>
      </c>
      <c r="C60" s="7" t="s">
        <v>27</v>
      </c>
      <c r="D60" s="7" t="s">
        <v>244</v>
      </c>
      <c r="E60" s="7" t="s">
        <v>292</v>
      </c>
      <c r="F60" s="7" t="s">
        <v>213</v>
      </c>
      <c r="G60" s="49">
        <v>0.3541666666666667</v>
      </c>
      <c r="H60" s="49">
        <v>0.75</v>
      </c>
      <c r="I60" s="51">
        <f t="shared" si="1"/>
        <v>0.3958333333</v>
      </c>
      <c r="J60" s="82">
        <v>43586.0</v>
      </c>
      <c r="K60" s="7" t="s">
        <v>2</v>
      </c>
      <c r="L60" s="10">
        <v>26739.0</v>
      </c>
      <c r="M60" s="7" t="s">
        <v>68</v>
      </c>
      <c r="N60" s="83" t="s">
        <v>69</v>
      </c>
      <c r="O60" s="84">
        <v>45901.0</v>
      </c>
      <c r="P60" s="57">
        <v>25960.0</v>
      </c>
      <c r="Q60" s="7"/>
      <c r="R60" s="11"/>
      <c r="S60" s="7" t="s">
        <v>217</v>
      </c>
      <c r="T60" s="7" t="s">
        <v>217</v>
      </c>
      <c r="U60" s="7" t="s">
        <v>207</v>
      </c>
      <c r="V60" s="27">
        <f t="shared" si="20"/>
        <v>25960</v>
      </c>
      <c r="W60" s="13">
        <v>0.11</v>
      </c>
      <c r="X60" s="14"/>
      <c r="Y60" s="14">
        <f t="shared" si="21"/>
        <v>28820</v>
      </c>
      <c r="Z60" s="43" t="s">
        <v>386</v>
      </c>
      <c r="AA60" s="27">
        <f t="shared" si="37"/>
        <v>26739</v>
      </c>
      <c r="AB60" s="14">
        <f t="shared" si="48"/>
        <v>15500</v>
      </c>
      <c r="AC60" s="8">
        <f t="shared" si="45"/>
        <v>4500</v>
      </c>
      <c r="AD60" s="69">
        <f t="shared" si="46"/>
        <v>6739</v>
      </c>
      <c r="AE60" s="8">
        <v>0.0</v>
      </c>
      <c r="AF60" s="8" t="str">
        <f t="shared" si="22"/>
        <v>OK</v>
      </c>
      <c r="AG60" s="8" t="str">
        <f t="shared" si="23"/>
        <v>S OK</v>
      </c>
      <c r="AH60" s="72" t="str">
        <f t="shared" si="24"/>
        <v>#REF!</v>
      </c>
      <c r="AI60" s="8" t="str">
        <f t="shared" si="25"/>
        <v>Not Found</v>
      </c>
      <c r="AJ60" s="21"/>
      <c r="AK60" s="124"/>
      <c r="AL60" s="75"/>
      <c r="AM60" s="75">
        <f t="shared" si="26"/>
        <v>88</v>
      </c>
      <c r="AN60" s="75"/>
      <c r="AO60" s="75"/>
      <c r="AP60" s="75"/>
      <c r="AQ60" s="75"/>
      <c r="AR60" s="75"/>
      <c r="AS60" s="75"/>
      <c r="AT60" s="75"/>
    </row>
    <row r="61" ht="22.5" customHeight="1">
      <c r="A61" s="7" t="s">
        <v>387</v>
      </c>
      <c r="B61" s="7" t="s">
        <v>388</v>
      </c>
      <c r="C61" s="7" t="s">
        <v>27</v>
      </c>
      <c r="D61" s="7" t="s">
        <v>389</v>
      </c>
      <c r="E61" s="7" t="s">
        <v>390</v>
      </c>
      <c r="F61" s="7" t="s">
        <v>202</v>
      </c>
      <c r="G61" s="49">
        <v>0.4166666666666667</v>
      </c>
      <c r="H61" s="49">
        <v>0.7708333333333334</v>
      </c>
      <c r="I61" s="51">
        <f t="shared" si="1"/>
        <v>0.3541666667</v>
      </c>
      <c r="J61" s="82">
        <v>43680.0</v>
      </c>
      <c r="K61" s="7" t="s">
        <v>2</v>
      </c>
      <c r="L61" s="10">
        <f>Y61</f>
        <v>81130</v>
      </c>
      <c r="M61" s="7" t="s">
        <v>68</v>
      </c>
      <c r="N61" s="83" t="s">
        <v>69</v>
      </c>
      <c r="O61" s="84">
        <v>45901.0</v>
      </c>
      <c r="P61" s="57">
        <v>75120.0</v>
      </c>
      <c r="Q61" s="7"/>
      <c r="R61" s="11"/>
      <c r="S61" s="85"/>
      <c r="T61" s="7" t="s">
        <v>71</v>
      </c>
      <c r="U61" s="7" t="s">
        <v>207</v>
      </c>
      <c r="V61" s="27">
        <f t="shared" si="20"/>
        <v>75120</v>
      </c>
      <c r="W61" s="13">
        <v>0.08</v>
      </c>
      <c r="X61" s="14"/>
      <c r="Y61" s="14">
        <f t="shared" si="21"/>
        <v>81130</v>
      </c>
      <c r="Z61" s="43"/>
      <c r="AA61" s="27">
        <f t="shared" si="37"/>
        <v>81130</v>
      </c>
      <c r="AB61" s="14">
        <f t="shared" si="48"/>
        <v>40565</v>
      </c>
      <c r="AC61" s="8">
        <f t="shared" si="45"/>
        <v>16230</v>
      </c>
      <c r="AD61" s="69">
        <f t="shared" si="46"/>
        <v>24335</v>
      </c>
      <c r="AE61" s="8">
        <v>0.0</v>
      </c>
      <c r="AF61" s="8" t="str">
        <f t="shared" si="22"/>
        <v>OK</v>
      </c>
      <c r="AG61" s="8" t="str">
        <f t="shared" si="23"/>
        <v>S OK</v>
      </c>
      <c r="AH61" s="72" t="str">
        <f t="shared" si="24"/>
        <v>#REF!</v>
      </c>
      <c r="AI61" s="8" t="str">
        <f t="shared" si="25"/>
        <v>Not Found</v>
      </c>
      <c r="AJ61" s="21"/>
      <c r="AK61" s="86"/>
      <c r="AL61" s="75"/>
      <c r="AM61" s="75">
        <f t="shared" si="26"/>
        <v>85</v>
      </c>
      <c r="AN61" s="75"/>
      <c r="AO61" s="75"/>
      <c r="AP61" s="75"/>
      <c r="AQ61" s="75"/>
      <c r="AR61" s="75"/>
      <c r="AS61" s="75"/>
      <c r="AT61" s="75"/>
    </row>
    <row r="62" ht="22.5" customHeight="1">
      <c r="A62" s="7" t="s">
        <v>393</v>
      </c>
      <c r="B62" s="7" t="s">
        <v>394</v>
      </c>
      <c r="C62" s="7" t="s">
        <v>27</v>
      </c>
      <c r="D62" s="7" t="s">
        <v>244</v>
      </c>
      <c r="E62" s="7" t="s">
        <v>252</v>
      </c>
      <c r="F62" s="7" t="s">
        <v>199</v>
      </c>
      <c r="G62" s="49">
        <v>0.375</v>
      </c>
      <c r="H62" s="49">
        <v>0.7916666666666666</v>
      </c>
      <c r="I62" s="51">
        <f t="shared" si="1"/>
        <v>0.4166666667</v>
      </c>
      <c r="J62" s="82">
        <v>43694.0</v>
      </c>
      <c r="K62" s="7" t="s">
        <v>2</v>
      </c>
      <c r="L62" s="10">
        <v>21231.0</v>
      </c>
      <c r="M62" s="7" t="s">
        <v>68</v>
      </c>
      <c r="N62" s="83" t="s">
        <v>69</v>
      </c>
      <c r="O62" s="84">
        <v>45901.0</v>
      </c>
      <c r="P62" s="57">
        <v>18220.0</v>
      </c>
      <c r="Q62" s="7"/>
      <c r="R62" s="11"/>
      <c r="S62" s="7" t="s">
        <v>217</v>
      </c>
      <c r="T62" s="7" t="s">
        <v>71</v>
      </c>
      <c r="U62" s="7" t="s">
        <v>207</v>
      </c>
      <c r="V62" s="27">
        <f t="shared" si="20"/>
        <v>18220</v>
      </c>
      <c r="W62" s="13">
        <v>0.11</v>
      </c>
      <c r="X62" s="14"/>
      <c r="Y62" s="14">
        <f t="shared" si="21"/>
        <v>20220</v>
      </c>
      <c r="Z62" s="43" t="s">
        <v>208</v>
      </c>
      <c r="AA62" s="27">
        <f t="shared" si="37"/>
        <v>21231</v>
      </c>
      <c r="AB62" s="14">
        <f t="shared" si="48"/>
        <v>15500</v>
      </c>
      <c r="AC62" s="8">
        <f t="shared" si="45"/>
        <v>2290</v>
      </c>
      <c r="AD62" s="69">
        <f t="shared" si="46"/>
        <v>3441</v>
      </c>
      <c r="AE62" s="8">
        <v>0.0</v>
      </c>
      <c r="AF62" s="8" t="str">
        <f t="shared" si="22"/>
        <v>OK</v>
      </c>
      <c r="AG62" s="8" t="str">
        <f t="shared" si="23"/>
        <v>S OK</v>
      </c>
      <c r="AH62" s="72" t="str">
        <f t="shared" si="24"/>
        <v>#REF!</v>
      </c>
      <c r="AI62" s="8" t="str">
        <f t="shared" si="25"/>
        <v>Not Found</v>
      </c>
      <c r="AJ62" s="21"/>
      <c r="AK62" s="86"/>
      <c r="AL62" s="75"/>
      <c r="AM62" s="75">
        <f t="shared" si="26"/>
        <v>85</v>
      </c>
      <c r="AN62" s="75"/>
      <c r="AO62" s="75"/>
      <c r="AP62" s="75"/>
      <c r="AQ62" s="75"/>
      <c r="AR62" s="75"/>
      <c r="AS62" s="75"/>
      <c r="AT62" s="75"/>
    </row>
    <row r="63" ht="22.5" customHeight="1">
      <c r="A63" s="7" t="s">
        <v>395</v>
      </c>
      <c r="B63" s="7" t="s">
        <v>396</v>
      </c>
      <c r="C63" s="7" t="s">
        <v>27</v>
      </c>
      <c r="D63" s="7" t="s">
        <v>286</v>
      </c>
      <c r="E63" s="7" t="s">
        <v>287</v>
      </c>
      <c r="F63" s="7" t="s">
        <v>213</v>
      </c>
      <c r="G63" s="49">
        <v>0.375</v>
      </c>
      <c r="H63" s="49">
        <v>0.7708333333333334</v>
      </c>
      <c r="I63" s="51">
        <f t="shared" si="1"/>
        <v>0.3958333333</v>
      </c>
      <c r="J63" s="82">
        <v>43739.0</v>
      </c>
      <c r="K63" s="7" t="s">
        <v>2</v>
      </c>
      <c r="L63" s="10">
        <f t="shared" ref="L63:L64" si="49">Y63</f>
        <v>40010</v>
      </c>
      <c r="M63" s="7" t="s">
        <v>68</v>
      </c>
      <c r="N63" s="83" t="s">
        <v>69</v>
      </c>
      <c r="O63" s="84">
        <v>45901.0</v>
      </c>
      <c r="P63" s="57">
        <v>36710.0</v>
      </c>
      <c r="Q63" s="7"/>
      <c r="R63" s="11"/>
      <c r="S63" s="85"/>
      <c r="T63" s="7" t="s">
        <v>71</v>
      </c>
      <c r="U63" s="7" t="s">
        <v>207</v>
      </c>
      <c r="V63" s="27">
        <f t="shared" si="20"/>
        <v>36710</v>
      </c>
      <c r="W63" s="13">
        <v>0.09</v>
      </c>
      <c r="X63" s="14"/>
      <c r="Y63" s="14">
        <f t="shared" si="21"/>
        <v>40010</v>
      </c>
      <c r="Z63" s="43" t="s">
        <v>208</v>
      </c>
      <c r="AA63" s="27">
        <f t="shared" si="37"/>
        <v>40010</v>
      </c>
      <c r="AB63" s="14">
        <f t="shared" si="48"/>
        <v>20005</v>
      </c>
      <c r="AC63" s="8">
        <f t="shared" si="45"/>
        <v>8000</v>
      </c>
      <c r="AD63" s="69">
        <f t="shared" si="46"/>
        <v>12005</v>
      </c>
      <c r="AE63" s="8">
        <v>0.0</v>
      </c>
      <c r="AF63" s="8" t="str">
        <f t="shared" si="22"/>
        <v>OK</v>
      </c>
      <c r="AG63" s="8" t="str">
        <f t="shared" si="23"/>
        <v>S OK</v>
      </c>
      <c r="AH63" s="72" t="str">
        <f t="shared" si="24"/>
        <v>#REF!</v>
      </c>
      <c r="AI63" s="8" t="str">
        <f t="shared" si="25"/>
        <v>Not Found</v>
      </c>
      <c r="AJ63" s="21" t="s">
        <v>193</v>
      </c>
      <c r="AK63" s="124"/>
      <c r="AL63" s="75"/>
      <c r="AM63" s="75">
        <f t="shared" si="26"/>
        <v>83</v>
      </c>
      <c r="AN63" s="105"/>
      <c r="AO63" s="105"/>
      <c r="AP63" s="105"/>
      <c r="AQ63" s="105"/>
      <c r="AR63" s="105"/>
      <c r="AS63" s="105"/>
      <c r="AT63" s="105"/>
    </row>
    <row r="64" ht="22.5" customHeight="1">
      <c r="A64" s="7" t="s">
        <v>399</v>
      </c>
      <c r="B64" s="7" t="s">
        <v>400</v>
      </c>
      <c r="C64" s="7" t="s">
        <v>27</v>
      </c>
      <c r="D64" s="7" t="s">
        <v>205</v>
      </c>
      <c r="E64" s="7" t="s">
        <v>206</v>
      </c>
      <c r="F64" s="7" t="s">
        <v>202</v>
      </c>
      <c r="G64" s="49">
        <v>0.4166666666666667</v>
      </c>
      <c r="H64" s="49">
        <v>0.7708333333333334</v>
      </c>
      <c r="I64" s="51">
        <f t="shared" si="1"/>
        <v>0.3541666667</v>
      </c>
      <c r="J64" s="82">
        <v>43780.0</v>
      </c>
      <c r="K64" s="7" t="s">
        <v>2</v>
      </c>
      <c r="L64" s="10">
        <f t="shared" si="49"/>
        <v>46710</v>
      </c>
      <c r="M64" s="7" t="s">
        <v>68</v>
      </c>
      <c r="N64" s="83" t="s">
        <v>69</v>
      </c>
      <c r="O64" s="84">
        <v>45901.0</v>
      </c>
      <c r="P64" s="57">
        <v>42850.0</v>
      </c>
      <c r="Q64" s="7"/>
      <c r="R64" s="11"/>
      <c r="S64" s="85"/>
      <c r="T64" s="7" t="s">
        <v>71</v>
      </c>
      <c r="U64" s="7" t="s">
        <v>207</v>
      </c>
      <c r="V64" s="27">
        <f t="shared" si="20"/>
        <v>42850</v>
      </c>
      <c r="W64" s="13">
        <v>0.09</v>
      </c>
      <c r="X64" s="14"/>
      <c r="Y64" s="14">
        <f t="shared" si="21"/>
        <v>46710</v>
      </c>
      <c r="Z64" s="43"/>
      <c r="AA64" s="27">
        <f t="shared" si="37"/>
        <v>46710</v>
      </c>
      <c r="AB64" s="14">
        <f t="shared" si="48"/>
        <v>23355</v>
      </c>
      <c r="AC64" s="8">
        <f t="shared" si="45"/>
        <v>9340</v>
      </c>
      <c r="AD64" s="69">
        <f t="shared" si="46"/>
        <v>14015</v>
      </c>
      <c r="AE64" s="8">
        <v>0.0</v>
      </c>
      <c r="AF64" s="8" t="str">
        <f t="shared" si="22"/>
        <v>OK</v>
      </c>
      <c r="AG64" s="8" t="str">
        <f t="shared" si="23"/>
        <v>S OK</v>
      </c>
      <c r="AH64" s="72" t="str">
        <f t="shared" si="24"/>
        <v>#REF!</v>
      </c>
      <c r="AI64" s="8" t="str">
        <f t="shared" si="25"/>
        <v>Not Found</v>
      </c>
      <c r="AJ64" s="21"/>
      <c r="AK64" s="86"/>
      <c r="AL64" s="75"/>
      <c r="AM64" s="75">
        <f t="shared" si="26"/>
        <v>82</v>
      </c>
      <c r="AN64" s="75"/>
      <c r="AO64" s="75"/>
      <c r="AP64" s="75"/>
      <c r="AQ64" s="75"/>
      <c r="AR64" s="75"/>
      <c r="AS64" s="75"/>
      <c r="AT64" s="75"/>
    </row>
    <row r="65" ht="22.5" customHeight="1">
      <c r="A65" s="7" t="s">
        <v>401</v>
      </c>
      <c r="B65" s="7" t="s">
        <v>402</v>
      </c>
      <c r="C65" s="7" t="s">
        <v>27</v>
      </c>
      <c r="D65" s="7" t="s">
        <v>244</v>
      </c>
      <c r="E65" s="7" t="s">
        <v>252</v>
      </c>
      <c r="F65" s="7" t="s">
        <v>213</v>
      </c>
      <c r="G65" s="49">
        <v>0.3333333333333333</v>
      </c>
      <c r="H65" s="49">
        <v>0.75</v>
      </c>
      <c r="I65" s="51">
        <f t="shared" si="1"/>
        <v>0.4166666667</v>
      </c>
      <c r="J65" s="82">
        <v>43535.0</v>
      </c>
      <c r="K65" s="7" t="s">
        <v>2</v>
      </c>
      <c r="L65" s="10">
        <v>21500.0</v>
      </c>
      <c r="M65" s="7" t="s">
        <v>68</v>
      </c>
      <c r="N65" s="83" t="s">
        <v>69</v>
      </c>
      <c r="O65" s="84">
        <v>45901.0</v>
      </c>
      <c r="P65" s="138">
        <v>19362.0</v>
      </c>
      <c r="Q65" s="7"/>
      <c r="R65" s="11"/>
      <c r="S65" s="7" t="s">
        <v>217</v>
      </c>
      <c r="T65" s="7" t="s">
        <v>217</v>
      </c>
      <c r="U65" s="7" t="s">
        <v>207</v>
      </c>
      <c r="V65" s="27">
        <f t="shared" si="20"/>
        <v>19362</v>
      </c>
      <c r="W65" s="13">
        <v>0.11</v>
      </c>
      <c r="X65" s="14"/>
      <c r="Y65" s="14">
        <f t="shared" si="21"/>
        <v>21490</v>
      </c>
      <c r="Z65" s="43" t="s">
        <v>208</v>
      </c>
      <c r="AA65" s="27">
        <f t="shared" si="37"/>
        <v>21500</v>
      </c>
      <c r="AB65" s="14">
        <f t="shared" si="48"/>
        <v>15500</v>
      </c>
      <c r="AC65" s="8">
        <f t="shared" si="45"/>
        <v>2400</v>
      </c>
      <c r="AD65" s="69">
        <f t="shared" si="46"/>
        <v>3600</v>
      </c>
      <c r="AE65" s="8">
        <v>0.0</v>
      </c>
      <c r="AF65" s="8" t="str">
        <f t="shared" si="22"/>
        <v>OK</v>
      </c>
      <c r="AG65" s="8" t="str">
        <f t="shared" si="23"/>
        <v>S OK</v>
      </c>
      <c r="AH65" s="72" t="str">
        <f t="shared" si="24"/>
        <v>#REF!</v>
      </c>
      <c r="AI65" s="8" t="str">
        <f t="shared" si="25"/>
        <v>Not Found</v>
      </c>
      <c r="AJ65" s="21"/>
      <c r="AK65" s="124"/>
      <c r="AL65" s="75"/>
      <c r="AM65" s="75">
        <f t="shared" si="26"/>
        <v>90</v>
      </c>
      <c r="AN65" s="75"/>
      <c r="AO65" s="75"/>
      <c r="AP65" s="75"/>
      <c r="AQ65" s="75"/>
      <c r="AR65" s="75"/>
      <c r="AS65" s="75"/>
      <c r="AT65" s="75"/>
    </row>
    <row r="66" ht="22.5" customHeight="1">
      <c r="A66" s="139" t="s">
        <v>403</v>
      </c>
      <c r="B66" s="139" t="s">
        <v>404</v>
      </c>
      <c r="C66" s="139" t="s">
        <v>27</v>
      </c>
      <c r="D66" s="7" t="s">
        <v>405</v>
      </c>
      <c r="E66" s="7" t="s">
        <v>383</v>
      </c>
      <c r="F66" s="7" t="s">
        <v>213</v>
      </c>
      <c r="G66" s="49">
        <v>0.375</v>
      </c>
      <c r="H66" s="49">
        <v>0.7708333333333334</v>
      </c>
      <c r="I66" s="51">
        <f t="shared" si="1"/>
        <v>0.3958333333</v>
      </c>
      <c r="J66" s="82">
        <v>43897.0</v>
      </c>
      <c r="K66" s="7" t="s">
        <v>2</v>
      </c>
      <c r="L66" s="10">
        <v>21500.0</v>
      </c>
      <c r="M66" s="7" t="s">
        <v>68</v>
      </c>
      <c r="N66" s="140" t="s">
        <v>69</v>
      </c>
      <c r="O66" s="84">
        <v>45170.0</v>
      </c>
      <c r="P66" s="10">
        <v>15830.0</v>
      </c>
      <c r="Q66" s="7"/>
      <c r="R66" s="11">
        <v>45711.0</v>
      </c>
      <c r="S66" s="85"/>
      <c r="T66" s="7" t="s">
        <v>71</v>
      </c>
      <c r="U66" s="7" t="s">
        <v>207</v>
      </c>
      <c r="V66" s="27">
        <f t="shared" si="20"/>
        <v>15830</v>
      </c>
      <c r="W66" s="13"/>
      <c r="X66" s="14"/>
      <c r="Y66" s="27">
        <f t="shared" si="21"/>
        <v>15830</v>
      </c>
      <c r="Z66" s="43" t="s">
        <v>208</v>
      </c>
      <c r="AA66" s="27">
        <f t="shared" si="37"/>
        <v>21500</v>
      </c>
      <c r="AB66" s="14">
        <f t="shared" si="48"/>
        <v>15500</v>
      </c>
      <c r="AC66" s="8">
        <f t="shared" si="45"/>
        <v>2400</v>
      </c>
      <c r="AD66" s="69">
        <f t="shared" si="46"/>
        <v>3600</v>
      </c>
      <c r="AE66" s="8">
        <v>0.0</v>
      </c>
      <c r="AF66" s="8" t="str">
        <f t="shared" si="22"/>
        <v>OK</v>
      </c>
      <c r="AG66" s="8" t="str">
        <f t="shared" si="23"/>
        <v>S OK</v>
      </c>
      <c r="AH66" s="72" t="str">
        <f t="shared" si="24"/>
        <v>#REF!</v>
      </c>
      <c r="AI66" s="8" t="str">
        <f t="shared" si="25"/>
        <v>Not Found</v>
      </c>
      <c r="AJ66" s="21"/>
      <c r="AK66" s="124"/>
      <c r="AL66" s="75"/>
      <c r="AM66" s="75">
        <f t="shared" si="26"/>
        <v>78</v>
      </c>
      <c r="AN66" s="75"/>
      <c r="AO66" s="75"/>
      <c r="AP66" s="75"/>
      <c r="AQ66" s="75"/>
      <c r="AR66" s="75"/>
      <c r="AS66" s="75"/>
      <c r="AT66" s="75"/>
    </row>
    <row r="67" ht="22.5" customHeight="1">
      <c r="A67" s="7" t="s">
        <v>408</v>
      </c>
      <c r="B67" s="7" t="s">
        <v>409</v>
      </c>
      <c r="C67" s="7" t="s">
        <v>27</v>
      </c>
      <c r="D67" s="7" t="s">
        <v>244</v>
      </c>
      <c r="E67" s="7" t="s">
        <v>245</v>
      </c>
      <c r="F67" s="7" t="s">
        <v>199</v>
      </c>
      <c r="G67" s="49">
        <v>0.375</v>
      </c>
      <c r="H67" s="49">
        <v>0.7916666666666666</v>
      </c>
      <c r="I67" s="51">
        <f t="shared" si="1"/>
        <v>0.4166666667</v>
      </c>
      <c r="J67" s="82">
        <v>43677.0</v>
      </c>
      <c r="K67" s="7" t="s">
        <v>2</v>
      </c>
      <c r="L67" s="10">
        <v>21231.0</v>
      </c>
      <c r="M67" s="7" t="s">
        <v>68</v>
      </c>
      <c r="N67" s="83" t="s">
        <v>69</v>
      </c>
      <c r="O67" s="84">
        <v>45901.0</v>
      </c>
      <c r="P67" s="57">
        <v>18220.0</v>
      </c>
      <c r="Q67" s="7"/>
      <c r="R67" s="11"/>
      <c r="S67" s="7" t="s">
        <v>217</v>
      </c>
      <c r="T67" s="7" t="s">
        <v>71</v>
      </c>
      <c r="U67" s="7" t="s">
        <v>247</v>
      </c>
      <c r="V67" s="27">
        <f t="shared" si="20"/>
        <v>18220</v>
      </c>
      <c r="W67" s="13">
        <v>0.11</v>
      </c>
      <c r="X67" s="14"/>
      <c r="Y67" s="14">
        <f t="shared" si="21"/>
        <v>20220</v>
      </c>
      <c r="Z67" s="43" t="s">
        <v>208</v>
      </c>
      <c r="AA67" s="27">
        <f t="shared" si="37"/>
        <v>21231</v>
      </c>
      <c r="AB67" s="14">
        <f t="shared" si="48"/>
        <v>15500</v>
      </c>
      <c r="AC67" s="8">
        <f t="shared" si="45"/>
        <v>2290</v>
      </c>
      <c r="AD67" s="69">
        <f t="shared" si="46"/>
        <v>3441</v>
      </c>
      <c r="AE67" s="8">
        <v>0.0</v>
      </c>
      <c r="AF67" s="8" t="str">
        <f t="shared" si="22"/>
        <v>OK</v>
      </c>
      <c r="AG67" s="8" t="str">
        <f t="shared" si="23"/>
        <v>US OK</v>
      </c>
      <c r="AH67" s="72" t="str">
        <f t="shared" si="24"/>
        <v>#REF!</v>
      </c>
      <c r="AI67" s="8" t="str">
        <f t="shared" si="25"/>
        <v>Not Found</v>
      </c>
      <c r="AJ67" s="21"/>
      <c r="AK67" s="86"/>
      <c r="AL67" s="75"/>
      <c r="AM67" s="75">
        <f t="shared" si="26"/>
        <v>85</v>
      </c>
      <c r="AN67" s="75"/>
      <c r="AO67" s="75"/>
      <c r="AP67" s="75"/>
      <c r="AQ67" s="75"/>
      <c r="AR67" s="75"/>
      <c r="AS67" s="75"/>
      <c r="AT67" s="75"/>
    </row>
    <row r="68" ht="22.5" customHeight="1">
      <c r="A68" s="87" t="s">
        <v>410</v>
      </c>
      <c r="B68" s="87" t="s">
        <v>411</v>
      </c>
      <c r="C68" s="87" t="s">
        <v>27</v>
      </c>
      <c r="D68" s="87" t="s">
        <v>211</v>
      </c>
      <c r="E68" s="87" t="s">
        <v>412</v>
      </c>
      <c r="F68" s="87" t="s">
        <v>213</v>
      </c>
      <c r="G68" s="116">
        <v>0.3333333333333333</v>
      </c>
      <c r="H68" s="116">
        <v>0.75</v>
      </c>
      <c r="I68" s="89">
        <f t="shared" si="1"/>
        <v>0.4166666667</v>
      </c>
      <c r="J68" s="90">
        <v>44081.0</v>
      </c>
      <c r="K68" s="87" t="s">
        <v>2</v>
      </c>
      <c r="L68" s="94">
        <v>44523.0</v>
      </c>
      <c r="M68" s="87" t="s">
        <v>68</v>
      </c>
      <c r="N68" s="134" t="s">
        <v>69</v>
      </c>
      <c r="O68" s="135">
        <v>45901.0</v>
      </c>
      <c r="P68" s="136">
        <v>43650.0</v>
      </c>
      <c r="Q68" s="87"/>
      <c r="R68" s="95"/>
      <c r="S68" s="141"/>
      <c r="T68" s="87" t="s">
        <v>217</v>
      </c>
      <c r="U68" s="87" t="s">
        <v>207</v>
      </c>
      <c r="V68" s="97">
        <f t="shared" si="20"/>
        <v>43650</v>
      </c>
      <c r="W68" s="98">
        <v>0.09</v>
      </c>
      <c r="X68" s="99"/>
      <c r="Y68" s="99">
        <f t="shared" si="21"/>
        <v>47580</v>
      </c>
      <c r="Z68" s="119" t="s">
        <v>208</v>
      </c>
      <c r="AA68" s="97">
        <f t="shared" si="37"/>
        <v>44523</v>
      </c>
      <c r="AB68" s="99">
        <f>roundup(IFS(AND(AA68&lt;=15000),15300,AND(AA68&gt;15000,AA68&lt;15500),AA68,AND(AA68&gt;=15500,AA68&lt;$Z$1),15500,AA68&gt;=$Z$1,AA68*$AB$2),0)</f>
        <v>22262</v>
      </c>
      <c r="AC68" s="101">
        <f t="shared" si="45"/>
        <v>8900</v>
      </c>
      <c r="AD68" s="120">
        <f t="shared" si="46"/>
        <v>13361</v>
      </c>
      <c r="AE68" s="101">
        <v>0.0</v>
      </c>
      <c r="AF68" s="101" t="str">
        <f t="shared" si="22"/>
        <v>OK</v>
      </c>
      <c r="AG68" s="101" t="str">
        <f t="shared" si="23"/>
        <v>S OK</v>
      </c>
      <c r="AH68" s="102" t="str">
        <f t="shared" si="24"/>
        <v>#REF!</v>
      </c>
      <c r="AI68" s="101" t="str">
        <f t="shared" si="25"/>
        <v>Not Found</v>
      </c>
      <c r="AJ68" s="103"/>
      <c r="AK68" s="137"/>
      <c r="AL68" s="121">
        <f>AM68/12</f>
        <v>6</v>
      </c>
      <c r="AM68" s="105">
        <f t="shared" si="26"/>
        <v>72</v>
      </c>
      <c r="AN68" s="75"/>
      <c r="AO68" s="75"/>
      <c r="AP68" s="75"/>
      <c r="AQ68" s="75"/>
      <c r="AR68" s="75"/>
      <c r="AS68" s="75"/>
      <c r="AT68" s="75"/>
    </row>
    <row r="69" ht="22.5" customHeight="1">
      <c r="A69" s="7" t="s">
        <v>415</v>
      </c>
      <c r="B69" s="7" t="s">
        <v>416</v>
      </c>
      <c r="C69" s="7" t="s">
        <v>27</v>
      </c>
      <c r="D69" s="7" t="s">
        <v>244</v>
      </c>
      <c r="E69" s="7" t="s">
        <v>292</v>
      </c>
      <c r="F69" s="7" t="s">
        <v>213</v>
      </c>
      <c r="G69" s="49">
        <v>0.3333333333333333</v>
      </c>
      <c r="H69" s="49">
        <v>0.75</v>
      </c>
      <c r="I69" s="51">
        <f t="shared" si="1"/>
        <v>0.4166666667</v>
      </c>
      <c r="J69" s="82">
        <v>43378.0</v>
      </c>
      <c r="K69" s="7" t="s">
        <v>2</v>
      </c>
      <c r="L69" s="10">
        <v>25704.0</v>
      </c>
      <c r="M69" s="7" t="s">
        <v>68</v>
      </c>
      <c r="N69" s="83" t="s">
        <v>69</v>
      </c>
      <c r="O69" s="84">
        <v>45901.0</v>
      </c>
      <c r="P69" s="57">
        <v>22050.0</v>
      </c>
      <c r="Q69" s="7"/>
      <c r="R69" s="11"/>
      <c r="S69" s="7" t="s">
        <v>217</v>
      </c>
      <c r="T69" s="7" t="s">
        <v>217</v>
      </c>
      <c r="U69" s="7" t="s">
        <v>207</v>
      </c>
      <c r="V69" s="27">
        <f t="shared" si="20"/>
        <v>22050</v>
      </c>
      <c r="W69" s="13">
        <v>0.11</v>
      </c>
      <c r="X69" s="14"/>
      <c r="Y69" s="14">
        <f t="shared" si="21"/>
        <v>24480</v>
      </c>
      <c r="Z69" s="43" t="s">
        <v>208</v>
      </c>
      <c r="AA69" s="27">
        <f t="shared" si="37"/>
        <v>25704</v>
      </c>
      <c r="AB69" s="14">
        <f t="shared" ref="AB69:AB76" si="50">IFS(AND(AA69&lt;=15000),15300,AND(AA69&gt;15000,AA69&lt;15500),AA69,AND(AA69&gt;=15500,AA69&lt;$Z$1),15500,AA69&gt;=$Z$1,AA69*$AB$2)</f>
        <v>15500</v>
      </c>
      <c r="AC69" s="8">
        <f t="shared" si="45"/>
        <v>4080</v>
      </c>
      <c r="AD69" s="69">
        <f t="shared" si="46"/>
        <v>6124</v>
      </c>
      <c r="AE69" s="8">
        <v>0.0</v>
      </c>
      <c r="AF69" s="8" t="str">
        <f t="shared" si="22"/>
        <v>OK</v>
      </c>
      <c r="AG69" s="8" t="str">
        <f t="shared" si="23"/>
        <v>S OK</v>
      </c>
      <c r="AH69" s="72" t="str">
        <f t="shared" si="24"/>
        <v>#REF!</v>
      </c>
      <c r="AI69" s="8" t="str">
        <f t="shared" si="25"/>
        <v>Not Found</v>
      </c>
      <c r="AJ69" s="21"/>
      <c r="AK69" s="110" t="s">
        <v>283</v>
      </c>
      <c r="AL69" s="75"/>
      <c r="AM69" s="75">
        <f t="shared" si="26"/>
        <v>95</v>
      </c>
      <c r="AN69" s="75"/>
      <c r="AO69" s="75"/>
      <c r="AP69" s="75"/>
      <c r="AQ69" s="75"/>
      <c r="AR69" s="75"/>
      <c r="AS69" s="75"/>
      <c r="AT69" s="75"/>
    </row>
    <row r="70" ht="22.5" customHeight="1">
      <c r="A70" s="7" t="s">
        <v>417</v>
      </c>
      <c r="B70" s="7" t="s">
        <v>418</v>
      </c>
      <c r="C70" s="7" t="s">
        <v>27</v>
      </c>
      <c r="D70" s="7" t="s">
        <v>205</v>
      </c>
      <c r="E70" s="7" t="s">
        <v>206</v>
      </c>
      <c r="F70" s="7" t="s">
        <v>202</v>
      </c>
      <c r="G70" s="49">
        <v>0.375</v>
      </c>
      <c r="H70" s="49">
        <v>0.7708333333333334</v>
      </c>
      <c r="I70" s="51">
        <f t="shared" si="1"/>
        <v>0.3958333333</v>
      </c>
      <c r="J70" s="82">
        <v>44136.0</v>
      </c>
      <c r="K70" s="7" t="s">
        <v>2</v>
      </c>
      <c r="L70" s="10">
        <f>Y70</f>
        <v>29110</v>
      </c>
      <c r="M70" s="7" t="s">
        <v>68</v>
      </c>
      <c r="N70" s="83" t="s">
        <v>69</v>
      </c>
      <c r="O70" s="84">
        <v>45901.0</v>
      </c>
      <c r="P70" s="57">
        <v>26460.0</v>
      </c>
      <c r="Q70" s="7"/>
      <c r="R70" s="11"/>
      <c r="S70" s="85"/>
      <c r="T70" s="7" t="s">
        <v>71</v>
      </c>
      <c r="U70" s="7" t="s">
        <v>207</v>
      </c>
      <c r="V70" s="27">
        <f t="shared" si="20"/>
        <v>26460</v>
      </c>
      <c r="W70" s="13">
        <v>0.1</v>
      </c>
      <c r="X70" s="14"/>
      <c r="Y70" s="14">
        <f t="shared" si="21"/>
        <v>29110</v>
      </c>
      <c r="Z70" s="43" t="s">
        <v>208</v>
      </c>
      <c r="AA70" s="27">
        <f t="shared" si="37"/>
        <v>29110</v>
      </c>
      <c r="AB70" s="14">
        <f t="shared" si="50"/>
        <v>15500</v>
      </c>
      <c r="AC70" s="8">
        <f t="shared" si="45"/>
        <v>5440</v>
      </c>
      <c r="AD70" s="69">
        <f t="shared" si="46"/>
        <v>8170</v>
      </c>
      <c r="AE70" s="8">
        <v>0.0</v>
      </c>
      <c r="AF70" s="8" t="str">
        <f t="shared" si="22"/>
        <v>OK</v>
      </c>
      <c r="AG70" s="8" t="str">
        <f t="shared" si="23"/>
        <v>S OK</v>
      </c>
      <c r="AH70" s="72" t="str">
        <f t="shared" si="24"/>
        <v>#REF!</v>
      </c>
      <c r="AI70" s="8" t="str">
        <f t="shared" si="25"/>
        <v>Not Found</v>
      </c>
      <c r="AJ70" s="21"/>
      <c r="AK70" s="86"/>
      <c r="AL70" s="75"/>
      <c r="AM70" s="75">
        <f t="shared" si="26"/>
        <v>70</v>
      </c>
      <c r="AN70" s="75"/>
      <c r="AO70" s="75"/>
      <c r="AP70" s="75"/>
      <c r="AQ70" s="75"/>
      <c r="AR70" s="75"/>
      <c r="AS70" s="75"/>
      <c r="AT70" s="75"/>
    </row>
    <row r="71" ht="22.5" customHeight="1">
      <c r="A71" s="87" t="s">
        <v>419</v>
      </c>
      <c r="B71" s="87" t="s">
        <v>420</v>
      </c>
      <c r="C71" s="87" t="s">
        <v>27</v>
      </c>
      <c r="D71" s="87" t="s">
        <v>211</v>
      </c>
      <c r="E71" s="87" t="s">
        <v>212</v>
      </c>
      <c r="F71" s="87" t="s">
        <v>213</v>
      </c>
      <c r="G71" s="116">
        <v>0.3333333333333333</v>
      </c>
      <c r="H71" s="116">
        <v>0.75</v>
      </c>
      <c r="I71" s="89">
        <f t="shared" si="1"/>
        <v>0.4166666667</v>
      </c>
      <c r="J71" s="90">
        <v>44032.0</v>
      </c>
      <c r="K71" s="87" t="s">
        <v>2</v>
      </c>
      <c r="L71" s="94">
        <v>28820.0</v>
      </c>
      <c r="M71" s="87" t="s">
        <v>68</v>
      </c>
      <c r="N71" s="134" t="s">
        <v>69</v>
      </c>
      <c r="O71" s="135">
        <v>45901.0</v>
      </c>
      <c r="P71" s="136">
        <v>27980.0</v>
      </c>
      <c r="Q71" s="87"/>
      <c r="R71" s="95"/>
      <c r="S71" s="87" t="s">
        <v>217</v>
      </c>
      <c r="T71" s="87" t="s">
        <v>217</v>
      </c>
      <c r="U71" s="87" t="s">
        <v>207</v>
      </c>
      <c r="V71" s="97">
        <f t="shared" si="20"/>
        <v>27980</v>
      </c>
      <c r="W71" s="98">
        <v>0.1</v>
      </c>
      <c r="X71" s="99"/>
      <c r="Y71" s="99">
        <f t="shared" si="21"/>
        <v>30780</v>
      </c>
      <c r="Z71" s="119" t="s">
        <v>208</v>
      </c>
      <c r="AA71" s="97">
        <f t="shared" si="37"/>
        <v>28820</v>
      </c>
      <c r="AB71" s="99">
        <f t="shared" si="50"/>
        <v>15500</v>
      </c>
      <c r="AC71" s="101">
        <f t="shared" si="45"/>
        <v>5330</v>
      </c>
      <c r="AD71" s="120">
        <f t="shared" si="46"/>
        <v>7990</v>
      </c>
      <c r="AE71" s="101">
        <v>0.0</v>
      </c>
      <c r="AF71" s="101" t="str">
        <f t="shared" si="22"/>
        <v>OK</v>
      </c>
      <c r="AG71" s="101" t="str">
        <f t="shared" si="23"/>
        <v>S OK</v>
      </c>
      <c r="AH71" s="102" t="str">
        <f t="shared" si="24"/>
        <v>#REF!</v>
      </c>
      <c r="AI71" s="101" t="str">
        <f t="shared" si="25"/>
        <v>Not Found</v>
      </c>
      <c r="AJ71" s="103" t="s">
        <v>193</v>
      </c>
      <c r="AK71" s="137"/>
      <c r="AL71" s="121">
        <f t="shared" ref="AL71:AL73" si="51">AM71/12</f>
        <v>6.166666667</v>
      </c>
      <c r="AM71" s="105">
        <f t="shared" si="26"/>
        <v>74</v>
      </c>
      <c r="AN71" s="75"/>
      <c r="AO71" s="75"/>
      <c r="AP71" s="75"/>
      <c r="AQ71" s="75"/>
      <c r="AR71" s="75"/>
      <c r="AS71" s="75"/>
      <c r="AT71" s="75"/>
    </row>
    <row r="72" ht="22.5" customHeight="1">
      <c r="A72" s="87" t="s">
        <v>421</v>
      </c>
      <c r="B72" s="87" t="s">
        <v>422</v>
      </c>
      <c r="C72" s="87" t="s">
        <v>27</v>
      </c>
      <c r="D72" s="87" t="s">
        <v>211</v>
      </c>
      <c r="E72" s="87" t="s">
        <v>423</v>
      </c>
      <c r="F72" s="87" t="s">
        <v>213</v>
      </c>
      <c r="G72" s="116">
        <v>0.3333333333333333</v>
      </c>
      <c r="H72" s="116">
        <v>0.75</v>
      </c>
      <c r="I72" s="89">
        <f t="shared" si="1"/>
        <v>0.4166666667</v>
      </c>
      <c r="J72" s="90">
        <v>44243.0</v>
      </c>
      <c r="K72" s="87" t="s">
        <v>2</v>
      </c>
      <c r="L72" s="92">
        <v>19247.0</v>
      </c>
      <c r="M72" s="87" t="s">
        <v>68</v>
      </c>
      <c r="N72" s="134" t="s">
        <v>69</v>
      </c>
      <c r="O72" s="135">
        <v>45901.0</v>
      </c>
      <c r="P72" s="136">
        <v>16510.0</v>
      </c>
      <c r="Q72" s="87"/>
      <c r="R72" s="95"/>
      <c r="S72" s="87" t="s">
        <v>217</v>
      </c>
      <c r="T72" s="87" t="s">
        <v>217</v>
      </c>
      <c r="U72" s="87" t="s">
        <v>207</v>
      </c>
      <c r="V72" s="97">
        <f t="shared" si="20"/>
        <v>16510</v>
      </c>
      <c r="W72" s="98">
        <v>0.11</v>
      </c>
      <c r="X72" s="99"/>
      <c r="Y72" s="99">
        <f t="shared" si="21"/>
        <v>18330</v>
      </c>
      <c r="Z72" s="119" t="s">
        <v>426</v>
      </c>
      <c r="AA72" s="99">
        <f t="shared" si="37"/>
        <v>19247</v>
      </c>
      <c r="AB72" s="99">
        <f t="shared" si="50"/>
        <v>15500</v>
      </c>
      <c r="AC72" s="101">
        <f t="shared" si="45"/>
        <v>1500</v>
      </c>
      <c r="AD72" s="101">
        <f t="shared" si="46"/>
        <v>2247</v>
      </c>
      <c r="AE72" s="101">
        <v>0.0</v>
      </c>
      <c r="AF72" s="101" t="str">
        <f t="shared" si="22"/>
        <v>OK</v>
      </c>
      <c r="AG72" s="101" t="str">
        <f t="shared" si="23"/>
        <v>S OK</v>
      </c>
      <c r="AH72" s="102" t="str">
        <f t="shared" si="24"/>
        <v>#REF!</v>
      </c>
      <c r="AI72" s="101" t="str">
        <f t="shared" si="25"/>
        <v>Not Found</v>
      </c>
      <c r="AJ72" s="103"/>
      <c r="AK72" s="137"/>
      <c r="AL72" s="121">
        <f t="shared" si="51"/>
        <v>5.583333333</v>
      </c>
      <c r="AM72" s="105">
        <f t="shared" si="26"/>
        <v>67</v>
      </c>
      <c r="AN72" s="105"/>
      <c r="AO72" s="105"/>
      <c r="AP72" s="105"/>
      <c r="AQ72" s="105"/>
      <c r="AR72" s="105"/>
      <c r="AS72" s="105"/>
      <c r="AT72" s="105"/>
    </row>
    <row r="73" ht="22.5" customHeight="1">
      <c r="A73" s="87" t="s">
        <v>427</v>
      </c>
      <c r="B73" s="87" t="s">
        <v>237</v>
      </c>
      <c r="C73" s="87" t="s">
        <v>27</v>
      </c>
      <c r="D73" s="87" t="s">
        <v>211</v>
      </c>
      <c r="E73" s="87" t="s">
        <v>428</v>
      </c>
      <c r="F73" s="87" t="s">
        <v>213</v>
      </c>
      <c r="G73" s="116">
        <v>0.3333333333333333</v>
      </c>
      <c r="H73" s="116">
        <v>0.75</v>
      </c>
      <c r="I73" s="89">
        <f t="shared" si="1"/>
        <v>0.4166666667</v>
      </c>
      <c r="J73" s="90">
        <v>44207.0</v>
      </c>
      <c r="K73" s="87" t="s">
        <v>2</v>
      </c>
      <c r="L73" s="92">
        <v>19667.0</v>
      </c>
      <c r="M73" s="87" t="s">
        <v>68</v>
      </c>
      <c r="N73" s="134" t="s">
        <v>69</v>
      </c>
      <c r="O73" s="135">
        <v>45901.0</v>
      </c>
      <c r="P73" s="136">
        <v>16870.0</v>
      </c>
      <c r="Q73" s="87"/>
      <c r="R73" s="95"/>
      <c r="S73" s="87" t="s">
        <v>217</v>
      </c>
      <c r="T73" s="87" t="s">
        <v>217</v>
      </c>
      <c r="U73" s="87" t="s">
        <v>207</v>
      </c>
      <c r="V73" s="97">
        <f t="shared" si="20"/>
        <v>16870</v>
      </c>
      <c r="W73" s="98">
        <v>0.11</v>
      </c>
      <c r="X73" s="99"/>
      <c r="Y73" s="99">
        <f t="shared" si="21"/>
        <v>18730</v>
      </c>
      <c r="Z73" s="119" t="s">
        <v>429</v>
      </c>
      <c r="AA73" s="99">
        <f t="shared" si="37"/>
        <v>19667</v>
      </c>
      <c r="AB73" s="99">
        <f t="shared" si="50"/>
        <v>15500</v>
      </c>
      <c r="AC73" s="101">
        <f t="shared" si="45"/>
        <v>1670</v>
      </c>
      <c r="AD73" s="101">
        <f t="shared" si="46"/>
        <v>2497</v>
      </c>
      <c r="AE73" s="101">
        <v>0.0</v>
      </c>
      <c r="AF73" s="101" t="str">
        <f t="shared" si="22"/>
        <v>OK</v>
      </c>
      <c r="AG73" s="101" t="str">
        <f t="shared" si="23"/>
        <v>S OK</v>
      </c>
      <c r="AH73" s="102" t="str">
        <f t="shared" si="24"/>
        <v>#REF!</v>
      </c>
      <c r="AI73" s="101" t="str">
        <f t="shared" si="25"/>
        <v>Not Found</v>
      </c>
      <c r="AJ73" s="103"/>
      <c r="AK73" s="137"/>
      <c r="AL73" s="121">
        <f t="shared" si="51"/>
        <v>5.666666667</v>
      </c>
      <c r="AM73" s="105">
        <f t="shared" si="26"/>
        <v>68</v>
      </c>
      <c r="AN73" s="105"/>
      <c r="AO73" s="105"/>
      <c r="AP73" s="105"/>
      <c r="AQ73" s="105"/>
      <c r="AR73" s="105"/>
      <c r="AS73" s="105"/>
      <c r="AT73" s="105"/>
    </row>
    <row r="74" ht="22.5" customHeight="1">
      <c r="A74" s="7" t="s">
        <v>430</v>
      </c>
      <c r="B74" s="7" t="s">
        <v>431</v>
      </c>
      <c r="C74" s="7" t="s">
        <v>27</v>
      </c>
      <c r="D74" s="7" t="s">
        <v>244</v>
      </c>
      <c r="E74" s="7" t="s">
        <v>252</v>
      </c>
      <c r="F74" s="7" t="s">
        <v>213</v>
      </c>
      <c r="G74" s="49">
        <v>0.3333333333333333</v>
      </c>
      <c r="H74" s="49">
        <v>0.75</v>
      </c>
      <c r="I74" s="51">
        <f t="shared" si="1"/>
        <v>0.4166666667</v>
      </c>
      <c r="J74" s="82">
        <v>43525.0</v>
      </c>
      <c r="K74" s="7" t="s">
        <v>2</v>
      </c>
      <c r="L74" s="10">
        <v>21500.0</v>
      </c>
      <c r="M74" s="7" t="s">
        <v>68</v>
      </c>
      <c r="N74" s="83" t="s">
        <v>69</v>
      </c>
      <c r="O74" s="84">
        <v>45901.0</v>
      </c>
      <c r="P74" s="138">
        <v>19362.0</v>
      </c>
      <c r="Q74" s="7"/>
      <c r="R74" s="11"/>
      <c r="S74" s="7" t="s">
        <v>217</v>
      </c>
      <c r="T74" s="7" t="s">
        <v>217</v>
      </c>
      <c r="U74" s="7" t="s">
        <v>207</v>
      </c>
      <c r="V74" s="27">
        <f t="shared" si="20"/>
        <v>19362</v>
      </c>
      <c r="W74" s="13">
        <v>0.11</v>
      </c>
      <c r="X74" s="14"/>
      <c r="Y74" s="14">
        <f t="shared" si="21"/>
        <v>21490</v>
      </c>
      <c r="Z74" s="43" t="s">
        <v>208</v>
      </c>
      <c r="AA74" s="27">
        <f t="shared" si="37"/>
        <v>21500</v>
      </c>
      <c r="AB74" s="14">
        <f t="shared" si="50"/>
        <v>15500</v>
      </c>
      <c r="AC74" s="8">
        <f t="shared" si="45"/>
        <v>2400</v>
      </c>
      <c r="AD74" s="69">
        <f t="shared" si="46"/>
        <v>3600</v>
      </c>
      <c r="AE74" s="8">
        <v>0.0</v>
      </c>
      <c r="AF74" s="8" t="str">
        <f t="shared" si="22"/>
        <v>OK</v>
      </c>
      <c r="AG74" s="8" t="str">
        <f t="shared" si="23"/>
        <v>S OK</v>
      </c>
      <c r="AH74" s="72" t="str">
        <f t="shared" si="24"/>
        <v>#REF!</v>
      </c>
      <c r="AI74" s="8" t="str">
        <f t="shared" si="25"/>
        <v>Not Found</v>
      </c>
      <c r="AJ74" s="21" t="s">
        <v>193</v>
      </c>
      <c r="AK74" s="124"/>
      <c r="AL74" s="75"/>
      <c r="AM74" s="75">
        <f t="shared" si="26"/>
        <v>90</v>
      </c>
      <c r="AN74" s="75"/>
      <c r="AO74" s="75"/>
      <c r="AP74" s="75"/>
      <c r="AQ74" s="75"/>
      <c r="AR74" s="75"/>
      <c r="AS74" s="75"/>
      <c r="AT74" s="75"/>
    </row>
    <row r="75" ht="22.5" customHeight="1">
      <c r="A75" s="87" t="s">
        <v>432</v>
      </c>
      <c r="B75" s="143" t="s">
        <v>433</v>
      </c>
      <c r="C75" s="87" t="s">
        <v>27</v>
      </c>
      <c r="D75" s="87" t="s">
        <v>211</v>
      </c>
      <c r="E75" s="87" t="s">
        <v>212</v>
      </c>
      <c r="F75" s="87" t="s">
        <v>213</v>
      </c>
      <c r="G75" s="116">
        <v>0.3333333333333333</v>
      </c>
      <c r="H75" s="116">
        <v>0.75</v>
      </c>
      <c r="I75" s="89">
        <f t="shared" si="1"/>
        <v>0.4166666667</v>
      </c>
      <c r="J75" s="90">
        <v>43705.0</v>
      </c>
      <c r="K75" s="87" t="s">
        <v>2</v>
      </c>
      <c r="L75" s="92">
        <v>19541.0</v>
      </c>
      <c r="M75" s="87" t="s">
        <v>68</v>
      </c>
      <c r="N75" s="134" t="s">
        <v>69</v>
      </c>
      <c r="O75" s="135">
        <v>45901.0</v>
      </c>
      <c r="P75" s="136">
        <v>16770.0</v>
      </c>
      <c r="Q75" s="87"/>
      <c r="R75" s="95"/>
      <c r="S75" s="87" t="s">
        <v>217</v>
      </c>
      <c r="T75" s="87" t="s">
        <v>217</v>
      </c>
      <c r="U75" s="87" t="s">
        <v>207</v>
      </c>
      <c r="V75" s="97">
        <f t="shared" si="20"/>
        <v>16770</v>
      </c>
      <c r="W75" s="98">
        <v>0.11</v>
      </c>
      <c r="X75" s="99"/>
      <c r="Y75" s="99">
        <f t="shared" si="21"/>
        <v>18610</v>
      </c>
      <c r="Z75" s="119" t="s">
        <v>208</v>
      </c>
      <c r="AA75" s="99">
        <f t="shared" si="37"/>
        <v>19541</v>
      </c>
      <c r="AB75" s="99">
        <f t="shared" si="50"/>
        <v>15500</v>
      </c>
      <c r="AC75" s="101">
        <f t="shared" si="45"/>
        <v>1620</v>
      </c>
      <c r="AD75" s="101">
        <f t="shared" si="46"/>
        <v>2421</v>
      </c>
      <c r="AE75" s="101">
        <v>0.0</v>
      </c>
      <c r="AF75" s="101" t="str">
        <f t="shared" si="22"/>
        <v>OK</v>
      </c>
      <c r="AG75" s="101" t="str">
        <f t="shared" si="23"/>
        <v>S OK</v>
      </c>
      <c r="AH75" s="102" t="str">
        <f t="shared" si="24"/>
        <v>#REF!</v>
      </c>
      <c r="AI75" s="101" t="str">
        <f t="shared" si="25"/>
        <v>Not Found</v>
      </c>
      <c r="AJ75" s="103"/>
      <c r="AK75" s="137"/>
      <c r="AL75" s="121">
        <f t="shared" ref="AL75:AL76" si="52">AM75/12</f>
        <v>7</v>
      </c>
      <c r="AM75" s="105">
        <f t="shared" si="26"/>
        <v>84</v>
      </c>
      <c r="AN75" s="105"/>
      <c r="AO75" s="105"/>
      <c r="AP75" s="105"/>
      <c r="AQ75" s="105"/>
      <c r="AR75" s="105"/>
      <c r="AS75" s="105"/>
      <c r="AT75" s="105"/>
    </row>
    <row r="76" ht="22.5" customHeight="1">
      <c r="A76" s="87" t="s">
        <v>436</v>
      </c>
      <c r="B76" s="87" t="s">
        <v>437</v>
      </c>
      <c r="C76" s="87" t="s">
        <v>27</v>
      </c>
      <c r="D76" s="87" t="s">
        <v>211</v>
      </c>
      <c r="E76" s="87" t="s">
        <v>212</v>
      </c>
      <c r="F76" s="87" t="s">
        <v>213</v>
      </c>
      <c r="G76" s="116">
        <v>0.3333333333333333</v>
      </c>
      <c r="H76" s="116">
        <v>0.75</v>
      </c>
      <c r="I76" s="89">
        <f t="shared" si="1"/>
        <v>0.4166666667</v>
      </c>
      <c r="J76" s="90">
        <v>43462.0</v>
      </c>
      <c r="K76" s="87" t="s">
        <v>2</v>
      </c>
      <c r="L76" s="92">
        <v>19635.0</v>
      </c>
      <c r="M76" s="87" t="s">
        <v>68</v>
      </c>
      <c r="N76" s="134" t="s">
        <v>69</v>
      </c>
      <c r="O76" s="135">
        <v>45901.0</v>
      </c>
      <c r="P76" s="136">
        <v>16850.0</v>
      </c>
      <c r="Q76" s="87"/>
      <c r="R76" s="95"/>
      <c r="S76" s="87" t="s">
        <v>217</v>
      </c>
      <c r="T76" s="87" t="s">
        <v>217</v>
      </c>
      <c r="U76" s="87" t="s">
        <v>207</v>
      </c>
      <c r="V76" s="97">
        <f t="shared" si="20"/>
        <v>16850</v>
      </c>
      <c r="W76" s="98">
        <v>0.11</v>
      </c>
      <c r="X76" s="99"/>
      <c r="Y76" s="99">
        <f t="shared" si="21"/>
        <v>18700</v>
      </c>
      <c r="Z76" s="119" t="s">
        <v>208</v>
      </c>
      <c r="AA76" s="99">
        <f t="shared" si="37"/>
        <v>19635</v>
      </c>
      <c r="AB76" s="99">
        <f t="shared" si="50"/>
        <v>15500</v>
      </c>
      <c r="AC76" s="101">
        <f t="shared" si="45"/>
        <v>1650</v>
      </c>
      <c r="AD76" s="101">
        <f t="shared" si="46"/>
        <v>2485</v>
      </c>
      <c r="AE76" s="101">
        <v>0.0</v>
      </c>
      <c r="AF76" s="101" t="str">
        <f t="shared" si="22"/>
        <v>OK</v>
      </c>
      <c r="AG76" s="101" t="str">
        <f t="shared" si="23"/>
        <v>S OK</v>
      </c>
      <c r="AH76" s="102" t="str">
        <f t="shared" si="24"/>
        <v>#REF!</v>
      </c>
      <c r="AI76" s="101" t="str">
        <f t="shared" si="25"/>
        <v>Not Found</v>
      </c>
      <c r="AJ76" s="103"/>
      <c r="AK76" s="137"/>
      <c r="AL76" s="121">
        <f t="shared" si="52"/>
        <v>7.666666667</v>
      </c>
      <c r="AM76" s="105">
        <f t="shared" si="26"/>
        <v>92</v>
      </c>
      <c r="AN76" s="75"/>
      <c r="AO76" s="75"/>
      <c r="AP76" s="75"/>
      <c r="AQ76" s="75"/>
      <c r="AR76" s="75"/>
      <c r="AS76" s="75"/>
      <c r="AT76" s="75"/>
    </row>
    <row r="77" ht="22.5" customHeight="1">
      <c r="A77" s="7" t="s">
        <v>438</v>
      </c>
      <c r="B77" s="7" t="s">
        <v>439</v>
      </c>
      <c r="C77" s="7" t="s">
        <v>27</v>
      </c>
      <c r="D77" s="7" t="s">
        <v>321</v>
      </c>
      <c r="E77" s="7" t="s">
        <v>440</v>
      </c>
      <c r="F77" s="7" t="s">
        <v>202</v>
      </c>
      <c r="G77" s="49">
        <v>0.375</v>
      </c>
      <c r="H77" s="49">
        <v>0.75</v>
      </c>
      <c r="I77" s="51">
        <f t="shared" si="1"/>
        <v>0.375</v>
      </c>
      <c r="J77" s="108">
        <v>44652.0</v>
      </c>
      <c r="K77" s="7" t="s">
        <v>2</v>
      </c>
      <c r="L77" s="10">
        <v>200000.0</v>
      </c>
      <c r="M77" s="7" t="s">
        <v>68</v>
      </c>
      <c r="N77" s="83" t="s">
        <v>69</v>
      </c>
      <c r="O77" s="84">
        <v>45536.0</v>
      </c>
      <c r="P77" s="57">
        <v>200000.0</v>
      </c>
      <c r="Q77" s="144">
        <v>30375.0</v>
      </c>
      <c r="R77" s="11"/>
      <c r="S77" s="85"/>
      <c r="T77" s="7" t="s">
        <v>71</v>
      </c>
      <c r="U77" s="7"/>
      <c r="V77" s="27">
        <f t="shared" si="20"/>
        <v>200000</v>
      </c>
      <c r="W77" s="59">
        <v>0.0</v>
      </c>
      <c r="X77" s="14"/>
      <c r="Y77" s="14">
        <f t="shared" si="21"/>
        <v>200000</v>
      </c>
      <c r="Z77" s="43"/>
      <c r="AA77" s="97">
        <f t="shared" si="37"/>
        <v>200000</v>
      </c>
      <c r="AB77" s="97">
        <v>200000.0</v>
      </c>
      <c r="AC77" s="99"/>
      <c r="AD77" s="99"/>
      <c r="AE77" s="99"/>
      <c r="AF77" s="101" t="str">
        <f t="shared" si="22"/>
        <v>OK</v>
      </c>
      <c r="AG77" s="8" t="str">
        <f t="shared" si="23"/>
        <v>Skill Missing</v>
      </c>
      <c r="AH77" s="72" t="str">
        <f t="shared" si="24"/>
        <v>#REF!</v>
      </c>
      <c r="AI77" s="8" t="str">
        <f t="shared" si="25"/>
        <v>Not Found</v>
      </c>
      <c r="AJ77" s="21"/>
      <c r="AK77" s="110"/>
      <c r="AL77" s="75"/>
      <c r="AM77" s="75">
        <f t="shared" si="26"/>
        <v>53</v>
      </c>
      <c r="AN77" s="75"/>
      <c r="AO77" s="75"/>
      <c r="AP77" s="75"/>
      <c r="AQ77" s="75"/>
      <c r="AR77" s="75"/>
      <c r="AS77" s="75"/>
      <c r="AT77" s="75"/>
    </row>
    <row r="78" ht="22.5" customHeight="1">
      <c r="A78" s="7" t="s">
        <v>443</v>
      </c>
      <c r="B78" s="7" t="s">
        <v>444</v>
      </c>
      <c r="C78" s="7" t="s">
        <v>27</v>
      </c>
      <c r="D78" s="7" t="s">
        <v>321</v>
      </c>
      <c r="E78" s="7" t="s">
        <v>440</v>
      </c>
      <c r="F78" s="7" t="s">
        <v>202</v>
      </c>
      <c r="G78" s="49">
        <v>0.375</v>
      </c>
      <c r="H78" s="49">
        <v>0.75</v>
      </c>
      <c r="I78" s="51">
        <f t="shared" si="1"/>
        <v>0.375</v>
      </c>
      <c r="J78" s="82">
        <v>44652.0</v>
      </c>
      <c r="K78" s="7" t="s">
        <v>2</v>
      </c>
      <c r="L78" s="10">
        <v>200000.0</v>
      </c>
      <c r="M78" s="7" t="s">
        <v>68</v>
      </c>
      <c r="N78" s="7" t="s">
        <v>69</v>
      </c>
      <c r="O78" s="84"/>
      <c r="P78" s="57">
        <v>200000.0</v>
      </c>
      <c r="Q78" s="144">
        <v>30375.0</v>
      </c>
      <c r="R78" s="11"/>
      <c r="S78" s="85"/>
      <c r="T78" s="7" t="s">
        <v>71</v>
      </c>
      <c r="U78" s="7"/>
      <c r="V78" s="27">
        <f t="shared" si="20"/>
        <v>200000</v>
      </c>
      <c r="W78" s="59">
        <v>0.0</v>
      </c>
      <c r="X78" s="14"/>
      <c r="Y78" s="14">
        <f t="shared" si="21"/>
        <v>200000</v>
      </c>
      <c r="Z78" s="43"/>
      <c r="AA78" s="97">
        <f t="shared" si="37"/>
        <v>200000</v>
      </c>
      <c r="AB78" s="97">
        <v>200000.0</v>
      </c>
      <c r="AC78" s="99"/>
      <c r="AD78" s="99"/>
      <c r="AE78" s="99"/>
      <c r="AF78" s="101" t="str">
        <f t="shared" si="22"/>
        <v>OK</v>
      </c>
      <c r="AG78" s="8" t="str">
        <f t="shared" si="23"/>
        <v>Skill Missing</v>
      </c>
      <c r="AH78" s="72" t="str">
        <f t="shared" si="24"/>
        <v>#REF!</v>
      </c>
      <c r="AI78" s="8" t="str">
        <f t="shared" si="25"/>
        <v>Not Found</v>
      </c>
      <c r="AJ78" s="21" t="s">
        <v>193</v>
      </c>
      <c r="AK78" s="110"/>
      <c r="AL78" s="75"/>
      <c r="AM78" s="75">
        <f t="shared" si="26"/>
        <v>53</v>
      </c>
      <c r="AN78" s="75"/>
      <c r="AO78" s="75"/>
      <c r="AP78" s="75"/>
      <c r="AQ78" s="75"/>
      <c r="AR78" s="75"/>
      <c r="AS78" s="75"/>
      <c r="AT78" s="75"/>
    </row>
    <row r="79" ht="22.5" customHeight="1">
      <c r="A79" s="7" t="s">
        <v>445</v>
      </c>
      <c r="B79" s="7" t="s">
        <v>446</v>
      </c>
      <c r="C79" s="7" t="s">
        <v>27</v>
      </c>
      <c r="D79" s="7" t="s">
        <v>321</v>
      </c>
      <c r="E79" s="7" t="s">
        <v>64</v>
      </c>
      <c r="F79" s="7" t="s">
        <v>202</v>
      </c>
      <c r="G79" s="49">
        <v>0.375</v>
      </c>
      <c r="H79" s="49">
        <v>0.75</v>
      </c>
      <c r="I79" s="51">
        <f t="shared" si="1"/>
        <v>0.375</v>
      </c>
      <c r="J79" s="82">
        <v>44287.0</v>
      </c>
      <c r="K79" s="7" t="s">
        <v>2</v>
      </c>
      <c r="L79" s="10">
        <v>225000.0</v>
      </c>
      <c r="M79" s="7" t="s">
        <v>68</v>
      </c>
      <c r="N79" s="83" t="s">
        <v>69</v>
      </c>
      <c r="O79" s="84"/>
      <c r="P79" s="57">
        <v>210000.0</v>
      </c>
      <c r="Q79" s="7">
        <v>37395.0</v>
      </c>
      <c r="R79" s="11"/>
      <c r="S79" s="85"/>
      <c r="T79" s="7" t="s">
        <v>71</v>
      </c>
      <c r="U79" s="7"/>
      <c r="V79" s="27">
        <f t="shared" si="20"/>
        <v>210000</v>
      </c>
      <c r="W79" s="59">
        <v>0.0</v>
      </c>
      <c r="X79" s="14"/>
      <c r="Y79" s="14">
        <f t="shared" si="21"/>
        <v>210000</v>
      </c>
      <c r="Z79" s="43"/>
      <c r="AA79" s="27">
        <f t="shared" si="37"/>
        <v>225000</v>
      </c>
      <c r="AB79" s="27">
        <v>225000.0</v>
      </c>
      <c r="AC79" s="8"/>
      <c r="AD79" s="8"/>
      <c r="AE79" s="8">
        <v>0.0</v>
      </c>
      <c r="AF79" s="8" t="str">
        <f t="shared" si="22"/>
        <v>OK</v>
      </c>
      <c r="AG79" s="8" t="str">
        <f t="shared" si="23"/>
        <v>Skill Missing</v>
      </c>
      <c r="AH79" s="72" t="str">
        <f t="shared" si="24"/>
        <v>#REF!</v>
      </c>
      <c r="AI79" s="8" t="str">
        <f t="shared" si="25"/>
        <v>Not Found</v>
      </c>
      <c r="AJ79" s="21" t="s">
        <v>193</v>
      </c>
      <c r="AK79" s="86"/>
      <c r="AL79" s="75"/>
      <c r="AM79" s="75">
        <f t="shared" si="26"/>
        <v>65</v>
      </c>
      <c r="AN79" s="75"/>
      <c r="AO79" s="75"/>
      <c r="AP79" s="75"/>
      <c r="AQ79" s="75"/>
      <c r="AR79" s="75"/>
      <c r="AS79" s="75"/>
      <c r="AT79" s="75"/>
    </row>
    <row r="80" ht="22.5" customHeight="1">
      <c r="A80" s="7" t="s">
        <v>447</v>
      </c>
      <c r="B80" s="7" t="s">
        <v>448</v>
      </c>
      <c r="C80" s="7" t="s">
        <v>27</v>
      </c>
      <c r="D80" s="7" t="s">
        <v>324</v>
      </c>
      <c r="E80" s="7" t="s">
        <v>198</v>
      </c>
      <c r="F80" s="7" t="s">
        <v>202</v>
      </c>
      <c r="G80" s="49">
        <v>0.375</v>
      </c>
      <c r="H80" s="49">
        <v>0.75</v>
      </c>
      <c r="I80" s="51">
        <f t="shared" si="1"/>
        <v>0.375</v>
      </c>
      <c r="J80" s="82">
        <v>44348.0</v>
      </c>
      <c r="K80" s="7" t="s">
        <v>2</v>
      </c>
      <c r="L80" s="10">
        <f>Y80</f>
        <v>54000</v>
      </c>
      <c r="M80" s="7" t="s">
        <v>68</v>
      </c>
      <c r="N80" s="83" t="s">
        <v>69</v>
      </c>
      <c r="O80" s="84">
        <v>45170.0</v>
      </c>
      <c r="P80" s="7">
        <v>54000.0</v>
      </c>
      <c r="Q80" s="7">
        <v>0.0</v>
      </c>
      <c r="R80" s="78"/>
      <c r="S80" s="85"/>
      <c r="T80" s="7" t="s">
        <v>71</v>
      </c>
      <c r="U80" s="7"/>
      <c r="V80" s="27">
        <f t="shared" si="20"/>
        <v>54000</v>
      </c>
      <c r="W80" s="59">
        <v>0.0</v>
      </c>
      <c r="X80" s="14"/>
      <c r="Y80" s="14">
        <f t="shared" si="21"/>
        <v>54000</v>
      </c>
      <c r="Z80" s="43"/>
      <c r="AA80" s="27">
        <f t="shared" si="37"/>
        <v>54000</v>
      </c>
      <c r="AB80" s="14">
        <v>54000.0</v>
      </c>
      <c r="AC80" s="133">
        <v>0.0</v>
      </c>
      <c r="AD80" s="133">
        <v>0.0</v>
      </c>
      <c r="AE80" s="8">
        <v>0.0</v>
      </c>
      <c r="AF80" s="8" t="str">
        <f t="shared" si="22"/>
        <v>OK</v>
      </c>
      <c r="AG80" s="8" t="str">
        <f t="shared" si="23"/>
        <v>Skill Missing</v>
      </c>
      <c r="AH80" s="72" t="str">
        <f t="shared" si="24"/>
        <v>#REF!</v>
      </c>
      <c r="AI80" s="8" t="str">
        <f t="shared" si="25"/>
        <v>Not Found</v>
      </c>
      <c r="AJ80" s="21" t="s">
        <v>193</v>
      </c>
      <c r="AK80" s="86"/>
      <c r="AL80" s="81"/>
      <c r="AM80" s="81">
        <f t="shared" si="26"/>
        <v>63</v>
      </c>
      <c r="AN80" s="81"/>
      <c r="AO80" s="81"/>
      <c r="AP80" s="81"/>
      <c r="AQ80" s="81"/>
      <c r="AR80" s="81"/>
      <c r="AS80" s="81"/>
      <c r="AT80" s="81"/>
    </row>
    <row r="81" ht="22.5" customHeight="1">
      <c r="A81" s="87" t="s">
        <v>449</v>
      </c>
      <c r="B81" s="143" t="s">
        <v>371</v>
      </c>
      <c r="C81" s="87" t="s">
        <v>27</v>
      </c>
      <c r="D81" s="87" t="s">
        <v>211</v>
      </c>
      <c r="E81" s="87" t="s">
        <v>212</v>
      </c>
      <c r="F81" s="87" t="s">
        <v>213</v>
      </c>
      <c r="G81" s="116">
        <v>0.3333333333333333</v>
      </c>
      <c r="H81" s="116">
        <v>0.75</v>
      </c>
      <c r="I81" s="89">
        <f t="shared" si="1"/>
        <v>0.4166666667</v>
      </c>
      <c r="J81" s="90">
        <v>43672.0</v>
      </c>
      <c r="K81" s="87" t="s">
        <v>2</v>
      </c>
      <c r="L81" s="92">
        <v>23762.0</v>
      </c>
      <c r="M81" s="87" t="s">
        <v>68</v>
      </c>
      <c r="N81" s="134" t="s">
        <v>69</v>
      </c>
      <c r="O81" s="135">
        <v>45901.0</v>
      </c>
      <c r="P81" s="136">
        <v>20390.0</v>
      </c>
      <c r="Q81" s="87"/>
      <c r="R81" s="95"/>
      <c r="S81" s="87" t="s">
        <v>217</v>
      </c>
      <c r="T81" s="87" t="s">
        <v>217</v>
      </c>
      <c r="U81" s="87" t="s">
        <v>207</v>
      </c>
      <c r="V81" s="97">
        <f t="shared" si="20"/>
        <v>20390</v>
      </c>
      <c r="W81" s="98">
        <v>0.11</v>
      </c>
      <c r="X81" s="99"/>
      <c r="Y81" s="99">
        <f t="shared" si="21"/>
        <v>22630</v>
      </c>
      <c r="Z81" s="119" t="s">
        <v>208</v>
      </c>
      <c r="AA81" s="99">
        <f t="shared" si="37"/>
        <v>23762</v>
      </c>
      <c r="AB81" s="99">
        <f t="shared" ref="AB81:AB93" si="53">IFS(AND(AA81&lt;=15000),15300,AND(AA81&gt;15000,AA81&lt;15500),AA81,AND(AA81&gt;=15500,AA81&lt;$Z$1),15500,AA81&gt;=$Z$1,AA81*$AB$2)</f>
        <v>15500</v>
      </c>
      <c r="AC81" s="101">
        <f t="shared" ref="AC81:AC93" si="54">round(IF($AA81&lt;=$Z$1,($AA81-$AB81)*AC$1,$AA81*AC$2),-1)</f>
        <v>3300</v>
      </c>
      <c r="AD81" s="101">
        <f t="shared" ref="AD81:AD93" si="55">round(IF($AA81&lt;=$Z$1,($AA81-$AB81)*AD$1,$AA81*AD$2),-1)+AA81-AB81-AC81-round(IF($AA81&lt;=$Z$1,($AA81-$AB81)*AD$1,$AA81*AD$2),-1)</f>
        <v>4962</v>
      </c>
      <c r="AE81" s="101">
        <v>0.0</v>
      </c>
      <c r="AF81" s="101" t="str">
        <f t="shared" si="22"/>
        <v>OK</v>
      </c>
      <c r="AG81" s="101" t="str">
        <f t="shared" si="23"/>
        <v>S OK</v>
      </c>
      <c r="AH81" s="102" t="str">
        <f t="shared" si="24"/>
        <v>#REF!</v>
      </c>
      <c r="AI81" s="101" t="str">
        <f t="shared" si="25"/>
        <v>Not Found</v>
      </c>
      <c r="AJ81" s="103"/>
      <c r="AK81" s="104" t="s">
        <v>283</v>
      </c>
      <c r="AL81" s="121">
        <f>AM81/12</f>
        <v>7.166666667</v>
      </c>
      <c r="AM81" s="105">
        <f t="shared" si="26"/>
        <v>86</v>
      </c>
      <c r="AN81" s="75"/>
      <c r="AO81" s="75"/>
      <c r="AP81" s="75"/>
      <c r="AQ81" s="75"/>
      <c r="AR81" s="75"/>
      <c r="AS81" s="75"/>
      <c r="AT81" s="75"/>
    </row>
    <row r="82" ht="22.5" customHeight="1">
      <c r="A82" s="7" t="s">
        <v>452</v>
      </c>
      <c r="B82" s="1" t="s">
        <v>453</v>
      </c>
      <c r="C82" s="7" t="s">
        <v>27</v>
      </c>
      <c r="D82" s="7" t="s">
        <v>244</v>
      </c>
      <c r="E82" s="7" t="s">
        <v>252</v>
      </c>
      <c r="F82" s="7" t="s">
        <v>213</v>
      </c>
      <c r="G82" s="49">
        <v>0.3333333333333333</v>
      </c>
      <c r="H82" s="49">
        <v>0.75</v>
      </c>
      <c r="I82" s="51">
        <f t="shared" si="1"/>
        <v>0.4166666667</v>
      </c>
      <c r="J82" s="82">
        <v>44271.0</v>
      </c>
      <c r="K82" s="7" t="s">
        <v>2</v>
      </c>
      <c r="L82" s="10">
        <v>21500.0</v>
      </c>
      <c r="M82" s="7" t="s">
        <v>68</v>
      </c>
      <c r="N82" s="83" t="s">
        <v>69</v>
      </c>
      <c r="O82" s="84">
        <v>45901.0</v>
      </c>
      <c r="P82" s="138">
        <v>19646.0</v>
      </c>
      <c r="Q82" s="7"/>
      <c r="R82" s="11"/>
      <c r="S82" s="7" t="s">
        <v>217</v>
      </c>
      <c r="T82" s="7" t="s">
        <v>217</v>
      </c>
      <c r="U82" s="7" t="s">
        <v>207</v>
      </c>
      <c r="V82" s="27">
        <f t="shared" si="20"/>
        <v>19646</v>
      </c>
      <c r="W82" s="13">
        <v>0.11</v>
      </c>
      <c r="X82" s="14"/>
      <c r="Y82" s="14">
        <f t="shared" si="21"/>
        <v>21810</v>
      </c>
      <c r="Z82" s="43" t="s">
        <v>454</v>
      </c>
      <c r="AA82" s="27">
        <f t="shared" si="37"/>
        <v>21500</v>
      </c>
      <c r="AB82" s="14">
        <f t="shared" si="53"/>
        <v>15500</v>
      </c>
      <c r="AC82" s="8">
        <f t="shared" si="54"/>
        <v>2400</v>
      </c>
      <c r="AD82" s="69">
        <f t="shared" si="55"/>
        <v>3600</v>
      </c>
      <c r="AE82" s="8">
        <v>0.0</v>
      </c>
      <c r="AF82" s="8" t="str">
        <f t="shared" si="22"/>
        <v>OK</v>
      </c>
      <c r="AG82" s="8" t="str">
        <f t="shared" si="23"/>
        <v>S OK</v>
      </c>
      <c r="AH82" s="72" t="str">
        <f t="shared" si="24"/>
        <v>#REF!</v>
      </c>
      <c r="AI82" s="8" t="str">
        <f t="shared" si="25"/>
        <v>Not Found</v>
      </c>
      <c r="AJ82" s="21"/>
      <c r="AK82" s="124"/>
      <c r="AL82" s="75"/>
      <c r="AM82" s="75">
        <f t="shared" si="26"/>
        <v>66</v>
      </c>
      <c r="AN82" s="105"/>
      <c r="AO82" s="105"/>
      <c r="AP82" s="105"/>
      <c r="AQ82" s="105"/>
      <c r="AR82" s="105"/>
      <c r="AS82" s="105"/>
      <c r="AT82" s="105"/>
    </row>
    <row r="83" ht="22.5" customHeight="1">
      <c r="A83" s="7" t="s">
        <v>457</v>
      </c>
      <c r="B83" s="1" t="s">
        <v>458</v>
      </c>
      <c r="C83" s="7" t="s">
        <v>27</v>
      </c>
      <c r="D83" s="7" t="s">
        <v>459</v>
      </c>
      <c r="E83" s="7" t="s">
        <v>245</v>
      </c>
      <c r="F83" s="7" t="s">
        <v>213</v>
      </c>
      <c r="G83" s="49">
        <v>0.3333333333333333</v>
      </c>
      <c r="H83" s="49">
        <v>0.7083333333333334</v>
      </c>
      <c r="I83" s="51">
        <f t="shared" si="1"/>
        <v>0.375</v>
      </c>
      <c r="J83" s="82">
        <v>43223.0</v>
      </c>
      <c r="K83" s="7" t="s">
        <v>2</v>
      </c>
      <c r="L83" s="10">
        <v>16489.0</v>
      </c>
      <c r="M83" s="7" t="s">
        <v>68</v>
      </c>
      <c r="N83" s="83" t="s">
        <v>69</v>
      </c>
      <c r="O83" s="84">
        <v>45901.0</v>
      </c>
      <c r="P83" s="57">
        <v>13380.0</v>
      </c>
      <c r="Q83" s="7"/>
      <c r="R83" s="11"/>
      <c r="S83" s="7" t="s">
        <v>217</v>
      </c>
      <c r="T83" s="7" t="s">
        <v>217</v>
      </c>
      <c r="U83" s="7" t="s">
        <v>247</v>
      </c>
      <c r="V83" s="27">
        <f t="shared" si="20"/>
        <v>13380</v>
      </c>
      <c r="W83" s="13">
        <v>0.12</v>
      </c>
      <c r="X83" s="14"/>
      <c r="Y83" s="14">
        <f t="shared" si="21"/>
        <v>14990</v>
      </c>
      <c r="Z83" s="43"/>
      <c r="AA83" s="27">
        <f t="shared" si="37"/>
        <v>16489</v>
      </c>
      <c r="AB83" s="14">
        <f t="shared" si="53"/>
        <v>15500</v>
      </c>
      <c r="AC83" s="8">
        <f t="shared" si="54"/>
        <v>400</v>
      </c>
      <c r="AD83" s="69">
        <f t="shared" si="55"/>
        <v>589</v>
      </c>
      <c r="AE83" s="8">
        <v>0.0</v>
      </c>
      <c r="AF83" s="8" t="str">
        <f t="shared" si="22"/>
        <v>OK</v>
      </c>
      <c r="AG83" s="8" t="str">
        <f t="shared" si="23"/>
        <v>US OK</v>
      </c>
      <c r="AH83" s="72" t="str">
        <f t="shared" si="24"/>
        <v>#REF!</v>
      </c>
      <c r="AI83" s="8" t="str">
        <f t="shared" si="25"/>
        <v>Not Found</v>
      </c>
      <c r="AJ83" s="21"/>
      <c r="AK83" s="124"/>
      <c r="AL83" s="75"/>
      <c r="AM83" s="75">
        <f t="shared" si="26"/>
        <v>100</v>
      </c>
      <c r="AN83" s="75"/>
      <c r="AO83" s="75"/>
      <c r="AP83" s="75"/>
      <c r="AQ83" s="75"/>
      <c r="AR83" s="75"/>
      <c r="AS83" s="75"/>
      <c r="AT83" s="75"/>
    </row>
    <row r="84" ht="22.5" customHeight="1">
      <c r="A84" s="7" t="s">
        <v>460</v>
      </c>
      <c r="B84" s="1" t="s">
        <v>461</v>
      </c>
      <c r="C84" s="7" t="s">
        <v>27</v>
      </c>
      <c r="D84" s="7" t="s">
        <v>244</v>
      </c>
      <c r="E84" s="7" t="s">
        <v>245</v>
      </c>
      <c r="F84" s="7" t="s">
        <v>213</v>
      </c>
      <c r="G84" s="49">
        <v>0.3333333333333333</v>
      </c>
      <c r="H84" s="49">
        <v>0.75</v>
      </c>
      <c r="I84" s="51">
        <f t="shared" si="1"/>
        <v>0.4166666667</v>
      </c>
      <c r="J84" s="82">
        <v>44384.0</v>
      </c>
      <c r="K84" s="7" t="s">
        <v>2</v>
      </c>
      <c r="L84" s="10">
        <v>16664.0</v>
      </c>
      <c r="M84" s="7" t="s">
        <v>68</v>
      </c>
      <c r="N84" s="83" t="s">
        <v>69</v>
      </c>
      <c r="O84" s="84">
        <v>45901.0</v>
      </c>
      <c r="P84" s="57">
        <v>14170.0</v>
      </c>
      <c r="Q84" s="7"/>
      <c r="R84" s="11"/>
      <c r="S84" s="7" t="s">
        <v>217</v>
      </c>
      <c r="T84" s="7" t="s">
        <v>217</v>
      </c>
      <c r="U84" s="7" t="s">
        <v>247</v>
      </c>
      <c r="V84" s="27">
        <f t="shared" si="20"/>
        <v>14170</v>
      </c>
      <c r="W84" s="13">
        <v>0.12</v>
      </c>
      <c r="X84" s="14"/>
      <c r="Y84" s="14">
        <f t="shared" si="21"/>
        <v>15870</v>
      </c>
      <c r="Z84" s="43"/>
      <c r="AA84" s="27">
        <f t="shared" si="37"/>
        <v>16664</v>
      </c>
      <c r="AB84" s="14">
        <f t="shared" si="53"/>
        <v>15500</v>
      </c>
      <c r="AC84" s="8">
        <f t="shared" si="54"/>
        <v>470</v>
      </c>
      <c r="AD84" s="69">
        <f t="shared" si="55"/>
        <v>694</v>
      </c>
      <c r="AE84" s="8">
        <v>0.0</v>
      </c>
      <c r="AF84" s="8" t="str">
        <f t="shared" si="22"/>
        <v>OK</v>
      </c>
      <c r="AG84" s="8" t="str">
        <f t="shared" si="23"/>
        <v>US OK</v>
      </c>
      <c r="AH84" s="72" t="str">
        <f t="shared" si="24"/>
        <v>#REF!</v>
      </c>
      <c r="AI84" s="8" t="str">
        <f t="shared" si="25"/>
        <v>Not Found</v>
      </c>
      <c r="AJ84" s="21"/>
      <c r="AK84" s="110" t="s">
        <v>283</v>
      </c>
      <c r="AL84" s="75"/>
      <c r="AM84" s="75">
        <f t="shared" si="26"/>
        <v>62</v>
      </c>
      <c r="AN84" s="105"/>
      <c r="AO84" s="105"/>
      <c r="AP84" s="105"/>
      <c r="AQ84" s="105"/>
      <c r="AR84" s="105"/>
      <c r="AS84" s="105"/>
      <c r="AT84" s="105"/>
    </row>
    <row r="85" ht="22.5" customHeight="1">
      <c r="A85" s="7" t="s">
        <v>466</v>
      </c>
      <c r="B85" s="7" t="s">
        <v>467</v>
      </c>
      <c r="C85" s="7" t="s">
        <v>27</v>
      </c>
      <c r="D85" s="7" t="s">
        <v>244</v>
      </c>
      <c r="E85" s="7" t="s">
        <v>468</v>
      </c>
      <c r="F85" s="7" t="s">
        <v>213</v>
      </c>
      <c r="G85" s="49">
        <v>0.3333333333333333</v>
      </c>
      <c r="H85" s="49">
        <v>0.75</v>
      </c>
      <c r="I85" s="51">
        <f t="shared" si="1"/>
        <v>0.4166666667</v>
      </c>
      <c r="J85" s="82">
        <v>44375.0</v>
      </c>
      <c r="K85" s="7" t="s">
        <v>2</v>
      </c>
      <c r="L85" s="10">
        <v>20181.0</v>
      </c>
      <c r="M85" s="7" t="s">
        <v>68</v>
      </c>
      <c r="N85" s="83" t="s">
        <v>69</v>
      </c>
      <c r="O85" s="84">
        <v>45901.0</v>
      </c>
      <c r="P85" s="57">
        <v>16860.0</v>
      </c>
      <c r="Q85" s="7"/>
      <c r="R85" s="11"/>
      <c r="S85" s="7" t="s">
        <v>217</v>
      </c>
      <c r="T85" s="7" t="s">
        <v>217</v>
      </c>
      <c r="U85" s="7" t="s">
        <v>207</v>
      </c>
      <c r="V85" s="27">
        <f t="shared" si="20"/>
        <v>16860</v>
      </c>
      <c r="W85" s="13">
        <v>0.11</v>
      </c>
      <c r="X85" s="14"/>
      <c r="Y85" s="14">
        <f t="shared" si="21"/>
        <v>18710</v>
      </c>
      <c r="Z85" s="43" t="s">
        <v>469</v>
      </c>
      <c r="AA85" s="27">
        <f t="shared" si="37"/>
        <v>20181</v>
      </c>
      <c r="AB85" s="14">
        <f t="shared" si="53"/>
        <v>15500</v>
      </c>
      <c r="AC85" s="8">
        <f t="shared" si="54"/>
        <v>1870</v>
      </c>
      <c r="AD85" s="69">
        <f t="shared" si="55"/>
        <v>2811</v>
      </c>
      <c r="AE85" s="8">
        <v>0.0</v>
      </c>
      <c r="AF85" s="8" t="str">
        <f t="shared" si="22"/>
        <v>OK</v>
      </c>
      <c r="AG85" s="8" t="str">
        <f t="shared" si="23"/>
        <v>S OK</v>
      </c>
      <c r="AH85" s="72" t="str">
        <f t="shared" si="24"/>
        <v>#REF!</v>
      </c>
      <c r="AI85" s="8" t="str">
        <f t="shared" si="25"/>
        <v>Not Found</v>
      </c>
      <c r="AJ85" s="21"/>
      <c r="AK85" s="110" t="s">
        <v>283</v>
      </c>
      <c r="AL85" s="75"/>
      <c r="AM85" s="75">
        <f t="shared" si="26"/>
        <v>62</v>
      </c>
      <c r="AN85" s="75"/>
      <c r="AO85" s="75"/>
      <c r="AP85" s="75"/>
      <c r="AQ85" s="75"/>
      <c r="AR85" s="75"/>
      <c r="AS85" s="75"/>
      <c r="AT85" s="75"/>
    </row>
    <row r="86" ht="22.5" customHeight="1">
      <c r="A86" s="7" t="s">
        <v>470</v>
      </c>
      <c r="B86" s="1" t="s">
        <v>471</v>
      </c>
      <c r="C86" s="7" t="s">
        <v>27</v>
      </c>
      <c r="D86" s="7" t="s">
        <v>244</v>
      </c>
      <c r="E86" s="7" t="s">
        <v>245</v>
      </c>
      <c r="F86" s="7" t="s">
        <v>213</v>
      </c>
      <c r="G86" s="49">
        <v>0.3333333333333333</v>
      </c>
      <c r="H86" s="49">
        <v>0.75</v>
      </c>
      <c r="I86" s="51">
        <f t="shared" si="1"/>
        <v>0.4166666667</v>
      </c>
      <c r="J86" s="82">
        <v>43736.0</v>
      </c>
      <c r="K86" s="7" t="s">
        <v>2</v>
      </c>
      <c r="L86" s="10">
        <v>16538.0</v>
      </c>
      <c r="M86" s="7" t="s">
        <v>68</v>
      </c>
      <c r="N86" s="83" t="s">
        <v>69</v>
      </c>
      <c r="O86" s="84">
        <v>45901.0</v>
      </c>
      <c r="P86" s="57">
        <v>14060.0</v>
      </c>
      <c r="Q86" s="7"/>
      <c r="R86" s="11"/>
      <c r="S86" s="7" t="s">
        <v>217</v>
      </c>
      <c r="T86" s="7" t="s">
        <v>217</v>
      </c>
      <c r="U86" s="7" t="s">
        <v>247</v>
      </c>
      <c r="V86" s="27">
        <f t="shared" si="20"/>
        <v>14060</v>
      </c>
      <c r="W86" s="13">
        <v>0.12</v>
      </c>
      <c r="X86" s="14"/>
      <c r="Y86" s="14">
        <f t="shared" si="21"/>
        <v>15750</v>
      </c>
      <c r="Z86" s="43" t="s">
        <v>208</v>
      </c>
      <c r="AA86" s="27">
        <f t="shared" si="37"/>
        <v>16538</v>
      </c>
      <c r="AB86" s="14">
        <f t="shared" si="53"/>
        <v>15500</v>
      </c>
      <c r="AC86" s="8">
        <f t="shared" si="54"/>
        <v>420</v>
      </c>
      <c r="AD86" s="69">
        <f t="shared" si="55"/>
        <v>618</v>
      </c>
      <c r="AE86" s="8">
        <v>0.0</v>
      </c>
      <c r="AF86" s="8" t="str">
        <f t="shared" si="22"/>
        <v>OK</v>
      </c>
      <c r="AG86" s="8" t="str">
        <f t="shared" si="23"/>
        <v>US OK</v>
      </c>
      <c r="AH86" s="72" t="str">
        <f t="shared" si="24"/>
        <v>#REF!</v>
      </c>
      <c r="AI86" s="8" t="str">
        <f t="shared" si="25"/>
        <v>Not Found</v>
      </c>
      <c r="AJ86" s="21"/>
      <c r="AK86" s="110" t="s">
        <v>283</v>
      </c>
      <c r="AL86" s="75"/>
      <c r="AM86" s="75">
        <f t="shared" si="26"/>
        <v>83</v>
      </c>
      <c r="AN86" s="75"/>
      <c r="AO86" s="75"/>
      <c r="AP86" s="75"/>
      <c r="AQ86" s="75"/>
      <c r="AR86" s="75"/>
      <c r="AS86" s="75"/>
      <c r="AT86" s="75"/>
    </row>
    <row r="87" ht="22.5" customHeight="1">
      <c r="A87" s="87" t="s">
        <v>474</v>
      </c>
      <c r="B87" s="87" t="s">
        <v>475</v>
      </c>
      <c r="C87" s="87" t="s">
        <v>27</v>
      </c>
      <c r="D87" s="87" t="s">
        <v>211</v>
      </c>
      <c r="E87" s="87" t="s">
        <v>292</v>
      </c>
      <c r="F87" s="87" t="s">
        <v>213</v>
      </c>
      <c r="G87" s="116">
        <v>0.3333333333333333</v>
      </c>
      <c r="H87" s="116">
        <v>0.75</v>
      </c>
      <c r="I87" s="89">
        <f t="shared" si="1"/>
        <v>0.4166666667</v>
      </c>
      <c r="J87" s="90">
        <v>44440.0</v>
      </c>
      <c r="K87" s="87" t="s">
        <v>2</v>
      </c>
      <c r="L87" s="94">
        <v>27615.0</v>
      </c>
      <c r="M87" s="87" t="s">
        <v>68</v>
      </c>
      <c r="N87" s="134" t="s">
        <v>69</v>
      </c>
      <c r="O87" s="135">
        <v>45901.0</v>
      </c>
      <c r="P87" s="136">
        <v>26810.0</v>
      </c>
      <c r="Q87" s="87"/>
      <c r="R87" s="95"/>
      <c r="S87" s="87" t="s">
        <v>217</v>
      </c>
      <c r="T87" s="87" t="s">
        <v>217</v>
      </c>
      <c r="U87" s="87" t="s">
        <v>207</v>
      </c>
      <c r="V87" s="97">
        <f t="shared" si="20"/>
        <v>26810</v>
      </c>
      <c r="W87" s="98">
        <v>0.11</v>
      </c>
      <c r="X87" s="99"/>
      <c r="Y87" s="99">
        <f t="shared" si="21"/>
        <v>29760</v>
      </c>
      <c r="Z87" s="119" t="s">
        <v>208</v>
      </c>
      <c r="AA87" s="97">
        <f t="shared" si="37"/>
        <v>27615</v>
      </c>
      <c r="AB87" s="99">
        <f t="shared" si="53"/>
        <v>15500</v>
      </c>
      <c r="AC87" s="101">
        <f t="shared" si="54"/>
        <v>4850</v>
      </c>
      <c r="AD87" s="120">
        <f t="shared" si="55"/>
        <v>7265</v>
      </c>
      <c r="AE87" s="101">
        <v>0.0</v>
      </c>
      <c r="AF87" s="101" t="str">
        <f t="shared" si="22"/>
        <v>OK</v>
      </c>
      <c r="AG87" s="101" t="str">
        <f t="shared" si="23"/>
        <v>S OK</v>
      </c>
      <c r="AH87" s="102" t="str">
        <f t="shared" si="24"/>
        <v>#REF!</v>
      </c>
      <c r="AI87" s="101" t="str">
        <f t="shared" si="25"/>
        <v>Not Found</v>
      </c>
      <c r="AJ87" s="103"/>
      <c r="AK87" s="137"/>
      <c r="AL87" s="121">
        <f>AM87/12</f>
        <v>5</v>
      </c>
      <c r="AM87" s="105">
        <f t="shared" si="26"/>
        <v>60</v>
      </c>
      <c r="AN87" s="75"/>
      <c r="AO87" s="75"/>
      <c r="AP87" s="75"/>
      <c r="AQ87" s="75"/>
      <c r="AR87" s="75"/>
      <c r="AS87" s="75"/>
      <c r="AT87" s="75"/>
    </row>
    <row r="88" ht="22.5" customHeight="1">
      <c r="A88" s="7" t="s">
        <v>476</v>
      </c>
      <c r="B88" s="7" t="s">
        <v>477</v>
      </c>
      <c r="C88" s="7" t="s">
        <v>27</v>
      </c>
      <c r="D88" s="7" t="s">
        <v>324</v>
      </c>
      <c r="E88" s="7" t="s">
        <v>198</v>
      </c>
      <c r="F88" s="7" t="s">
        <v>202</v>
      </c>
      <c r="G88" s="49">
        <v>0.375</v>
      </c>
      <c r="H88" s="49">
        <v>0.75</v>
      </c>
      <c r="I88" s="51">
        <f t="shared" si="1"/>
        <v>0.375</v>
      </c>
      <c r="J88" s="82">
        <v>44440.0</v>
      </c>
      <c r="K88" s="7" t="s">
        <v>2</v>
      </c>
      <c r="L88" s="10">
        <f t="shared" ref="L88:L90" si="56">Y88</f>
        <v>33000</v>
      </c>
      <c r="M88" s="7" t="s">
        <v>68</v>
      </c>
      <c r="N88" s="7" t="s">
        <v>69</v>
      </c>
      <c r="O88" s="84">
        <v>45170.0</v>
      </c>
      <c r="P88" s="7">
        <v>33000.0</v>
      </c>
      <c r="Q88" s="7"/>
      <c r="R88" s="78"/>
      <c r="S88" s="85"/>
      <c r="T88" s="7" t="s">
        <v>71</v>
      </c>
      <c r="U88" s="7"/>
      <c r="V88" s="27">
        <f t="shared" si="20"/>
        <v>33000</v>
      </c>
      <c r="W88" s="59">
        <v>0.0</v>
      </c>
      <c r="X88" s="14"/>
      <c r="Y88" s="14">
        <f t="shared" si="21"/>
        <v>33000</v>
      </c>
      <c r="Z88" s="43"/>
      <c r="AA88" s="27">
        <f t="shared" si="37"/>
        <v>33000</v>
      </c>
      <c r="AB88" s="14">
        <f t="shared" si="53"/>
        <v>15500</v>
      </c>
      <c r="AC88" s="8">
        <f t="shared" si="54"/>
        <v>7000</v>
      </c>
      <c r="AD88" s="69">
        <f t="shared" si="55"/>
        <v>10500</v>
      </c>
      <c r="AE88" s="8">
        <v>0.0</v>
      </c>
      <c r="AF88" s="8" t="str">
        <f t="shared" si="22"/>
        <v>OK</v>
      </c>
      <c r="AG88" s="8" t="str">
        <f t="shared" si="23"/>
        <v>Skill Missing</v>
      </c>
      <c r="AH88" s="72" t="str">
        <f t="shared" si="24"/>
        <v>#REF!</v>
      </c>
      <c r="AI88" s="8" t="str">
        <f t="shared" si="25"/>
        <v>Not Found</v>
      </c>
      <c r="AJ88" s="21" t="s">
        <v>193</v>
      </c>
      <c r="AK88" s="86"/>
      <c r="AL88" s="81"/>
      <c r="AM88" s="81">
        <f t="shared" si="26"/>
        <v>60</v>
      </c>
      <c r="AN88" s="81"/>
      <c r="AO88" s="81"/>
      <c r="AP88" s="81"/>
      <c r="AQ88" s="81"/>
      <c r="AR88" s="81"/>
      <c r="AS88" s="81"/>
      <c r="AT88" s="81"/>
    </row>
    <row r="89" ht="22.5" customHeight="1">
      <c r="A89" s="7" t="s">
        <v>480</v>
      </c>
      <c r="B89" s="7" t="s">
        <v>481</v>
      </c>
      <c r="C89" s="7" t="s">
        <v>27</v>
      </c>
      <c r="D89" s="7" t="s">
        <v>482</v>
      </c>
      <c r="E89" s="7" t="s">
        <v>348</v>
      </c>
      <c r="F89" s="7" t="s">
        <v>202</v>
      </c>
      <c r="G89" s="49">
        <v>0.3541666666666667</v>
      </c>
      <c r="H89" s="49">
        <v>0.75</v>
      </c>
      <c r="I89" s="51">
        <f t="shared" si="1"/>
        <v>0.3958333333</v>
      </c>
      <c r="J89" s="82">
        <v>39652.0</v>
      </c>
      <c r="K89" s="7" t="s">
        <v>2</v>
      </c>
      <c r="L89" s="10">
        <f t="shared" si="56"/>
        <v>61030</v>
      </c>
      <c r="M89" s="7" t="s">
        <v>68</v>
      </c>
      <c r="N89" s="7" t="s">
        <v>69</v>
      </c>
      <c r="O89" s="84">
        <v>45901.0</v>
      </c>
      <c r="P89" s="57">
        <v>56510.0</v>
      </c>
      <c r="Q89" s="7"/>
      <c r="R89" s="11"/>
      <c r="S89" s="85"/>
      <c r="T89" s="7" t="s">
        <v>71</v>
      </c>
      <c r="U89" s="7" t="s">
        <v>207</v>
      </c>
      <c r="V89" s="27">
        <f t="shared" si="20"/>
        <v>56510</v>
      </c>
      <c r="W89" s="13">
        <v>0.08</v>
      </c>
      <c r="X89" s="14"/>
      <c r="Y89" s="14">
        <f t="shared" si="21"/>
        <v>61030</v>
      </c>
      <c r="Z89" s="43"/>
      <c r="AA89" s="27">
        <f t="shared" si="37"/>
        <v>61030</v>
      </c>
      <c r="AB89" s="14">
        <f t="shared" si="53"/>
        <v>30515</v>
      </c>
      <c r="AC89" s="8">
        <f t="shared" si="54"/>
        <v>12210</v>
      </c>
      <c r="AD89" s="69">
        <f t="shared" si="55"/>
        <v>18305</v>
      </c>
      <c r="AE89" s="8">
        <v>0.0</v>
      </c>
      <c r="AF89" s="8" t="str">
        <f t="shared" si="22"/>
        <v>OK</v>
      </c>
      <c r="AG89" s="8" t="str">
        <f t="shared" si="23"/>
        <v>S OK</v>
      </c>
      <c r="AH89" s="72" t="str">
        <f t="shared" si="24"/>
        <v>#REF!</v>
      </c>
      <c r="AI89" s="8" t="str">
        <f t="shared" si="25"/>
        <v>Not Found</v>
      </c>
      <c r="AJ89" s="21"/>
      <c r="AK89" s="86"/>
      <c r="AL89" s="75"/>
      <c r="AM89" s="75">
        <f t="shared" si="26"/>
        <v>218</v>
      </c>
      <c r="AN89" s="75"/>
      <c r="AO89" s="75"/>
      <c r="AP89" s="75"/>
      <c r="AQ89" s="75"/>
      <c r="AR89" s="75"/>
      <c r="AS89" s="75"/>
      <c r="AT89" s="75"/>
    </row>
    <row r="90" ht="22.5" customHeight="1">
      <c r="A90" s="139" t="s">
        <v>483</v>
      </c>
      <c r="B90" s="139" t="s">
        <v>484</v>
      </c>
      <c r="C90" s="139" t="s">
        <v>27</v>
      </c>
      <c r="D90" s="139" t="s">
        <v>485</v>
      </c>
      <c r="E90" s="7" t="s">
        <v>206</v>
      </c>
      <c r="F90" s="7" t="s">
        <v>213</v>
      </c>
      <c r="G90" s="49">
        <v>0.375</v>
      </c>
      <c r="H90" s="49">
        <v>0.7708333333333334</v>
      </c>
      <c r="I90" s="51">
        <f t="shared" si="1"/>
        <v>0.3958333333</v>
      </c>
      <c r="J90" s="82">
        <v>43816.0</v>
      </c>
      <c r="K90" s="7" t="s">
        <v>2</v>
      </c>
      <c r="L90" s="10">
        <f t="shared" si="56"/>
        <v>16000</v>
      </c>
      <c r="M90" s="7" t="s">
        <v>68</v>
      </c>
      <c r="N90" s="83" t="s">
        <v>69</v>
      </c>
      <c r="O90" s="84">
        <v>45901.0</v>
      </c>
      <c r="P90" s="57">
        <v>14290.0</v>
      </c>
      <c r="Q90" s="7"/>
      <c r="R90" s="11"/>
      <c r="S90" s="7" t="s">
        <v>217</v>
      </c>
      <c r="T90" s="7" t="s">
        <v>71</v>
      </c>
      <c r="U90" s="7" t="s">
        <v>207</v>
      </c>
      <c r="V90" s="27">
        <f t="shared" si="20"/>
        <v>14290</v>
      </c>
      <c r="W90" s="13">
        <v>0.12</v>
      </c>
      <c r="X90" s="14"/>
      <c r="Y90" s="14">
        <f t="shared" si="21"/>
        <v>16000</v>
      </c>
      <c r="Z90" s="43" t="s">
        <v>487</v>
      </c>
      <c r="AA90" s="27">
        <f t="shared" si="37"/>
        <v>16000</v>
      </c>
      <c r="AB90" s="14">
        <f t="shared" si="53"/>
        <v>15500</v>
      </c>
      <c r="AC90" s="8">
        <f t="shared" si="54"/>
        <v>200</v>
      </c>
      <c r="AD90" s="69">
        <f t="shared" si="55"/>
        <v>300</v>
      </c>
      <c r="AE90" s="8">
        <v>0.0</v>
      </c>
      <c r="AF90" s="8" t="str">
        <f t="shared" si="22"/>
        <v>OK</v>
      </c>
      <c r="AG90" s="8" t="str">
        <f t="shared" si="23"/>
        <v>S OK</v>
      </c>
      <c r="AH90" s="72" t="str">
        <f t="shared" si="24"/>
        <v>#REF!</v>
      </c>
      <c r="AI90" s="8" t="str">
        <f t="shared" si="25"/>
        <v>Not Found</v>
      </c>
      <c r="AJ90" s="21"/>
      <c r="AK90" s="110" t="s">
        <v>283</v>
      </c>
      <c r="AL90" s="75"/>
      <c r="AM90" s="75">
        <f t="shared" si="26"/>
        <v>81</v>
      </c>
      <c r="AN90" s="105"/>
      <c r="AO90" s="105"/>
      <c r="AP90" s="105"/>
      <c r="AQ90" s="105"/>
      <c r="AR90" s="105"/>
      <c r="AS90" s="105"/>
      <c r="AT90" s="105"/>
    </row>
    <row r="91" ht="22.5" customHeight="1">
      <c r="A91" s="7" t="s">
        <v>488</v>
      </c>
      <c r="B91" s="7" t="s">
        <v>489</v>
      </c>
      <c r="C91" s="7" t="s">
        <v>27</v>
      </c>
      <c r="D91" s="7" t="s">
        <v>244</v>
      </c>
      <c r="E91" s="7" t="s">
        <v>245</v>
      </c>
      <c r="F91" s="7" t="s">
        <v>213</v>
      </c>
      <c r="G91" s="49">
        <v>0.3333333333333333</v>
      </c>
      <c r="H91" s="49">
        <v>0.75</v>
      </c>
      <c r="I91" s="51">
        <f t="shared" si="1"/>
        <v>0.4166666667</v>
      </c>
      <c r="J91" s="82">
        <v>44531.0</v>
      </c>
      <c r="K91" s="7" t="s">
        <v>2</v>
      </c>
      <c r="L91" s="10">
        <v>19709.0</v>
      </c>
      <c r="M91" s="7" t="s">
        <v>68</v>
      </c>
      <c r="N91" s="83" t="s">
        <v>69</v>
      </c>
      <c r="O91" s="84">
        <v>45901.0</v>
      </c>
      <c r="P91" s="57">
        <v>16910.0</v>
      </c>
      <c r="Q91" s="7"/>
      <c r="R91" s="11"/>
      <c r="S91" s="7" t="s">
        <v>217</v>
      </c>
      <c r="T91" s="7" t="s">
        <v>217</v>
      </c>
      <c r="U91" s="7" t="s">
        <v>247</v>
      </c>
      <c r="V91" s="27">
        <f t="shared" si="20"/>
        <v>16910</v>
      </c>
      <c r="W91" s="13">
        <v>0.11</v>
      </c>
      <c r="X91" s="14"/>
      <c r="Y91" s="14">
        <f t="shared" si="21"/>
        <v>18770</v>
      </c>
      <c r="Z91" s="43" t="s">
        <v>208</v>
      </c>
      <c r="AA91" s="27">
        <f t="shared" si="37"/>
        <v>19709</v>
      </c>
      <c r="AB91" s="14">
        <f t="shared" si="53"/>
        <v>15500</v>
      </c>
      <c r="AC91" s="8">
        <f t="shared" si="54"/>
        <v>1680</v>
      </c>
      <c r="AD91" s="69">
        <f t="shared" si="55"/>
        <v>2529</v>
      </c>
      <c r="AE91" s="8">
        <v>0.0</v>
      </c>
      <c r="AF91" s="8" t="str">
        <f t="shared" si="22"/>
        <v>OK</v>
      </c>
      <c r="AG91" s="8" t="str">
        <f t="shared" si="23"/>
        <v>US OK</v>
      </c>
      <c r="AH91" s="72" t="str">
        <f t="shared" si="24"/>
        <v>#REF!</v>
      </c>
      <c r="AI91" s="8" t="str">
        <f t="shared" si="25"/>
        <v>Not Found</v>
      </c>
      <c r="AJ91" s="21"/>
      <c r="AK91" s="110" t="s">
        <v>283</v>
      </c>
      <c r="AL91" s="75"/>
      <c r="AM91" s="75">
        <f t="shared" si="26"/>
        <v>57</v>
      </c>
      <c r="AN91" s="75"/>
      <c r="AO91" s="75"/>
      <c r="AP91" s="75"/>
      <c r="AQ91" s="75"/>
      <c r="AR91" s="75"/>
      <c r="AS91" s="75"/>
      <c r="AT91" s="75"/>
    </row>
    <row r="92" ht="22.5" customHeight="1">
      <c r="A92" s="87" t="s">
        <v>490</v>
      </c>
      <c r="B92" s="87" t="s">
        <v>282</v>
      </c>
      <c r="C92" s="87" t="s">
        <v>27</v>
      </c>
      <c r="D92" s="87" t="s">
        <v>211</v>
      </c>
      <c r="E92" s="87" t="s">
        <v>423</v>
      </c>
      <c r="F92" s="87" t="s">
        <v>213</v>
      </c>
      <c r="G92" s="116">
        <v>0.3333333333333333</v>
      </c>
      <c r="H92" s="116">
        <v>0.75</v>
      </c>
      <c r="I92" s="89">
        <f t="shared" si="1"/>
        <v>0.4166666667</v>
      </c>
      <c r="J92" s="90">
        <v>43883.0</v>
      </c>
      <c r="K92" s="87" t="s">
        <v>2</v>
      </c>
      <c r="L92" s="92">
        <v>22208.0</v>
      </c>
      <c r="M92" s="87" t="s">
        <v>68</v>
      </c>
      <c r="N92" s="87" t="s">
        <v>69</v>
      </c>
      <c r="O92" s="135">
        <v>45901.0</v>
      </c>
      <c r="P92" s="136">
        <v>19050.0</v>
      </c>
      <c r="Q92" s="87">
        <v>0.0</v>
      </c>
      <c r="R92" s="95"/>
      <c r="S92" s="87" t="s">
        <v>217</v>
      </c>
      <c r="T92" s="87" t="s">
        <v>217</v>
      </c>
      <c r="U92" s="87" t="s">
        <v>207</v>
      </c>
      <c r="V92" s="97">
        <f t="shared" si="20"/>
        <v>19050</v>
      </c>
      <c r="W92" s="98">
        <v>0.11</v>
      </c>
      <c r="X92" s="99"/>
      <c r="Y92" s="99">
        <f t="shared" si="21"/>
        <v>21150</v>
      </c>
      <c r="Z92" s="119" t="s">
        <v>208</v>
      </c>
      <c r="AA92" s="99">
        <f t="shared" si="37"/>
        <v>22208</v>
      </c>
      <c r="AB92" s="99">
        <f t="shared" si="53"/>
        <v>15500</v>
      </c>
      <c r="AC92" s="101">
        <f t="shared" si="54"/>
        <v>2680</v>
      </c>
      <c r="AD92" s="101">
        <f t="shared" si="55"/>
        <v>4028</v>
      </c>
      <c r="AE92" s="101">
        <v>0.0</v>
      </c>
      <c r="AF92" s="101" t="str">
        <f t="shared" si="22"/>
        <v>OK</v>
      </c>
      <c r="AG92" s="101" t="str">
        <f t="shared" si="23"/>
        <v>S OK</v>
      </c>
      <c r="AH92" s="102" t="str">
        <f t="shared" si="24"/>
        <v>#REF!</v>
      </c>
      <c r="AI92" s="101" t="str">
        <f t="shared" si="25"/>
        <v>Not Found</v>
      </c>
      <c r="AJ92" s="103" t="s">
        <v>283</v>
      </c>
      <c r="AK92" s="137"/>
      <c r="AL92" s="121">
        <f>AM92/12</f>
        <v>6.583333333</v>
      </c>
      <c r="AM92" s="105">
        <f t="shared" si="26"/>
        <v>79</v>
      </c>
      <c r="AN92" s="105"/>
      <c r="AO92" s="105"/>
      <c r="AP92" s="105"/>
      <c r="AQ92" s="105"/>
      <c r="AR92" s="105"/>
      <c r="AS92" s="105"/>
      <c r="AT92" s="105"/>
    </row>
    <row r="93" ht="22.5" customHeight="1">
      <c r="A93" s="7" t="s">
        <v>493</v>
      </c>
      <c r="B93" s="7" t="s">
        <v>494</v>
      </c>
      <c r="C93" s="7" t="s">
        <v>27</v>
      </c>
      <c r="D93" s="7" t="s">
        <v>244</v>
      </c>
      <c r="E93" s="7" t="s">
        <v>245</v>
      </c>
      <c r="F93" s="7" t="s">
        <v>213</v>
      </c>
      <c r="G93" s="49">
        <v>0.3333333333333333</v>
      </c>
      <c r="H93" s="49">
        <v>0.75</v>
      </c>
      <c r="I93" s="51">
        <f t="shared" si="1"/>
        <v>0.4166666667</v>
      </c>
      <c r="J93" s="82">
        <v>43354.0</v>
      </c>
      <c r="K93" s="7" t="s">
        <v>2</v>
      </c>
      <c r="L93" s="10">
        <v>19541.0</v>
      </c>
      <c r="M93" s="7" t="s">
        <v>68</v>
      </c>
      <c r="N93" s="83" t="s">
        <v>69</v>
      </c>
      <c r="O93" s="84">
        <v>45901.0</v>
      </c>
      <c r="P93" s="57">
        <v>16770.0</v>
      </c>
      <c r="Q93" s="7"/>
      <c r="R93" s="11"/>
      <c r="S93" s="7" t="s">
        <v>217</v>
      </c>
      <c r="T93" s="7" t="s">
        <v>217</v>
      </c>
      <c r="U93" s="7" t="s">
        <v>247</v>
      </c>
      <c r="V93" s="27">
        <f t="shared" si="20"/>
        <v>16770</v>
      </c>
      <c r="W93" s="13">
        <v>0.11</v>
      </c>
      <c r="X93" s="14"/>
      <c r="Y93" s="14">
        <f t="shared" si="21"/>
        <v>18610</v>
      </c>
      <c r="Z93" s="43" t="s">
        <v>208</v>
      </c>
      <c r="AA93" s="27">
        <f t="shared" si="37"/>
        <v>19541</v>
      </c>
      <c r="AB93" s="14">
        <f t="shared" si="53"/>
        <v>15500</v>
      </c>
      <c r="AC93" s="8">
        <f t="shared" si="54"/>
        <v>1620</v>
      </c>
      <c r="AD93" s="69">
        <f t="shared" si="55"/>
        <v>2421</v>
      </c>
      <c r="AE93" s="8">
        <v>0.0</v>
      </c>
      <c r="AF93" s="8" t="str">
        <f t="shared" si="22"/>
        <v>OK</v>
      </c>
      <c r="AG93" s="8" t="str">
        <f t="shared" si="23"/>
        <v>US OK</v>
      </c>
      <c r="AH93" s="72" t="str">
        <f t="shared" si="24"/>
        <v>#REF!</v>
      </c>
      <c r="AI93" s="8" t="str">
        <f t="shared" si="25"/>
        <v>Not Found</v>
      </c>
      <c r="AJ93" s="21"/>
      <c r="AK93" s="124"/>
      <c r="AL93" s="75"/>
      <c r="AM93" s="75">
        <f t="shared" si="26"/>
        <v>96</v>
      </c>
      <c r="AN93" s="75"/>
      <c r="AO93" s="75"/>
      <c r="AP93" s="75"/>
      <c r="AQ93" s="75"/>
      <c r="AR93" s="75"/>
      <c r="AS93" s="75"/>
      <c r="AT93" s="75"/>
    </row>
    <row r="94" ht="22.5" customHeight="1">
      <c r="A94" s="128" t="s">
        <v>495</v>
      </c>
      <c r="B94" s="128" t="s">
        <v>496</v>
      </c>
      <c r="C94" s="128" t="s">
        <v>27</v>
      </c>
      <c r="D94" s="7" t="s">
        <v>321</v>
      </c>
      <c r="E94" s="128" t="s">
        <v>497</v>
      </c>
      <c r="F94" s="128" t="s">
        <v>202</v>
      </c>
      <c r="G94" s="49">
        <v>0.375</v>
      </c>
      <c r="H94" s="49">
        <v>0.75</v>
      </c>
      <c r="I94" s="51">
        <f t="shared" si="1"/>
        <v>0.375</v>
      </c>
      <c r="J94" s="82">
        <v>44701.0</v>
      </c>
      <c r="K94" s="128" t="s">
        <v>2</v>
      </c>
      <c r="L94" s="10">
        <f t="shared" ref="L94:L96" si="57">Y94</f>
        <v>150000</v>
      </c>
      <c r="M94" s="7" t="s">
        <v>68</v>
      </c>
      <c r="N94" s="128" t="s">
        <v>69</v>
      </c>
      <c r="O94" s="84"/>
      <c r="P94" s="131">
        <v>150000.0</v>
      </c>
      <c r="Q94" s="145">
        <v>20983.0</v>
      </c>
      <c r="R94" s="11"/>
      <c r="S94" s="85"/>
      <c r="T94" s="128" t="s">
        <v>71</v>
      </c>
      <c r="U94" s="128"/>
      <c r="V94" s="27">
        <f t="shared" si="20"/>
        <v>150000</v>
      </c>
      <c r="W94" s="59">
        <v>0.0</v>
      </c>
      <c r="X94" s="14"/>
      <c r="Y94" s="14">
        <f t="shared" si="21"/>
        <v>150000</v>
      </c>
      <c r="Z94" s="43"/>
      <c r="AA94" s="27">
        <f t="shared" si="37"/>
        <v>150000</v>
      </c>
      <c r="AB94" s="132">
        <v>150000.0</v>
      </c>
      <c r="AC94" s="133">
        <v>0.0</v>
      </c>
      <c r="AD94" s="133">
        <v>0.0</v>
      </c>
      <c r="AE94" s="8">
        <v>0.0</v>
      </c>
      <c r="AF94" s="8" t="str">
        <f t="shared" si="22"/>
        <v>OK</v>
      </c>
      <c r="AG94" s="8" t="str">
        <f t="shared" si="23"/>
        <v>Skill Missing</v>
      </c>
      <c r="AH94" s="72" t="str">
        <f t="shared" si="24"/>
        <v>#REF!</v>
      </c>
      <c r="AI94" s="8" t="str">
        <f t="shared" si="25"/>
        <v>Not Found</v>
      </c>
      <c r="AJ94" s="21"/>
      <c r="AK94" s="86"/>
      <c r="AL94" s="75"/>
      <c r="AM94" s="75">
        <f t="shared" si="26"/>
        <v>52</v>
      </c>
      <c r="AN94" s="75"/>
      <c r="AO94" s="75"/>
      <c r="AP94" s="75"/>
      <c r="AQ94" s="75"/>
      <c r="AR94" s="75"/>
      <c r="AS94" s="75"/>
      <c r="AT94" s="75"/>
    </row>
    <row r="95" ht="22.5" customHeight="1">
      <c r="A95" s="7" t="s">
        <v>498</v>
      </c>
      <c r="B95" s="7" t="s">
        <v>499</v>
      </c>
      <c r="C95" s="7" t="s">
        <v>27</v>
      </c>
      <c r="D95" s="7" t="s">
        <v>485</v>
      </c>
      <c r="E95" s="7" t="s">
        <v>348</v>
      </c>
      <c r="F95" s="7" t="s">
        <v>213</v>
      </c>
      <c r="G95" s="49">
        <v>0.375</v>
      </c>
      <c r="H95" s="49">
        <v>0.7604166666666666</v>
      </c>
      <c r="I95" s="51">
        <f t="shared" si="1"/>
        <v>0.3854166667</v>
      </c>
      <c r="J95" s="82">
        <v>44697.0</v>
      </c>
      <c r="K95" s="7" t="s">
        <v>2</v>
      </c>
      <c r="L95" s="10">
        <f t="shared" si="57"/>
        <v>33720</v>
      </c>
      <c r="M95" s="7" t="s">
        <v>68</v>
      </c>
      <c r="N95" s="139" t="s">
        <v>69</v>
      </c>
      <c r="O95" s="84">
        <v>45901.0</v>
      </c>
      <c r="P95" s="57">
        <v>30650.0</v>
      </c>
      <c r="Q95" s="7"/>
      <c r="R95" s="11"/>
      <c r="S95" s="85"/>
      <c r="T95" s="7" t="s">
        <v>71</v>
      </c>
      <c r="U95" s="7"/>
      <c r="V95" s="27">
        <f t="shared" si="20"/>
        <v>30650</v>
      </c>
      <c r="W95" s="13">
        <v>0.1</v>
      </c>
      <c r="X95" s="14"/>
      <c r="Y95" s="14">
        <f t="shared" si="21"/>
        <v>33720</v>
      </c>
      <c r="Z95" s="43" t="s">
        <v>208</v>
      </c>
      <c r="AA95" s="27">
        <f t="shared" si="37"/>
        <v>33720</v>
      </c>
      <c r="AB95" s="14">
        <f>IFS(AA95&lt;=12000,AA95,AND(AA95&gt;12000,AA95&lt;=15200),15200,AND(AA95&gt;15200,AA95&lt;15500),AA95,AND(AA95&gt;=15500,AA95&lt;30000),15500,AA95&gt;=30000,AA95*$AB$2)</f>
        <v>16860</v>
      </c>
      <c r="AC95" s="8">
        <f>IF($AA95&lt;=$Z$1,($AA95-$AB95)*AC$1,$AA95*AC$2)</f>
        <v>6744</v>
      </c>
      <c r="AD95" s="69">
        <f t="shared" ref="AD95:AD99" si="58">round(IF($AA95&lt;=$Z$1,($AA95-$AB95)*AD$1,$AA95*AD$2),-1)+AA95-AB95-AC95-round(IF($AA95&lt;=$Z$1,($AA95-$AB95)*AD$1,$AA95*AD$2),-1)</f>
        <v>10116</v>
      </c>
      <c r="AE95" s="8">
        <v>0.0</v>
      </c>
      <c r="AF95" s="8" t="str">
        <f t="shared" si="22"/>
        <v>OK</v>
      </c>
      <c r="AG95" s="8" t="str">
        <f t="shared" si="23"/>
        <v>Skill Missing</v>
      </c>
      <c r="AH95" s="72" t="str">
        <f t="shared" si="24"/>
        <v>#REF!</v>
      </c>
      <c r="AI95" s="8" t="str">
        <f t="shared" si="25"/>
        <v>Not Found</v>
      </c>
      <c r="AJ95" s="21"/>
      <c r="AK95" s="124"/>
      <c r="AL95" s="75"/>
      <c r="AM95" s="75">
        <f t="shared" si="26"/>
        <v>52</v>
      </c>
      <c r="AN95" s="105"/>
      <c r="AO95" s="105"/>
      <c r="AP95" s="105"/>
      <c r="AQ95" s="105"/>
      <c r="AR95" s="105"/>
      <c r="AS95" s="105"/>
      <c r="AT95" s="105"/>
    </row>
    <row r="96" ht="22.5" customHeight="1">
      <c r="A96" s="7" t="s">
        <v>502</v>
      </c>
      <c r="B96" s="7" t="s">
        <v>503</v>
      </c>
      <c r="C96" s="7" t="s">
        <v>27</v>
      </c>
      <c r="D96" s="7" t="s">
        <v>504</v>
      </c>
      <c r="E96" s="7" t="s">
        <v>505</v>
      </c>
      <c r="F96" s="7" t="s">
        <v>202</v>
      </c>
      <c r="G96" s="49">
        <v>0.3958333333333333</v>
      </c>
      <c r="H96" s="49">
        <v>0.75</v>
      </c>
      <c r="I96" s="51">
        <f t="shared" si="1"/>
        <v>0.3541666667</v>
      </c>
      <c r="J96" s="82">
        <v>44744.0</v>
      </c>
      <c r="K96" s="7" t="s">
        <v>2</v>
      </c>
      <c r="L96" s="10">
        <f t="shared" si="57"/>
        <v>21620</v>
      </c>
      <c r="M96" s="7" t="s">
        <v>68</v>
      </c>
      <c r="N96" s="7" t="s">
        <v>69</v>
      </c>
      <c r="O96" s="84">
        <v>45901.0</v>
      </c>
      <c r="P96" s="57">
        <v>19480.0</v>
      </c>
      <c r="Q96" s="7"/>
      <c r="R96" s="11"/>
      <c r="S96" s="85"/>
      <c r="T96" s="7" t="s">
        <v>71</v>
      </c>
      <c r="U96" s="7" t="s">
        <v>207</v>
      </c>
      <c r="V96" s="27">
        <f t="shared" si="20"/>
        <v>19480</v>
      </c>
      <c r="W96" s="13">
        <v>0.11</v>
      </c>
      <c r="X96" s="14"/>
      <c r="Y96" s="14">
        <f t="shared" si="21"/>
        <v>21620</v>
      </c>
      <c r="Z96" s="43" t="s">
        <v>506</v>
      </c>
      <c r="AA96" s="10">
        <v>21620.0</v>
      </c>
      <c r="AB96" s="14">
        <f t="shared" ref="AB96:AB99" si="59">IFS(AND(AA96&lt;=15000),15300,AND(AA96&gt;15000,AA96&lt;15500),AA96,AND(AA96&gt;=15500,AA96&lt;$Z$1),15500,AA96&gt;=$Z$1,AA96*$AB$2)</f>
        <v>15500</v>
      </c>
      <c r="AC96" s="8">
        <f t="shared" ref="AC96:AC99" si="60">round(IF($AA96&lt;=$Z$1,($AA96-$AB96)*AC$1,$AA96*AC$2),-1)</f>
        <v>2450</v>
      </c>
      <c r="AD96" s="69">
        <f t="shared" si="58"/>
        <v>3670</v>
      </c>
      <c r="AE96" s="8">
        <v>0.0</v>
      </c>
      <c r="AF96" s="8" t="str">
        <f t="shared" si="22"/>
        <v>OK</v>
      </c>
      <c r="AG96" s="8" t="str">
        <f t="shared" si="23"/>
        <v>S OK</v>
      </c>
      <c r="AH96" s="72" t="str">
        <f t="shared" si="24"/>
        <v>#REF!</v>
      </c>
      <c r="AI96" s="8" t="str">
        <f t="shared" si="25"/>
        <v>Not Found</v>
      </c>
      <c r="AJ96" s="21"/>
      <c r="AK96" s="86"/>
      <c r="AL96" s="75"/>
      <c r="AM96" s="75">
        <f t="shared" si="26"/>
        <v>50</v>
      </c>
      <c r="AN96" s="75"/>
      <c r="AO96" s="75"/>
      <c r="AP96" s="75"/>
      <c r="AQ96" s="75"/>
      <c r="AR96" s="75"/>
      <c r="AS96" s="75"/>
      <c r="AT96" s="75"/>
    </row>
    <row r="97" ht="22.5" customHeight="1">
      <c r="A97" s="87" t="s">
        <v>509</v>
      </c>
      <c r="B97" s="87" t="s">
        <v>510</v>
      </c>
      <c r="C97" s="87" t="s">
        <v>27</v>
      </c>
      <c r="D97" s="87" t="s">
        <v>211</v>
      </c>
      <c r="E97" s="87" t="s">
        <v>511</v>
      </c>
      <c r="F97" s="87" t="s">
        <v>213</v>
      </c>
      <c r="G97" s="116">
        <v>0.3333333333333333</v>
      </c>
      <c r="H97" s="116">
        <v>0.75</v>
      </c>
      <c r="I97" s="89">
        <f t="shared" si="1"/>
        <v>0.4166666667</v>
      </c>
      <c r="J97" s="90">
        <v>44767.0</v>
      </c>
      <c r="K97" s="87" t="s">
        <v>2</v>
      </c>
      <c r="L97" s="92">
        <v>25620.0</v>
      </c>
      <c r="M97" s="87" t="s">
        <v>68</v>
      </c>
      <c r="N97" s="134" t="s">
        <v>69</v>
      </c>
      <c r="O97" s="135">
        <v>45901.0</v>
      </c>
      <c r="P97" s="136">
        <v>21980.0</v>
      </c>
      <c r="Q97" s="87"/>
      <c r="R97" s="95"/>
      <c r="S97" s="87" t="s">
        <v>217</v>
      </c>
      <c r="T97" s="87" t="s">
        <v>71</v>
      </c>
      <c r="U97" s="87"/>
      <c r="V97" s="97">
        <f t="shared" si="20"/>
        <v>21980</v>
      </c>
      <c r="W97" s="98">
        <v>0.11</v>
      </c>
      <c r="X97" s="99"/>
      <c r="Y97" s="99">
        <f t="shared" si="21"/>
        <v>24400</v>
      </c>
      <c r="Z97" s="119"/>
      <c r="AA97" s="99">
        <f t="shared" ref="AA97:AA107" si="61">L97</f>
        <v>25620</v>
      </c>
      <c r="AB97" s="99">
        <f t="shared" si="59"/>
        <v>15500</v>
      </c>
      <c r="AC97" s="101">
        <f t="shared" si="60"/>
        <v>4050</v>
      </c>
      <c r="AD97" s="101">
        <f t="shared" si="58"/>
        <v>6070</v>
      </c>
      <c r="AE97" s="101">
        <v>0.0</v>
      </c>
      <c r="AF97" s="101" t="str">
        <f t="shared" si="22"/>
        <v>OK</v>
      </c>
      <c r="AG97" s="101" t="str">
        <f t="shared" si="23"/>
        <v>Skill Missing</v>
      </c>
      <c r="AH97" s="102" t="str">
        <f t="shared" si="24"/>
        <v>#REF!</v>
      </c>
      <c r="AI97" s="101" t="str">
        <f t="shared" si="25"/>
        <v>Not Found</v>
      </c>
      <c r="AJ97" s="103"/>
      <c r="AK97" s="137"/>
      <c r="AL97" s="121">
        <f>AM97/12</f>
        <v>4.166666667</v>
      </c>
      <c r="AM97" s="105">
        <f t="shared" si="26"/>
        <v>50</v>
      </c>
      <c r="AN97" s="75"/>
      <c r="AO97" s="75"/>
      <c r="AP97" s="75"/>
      <c r="AQ97" s="75"/>
      <c r="AR97" s="75"/>
      <c r="AS97" s="75"/>
      <c r="AT97" s="75"/>
    </row>
    <row r="98" ht="22.5" customHeight="1">
      <c r="A98" s="7" t="s">
        <v>512</v>
      </c>
      <c r="B98" s="7" t="s">
        <v>513</v>
      </c>
      <c r="C98" s="7" t="s">
        <v>27</v>
      </c>
      <c r="D98" s="7" t="s">
        <v>244</v>
      </c>
      <c r="E98" s="7" t="s">
        <v>252</v>
      </c>
      <c r="F98" s="7" t="s">
        <v>213</v>
      </c>
      <c r="G98" s="49">
        <v>0.3333333333333333</v>
      </c>
      <c r="H98" s="49">
        <v>0.75</v>
      </c>
      <c r="I98" s="51">
        <f t="shared" si="1"/>
        <v>0.4166666667</v>
      </c>
      <c r="J98" s="82">
        <v>44440.0</v>
      </c>
      <c r="K98" s="7" t="s">
        <v>2</v>
      </c>
      <c r="L98" s="10">
        <v>21500.0</v>
      </c>
      <c r="M98" s="7" t="s">
        <v>68</v>
      </c>
      <c r="N98" s="7" t="s">
        <v>69</v>
      </c>
      <c r="O98" s="84">
        <v>45901.0</v>
      </c>
      <c r="P98" s="138">
        <v>18858.0</v>
      </c>
      <c r="Q98" s="7"/>
      <c r="R98" s="11"/>
      <c r="S98" s="7" t="s">
        <v>217</v>
      </c>
      <c r="T98" s="7" t="s">
        <v>217</v>
      </c>
      <c r="U98" s="7"/>
      <c r="V98" s="27">
        <f t="shared" si="20"/>
        <v>18858</v>
      </c>
      <c r="W98" s="13">
        <v>0.11</v>
      </c>
      <c r="X98" s="14"/>
      <c r="Y98" s="14">
        <f t="shared" si="21"/>
        <v>20930</v>
      </c>
      <c r="Z98" s="43" t="s">
        <v>469</v>
      </c>
      <c r="AA98" s="27">
        <f t="shared" si="61"/>
        <v>21500</v>
      </c>
      <c r="AB98" s="14">
        <f t="shared" si="59"/>
        <v>15500</v>
      </c>
      <c r="AC98" s="8">
        <f t="shared" si="60"/>
        <v>2400</v>
      </c>
      <c r="AD98" s="69">
        <f t="shared" si="58"/>
        <v>3600</v>
      </c>
      <c r="AE98" s="8">
        <v>0.0</v>
      </c>
      <c r="AF98" s="8" t="str">
        <f t="shared" si="22"/>
        <v>OK</v>
      </c>
      <c r="AG98" s="8" t="str">
        <f t="shared" si="23"/>
        <v>Skill Missing</v>
      </c>
      <c r="AH98" s="72" t="str">
        <f t="shared" si="24"/>
        <v>#REF!</v>
      </c>
      <c r="AI98" s="8" t="str">
        <f t="shared" si="25"/>
        <v>Not Found</v>
      </c>
      <c r="AJ98" s="21"/>
      <c r="AK98" s="124"/>
      <c r="AL98" s="75"/>
      <c r="AM98" s="75">
        <f t="shared" si="26"/>
        <v>60</v>
      </c>
      <c r="AN98" s="75"/>
      <c r="AO98" s="75"/>
      <c r="AP98" s="75"/>
      <c r="AQ98" s="75"/>
      <c r="AR98" s="75"/>
      <c r="AS98" s="75"/>
      <c r="AT98" s="75"/>
    </row>
    <row r="99" ht="22.5" customHeight="1">
      <c r="A99" s="7" t="s">
        <v>514</v>
      </c>
      <c r="B99" s="7" t="s">
        <v>515</v>
      </c>
      <c r="C99" s="7" t="s">
        <v>27</v>
      </c>
      <c r="D99" s="7" t="s">
        <v>244</v>
      </c>
      <c r="E99" s="7" t="s">
        <v>245</v>
      </c>
      <c r="F99" s="7" t="s">
        <v>213</v>
      </c>
      <c r="G99" s="49">
        <v>0.3333333333333333</v>
      </c>
      <c r="H99" s="49">
        <v>0.75</v>
      </c>
      <c r="I99" s="51">
        <f t="shared" si="1"/>
        <v>0.4166666667</v>
      </c>
      <c r="J99" s="82">
        <v>44158.0</v>
      </c>
      <c r="K99" s="7" t="s">
        <v>2</v>
      </c>
      <c r="L99" s="10">
        <v>15279.0</v>
      </c>
      <c r="M99" s="7" t="s">
        <v>68</v>
      </c>
      <c r="N99" s="83" t="s">
        <v>69</v>
      </c>
      <c r="O99" s="84">
        <v>45901.0</v>
      </c>
      <c r="P99" s="57">
        <v>12400.0</v>
      </c>
      <c r="Q99" s="7"/>
      <c r="R99" s="11"/>
      <c r="S99" s="7" t="s">
        <v>217</v>
      </c>
      <c r="T99" s="7" t="s">
        <v>217</v>
      </c>
      <c r="U99" s="7" t="s">
        <v>247</v>
      </c>
      <c r="V99" s="27">
        <f t="shared" si="20"/>
        <v>12400</v>
      </c>
      <c r="W99" s="13">
        <v>0.12</v>
      </c>
      <c r="X99" s="14"/>
      <c r="Y99" s="14">
        <f t="shared" si="21"/>
        <v>13890</v>
      </c>
      <c r="Z99" s="43" t="s">
        <v>208</v>
      </c>
      <c r="AA99" s="27">
        <f t="shared" si="61"/>
        <v>15279</v>
      </c>
      <c r="AB99" s="14">
        <f t="shared" si="59"/>
        <v>15279</v>
      </c>
      <c r="AC99" s="8">
        <f t="shared" si="60"/>
        <v>0</v>
      </c>
      <c r="AD99" s="69">
        <f t="shared" si="58"/>
        <v>0</v>
      </c>
      <c r="AE99" s="8">
        <v>0.0</v>
      </c>
      <c r="AF99" s="8" t="str">
        <f t="shared" si="22"/>
        <v>OK</v>
      </c>
      <c r="AG99" s="8" t="str">
        <f t="shared" si="23"/>
        <v>US OK</v>
      </c>
      <c r="AH99" s="72" t="str">
        <f t="shared" si="24"/>
        <v>#REF!</v>
      </c>
      <c r="AI99" s="8" t="str">
        <f t="shared" si="25"/>
        <v>Not Found</v>
      </c>
      <c r="AJ99" s="21"/>
      <c r="AK99" s="124"/>
      <c r="AL99" s="75"/>
      <c r="AM99" s="75">
        <f t="shared" si="26"/>
        <v>70</v>
      </c>
      <c r="AN99" s="75"/>
      <c r="AO99" s="75"/>
      <c r="AP99" s="75"/>
      <c r="AQ99" s="75"/>
      <c r="AR99" s="75"/>
      <c r="AS99" s="75"/>
      <c r="AT99" s="75"/>
    </row>
    <row r="100" ht="22.5" customHeight="1">
      <c r="A100" s="7" t="s">
        <v>518</v>
      </c>
      <c r="B100" s="7" t="s">
        <v>519</v>
      </c>
      <c r="C100" s="7" t="s">
        <v>27</v>
      </c>
      <c r="D100" s="7" t="s">
        <v>321</v>
      </c>
      <c r="E100" s="7" t="s">
        <v>497</v>
      </c>
      <c r="F100" s="7" t="s">
        <v>202</v>
      </c>
      <c r="G100" s="49">
        <v>0.375</v>
      </c>
      <c r="H100" s="49">
        <v>0.75</v>
      </c>
      <c r="I100" s="51">
        <f t="shared" si="1"/>
        <v>0.375</v>
      </c>
      <c r="J100" s="82">
        <v>44805.0</v>
      </c>
      <c r="K100" s="7" t="s">
        <v>2</v>
      </c>
      <c r="L100" s="10">
        <f t="shared" ref="L100:L105" si="62">Y100</f>
        <v>175000</v>
      </c>
      <c r="M100" s="7" t="s">
        <v>68</v>
      </c>
      <c r="N100" s="7" t="s">
        <v>69</v>
      </c>
      <c r="O100" s="84"/>
      <c r="P100" s="57">
        <v>175000.0</v>
      </c>
      <c r="Q100" s="7">
        <v>25783.0</v>
      </c>
      <c r="R100" s="11"/>
      <c r="S100" s="85"/>
      <c r="T100" s="7" t="s">
        <v>71</v>
      </c>
      <c r="U100" s="7"/>
      <c r="V100" s="27">
        <f t="shared" si="20"/>
        <v>175000</v>
      </c>
      <c r="W100" s="59">
        <v>0.0</v>
      </c>
      <c r="X100" s="14"/>
      <c r="Y100" s="14">
        <f t="shared" si="21"/>
        <v>175000</v>
      </c>
      <c r="Z100" s="43"/>
      <c r="AA100" s="27">
        <f t="shared" si="61"/>
        <v>175000</v>
      </c>
      <c r="AB100" s="132">
        <f>150000+25000</f>
        <v>175000</v>
      </c>
      <c r="AC100" s="133">
        <v>0.0</v>
      </c>
      <c r="AD100" s="133">
        <v>0.0</v>
      </c>
      <c r="AE100" s="8">
        <v>0.0</v>
      </c>
      <c r="AF100" s="8" t="str">
        <f t="shared" si="22"/>
        <v>OK</v>
      </c>
      <c r="AG100" s="8" t="str">
        <f t="shared" si="23"/>
        <v>Skill Missing</v>
      </c>
      <c r="AH100" s="72" t="str">
        <f t="shared" si="24"/>
        <v>#REF!</v>
      </c>
      <c r="AI100" s="8" t="str">
        <f t="shared" si="25"/>
        <v>Not Found</v>
      </c>
      <c r="AJ100" s="21"/>
      <c r="AK100" s="86"/>
      <c r="AL100" s="75"/>
      <c r="AM100" s="75">
        <f t="shared" si="26"/>
        <v>48</v>
      </c>
      <c r="AN100" s="75"/>
      <c r="AO100" s="75"/>
      <c r="AP100" s="75"/>
      <c r="AQ100" s="75"/>
      <c r="AR100" s="75"/>
      <c r="AS100" s="75"/>
      <c r="AT100" s="75"/>
    </row>
    <row r="101" ht="22.5" customHeight="1">
      <c r="A101" s="7" t="s">
        <v>520</v>
      </c>
      <c r="B101" s="7" t="s">
        <v>521</v>
      </c>
      <c r="C101" s="7" t="s">
        <v>27</v>
      </c>
      <c r="D101" s="7" t="s">
        <v>522</v>
      </c>
      <c r="E101" s="7" t="s">
        <v>356</v>
      </c>
      <c r="F101" s="7" t="s">
        <v>213</v>
      </c>
      <c r="G101" s="49">
        <v>0.375</v>
      </c>
      <c r="H101" s="49">
        <v>0.75</v>
      </c>
      <c r="I101" s="51">
        <f t="shared" si="1"/>
        <v>0.375</v>
      </c>
      <c r="J101" s="82">
        <v>44896.0</v>
      </c>
      <c r="K101" s="7" t="s">
        <v>2</v>
      </c>
      <c r="L101" s="10">
        <f t="shared" si="62"/>
        <v>31900</v>
      </c>
      <c r="M101" s="7" t="s">
        <v>68</v>
      </c>
      <c r="N101" s="7" t="s">
        <v>69</v>
      </c>
      <c r="O101" s="84">
        <v>45901.0</v>
      </c>
      <c r="P101" s="57">
        <v>29000.0</v>
      </c>
      <c r="Q101" s="7"/>
      <c r="R101" s="11"/>
      <c r="S101" s="85"/>
      <c r="T101" s="7" t="s">
        <v>71</v>
      </c>
      <c r="U101" s="7"/>
      <c r="V101" s="27">
        <f t="shared" si="20"/>
        <v>29000</v>
      </c>
      <c r="W101" s="13">
        <v>0.1</v>
      </c>
      <c r="X101" s="14"/>
      <c r="Y101" s="14">
        <f t="shared" si="21"/>
        <v>31900</v>
      </c>
      <c r="Z101" s="43"/>
      <c r="AA101" s="27">
        <f t="shared" si="61"/>
        <v>31900</v>
      </c>
      <c r="AB101" s="14">
        <f t="shared" ref="AB101:AB110" si="63">IFS(AND(AA101&lt;=15000),15300,AND(AA101&gt;15000,AA101&lt;15500),AA101,AND(AA101&gt;=15500,AA101&lt;$Z$1),15500,AA101&gt;=$Z$1,AA101*$AB$2)</f>
        <v>15500</v>
      </c>
      <c r="AC101" s="8">
        <f t="shared" ref="AC101:AC110" si="64">round(IF($AA101&lt;=$Z$1,($AA101-$AB101)*AC$1,$AA101*AC$2),-1)</f>
        <v>6560</v>
      </c>
      <c r="AD101" s="69">
        <f t="shared" ref="AD101:AD118" si="65">round(IF($AA101&lt;=$Z$1,($AA101-$AB101)*AD$1,$AA101*AD$2),-1)+AA101-AB101-AC101-round(IF($AA101&lt;=$Z$1,($AA101-$AB101)*AD$1,$AA101*AD$2),-1)</f>
        <v>9840</v>
      </c>
      <c r="AE101" s="8">
        <v>0.0</v>
      </c>
      <c r="AF101" s="8" t="str">
        <f t="shared" si="22"/>
        <v>OK</v>
      </c>
      <c r="AG101" s="8" t="str">
        <f t="shared" si="23"/>
        <v>Skill Missing</v>
      </c>
      <c r="AH101" s="72" t="str">
        <f t="shared" si="24"/>
        <v>#REF!</v>
      </c>
      <c r="AI101" s="8" t="str">
        <f t="shared" si="25"/>
        <v>Not Found</v>
      </c>
      <c r="AJ101" s="21"/>
      <c r="AK101" s="124"/>
      <c r="AL101" s="75"/>
      <c r="AM101" s="75">
        <f t="shared" si="26"/>
        <v>45</v>
      </c>
      <c r="AN101" s="75"/>
      <c r="AO101" s="75"/>
      <c r="AP101" s="75"/>
      <c r="AQ101" s="75"/>
      <c r="AR101" s="75"/>
      <c r="AS101" s="75"/>
      <c r="AT101" s="75"/>
    </row>
    <row r="102" ht="22.5" customHeight="1">
      <c r="A102" s="7" t="s">
        <v>525</v>
      </c>
      <c r="B102" s="7" t="s">
        <v>526</v>
      </c>
      <c r="C102" s="7" t="s">
        <v>27</v>
      </c>
      <c r="D102" s="7" t="s">
        <v>527</v>
      </c>
      <c r="E102" s="7" t="s">
        <v>348</v>
      </c>
      <c r="F102" s="7" t="s">
        <v>213</v>
      </c>
      <c r="G102" s="49">
        <v>0.375</v>
      </c>
      <c r="H102" s="49">
        <v>0.7604166666666666</v>
      </c>
      <c r="I102" s="51">
        <f t="shared" si="1"/>
        <v>0.3854166667</v>
      </c>
      <c r="J102" s="82">
        <v>44958.0</v>
      </c>
      <c r="K102" s="7" t="s">
        <v>2</v>
      </c>
      <c r="L102" s="10">
        <f t="shared" si="62"/>
        <v>33700</v>
      </c>
      <c r="M102" s="7" t="s">
        <v>68</v>
      </c>
      <c r="N102" s="83" t="s">
        <v>69</v>
      </c>
      <c r="O102" s="84">
        <v>45901.0</v>
      </c>
      <c r="P102" s="57">
        <v>30640.0</v>
      </c>
      <c r="Q102" s="7"/>
      <c r="R102" s="11"/>
      <c r="S102" s="85"/>
      <c r="T102" s="7" t="s">
        <v>71</v>
      </c>
      <c r="U102" s="7"/>
      <c r="V102" s="27">
        <f t="shared" si="20"/>
        <v>30640</v>
      </c>
      <c r="W102" s="13">
        <v>0.1</v>
      </c>
      <c r="X102" s="14"/>
      <c r="Y102" s="14">
        <f t="shared" si="21"/>
        <v>33700</v>
      </c>
      <c r="Z102" s="43"/>
      <c r="AA102" s="27">
        <f t="shared" si="61"/>
        <v>33700</v>
      </c>
      <c r="AB102" s="14">
        <f t="shared" si="63"/>
        <v>15500</v>
      </c>
      <c r="AC102" s="8">
        <f t="shared" si="64"/>
        <v>7280</v>
      </c>
      <c r="AD102" s="69">
        <f t="shared" si="65"/>
        <v>10920</v>
      </c>
      <c r="AE102" s="8">
        <v>0.0</v>
      </c>
      <c r="AF102" s="8" t="str">
        <f t="shared" si="22"/>
        <v>OK</v>
      </c>
      <c r="AG102" s="8" t="str">
        <f t="shared" si="23"/>
        <v>Skill Missing</v>
      </c>
      <c r="AH102" s="72" t="str">
        <f t="shared" si="24"/>
        <v>#REF!</v>
      </c>
      <c r="AI102" s="8" t="str">
        <f t="shared" si="25"/>
        <v>Not Found</v>
      </c>
      <c r="AJ102" s="21"/>
      <c r="AK102" s="124"/>
      <c r="AL102" s="75"/>
      <c r="AM102" s="75">
        <f t="shared" si="26"/>
        <v>43</v>
      </c>
      <c r="AN102" s="75"/>
      <c r="AO102" s="75"/>
      <c r="AP102" s="75"/>
      <c r="AQ102" s="75"/>
      <c r="AR102" s="75"/>
      <c r="AS102" s="75"/>
      <c r="AT102" s="75"/>
    </row>
    <row r="103" ht="22.5" customHeight="1">
      <c r="A103" s="87" t="s">
        <v>528</v>
      </c>
      <c r="B103" s="87" t="s">
        <v>529</v>
      </c>
      <c r="C103" s="87" t="s">
        <v>27</v>
      </c>
      <c r="D103" s="87" t="s">
        <v>211</v>
      </c>
      <c r="E103" s="87" t="s">
        <v>530</v>
      </c>
      <c r="F103" s="87" t="s">
        <v>213</v>
      </c>
      <c r="G103" s="116">
        <v>0.3333333333333333</v>
      </c>
      <c r="H103" s="116">
        <v>0.75</v>
      </c>
      <c r="I103" s="89">
        <f t="shared" si="1"/>
        <v>0.4166666667</v>
      </c>
      <c r="J103" s="90">
        <v>44958.0</v>
      </c>
      <c r="K103" s="87" t="s">
        <v>2</v>
      </c>
      <c r="L103" s="94">
        <f t="shared" si="62"/>
        <v>47140</v>
      </c>
      <c r="M103" s="87" t="s">
        <v>68</v>
      </c>
      <c r="N103" s="134" t="s">
        <v>69</v>
      </c>
      <c r="O103" s="135">
        <v>45901.0</v>
      </c>
      <c r="P103" s="136">
        <v>43250.0</v>
      </c>
      <c r="Q103" s="87"/>
      <c r="R103" s="95"/>
      <c r="S103" s="141"/>
      <c r="T103" s="87" t="s">
        <v>71</v>
      </c>
      <c r="U103" s="87"/>
      <c r="V103" s="97">
        <f t="shared" si="20"/>
        <v>43250</v>
      </c>
      <c r="W103" s="98">
        <v>0.09</v>
      </c>
      <c r="X103" s="99"/>
      <c r="Y103" s="99">
        <f t="shared" si="21"/>
        <v>47140</v>
      </c>
      <c r="Z103" s="119"/>
      <c r="AA103" s="97">
        <f t="shared" si="61"/>
        <v>47140</v>
      </c>
      <c r="AB103" s="99">
        <f t="shared" si="63"/>
        <v>23570</v>
      </c>
      <c r="AC103" s="101">
        <f t="shared" si="64"/>
        <v>9430</v>
      </c>
      <c r="AD103" s="120">
        <f t="shared" si="65"/>
        <v>14140</v>
      </c>
      <c r="AE103" s="101">
        <v>0.0</v>
      </c>
      <c r="AF103" s="101" t="str">
        <f t="shared" si="22"/>
        <v>OK</v>
      </c>
      <c r="AG103" s="101" t="str">
        <f t="shared" si="23"/>
        <v>Skill Missing</v>
      </c>
      <c r="AH103" s="102" t="str">
        <f t="shared" si="24"/>
        <v>#REF!</v>
      </c>
      <c r="AI103" s="101" t="str">
        <f t="shared" si="25"/>
        <v>Not Found</v>
      </c>
      <c r="AJ103" s="103"/>
      <c r="AK103" s="137"/>
      <c r="AL103" s="121">
        <f>AM103/12</f>
        <v>3.583333333</v>
      </c>
      <c r="AM103" s="105">
        <f t="shared" si="26"/>
        <v>43</v>
      </c>
      <c r="AN103" s="75"/>
      <c r="AO103" s="75"/>
      <c r="AP103" s="75"/>
      <c r="AQ103" s="75"/>
      <c r="AR103" s="75"/>
      <c r="AS103" s="75"/>
      <c r="AT103" s="75"/>
    </row>
    <row r="104" ht="22.5" customHeight="1">
      <c r="A104" s="7" t="s">
        <v>533</v>
      </c>
      <c r="B104" s="7" t="s">
        <v>534</v>
      </c>
      <c r="C104" s="7" t="s">
        <v>27</v>
      </c>
      <c r="D104" s="7" t="s">
        <v>504</v>
      </c>
      <c r="E104" s="7" t="s">
        <v>348</v>
      </c>
      <c r="F104" s="7" t="s">
        <v>202</v>
      </c>
      <c r="G104" s="49">
        <v>0.4166666666666667</v>
      </c>
      <c r="H104" s="49">
        <v>0.7708333333333334</v>
      </c>
      <c r="I104" s="51">
        <f t="shared" si="1"/>
        <v>0.3541666667</v>
      </c>
      <c r="J104" s="82">
        <v>44986.0</v>
      </c>
      <c r="K104" s="7" t="s">
        <v>2</v>
      </c>
      <c r="L104" s="10">
        <f t="shared" si="62"/>
        <v>36110</v>
      </c>
      <c r="M104" s="7" t="s">
        <v>68</v>
      </c>
      <c r="N104" s="7" t="s">
        <v>69</v>
      </c>
      <c r="O104" s="84">
        <v>45901.0</v>
      </c>
      <c r="P104" s="57">
        <v>32830.0</v>
      </c>
      <c r="Q104" s="7"/>
      <c r="R104" s="11"/>
      <c r="S104" s="85"/>
      <c r="T104" s="7" t="s">
        <v>71</v>
      </c>
      <c r="U104" s="7"/>
      <c r="V104" s="27">
        <f t="shared" si="20"/>
        <v>32830</v>
      </c>
      <c r="W104" s="13">
        <v>0.1</v>
      </c>
      <c r="X104" s="14"/>
      <c r="Y104" s="14">
        <f t="shared" si="21"/>
        <v>36110</v>
      </c>
      <c r="Z104" s="43"/>
      <c r="AA104" s="27">
        <f t="shared" si="61"/>
        <v>36110</v>
      </c>
      <c r="AB104" s="14">
        <f t="shared" si="63"/>
        <v>18055</v>
      </c>
      <c r="AC104" s="8">
        <f t="shared" si="64"/>
        <v>7220</v>
      </c>
      <c r="AD104" s="69">
        <f t="shared" si="65"/>
        <v>10835</v>
      </c>
      <c r="AE104" s="8">
        <v>0.0</v>
      </c>
      <c r="AF104" s="8" t="str">
        <f t="shared" si="22"/>
        <v>OK</v>
      </c>
      <c r="AG104" s="8" t="str">
        <f t="shared" si="23"/>
        <v>Skill Missing</v>
      </c>
      <c r="AH104" s="72" t="str">
        <f t="shared" si="24"/>
        <v>#REF!</v>
      </c>
      <c r="AI104" s="8" t="str">
        <f t="shared" si="25"/>
        <v>Not Found</v>
      </c>
      <c r="AJ104" s="21" t="s">
        <v>193</v>
      </c>
      <c r="AK104" s="86"/>
      <c r="AL104" s="75"/>
      <c r="AM104" s="75">
        <f t="shared" si="26"/>
        <v>42</v>
      </c>
      <c r="AN104" s="75"/>
      <c r="AO104" s="75"/>
      <c r="AP104" s="75"/>
      <c r="AQ104" s="75"/>
      <c r="AR104" s="75"/>
      <c r="AS104" s="75"/>
      <c r="AT104" s="75"/>
    </row>
    <row r="105" ht="22.5" customHeight="1">
      <c r="A105" s="7" t="s">
        <v>535</v>
      </c>
      <c r="B105" s="7" t="s">
        <v>536</v>
      </c>
      <c r="C105" s="7" t="s">
        <v>27</v>
      </c>
      <c r="D105" s="7" t="s">
        <v>347</v>
      </c>
      <c r="E105" s="7" t="s">
        <v>206</v>
      </c>
      <c r="F105" s="7" t="s">
        <v>213</v>
      </c>
      <c r="G105" s="49">
        <v>0.375</v>
      </c>
      <c r="H105" s="49">
        <v>0.75</v>
      </c>
      <c r="I105" s="51">
        <f t="shared" si="1"/>
        <v>0.375</v>
      </c>
      <c r="J105" s="82">
        <v>44986.0</v>
      </c>
      <c r="K105" s="7" t="s">
        <v>2</v>
      </c>
      <c r="L105" s="10">
        <f t="shared" si="62"/>
        <v>17360</v>
      </c>
      <c r="M105" s="7" t="s">
        <v>68</v>
      </c>
      <c r="N105" s="7" t="s">
        <v>69</v>
      </c>
      <c r="O105" s="84">
        <v>45901.0</v>
      </c>
      <c r="P105" s="57">
        <v>15640.0</v>
      </c>
      <c r="Q105" s="7"/>
      <c r="R105" s="11"/>
      <c r="S105" s="7" t="s">
        <v>217</v>
      </c>
      <c r="T105" s="7" t="s">
        <v>71</v>
      </c>
      <c r="U105" s="7"/>
      <c r="V105" s="27">
        <f t="shared" si="20"/>
        <v>15640</v>
      </c>
      <c r="W105" s="13">
        <v>0.11</v>
      </c>
      <c r="X105" s="14"/>
      <c r="Y105" s="14">
        <f t="shared" si="21"/>
        <v>17360</v>
      </c>
      <c r="Z105" s="43"/>
      <c r="AA105" s="27">
        <f t="shared" si="61"/>
        <v>17360</v>
      </c>
      <c r="AB105" s="14">
        <f t="shared" si="63"/>
        <v>15500</v>
      </c>
      <c r="AC105" s="8">
        <f t="shared" si="64"/>
        <v>740</v>
      </c>
      <c r="AD105" s="69">
        <f t="shared" si="65"/>
        <v>1120</v>
      </c>
      <c r="AE105" s="8">
        <v>0.0</v>
      </c>
      <c r="AF105" s="8" t="str">
        <f t="shared" si="22"/>
        <v>OK</v>
      </c>
      <c r="AG105" s="8" t="str">
        <f t="shared" si="23"/>
        <v>Skill Missing</v>
      </c>
      <c r="AH105" s="72" t="str">
        <f t="shared" si="24"/>
        <v>#REF!</v>
      </c>
      <c r="AI105" s="8" t="str">
        <f t="shared" si="25"/>
        <v>Not Found</v>
      </c>
      <c r="AJ105" s="21"/>
      <c r="AK105" s="124"/>
      <c r="AL105" s="75"/>
      <c r="AM105" s="75">
        <f t="shared" si="26"/>
        <v>42</v>
      </c>
      <c r="AN105" s="75"/>
      <c r="AO105" s="75"/>
      <c r="AP105" s="75"/>
      <c r="AQ105" s="75"/>
      <c r="AR105" s="75"/>
      <c r="AS105" s="75"/>
      <c r="AT105" s="75"/>
    </row>
    <row r="106" ht="22.5" customHeight="1">
      <c r="A106" s="7" t="s">
        <v>539</v>
      </c>
      <c r="B106" s="7" t="s">
        <v>540</v>
      </c>
      <c r="C106" s="7" t="s">
        <v>27</v>
      </c>
      <c r="D106" s="7" t="s">
        <v>244</v>
      </c>
      <c r="E106" s="7" t="s">
        <v>245</v>
      </c>
      <c r="F106" s="7" t="s">
        <v>213</v>
      </c>
      <c r="G106" s="49">
        <v>0.3333333333333333</v>
      </c>
      <c r="H106" s="49">
        <v>0.75</v>
      </c>
      <c r="I106" s="51">
        <f t="shared" si="1"/>
        <v>0.4166666667</v>
      </c>
      <c r="J106" s="82">
        <v>44986.0</v>
      </c>
      <c r="K106" s="7" t="s">
        <v>2</v>
      </c>
      <c r="L106" s="10">
        <v>16514.0</v>
      </c>
      <c r="M106" s="7" t="s">
        <v>68</v>
      </c>
      <c r="N106" s="83" t="s">
        <v>69</v>
      </c>
      <c r="O106" s="84">
        <v>45901.0</v>
      </c>
      <c r="P106" s="57">
        <v>13590.0</v>
      </c>
      <c r="Q106" s="7"/>
      <c r="R106" s="11"/>
      <c r="S106" s="7" t="s">
        <v>217</v>
      </c>
      <c r="T106" s="7" t="s">
        <v>217</v>
      </c>
      <c r="U106" s="7"/>
      <c r="V106" s="27">
        <f t="shared" si="20"/>
        <v>13590</v>
      </c>
      <c r="W106" s="13">
        <v>0.12</v>
      </c>
      <c r="X106" s="14"/>
      <c r="Y106" s="14">
        <f t="shared" si="21"/>
        <v>15220</v>
      </c>
      <c r="Z106" s="43"/>
      <c r="AA106" s="27">
        <f t="shared" si="61"/>
        <v>16514</v>
      </c>
      <c r="AB106" s="14">
        <f t="shared" si="63"/>
        <v>15500</v>
      </c>
      <c r="AC106" s="8">
        <f t="shared" si="64"/>
        <v>410</v>
      </c>
      <c r="AD106" s="69">
        <f t="shared" si="65"/>
        <v>604</v>
      </c>
      <c r="AE106" s="8">
        <v>0.0</v>
      </c>
      <c r="AF106" s="8" t="str">
        <f t="shared" si="22"/>
        <v>OK</v>
      </c>
      <c r="AG106" s="8" t="str">
        <f t="shared" si="23"/>
        <v>Skill Missing</v>
      </c>
      <c r="AH106" s="72" t="str">
        <f t="shared" si="24"/>
        <v>#REF!</v>
      </c>
      <c r="AI106" s="8" t="str">
        <f t="shared" si="25"/>
        <v>Not Found</v>
      </c>
      <c r="AJ106" s="21" t="s">
        <v>193</v>
      </c>
      <c r="AK106" s="124"/>
      <c r="AL106" s="75"/>
      <c r="AM106" s="75">
        <f t="shared" si="26"/>
        <v>42</v>
      </c>
      <c r="AN106" s="75"/>
      <c r="AO106" s="75"/>
      <c r="AP106" s="75"/>
      <c r="AQ106" s="75"/>
      <c r="AR106" s="75"/>
      <c r="AS106" s="75"/>
      <c r="AT106" s="75"/>
    </row>
    <row r="107" ht="22.5" customHeight="1">
      <c r="A107" s="7" t="s">
        <v>541</v>
      </c>
      <c r="B107" s="7" t="s">
        <v>442</v>
      </c>
      <c r="C107" s="7" t="s">
        <v>542</v>
      </c>
      <c r="D107" s="7" t="s">
        <v>244</v>
      </c>
      <c r="E107" s="7" t="s">
        <v>252</v>
      </c>
      <c r="F107" s="7" t="s">
        <v>213</v>
      </c>
      <c r="G107" s="49">
        <v>0.3541666666666667</v>
      </c>
      <c r="H107" s="49">
        <v>0.7916666666666666</v>
      </c>
      <c r="I107" s="51">
        <f t="shared" si="1"/>
        <v>0.4375</v>
      </c>
      <c r="J107" s="82">
        <v>44986.0</v>
      </c>
      <c r="K107" s="7" t="s">
        <v>2</v>
      </c>
      <c r="L107" s="10">
        <v>17189.0</v>
      </c>
      <c r="M107" s="7" t="s">
        <v>68</v>
      </c>
      <c r="N107" s="7" t="s">
        <v>69</v>
      </c>
      <c r="O107" s="84">
        <v>45901.0</v>
      </c>
      <c r="P107" s="57">
        <v>14620.0</v>
      </c>
      <c r="Q107" s="7"/>
      <c r="R107" s="11"/>
      <c r="S107" s="7" t="s">
        <v>217</v>
      </c>
      <c r="T107" s="7" t="s">
        <v>217</v>
      </c>
      <c r="U107" s="7"/>
      <c r="V107" s="27">
        <f t="shared" si="20"/>
        <v>14620</v>
      </c>
      <c r="W107" s="13">
        <v>0.12</v>
      </c>
      <c r="X107" s="14"/>
      <c r="Y107" s="14">
        <f t="shared" si="21"/>
        <v>16370</v>
      </c>
      <c r="Z107" s="43"/>
      <c r="AA107" s="27">
        <f t="shared" si="61"/>
        <v>17189</v>
      </c>
      <c r="AB107" s="14">
        <f t="shared" si="63"/>
        <v>15500</v>
      </c>
      <c r="AC107" s="8">
        <f t="shared" si="64"/>
        <v>680</v>
      </c>
      <c r="AD107" s="69">
        <f t="shared" si="65"/>
        <v>1009</v>
      </c>
      <c r="AE107" s="8">
        <v>0.0</v>
      </c>
      <c r="AF107" s="8" t="str">
        <f t="shared" si="22"/>
        <v>OK</v>
      </c>
      <c r="AG107" s="8" t="str">
        <f t="shared" si="23"/>
        <v>Skill Missing</v>
      </c>
      <c r="AH107" s="72" t="str">
        <f t="shared" si="24"/>
        <v>#REF!</v>
      </c>
      <c r="AI107" s="8" t="str">
        <f t="shared" si="25"/>
        <v>Not Found</v>
      </c>
      <c r="AJ107" s="21" t="s">
        <v>193</v>
      </c>
      <c r="AK107" s="110" t="s">
        <v>283</v>
      </c>
      <c r="AL107" s="75"/>
      <c r="AM107" s="75">
        <f t="shared" si="26"/>
        <v>42</v>
      </c>
      <c r="AN107" s="105"/>
      <c r="AO107" s="105"/>
      <c r="AP107" s="105"/>
      <c r="AQ107" s="105"/>
      <c r="AR107" s="105"/>
      <c r="AS107" s="105"/>
      <c r="AT107" s="105"/>
    </row>
    <row r="108" ht="22.5" customHeight="1">
      <c r="A108" s="87" t="s">
        <v>543</v>
      </c>
      <c r="B108" s="87" t="s">
        <v>544</v>
      </c>
      <c r="C108" s="87" t="s">
        <v>27</v>
      </c>
      <c r="D108" s="87" t="s">
        <v>211</v>
      </c>
      <c r="E108" s="87" t="s">
        <v>423</v>
      </c>
      <c r="F108" s="87" t="s">
        <v>213</v>
      </c>
      <c r="G108" s="116">
        <v>0.3333333333333333</v>
      </c>
      <c r="H108" s="116">
        <v>0.75</v>
      </c>
      <c r="I108" s="89">
        <f t="shared" si="1"/>
        <v>0.4166666667</v>
      </c>
      <c r="J108" s="90">
        <v>44301.0</v>
      </c>
      <c r="K108" s="87" t="s">
        <v>2</v>
      </c>
      <c r="L108" s="92">
        <v>16535.0</v>
      </c>
      <c r="M108" s="87" t="s">
        <v>68</v>
      </c>
      <c r="N108" s="134" t="s">
        <v>69</v>
      </c>
      <c r="O108" s="135">
        <v>45901.0</v>
      </c>
      <c r="P108" s="136">
        <v>12130.0</v>
      </c>
      <c r="Q108" s="87"/>
      <c r="R108" s="95"/>
      <c r="S108" s="87" t="s">
        <v>217</v>
      </c>
      <c r="T108" s="87" t="s">
        <v>217</v>
      </c>
      <c r="U108" s="87" t="s">
        <v>247</v>
      </c>
      <c r="V108" s="97">
        <f t="shared" si="20"/>
        <v>12130</v>
      </c>
      <c r="W108" s="98">
        <v>0.12</v>
      </c>
      <c r="X108" s="99"/>
      <c r="Y108" s="99">
        <f t="shared" si="21"/>
        <v>13590</v>
      </c>
      <c r="Z108" s="119" t="s">
        <v>545</v>
      </c>
      <c r="AA108" s="99">
        <v>16535.0</v>
      </c>
      <c r="AB108" s="99">
        <f t="shared" si="63"/>
        <v>15500</v>
      </c>
      <c r="AC108" s="101">
        <f t="shared" si="64"/>
        <v>410</v>
      </c>
      <c r="AD108" s="101">
        <f t="shared" si="65"/>
        <v>625</v>
      </c>
      <c r="AE108" s="101">
        <v>0.0</v>
      </c>
      <c r="AF108" s="101" t="str">
        <f t="shared" si="22"/>
        <v>OK</v>
      </c>
      <c r="AG108" s="101" t="str">
        <f t="shared" si="23"/>
        <v>US OK</v>
      </c>
      <c r="AH108" s="102" t="str">
        <f t="shared" si="24"/>
        <v>#REF!</v>
      </c>
      <c r="AI108" s="101" t="str">
        <f t="shared" si="25"/>
        <v>Not Found</v>
      </c>
      <c r="AJ108" s="103"/>
      <c r="AK108" s="137"/>
      <c r="AL108" s="121">
        <f>AM108/12</f>
        <v>5.416666667</v>
      </c>
      <c r="AM108" s="105">
        <f t="shared" si="26"/>
        <v>65</v>
      </c>
      <c r="AN108" s="75"/>
      <c r="AO108" s="75"/>
      <c r="AP108" s="75"/>
      <c r="AQ108" s="75"/>
      <c r="AR108" s="75"/>
      <c r="AS108" s="75"/>
      <c r="AT108" s="75"/>
    </row>
    <row r="109" ht="22.5" customHeight="1">
      <c r="A109" s="106" t="s">
        <v>548</v>
      </c>
      <c r="B109" s="106" t="s">
        <v>549</v>
      </c>
      <c r="C109" s="7" t="s">
        <v>27</v>
      </c>
      <c r="D109" s="7" t="s">
        <v>64</v>
      </c>
      <c r="E109" s="7" t="s">
        <v>64</v>
      </c>
      <c r="F109" s="7" t="s">
        <v>202</v>
      </c>
      <c r="G109" s="49">
        <v>0.375</v>
      </c>
      <c r="H109" s="49">
        <v>0.7708333333333334</v>
      </c>
      <c r="I109" s="51">
        <f t="shared" si="1"/>
        <v>0.3958333333</v>
      </c>
      <c r="J109" s="82">
        <v>44986.0</v>
      </c>
      <c r="K109" s="7" t="s">
        <v>2</v>
      </c>
      <c r="L109" s="10">
        <f t="shared" ref="L109:L110" si="66">Y109</f>
        <v>30100</v>
      </c>
      <c r="M109" s="7" t="s">
        <v>68</v>
      </c>
      <c r="N109" s="7" t="s">
        <v>69</v>
      </c>
      <c r="O109" s="84">
        <v>45901.0</v>
      </c>
      <c r="P109" s="57">
        <v>27360.0</v>
      </c>
      <c r="Q109" s="7"/>
      <c r="R109" s="11"/>
      <c r="S109" s="85"/>
      <c r="T109" s="7" t="s">
        <v>71</v>
      </c>
      <c r="U109" s="7"/>
      <c r="V109" s="27">
        <f t="shared" si="20"/>
        <v>27360</v>
      </c>
      <c r="W109" s="13">
        <v>0.1</v>
      </c>
      <c r="X109" s="14"/>
      <c r="Y109" s="14">
        <f t="shared" si="21"/>
        <v>30100</v>
      </c>
      <c r="Z109" s="43"/>
      <c r="AA109" s="27">
        <f t="shared" ref="AA109:AA115" si="67">L109</f>
        <v>30100</v>
      </c>
      <c r="AB109" s="14">
        <f t="shared" si="63"/>
        <v>15500</v>
      </c>
      <c r="AC109" s="8">
        <f t="shared" si="64"/>
        <v>5840</v>
      </c>
      <c r="AD109" s="69">
        <f t="shared" si="65"/>
        <v>8760</v>
      </c>
      <c r="AE109" s="8">
        <v>0.0</v>
      </c>
      <c r="AF109" s="8" t="str">
        <f t="shared" si="22"/>
        <v>OK</v>
      </c>
      <c r="AG109" s="8" t="str">
        <f t="shared" si="23"/>
        <v>Skill Missing</v>
      </c>
      <c r="AH109" s="72" t="str">
        <f t="shared" si="24"/>
        <v>#REF!</v>
      </c>
      <c r="AI109" s="8" t="str">
        <f t="shared" si="25"/>
        <v>Not Found</v>
      </c>
      <c r="AJ109" s="21"/>
      <c r="AK109" s="86"/>
      <c r="AL109" s="75"/>
      <c r="AM109" s="75">
        <f t="shared" si="26"/>
        <v>42</v>
      </c>
      <c r="AN109" s="75"/>
      <c r="AO109" s="75"/>
      <c r="AP109" s="75"/>
      <c r="AQ109" s="75"/>
      <c r="AR109" s="75"/>
      <c r="AS109" s="75"/>
      <c r="AT109" s="75"/>
    </row>
    <row r="110" ht="22.5" customHeight="1">
      <c r="A110" s="7" t="s">
        <v>550</v>
      </c>
      <c r="B110" s="7" t="s">
        <v>551</v>
      </c>
      <c r="C110" s="7" t="s">
        <v>27</v>
      </c>
      <c r="D110" s="7" t="s">
        <v>324</v>
      </c>
      <c r="E110" s="7" t="s">
        <v>198</v>
      </c>
      <c r="F110" s="7" t="s">
        <v>202</v>
      </c>
      <c r="G110" s="49">
        <v>0.375</v>
      </c>
      <c r="H110" s="49">
        <v>0.75</v>
      </c>
      <c r="I110" s="51">
        <f t="shared" si="1"/>
        <v>0.375</v>
      </c>
      <c r="J110" s="108">
        <v>45017.0</v>
      </c>
      <c r="K110" s="7" t="s">
        <v>2</v>
      </c>
      <c r="L110" s="10">
        <f t="shared" si="66"/>
        <v>41250</v>
      </c>
      <c r="M110" s="7" t="s">
        <v>68</v>
      </c>
      <c r="N110" s="7" t="s">
        <v>69</v>
      </c>
      <c r="O110" s="84"/>
      <c r="P110" s="7">
        <v>41250.0</v>
      </c>
      <c r="Q110" s="7"/>
      <c r="R110" s="78"/>
      <c r="S110" s="85"/>
      <c r="T110" s="7" t="s">
        <v>71</v>
      </c>
      <c r="U110" s="7"/>
      <c r="V110" s="27">
        <f t="shared" si="20"/>
        <v>41250</v>
      </c>
      <c r="W110" s="59">
        <v>0.0</v>
      </c>
      <c r="X110" s="14"/>
      <c r="Y110" s="14">
        <f t="shared" si="21"/>
        <v>41250</v>
      </c>
      <c r="Z110" s="43"/>
      <c r="AA110" s="27">
        <f t="shared" si="67"/>
        <v>41250</v>
      </c>
      <c r="AB110" s="14">
        <f t="shared" si="63"/>
        <v>20625</v>
      </c>
      <c r="AC110" s="8">
        <f t="shared" si="64"/>
        <v>8250</v>
      </c>
      <c r="AD110" s="69">
        <f t="shared" si="65"/>
        <v>12375</v>
      </c>
      <c r="AE110" s="8">
        <v>0.0</v>
      </c>
      <c r="AF110" s="8" t="str">
        <f t="shared" si="22"/>
        <v>OK</v>
      </c>
      <c r="AG110" s="8" t="str">
        <f t="shared" si="23"/>
        <v>Skill Missing</v>
      </c>
      <c r="AH110" s="72" t="str">
        <f t="shared" si="24"/>
        <v>#REF!</v>
      </c>
      <c r="AI110" s="8" t="str">
        <f t="shared" si="25"/>
        <v>Not Found</v>
      </c>
      <c r="AJ110" s="21"/>
      <c r="AK110" s="21"/>
      <c r="AL110" s="81"/>
      <c r="AM110" s="81">
        <f t="shared" si="26"/>
        <v>41</v>
      </c>
      <c r="AN110" s="81"/>
      <c r="AO110" s="81"/>
      <c r="AP110" s="81"/>
      <c r="AQ110" s="81"/>
      <c r="AR110" s="81"/>
      <c r="AS110" s="81"/>
      <c r="AT110" s="81"/>
    </row>
    <row r="111" ht="22.5" customHeight="1">
      <c r="A111" s="87" t="s">
        <v>554</v>
      </c>
      <c r="B111" s="87" t="s">
        <v>555</v>
      </c>
      <c r="C111" s="87" t="s">
        <v>27</v>
      </c>
      <c r="D111" s="87" t="s">
        <v>211</v>
      </c>
      <c r="E111" s="87" t="s">
        <v>423</v>
      </c>
      <c r="F111" s="87" t="s">
        <v>213</v>
      </c>
      <c r="G111" s="116">
        <v>0.3333333333333333</v>
      </c>
      <c r="H111" s="116">
        <v>0.75</v>
      </c>
      <c r="I111" s="89">
        <f t="shared" si="1"/>
        <v>0.4166666667</v>
      </c>
      <c r="J111" s="90">
        <v>45108.0</v>
      </c>
      <c r="K111" s="87" t="s">
        <v>2</v>
      </c>
      <c r="L111" s="92">
        <v>17693.0</v>
      </c>
      <c r="M111" s="87" t="s">
        <v>68</v>
      </c>
      <c r="N111" s="87" t="s">
        <v>69</v>
      </c>
      <c r="O111" s="135">
        <v>45901.0</v>
      </c>
      <c r="P111" s="136">
        <v>15180.0</v>
      </c>
      <c r="Q111" s="87"/>
      <c r="R111" s="95"/>
      <c r="S111" s="87" t="s">
        <v>217</v>
      </c>
      <c r="T111" s="87" t="s">
        <v>217</v>
      </c>
      <c r="U111" s="87"/>
      <c r="V111" s="97">
        <f t="shared" si="20"/>
        <v>15180</v>
      </c>
      <c r="W111" s="98">
        <v>0.11</v>
      </c>
      <c r="X111" s="99"/>
      <c r="Y111" s="99">
        <f t="shared" si="21"/>
        <v>16850</v>
      </c>
      <c r="Z111" s="119"/>
      <c r="AA111" s="99">
        <f t="shared" si="67"/>
        <v>17693</v>
      </c>
      <c r="AB111" s="99">
        <f t="shared" ref="AB111:AB113" si="68">IFS(AA111&lt;=12000,AA111,AND(AA111&gt;12000,AA111&lt;=15200),15200,AND(AA111&gt;15200,AA111&lt;15500),AA111,AND(AA111&gt;=15500,AA111&lt;30000),15500,AA111&gt;=30000,AA111*$AB$2)</f>
        <v>15500</v>
      </c>
      <c r="AC111" s="101">
        <f t="shared" ref="AC111:AC113" si="69">IF($AA111&lt;=$Z$1,($AA111-$AB111)*AC$1,$AA111*AC$2)</f>
        <v>877.2</v>
      </c>
      <c r="AD111" s="101">
        <f t="shared" si="65"/>
        <v>1315.8</v>
      </c>
      <c r="AE111" s="101">
        <v>0.0</v>
      </c>
      <c r="AF111" s="101" t="str">
        <f t="shared" si="22"/>
        <v>OK</v>
      </c>
      <c r="AG111" s="101" t="str">
        <f t="shared" si="23"/>
        <v>Skill Missing</v>
      </c>
      <c r="AH111" s="102" t="str">
        <f t="shared" si="24"/>
        <v>#REF!</v>
      </c>
      <c r="AI111" s="101" t="str">
        <f t="shared" si="25"/>
        <v>Not Found</v>
      </c>
      <c r="AJ111" s="103"/>
      <c r="AK111" s="104"/>
      <c r="AL111" s="121">
        <f t="shared" ref="AL111:AL112" si="70">AM111/12</f>
        <v>3.166666667</v>
      </c>
      <c r="AM111" s="105">
        <f t="shared" si="26"/>
        <v>38</v>
      </c>
      <c r="AN111" s="75"/>
      <c r="AO111" s="75"/>
      <c r="AP111" s="75"/>
      <c r="AQ111" s="75"/>
      <c r="AR111" s="75"/>
      <c r="AS111" s="75"/>
      <c r="AT111" s="75"/>
    </row>
    <row r="112" ht="22.5" customHeight="1">
      <c r="A112" s="87" t="s">
        <v>557</v>
      </c>
      <c r="B112" s="87" t="s">
        <v>558</v>
      </c>
      <c r="C112" s="87" t="s">
        <v>27</v>
      </c>
      <c r="D112" s="87" t="s">
        <v>211</v>
      </c>
      <c r="E112" s="87" t="s">
        <v>423</v>
      </c>
      <c r="F112" s="87" t="s">
        <v>213</v>
      </c>
      <c r="G112" s="116">
        <v>0.3333333333333333</v>
      </c>
      <c r="H112" s="116">
        <v>0.75</v>
      </c>
      <c r="I112" s="89">
        <f t="shared" si="1"/>
        <v>0.4166666667</v>
      </c>
      <c r="J112" s="90">
        <v>45108.0</v>
      </c>
      <c r="K112" s="87" t="s">
        <v>2</v>
      </c>
      <c r="L112" s="92">
        <v>17693.0</v>
      </c>
      <c r="M112" s="87" t="s">
        <v>68</v>
      </c>
      <c r="N112" s="87" t="s">
        <v>69</v>
      </c>
      <c r="O112" s="135">
        <v>45901.0</v>
      </c>
      <c r="P112" s="136">
        <v>15180.0</v>
      </c>
      <c r="Q112" s="87"/>
      <c r="R112" s="95"/>
      <c r="S112" s="87" t="s">
        <v>217</v>
      </c>
      <c r="T112" s="87" t="s">
        <v>217</v>
      </c>
      <c r="U112" s="87"/>
      <c r="V112" s="97">
        <f t="shared" si="20"/>
        <v>15180</v>
      </c>
      <c r="W112" s="98">
        <v>0.11</v>
      </c>
      <c r="X112" s="99"/>
      <c r="Y112" s="99">
        <f t="shared" si="21"/>
        <v>16850</v>
      </c>
      <c r="Z112" s="119"/>
      <c r="AA112" s="99">
        <f t="shared" si="67"/>
        <v>17693</v>
      </c>
      <c r="AB112" s="99">
        <f t="shared" si="68"/>
        <v>15500</v>
      </c>
      <c r="AC112" s="101">
        <f t="shared" si="69"/>
        <v>877.2</v>
      </c>
      <c r="AD112" s="101">
        <f t="shared" si="65"/>
        <v>1315.8</v>
      </c>
      <c r="AE112" s="101">
        <v>0.0</v>
      </c>
      <c r="AF112" s="101" t="str">
        <f t="shared" si="22"/>
        <v>OK</v>
      </c>
      <c r="AG112" s="101" t="str">
        <f t="shared" si="23"/>
        <v>Skill Missing</v>
      </c>
      <c r="AH112" s="102" t="str">
        <f t="shared" si="24"/>
        <v>#REF!</v>
      </c>
      <c r="AI112" s="101" t="str">
        <f t="shared" si="25"/>
        <v>Not Found</v>
      </c>
      <c r="AJ112" s="103"/>
      <c r="AK112" s="104"/>
      <c r="AL112" s="121">
        <f t="shared" si="70"/>
        <v>3.166666667</v>
      </c>
      <c r="AM112" s="105">
        <f t="shared" si="26"/>
        <v>38</v>
      </c>
      <c r="AN112" s="105"/>
      <c r="AO112" s="105"/>
      <c r="AP112" s="105"/>
      <c r="AQ112" s="105"/>
      <c r="AR112" s="105"/>
      <c r="AS112" s="105"/>
      <c r="AT112" s="105"/>
    </row>
    <row r="113" ht="22.5" customHeight="1">
      <c r="A113" s="7" t="s">
        <v>559</v>
      </c>
      <c r="B113" s="7" t="s">
        <v>407</v>
      </c>
      <c r="C113" s="7" t="s">
        <v>27</v>
      </c>
      <c r="D113" s="7" t="s">
        <v>560</v>
      </c>
      <c r="E113" s="7" t="s">
        <v>561</v>
      </c>
      <c r="F113" s="7" t="s">
        <v>213</v>
      </c>
      <c r="G113" s="49">
        <v>0.3333333333333333</v>
      </c>
      <c r="H113" s="49">
        <v>0.75</v>
      </c>
      <c r="I113" s="51">
        <f t="shared" si="1"/>
        <v>0.4166666667</v>
      </c>
      <c r="J113" s="82">
        <v>45108.0</v>
      </c>
      <c r="K113" s="7" t="s">
        <v>2</v>
      </c>
      <c r="L113" s="10">
        <v>17892.0</v>
      </c>
      <c r="M113" s="7" t="s">
        <v>68</v>
      </c>
      <c r="N113" s="7" t="s">
        <v>69</v>
      </c>
      <c r="O113" s="84">
        <v>45901.0</v>
      </c>
      <c r="P113" s="57">
        <v>15350.0</v>
      </c>
      <c r="Q113" s="7"/>
      <c r="R113" s="11"/>
      <c r="S113" s="7" t="s">
        <v>217</v>
      </c>
      <c r="T113" s="7" t="s">
        <v>217</v>
      </c>
      <c r="U113" s="7"/>
      <c r="V113" s="27">
        <f t="shared" si="20"/>
        <v>15350</v>
      </c>
      <c r="W113" s="13">
        <v>0.11</v>
      </c>
      <c r="X113" s="14"/>
      <c r="Y113" s="14">
        <f t="shared" si="21"/>
        <v>17040</v>
      </c>
      <c r="Z113" s="43"/>
      <c r="AA113" s="27">
        <f t="shared" si="67"/>
        <v>17892</v>
      </c>
      <c r="AB113" s="14">
        <f t="shared" si="68"/>
        <v>15500</v>
      </c>
      <c r="AC113" s="8">
        <f t="shared" si="69"/>
        <v>956.8</v>
      </c>
      <c r="AD113" s="69">
        <f t="shared" si="65"/>
        <v>1435.2</v>
      </c>
      <c r="AE113" s="8">
        <v>0.0</v>
      </c>
      <c r="AF113" s="8" t="str">
        <f t="shared" si="22"/>
        <v>OK</v>
      </c>
      <c r="AG113" s="8" t="str">
        <f t="shared" si="23"/>
        <v>Skill Missing</v>
      </c>
      <c r="AH113" s="72" t="str">
        <f t="shared" si="24"/>
        <v>#REF!</v>
      </c>
      <c r="AI113" s="8" t="str">
        <f t="shared" si="25"/>
        <v>Not Found</v>
      </c>
      <c r="AJ113" s="21"/>
      <c r="AK113" s="124"/>
      <c r="AL113" s="75"/>
      <c r="AM113" s="75">
        <f t="shared" si="26"/>
        <v>38</v>
      </c>
      <c r="AN113" s="105"/>
      <c r="AO113" s="105"/>
      <c r="AP113" s="105"/>
      <c r="AQ113" s="105"/>
      <c r="AR113" s="105"/>
      <c r="AS113" s="105"/>
      <c r="AT113" s="105"/>
    </row>
    <row r="114" ht="22.5" customHeight="1">
      <c r="A114" s="7" t="s">
        <v>562</v>
      </c>
      <c r="B114" s="7" t="s">
        <v>563</v>
      </c>
      <c r="C114" s="7" t="s">
        <v>27</v>
      </c>
      <c r="D114" s="7" t="s">
        <v>244</v>
      </c>
      <c r="E114" s="7" t="s">
        <v>245</v>
      </c>
      <c r="F114" s="7" t="s">
        <v>213</v>
      </c>
      <c r="G114" s="49">
        <v>0.3333333333333333</v>
      </c>
      <c r="H114" s="49">
        <v>0.75</v>
      </c>
      <c r="I114" s="51">
        <f t="shared" si="1"/>
        <v>0.4166666667</v>
      </c>
      <c r="J114" s="82">
        <v>44986.0</v>
      </c>
      <c r="K114" s="7" t="s">
        <v>2</v>
      </c>
      <c r="L114" s="10">
        <v>15500.0</v>
      </c>
      <c r="M114" s="7" t="s">
        <v>68</v>
      </c>
      <c r="N114" s="7" t="s">
        <v>69</v>
      </c>
      <c r="O114" s="84">
        <v>45901.0</v>
      </c>
      <c r="P114" s="57">
        <v>12820.0</v>
      </c>
      <c r="Q114" s="7"/>
      <c r="R114" s="11"/>
      <c r="S114" s="7" t="s">
        <v>217</v>
      </c>
      <c r="T114" s="7" t="s">
        <v>217</v>
      </c>
      <c r="U114" s="7"/>
      <c r="V114" s="27">
        <f t="shared" si="20"/>
        <v>12820</v>
      </c>
      <c r="W114" s="13">
        <v>0.12</v>
      </c>
      <c r="X114" s="14"/>
      <c r="Y114" s="14">
        <f t="shared" si="21"/>
        <v>14360</v>
      </c>
      <c r="Z114" s="43"/>
      <c r="AA114" s="27">
        <f t="shared" si="67"/>
        <v>15500</v>
      </c>
      <c r="AB114" s="14">
        <f t="shared" ref="AB114:AB121" si="71">IFS(AND(AA114&lt;=15000),15300,AND(AA114&gt;15000,AA114&lt;15500),AA114,AND(AA114&gt;=15500,AA114&lt;$Z$1),15500,AA114&gt;=$Z$1,AA114*$AB$2)</f>
        <v>15500</v>
      </c>
      <c r="AC114" s="8">
        <f t="shared" ref="AC114:AC116" si="72">round(IF($AA114&lt;=$Z$1,($AA114-$AB114)*AC$1,$AA114*AC$2),-1)</f>
        <v>0</v>
      </c>
      <c r="AD114" s="69">
        <f t="shared" si="65"/>
        <v>0</v>
      </c>
      <c r="AE114" s="8">
        <v>0.0</v>
      </c>
      <c r="AF114" s="8" t="str">
        <f t="shared" si="22"/>
        <v>OK</v>
      </c>
      <c r="AG114" s="8" t="str">
        <f t="shared" si="23"/>
        <v>Skill Missing</v>
      </c>
      <c r="AH114" s="72" t="str">
        <f t="shared" si="24"/>
        <v>#REF!</v>
      </c>
      <c r="AI114" s="8" t="str">
        <f t="shared" si="25"/>
        <v>Not Found</v>
      </c>
      <c r="AJ114" s="21"/>
      <c r="AK114" s="124"/>
      <c r="AL114" s="75"/>
      <c r="AM114" s="75">
        <f t="shared" si="26"/>
        <v>42</v>
      </c>
      <c r="AN114" s="75"/>
      <c r="AO114" s="75"/>
      <c r="AP114" s="75"/>
      <c r="AQ114" s="75"/>
      <c r="AR114" s="75"/>
      <c r="AS114" s="75"/>
      <c r="AT114" s="75"/>
    </row>
    <row r="115" ht="22.5" customHeight="1">
      <c r="A115" s="7" t="s">
        <v>564</v>
      </c>
      <c r="B115" s="7" t="s">
        <v>310</v>
      </c>
      <c r="C115" s="7" t="s">
        <v>27</v>
      </c>
      <c r="D115" s="7" t="s">
        <v>244</v>
      </c>
      <c r="E115" s="7" t="s">
        <v>245</v>
      </c>
      <c r="F115" s="7" t="s">
        <v>213</v>
      </c>
      <c r="G115" s="49">
        <v>0.3333333333333333</v>
      </c>
      <c r="H115" s="49">
        <v>0.75</v>
      </c>
      <c r="I115" s="51">
        <f t="shared" si="1"/>
        <v>0.4166666667</v>
      </c>
      <c r="J115" s="82">
        <v>43679.0</v>
      </c>
      <c r="K115" s="7" t="s">
        <v>2</v>
      </c>
      <c r="L115" s="10">
        <v>16538.0</v>
      </c>
      <c r="M115" s="7" t="s">
        <v>68</v>
      </c>
      <c r="N115" s="83" t="s">
        <v>69</v>
      </c>
      <c r="O115" s="84">
        <v>45901.0</v>
      </c>
      <c r="P115" s="57">
        <v>14060.0</v>
      </c>
      <c r="Q115" s="7"/>
      <c r="R115" s="11"/>
      <c r="S115" s="7" t="s">
        <v>217</v>
      </c>
      <c r="T115" s="7" t="s">
        <v>217</v>
      </c>
      <c r="U115" s="7" t="s">
        <v>247</v>
      </c>
      <c r="V115" s="27">
        <f t="shared" si="20"/>
        <v>14060</v>
      </c>
      <c r="W115" s="13">
        <v>0.12</v>
      </c>
      <c r="X115" s="14"/>
      <c r="Y115" s="14">
        <f t="shared" si="21"/>
        <v>15750</v>
      </c>
      <c r="Z115" s="43" t="s">
        <v>208</v>
      </c>
      <c r="AA115" s="27">
        <f t="shared" si="67"/>
        <v>16538</v>
      </c>
      <c r="AB115" s="14">
        <f t="shared" si="71"/>
        <v>15500</v>
      </c>
      <c r="AC115" s="8">
        <f t="shared" si="72"/>
        <v>420</v>
      </c>
      <c r="AD115" s="69">
        <f t="shared" si="65"/>
        <v>618</v>
      </c>
      <c r="AE115" s="8">
        <v>0.0</v>
      </c>
      <c r="AF115" s="8" t="str">
        <f t="shared" si="22"/>
        <v>OK</v>
      </c>
      <c r="AG115" s="8" t="str">
        <f t="shared" si="23"/>
        <v>US OK</v>
      </c>
      <c r="AH115" s="72" t="str">
        <f t="shared" si="24"/>
        <v>#REF!</v>
      </c>
      <c r="AI115" s="8" t="str">
        <f t="shared" si="25"/>
        <v>Not Found</v>
      </c>
      <c r="AJ115" s="21" t="s">
        <v>283</v>
      </c>
      <c r="AK115" s="124"/>
      <c r="AL115" s="75"/>
      <c r="AM115" s="75">
        <f t="shared" si="26"/>
        <v>85</v>
      </c>
      <c r="AN115" s="75"/>
      <c r="AO115" s="75"/>
      <c r="AP115" s="75"/>
      <c r="AQ115" s="75"/>
      <c r="AR115" s="75"/>
      <c r="AS115" s="75"/>
      <c r="AT115" s="75"/>
    </row>
    <row r="116" ht="22.5" customHeight="1">
      <c r="A116" s="7" t="s">
        <v>565</v>
      </c>
      <c r="B116" s="7" t="s">
        <v>566</v>
      </c>
      <c r="C116" s="7" t="s">
        <v>27</v>
      </c>
      <c r="D116" s="7" t="s">
        <v>244</v>
      </c>
      <c r="E116" s="7" t="s">
        <v>245</v>
      </c>
      <c r="F116" s="7" t="s">
        <v>213</v>
      </c>
      <c r="G116" s="49">
        <v>0.3333333333333333</v>
      </c>
      <c r="H116" s="49">
        <v>0.75</v>
      </c>
      <c r="I116" s="51">
        <f t="shared" si="1"/>
        <v>0.4166666667</v>
      </c>
      <c r="J116" s="82">
        <v>44826.0</v>
      </c>
      <c r="K116" s="7" t="s">
        <v>2</v>
      </c>
      <c r="L116" s="10">
        <v>15500.0</v>
      </c>
      <c r="M116" s="7" t="s">
        <v>68</v>
      </c>
      <c r="N116" s="7" t="s">
        <v>69</v>
      </c>
      <c r="O116" s="84">
        <v>45901.0</v>
      </c>
      <c r="P116" s="57">
        <v>12000.0</v>
      </c>
      <c r="Q116" s="7"/>
      <c r="R116" s="11"/>
      <c r="S116" s="7" t="s">
        <v>217</v>
      </c>
      <c r="T116" s="7" t="s">
        <v>217</v>
      </c>
      <c r="U116" s="7"/>
      <c r="V116" s="27">
        <f t="shared" si="20"/>
        <v>12000</v>
      </c>
      <c r="W116" s="13">
        <v>0.12</v>
      </c>
      <c r="X116" s="14"/>
      <c r="Y116" s="14">
        <f t="shared" si="21"/>
        <v>13440</v>
      </c>
      <c r="Z116" s="43"/>
      <c r="AA116" s="14">
        <v>14784.0</v>
      </c>
      <c r="AB116" s="14">
        <f t="shared" si="71"/>
        <v>15300</v>
      </c>
      <c r="AC116" s="8">
        <f t="shared" si="72"/>
        <v>-210</v>
      </c>
      <c r="AD116" s="8">
        <f t="shared" si="65"/>
        <v>-306</v>
      </c>
      <c r="AE116" s="8">
        <v>0.0</v>
      </c>
      <c r="AF116" s="8" t="str">
        <f t="shared" si="22"/>
        <v>OK</v>
      </c>
      <c r="AG116" s="8" t="str">
        <f t="shared" si="23"/>
        <v>Skill Missing</v>
      </c>
      <c r="AH116" s="72" t="str">
        <f t="shared" si="24"/>
        <v>#REF!</v>
      </c>
      <c r="AI116" s="8" t="str">
        <f t="shared" si="25"/>
        <v>Not Found</v>
      </c>
      <c r="AJ116" s="21"/>
      <c r="AK116" s="124"/>
      <c r="AL116" s="75"/>
      <c r="AM116" s="75">
        <f t="shared" si="26"/>
        <v>48</v>
      </c>
      <c r="AN116" s="75"/>
      <c r="AO116" s="75"/>
      <c r="AP116" s="75"/>
      <c r="AQ116" s="75"/>
      <c r="AR116" s="75"/>
      <c r="AS116" s="75"/>
      <c r="AT116" s="75"/>
    </row>
    <row r="117" ht="22.5" customHeight="1">
      <c r="A117" s="7" t="s">
        <v>568</v>
      </c>
      <c r="B117" s="7" t="s">
        <v>569</v>
      </c>
      <c r="C117" s="7" t="s">
        <v>27</v>
      </c>
      <c r="D117" s="7" t="s">
        <v>244</v>
      </c>
      <c r="E117" s="7" t="s">
        <v>292</v>
      </c>
      <c r="F117" s="7" t="s">
        <v>213</v>
      </c>
      <c r="G117" s="49">
        <v>0.3333333333333333</v>
      </c>
      <c r="H117" s="49">
        <v>0.75</v>
      </c>
      <c r="I117" s="51">
        <f t="shared" si="1"/>
        <v>0.4166666667</v>
      </c>
      <c r="J117" s="108">
        <v>45188.0</v>
      </c>
      <c r="K117" s="7" t="s">
        <v>2</v>
      </c>
      <c r="L117" s="10">
        <v>17000.0</v>
      </c>
      <c r="M117" s="7" t="s">
        <v>68</v>
      </c>
      <c r="N117" s="7" t="s">
        <v>69</v>
      </c>
      <c r="O117" s="84">
        <v>45901.0</v>
      </c>
      <c r="P117" s="57">
        <v>11240.0</v>
      </c>
      <c r="Q117" s="7"/>
      <c r="R117" s="11"/>
      <c r="S117" s="7" t="s">
        <v>217</v>
      </c>
      <c r="T117" s="7" t="s">
        <v>71</v>
      </c>
      <c r="U117" s="7"/>
      <c r="V117" s="27">
        <f t="shared" si="20"/>
        <v>11240</v>
      </c>
      <c r="W117" s="13">
        <v>0.12</v>
      </c>
      <c r="X117" s="14"/>
      <c r="Y117" s="14">
        <f t="shared" si="21"/>
        <v>12590</v>
      </c>
      <c r="Z117" s="43"/>
      <c r="AA117" s="27">
        <f t="shared" ref="AA117:AA131" si="73">L117</f>
        <v>17000</v>
      </c>
      <c r="AB117" s="14">
        <f t="shared" si="71"/>
        <v>15500</v>
      </c>
      <c r="AC117" s="8">
        <f>IF($AA117&lt;=$Z$1,($AA117-$AB117)*AC$1,$AA117*AC$2)</f>
        <v>600</v>
      </c>
      <c r="AD117" s="69">
        <f t="shared" si="65"/>
        <v>900</v>
      </c>
      <c r="AE117" s="8">
        <v>0.0</v>
      </c>
      <c r="AF117" s="8" t="str">
        <f t="shared" si="22"/>
        <v>OK</v>
      </c>
      <c r="AG117" s="8" t="str">
        <f t="shared" si="23"/>
        <v>Skill Missing</v>
      </c>
      <c r="AH117" s="72" t="str">
        <f t="shared" si="24"/>
        <v>#REF!</v>
      </c>
      <c r="AI117" s="8" t="str">
        <f t="shared" si="25"/>
        <v>Not Found</v>
      </c>
      <c r="AJ117" s="21"/>
      <c r="AK117" s="110"/>
      <c r="AL117" s="75"/>
      <c r="AM117" s="75">
        <f t="shared" si="26"/>
        <v>36</v>
      </c>
      <c r="AN117" s="75"/>
      <c r="AO117" s="75"/>
      <c r="AP117" s="75"/>
      <c r="AQ117" s="75"/>
      <c r="AR117" s="75"/>
      <c r="AS117" s="75"/>
      <c r="AT117" s="75"/>
    </row>
    <row r="118" ht="22.5" customHeight="1">
      <c r="A118" s="87" t="s">
        <v>570</v>
      </c>
      <c r="B118" s="87" t="s">
        <v>571</v>
      </c>
      <c r="C118" s="87" t="s">
        <v>27</v>
      </c>
      <c r="D118" s="87" t="s">
        <v>211</v>
      </c>
      <c r="E118" s="87" t="s">
        <v>572</v>
      </c>
      <c r="F118" s="87" t="s">
        <v>213</v>
      </c>
      <c r="G118" s="116">
        <v>0.3333333333333333</v>
      </c>
      <c r="H118" s="116">
        <v>0.7083333333333334</v>
      </c>
      <c r="I118" s="89">
        <f t="shared" si="1"/>
        <v>0.375</v>
      </c>
      <c r="J118" s="90">
        <v>44566.0</v>
      </c>
      <c r="K118" s="87" t="s">
        <v>2</v>
      </c>
      <c r="L118" s="92">
        <v>12309.0</v>
      </c>
      <c r="M118" s="87" t="s">
        <v>68</v>
      </c>
      <c r="N118" s="87" t="s">
        <v>69</v>
      </c>
      <c r="O118" s="135">
        <v>45901.0</v>
      </c>
      <c r="P118" s="136">
        <v>9990.0</v>
      </c>
      <c r="Q118" s="87"/>
      <c r="R118" s="95"/>
      <c r="S118" s="87" t="s">
        <v>217</v>
      </c>
      <c r="T118" s="87" t="s">
        <v>71</v>
      </c>
      <c r="U118" s="87" t="s">
        <v>247</v>
      </c>
      <c r="V118" s="97">
        <f t="shared" si="20"/>
        <v>9990</v>
      </c>
      <c r="W118" s="98">
        <v>0.12</v>
      </c>
      <c r="X118" s="99"/>
      <c r="Y118" s="99">
        <f t="shared" si="21"/>
        <v>11190</v>
      </c>
      <c r="Z118" s="119" t="s">
        <v>208</v>
      </c>
      <c r="AA118" s="99">
        <f t="shared" si="73"/>
        <v>12309</v>
      </c>
      <c r="AB118" s="99">
        <f t="shared" si="71"/>
        <v>15300</v>
      </c>
      <c r="AC118" s="101">
        <f>round(IF($AA118&lt;=$Z$1,($AA118-$AB118)*AC$1,$AA118*AC$2),-1)</f>
        <v>-1200</v>
      </c>
      <c r="AD118" s="101">
        <f t="shared" si="65"/>
        <v>-1791</v>
      </c>
      <c r="AE118" s="101">
        <v>0.0</v>
      </c>
      <c r="AF118" s="101" t="str">
        <f t="shared" si="22"/>
        <v>OK</v>
      </c>
      <c r="AG118" s="101" t="str">
        <f t="shared" si="23"/>
        <v>US OK</v>
      </c>
      <c r="AH118" s="102" t="str">
        <f t="shared" si="24"/>
        <v>#REF!</v>
      </c>
      <c r="AI118" s="101" t="str">
        <f t="shared" si="25"/>
        <v>Not Found</v>
      </c>
      <c r="AJ118" s="103"/>
      <c r="AK118" s="137"/>
      <c r="AL118" s="121">
        <f>AM118/12</f>
        <v>4.666666667</v>
      </c>
      <c r="AM118" s="105">
        <f t="shared" si="26"/>
        <v>56</v>
      </c>
      <c r="AN118" s="75"/>
      <c r="AO118" s="75"/>
      <c r="AP118" s="75"/>
      <c r="AQ118" s="75"/>
      <c r="AR118" s="75"/>
      <c r="AS118" s="75"/>
      <c r="AT118" s="75"/>
    </row>
    <row r="119" ht="22.5" customHeight="1">
      <c r="A119" s="147" t="s">
        <v>573</v>
      </c>
      <c r="B119" s="148" t="s">
        <v>275</v>
      </c>
      <c r="C119" s="148" t="s">
        <v>27</v>
      </c>
      <c r="D119" s="148" t="s">
        <v>244</v>
      </c>
      <c r="E119" s="148" t="s">
        <v>245</v>
      </c>
      <c r="F119" s="148" t="s">
        <v>213</v>
      </c>
      <c r="G119" s="149">
        <v>0.3333333333333333</v>
      </c>
      <c r="H119" s="149">
        <v>0.75</v>
      </c>
      <c r="I119" s="111">
        <f t="shared" si="1"/>
        <v>0.4166666667</v>
      </c>
      <c r="J119" s="9">
        <v>45307.0</v>
      </c>
      <c r="K119" s="148" t="s">
        <v>2</v>
      </c>
      <c r="L119" s="10">
        <v>15928.0</v>
      </c>
      <c r="M119" s="7" t="s">
        <v>68</v>
      </c>
      <c r="N119" s="150" t="s">
        <v>69</v>
      </c>
      <c r="O119" s="84">
        <v>45901.0</v>
      </c>
      <c r="P119" s="151">
        <v>12930.0</v>
      </c>
      <c r="Q119" s="152"/>
      <c r="R119" s="153"/>
      <c r="S119" s="7" t="s">
        <v>217</v>
      </c>
      <c r="T119" s="148" t="s">
        <v>217</v>
      </c>
      <c r="U119" s="148" t="s">
        <v>247</v>
      </c>
      <c r="V119" s="27">
        <f t="shared" si="20"/>
        <v>12930</v>
      </c>
      <c r="W119" s="13">
        <v>0.12</v>
      </c>
      <c r="X119" s="14"/>
      <c r="Y119" s="14">
        <f t="shared" si="21"/>
        <v>14480</v>
      </c>
      <c r="Z119" s="43" t="s">
        <v>208</v>
      </c>
      <c r="AA119" s="27">
        <f t="shared" si="73"/>
        <v>15928</v>
      </c>
      <c r="AB119" s="14">
        <f t="shared" si="71"/>
        <v>15500</v>
      </c>
      <c r="AC119" s="72">
        <f t="shared" ref="AC119:AC120" si="74">IF($AA119&lt;=$Z$1,($AA119-$AB119)*AC$1,$AA119*AC$2)</f>
        <v>171.2</v>
      </c>
      <c r="AD119" s="154">
        <f t="shared" ref="AD119:AD120" si="75">IF($AA119&lt;=$Z$1,($AA119-$AB119)*AD$1,$AA119*AD$2)+AA119-AB119-AC119-IF($AA119&lt;=$Z$1,($AA119-$AB119)*AD$1,$AA119*AD$2)</f>
        <v>256.8</v>
      </c>
      <c r="AE119" s="8">
        <v>0.0</v>
      </c>
      <c r="AF119" s="8" t="str">
        <f t="shared" si="22"/>
        <v>OK</v>
      </c>
      <c r="AG119" s="8" t="str">
        <f t="shared" si="23"/>
        <v>US OK</v>
      </c>
      <c r="AH119" s="72" t="str">
        <f t="shared" si="24"/>
        <v>#REF!</v>
      </c>
      <c r="AI119" s="8" t="str">
        <f t="shared" si="25"/>
        <v>Not Found</v>
      </c>
      <c r="AJ119" s="155"/>
      <c r="AK119" s="156"/>
      <c r="AL119" s="75"/>
      <c r="AM119" s="75">
        <f t="shared" si="26"/>
        <v>32</v>
      </c>
      <c r="AN119" s="75"/>
      <c r="AO119" s="75"/>
      <c r="AP119" s="75"/>
      <c r="AQ119" s="75"/>
      <c r="AR119" s="75"/>
      <c r="AS119" s="75"/>
      <c r="AT119" s="75"/>
    </row>
    <row r="120" ht="22.5" customHeight="1">
      <c r="A120" s="157" t="s">
        <v>574</v>
      </c>
      <c r="B120" s="158" t="s">
        <v>575</v>
      </c>
      <c r="C120" s="158" t="s">
        <v>27</v>
      </c>
      <c r="D120" s="157" t="s">
        <v>211</v>
      </c>
      <c r="E120" s="87" t="s">
        <v>572</v>
      </c>
      <c r="F120" s="158" t="s">
        <v>213</v>
      </c>
      <c r="G120" s="115">
        <v>0.3333333333333333</v>
      </c>
      <c r="H120" s="115">
        <v>0.7083333333333334</v>
      </c>
      <c r="I120" s="117">
        <f t="shared" si="1"/>
        <v>0.375</v>
      </c>
      <c r="J120" s="118">
        <v>45308.0</v>
      </c>
      <c r="K120" s="158" t="s">
        <v>2</v>
      </c>
      <c r="L120" s="92">
        <v>12309.0</v>
      </c>
      <c r="M120" s="87" t="s">
        <v>68</v>
      </c>
      <c r="N120" s="158" t="s">
        <v>69</v>
      </c>
      <c r="O120" s="135">
        <v>45901.0</v>
      </c>
      <c r="P120" s="159">
        <v>9990.0</v>
      </c>
      <c r="Q120" s="160"/>
      <c r="R120" s="161"/>
      <c r="S120" s="87" t="s">
        <v>217</v>
      </c>
      <c r="T120" s="158" t="s">
        <v>71</v>
      </c>
      <c r="U120" s="158" t="s">
        <v>247</v>
      </c>
      <c r="V120" s="97">
        <f t="shared" si="20"/>
        <v>9990</v>
      </c>
      <c r="W120" s="98">
        <v>0.12</v>
      </c>
      <c r="X120" s="99"/>
      <c r="Y120" s="99">
        <f t="shared" si="21"/>
        <v>11190</v>
      </c>
      <c r="Z120" s="119" t="s">
        <v>208</v>
      </c>
      <c r="AA120" s="99">
        <f t="shared" si="73"/>
        <v>12309</v>
      </c>
      <c r="AB120" s="99">
        <f t="shared" si="71"/>
        <v>15300</v>
      </c>
      <c r="AC120" s="102">
        <f t="shared" si="74"/>
        <v>-1196.4</v>
      </c>
      <c r="AD120" s="102">
        <f t="shared" si="75"/>
        <v>-1794.6</v>
      </c>
      <c r="AE120" s="101">
        <v>0.0</v>
      </c>
      <c r="AF120" s="101" t="str">
        <f t="shared" si="22"/>
        <v>OK</v>
      </c>
      <c r="AG120" s="101" t="str">
        <f t="shared" si="23"/>
        <v>US OK</v>
      </c>
      <c r="AH120" s="102" t="str">
        <f t="shared" si="24"/>
        <v>#REF!</v>
      </c>
      <c r="AI120" s="101" t="str">
        <f t="shared" si="25"/>
        <v>Not Found</v>
      </c>
      <c r="AJ120" s="162"/>
      <c r="AK120" s="163"/>
      <c r="AL120" s="121">
        <f>AM120/12</f>
        <v>2.666666667</v>
      </c>
      <c r="AM120" s="105">
        <f t="shared" si="26"/>
        <v>32</v>
      </c>
      <c r="AN120" s="75"/>
      <c r="AO120" s="75"/>
      <c r="AP120" s="75"/>
      <c r="AQ120" s="75"/>
      <c r="AR120" s="75"/>
      <c r="AS120" s="75"/>
      <c r="AT120" s="75"/>
    </row>
    <row r="121" ht="22.5" customHeight="1">
      <c r="A121" s="7" t="s">
        <v>577</v>
      </c>
      <c r="B121" s="7" t="s">
        <v>578</v>
      </c>
      <c r="C121" s="7" t="s">
        <v>27</v>
      </c>
      <c r="D121" s="7" t="s">
        <v>485</v>
      </c>
      <c r="E121" s="7" t="s">
        <v>206</v>
      </c>
      <c r="F121" s="7" t="s">
        <v>213</v>
      </c>
      <c r="G121" s="49">
        <v>0.375</v>
      </c>
      <c r="H121" s="49">
        <v>0.75</v>
      </c>
      <c r="I121" s="51">
        <f t="shared" si="1"/>
        <v>0.375</v>
      </c>
      <c r="J121" s="164">
        <v>45308.0</v>
      </c>
      <c r="K121" s="7" t="s">
        <v>2</v>
      </c>
      <c r="L121" s="10">
        <v>22000.0</v>
      </c>
      <c r="M121" s="7" t="s">
        <v>68</v>
      </c>
      <c r="N121" s="7" t="s">
        <v>69</v>
      </c>
      <c r="O121" s="84">
        <v>45901.0</v>
      </c>
      <c r="P121" s="57">
        <v>16874.0</v>
      </c>
      <c r="Q121" s="7"/>
      <c r="R121" s="11"/>
      <c r="S121" s="7" t="s">
        <v>217</v>
      </c>
      <c r="T121" s="7" t="s">
        <v>71</v>
      </c>
      <c r="U121" s="7"/>
      <c r="V121" s="27">
        <f t="shared" si="20"/>
        <v>16874</v>
      </c>
      <c r="W121" s="13">
        <v>0.12</v>
      </c>
      <c r="X121" s="14"/>
      <c r="Y121" s="14">
        <f t="shared" si="21"/>
        <v>18900</v>
      </c>
      <c r="Z121" s="43"/>
      <c r="AA121" s="27">
        <f t="shared" si="73"/>
        <v>22000</v>
      </c>
      <c r="AB121" s="14">
        <f t="shared" si="71"/>
        <v>15500</v>
      </c>
      <c r="AC121" s="8">
        <f>round(IF($AA121&lt;=$Z$1,($AA121-$AB121)*AC$1,$AA121*AC$2),-1)</f>
        <v>2600</v>
      </c>
      <c r="AD121" s="69">
        <f>round(IF($AA121&lt;=$Z$1,($AA121-$AB121)*AD$1,$AA121*AD$2),-1)+AA121-AB121-AC121-round(IF($AA121&lt;=$Z$1,($AA121-$AB121)*AD$1,$AA121*AD$2),-1)</f>
        <v>3900</v>
      </c>
      <c r="AE121" s="8">
        <v>0.0</v>
      </c>
      <c r="AF121" s="8" t="str">
        <f t="shared" si="22"/>
        <v>OK</v>
      </c>
      <c r="AG121" s="8" t="str">
        <f t="shared" si="23"/>
        <v>Skill Missing</v>
      </c>
      <c r="AH121" s="72" t="str">
        <f t="shared" si="24"/>
        <v>#REF!</v>
      </c>
      <c r="AI121" s="8" t="str">
        <f t="shared" si="25"/>
        <v>Not Found</v>
      </c>
      <c r="AJ121" s="21"/>
      <c r="AK121" s="110"/>
      <c r="AL121" s="75"/>
      <c r="AM121" s="75">
        <f t="shared" si="26"/>
        <v>32</v>
      </c>
      <c r="AN121" s="75"/>
      <c r="AO121" s="75"/>
      <c r="AP121" s="75"/>
      <c r="AQ121" s="75"/>
      <c r="AR121" s="75"/>
      <c r="AS121" s="75"/>
      <c r="AT121" s="75"/>
    </row>
    <row r="122" ht="22.5" customHeight="1">
      <c r="A122" s="7" t="s">
        <v>579</v>
      </c>
      <c r="B122" s="7" t="s">
        <v>580</v>
      </c>
      <c r="C122" s="7" t="s">
        <v>27</v>
      </c>
      <c r="D122" s="7" t="s">
        <v>324</v>
      </c>
      <c r="E122" s="7" t="s">
        <v>198</v>
      </c>
      <c r="F122" s="7" t="s">
        <v>202</v>
      </c>
      <c r="G122" s="49">
        <v>0.375</v>
      </c>
      <c r="H122" s="49">
        <v>0.7708333333333334</v>
      </c>
      <c r="I122" s="51">
        <f t="shared" si="1"/>
        <v>0.3958333333</v>
      </c>
      <c r="J122" s="108">
        <v>45292.0</v>
      </c>
      <c r="K122" s="7" t="s">
        <v>2</v>
      </c>
      <c r="L122" s="10">
        <f t="shared" ref="L122:L123" si="76">Y122</f>
        <v>140000</v>
      </c>
      <c r="M122" s="7" t="s">
        <v>68</v>
      </c>
      <c r="N122" s="7" t="s">
        <v>69</v>
      </c>
      <c r="O122" s="84"/>
      <c r="P122" s="7">
        <v>140000.0</v>
      </c>
      <c r="Q122" s="144">
        <v>15259.0</v>
      </c>
      <c r="R122" s="78"/>
      <c r="S122" s="85"/>
      <c r="T122" s="7" t="s">
        <v>71</v>
      </c>
      <c r="U122" s="7"/>
      <c r="V122" s="27">
        <f t="shared" si="20"/>
        <v>140000</v>
      </c>
      <c r="W122" s="59">
        <v>0.0</v>
      </c>
      <c r="X122" s="14"/>
      <c r="Y122" s="14">
        <f t="shared" si="21"/>
        <v>140000</v>
      </c>
      <c r="Z122" s="43"/>
      <c r="AA122" s="27">
        <f t="shared" si="73"/>
        <v>140000</v>
      </c>
      <c r="AB122" s="132">
        <v>140000.0</v>
      </c>
      <c r="AC122" s="133"/>
      <c r="AD122" s="133"/>
      <c r="AE122" s="8">
        <v>0.0</v>
      </c>
      <c r="AF122" s="8" t="str">
        <f t="shared" si="22"/>
        <v>OK</v>
      </c>
      <c r="AG122" s="8" t="str">
        <f t="shared" si="23"/>
        <v>Skill Missing</v>
      </c>
      <c r="AH122" s="72" t="str">
        <f t="shared" si="24"/>
        <v>#REF!</v>
      </c>
      <c r="AI122" s="8" t="str">
        <f t="shared" si="25"/>
        <v>Not Found</v>
      </c>
      <c r="AJ122" s="21"/>
      <c r="AK122" s="86"/>
      <c r="AL122" s="81"/>
      <c r="AM122" s="81">
        <f t="shared" si="26"/>
        <v>32</v>
      </c>
      <c r="AN122" s="81"/>
      <c r="AO122" s="81"/>
      <c r="AP122" s="81"/>
      <c r="AQ122" s="81"/>
      <c r="AR122" s="81"/>
      <c r="AS122" s="81"/>
      <c r="AT122" s="81"/>
    </row>
    <row r="123" ht="22.5" customHeight="1">
      <c r="A123" s="7" t="s">
        <v>581</v>
      </c>
      <c r="B123" s="7" t="s">
        <v>582</v>
      </c>
      <c r="C123" s="7" t="s">
        <v>27</v>
      </c>
      <c r="D123" s="7" t="s">
        <v>220</v>
      </c>
      <c r="E123" s="7" t="s">
        <v>223</v>
      </c>
      <c r="F123" s="7" t="s">
        <v>213</v>
      </c>
      <c r="G123" s="49">
        <v>0.3333333333333333</v>
      </c>
      <c r="H123" s="49">
        <v>0.75</v>
      </c>
      <c r="I123" s="165">
        <f t="shared" si="1"/>
        <v>0.4166666667</v>
      </c>
      <c r="J123" s="108">
        <v>45327.0</v>
      </c>
      <c r="K123" s="7" t="s">
        <v>2</v>
      </c>
      <c r="L123" s="10">
        <f t="shared" si="76"/>
        <v>22000</v>
      </c>
      <c r="M123" s="7" t="s">
        <v>68</v>
      </c>
      <c r="N123" s="7" t="s">
        <v>69</v>
      </c>
      <c r="O123" s="7"/>
      <c r="P123" s="57">
        <v>22000.0</v>
      </c>
      <c r="Q123" s="7"/>
      <c r="R123" s="11"/>
      <c r="S123" s="7" t="s">
        <v>70</v>
      </c>
      <c r="T123" s="7" t="s">
        <v>71</v>
      </c>
      <c r="U123" s="7"/>
      <c r="V123" s="27">
        <f t="shared" si="20"/>
        <v>22000</v>
      </c>
      <c r="W123" s="13">
        <v>0.0</v>
      </c>
      <c r="X123" s="7"/>
      <c r="Y123" s="14">
        <f t="shared" si="21"/>
        <v>22000</v>
      </c>
      <c r="Z123" s="7"/>
      <c r="AA123" s="144">
        <f t="shared" si="73"/>
        <v>22000</v>
      </c>
      <c r="AB123" s="109">
        <f t="shared" ref="AB123:AB135" si="77">IFS(AND(AA123&lt;=15000),15300,AND(AA123&gt;15000,AA123&lt;15500),AA123,AND(AA123&gt;=15500,AA123&lt;$Z$1),15500,AA123&gt;=$Z$1,AA123*$AB$2)</f>
        <v>15500</v>
      </c>
      <c r="AC123" s="21">
        <f t="shared" ref="AC123:AC135" si="78">round(IF($AA123&lt;=$Z$1,($AA123-$AB123)*AC$1,$AA123*AC$2),-1)</f>
        <v>2600</v>
      </c>
      <c r="AD123" s="166">
        <f t="shared" ref="AD123:AD135" si="79">round(IF($AA123&lt;=$Z$1,($AA123-$AB123)*AD$1,$AA123*AD$2),-1)+AA123-AB123-AC123-round(IF($AA123&lt;=$Z$1,($AA123-$AB123)*AD$1,$AA123*AD$2),-1)</f>
        <v>3900</v>
      </c>
      <c r="AE123" s="21">
        <v>0.0</v>
      </c>
      <c r="AF123" s="8" t="str">
        <f t="shared" si="22"/>
        <v>OK</v>
      </c>
      <c r="AG123" s="8" t="str">
        <f t="shared" si="23"/>
        <v>Skill Missing</v>
      </c>
      <c r="AH123" s="72" t="str">
        <f t="shared" si="24"/>
        <v>#REF!</v>
      </c>
      <c r="AI123" s="8" t="str">
        <f t="shared" si="25"/>
        <v>Not Found</v>
      </c>
      <c r="AJ123" s="21"/>
      <c r="AK123" s="86"/>
      <c r="AL123" s="75"/>
      <c r="AM123" s="75">
        <f t="shared" si="26"/>
        <v>31</v>
      </c>
      <c r="AN123" s="105"/>
      <c r="AO123" s="105"/>
      <c r="AP123" s="105"/>
      <c r="AQ123" s="105"/>
      <c r="AR123" s="105"/>
      <c r="AS123" s="105"/>
      <c r="AT123" s="105"/>
    </row>
    <row r="124" ht="22.5" customHeight="1">
      <c r="A124" s="7" t="s">
        <v>585</v>
      </c>
      <c r="B124" s="7" t="s">
        <v>586</v>
      </c>
      <c r="C124" s="7" t="s">
        <v>27</v>
      </c>
      <c r="D124" s="7" t="s">
        <v>226</v>
      </c>
      <c r="E124" s="7" t="s">
        <v>587</v>
      </c>
      <c r="F124" s="7" t="s">
        <v>213</v>
      </c>
      <c r="G124" s="49">
        <v>0.3333333333333333</v>
      </c>
      <c r="H124" s="49">
        <v>0.75</v>
      </c>
      <c r="I124" s="51">
        <f t="shared" si="1"/>
        <v>0.4166666667</v>
      </c>
      <c r="J124" s="9">
        <v>45360.0</v>
      </c>
      <c r="K124" s="7" t="s">
        <v>2</v>
      </c>
      <c r="L124" s="10">
        <v>16000.0</v>
      </c>
      <c r="M124" s="7" t="s">
        <v>68</v>
      </c>
      <c r="N124" s="7" t="s">
        <v>69</v>
      </c>
      <c r="O124" s="84">
        <v>45901.0</v>
      </c>
      <c r="P124" s="57">
        <v>12040.0</v>
      </c>
      <c r="Q124" s="7"/>
      <c r="R124" s="11"/>
      <c r="S124" s="7" t="s">
        <v>217</v>
      </c>
      <c r="T124" s="7" t="s">
        <v>71</v>
      </c>
      <c r="U124" s="7"/>
      <c r="V124" s="27">
        <f t="shared" si="20"/>
        <v>12040</v>
      </c>
      <c r="W124" s="13">
        <v>0.12</v>
      </c>
      <c r="X124" s="14"/>
      <c r="Y124" s="14">
        <f t="shared" si="21"/>
        <v>13480</v>
      </c>
      <c r="Z124" s="43"/>
      <c r="AA124" s="27">
        <f t="shared" si="73"/>
        <v>16000</v>
      </c>
      <c r="AB124" s="14">
        <f t="shared" si="77"/>
        <v>15500</v>
      </c>
      <c r="AC124" s="8">
        <f t="shared" si="78"/>
        <v>200</v>
      </c>
      <c r="AD124" s="69">
        <f t="shared" si="79"/>
        <v>300</v>
      </c>
      <c r="AE124" s="8">
        <v>0.0</v>
      </c>
      <c r="AF124" s="8" t="str">
        <f t="shared" si="22"/>
        <v>OK</v>
      </c>
      <c r="AG124" s="8" t="str">
        <f t="shared" si="23"/>
        <v>Skill Missing</v>
      </c>
      <c r="AH124" s="72" t="str">
        <f t="shared" si="24"/>
        <v>#REF!</v>
      </c>
      <c r="AI124" s="8" t="str">
        <f t="shared" si="25"/>
        <v>Not Found</v>
      </c>
      <c r="AJ124" s="21"/>
      <c r="AK124" s="124"/>
      <c r="AL124" s="75"/>
      <c r="AM124" s="75">
        <f t="shared" si="26"/>
        <v>30</v>
      </c>
      <c r="AN124" s="105"/>
      <c r="AO124" s="105"/>
      <c r="AP124" s="105"/>
      <c r="AQ124" s="105"/>
      <c r="AR124" s="105"/>
      <c r="AS124" s="105"/>
      <c r="AT124" s="105"/>
    </row>
    <row r="125" ht="22.5" customHeight="1">
      <c r="A125" s="87" t="s">
        <v>588</v>
      </c>
      <c r="B125" s="87" t="s">
        <v>589</v>
      </c>
      <c r="C125" s="87" t="s">
        <v>27</v>
      </c>
      <c r="D125" s="87" t="s">
        <v>211</v>
      </c>
      <c r="E125" s="87" t="s">
        <v>292</v>
      </c>
      <c r="F125" s="87" t="s">
        <v>213</v>
      </c>
      <c r="G125" s="116">
        <v>0.3333333333333333</v>
      </c>
      <c r="H125" s="116">
        <v>0.75</v>
      </c>
      <c r="I125" s="89">
        <f t="shared" si="1"/>
        <v>0.4166666667</v>
      </c>
      <c r="J125" s="90">
        <v>44749.0</v>
      </c>
      <c r="K125" s="87" t="s">
        <v>2</v>
      </c>
      <c r="L125" s="92">
        <v>16578.0</v>
      </c>
      <c r="M125" s="87" t="s">
        <v>68</v>
      </c>
      <c r="N125" s="134" t="s">
        <v>69</v>
      </c>
      <c r="O125" s="135">
        <v>45901.0</v>
      </c>
      <c r="P125" s="136">
        <v>12370.0</v>
      </c>
      <c r="Q125" s="87"/>
      <c r="R125" s="95"/>
      <c r="S125" s="87" t="s">
        <v>217</v>
      </c>
      <c r="T125" s="87" t="s">
        <v>217</v>
      </c>
      <c r="U125" s="87"/>
      <c r="V125" s="97">
        <f t="shared" si="20"/>
        <v>12370</v>
      </c>
      <c r="W125" s="98">
        <v>0.12</v>
      </c>
      <c r="X125" s="99"/>
      <c r="Y125" s="99">
        <f t="shared" si="21"/>
        <v>13850</v>
      </c>
      <c r="Z125" s="119" t="s">
        <v>208</v>
      </c>
      <c r="AA125" s="99">
        <f t="shared" si="73"/>
        <v>16578</v>
      </c>
      <c r="AB125" s="14">
        <f t="shared" si="77"/>
        <v>15500</v>
      </c>
      <c r="AC125" s="8">
        <f t="shared" si="78"/>
        <v>430</v>
      </c>
      <c r="AD125" s="8">
        <f t="shared" si="79"/>
        <v>648</v>
      </c>
      <c r="AE125" s="101">
        <v>0.0</v>
      </c>
      <c r="AF125" s="101" t="str">
        <f t="shared" si="22"/>
        <v>OK</v>
      </c>
      <c r="AG125" s="101" t="str">
        <f t="shared" si="23"/>
        <v>Skill Missing</v>
      </c>
      <c r="AH125" s="102" t="str">
        <f t="shared" si="24"/>
        <v>#REF!</v>
      </c>
      <c r="AI125" s="101" t="str">
        <f t="shared" si="25"/>
        <v>Not Found</v>
      </c>
      <c r="AJ125" s="103"/>
      <c r="AK125" s="137"/>
      <c r="AL125" s="121">
        <f t="shared" ref="AL125:AL126" si="80">AM125/12</f>
        <v>4.166666667</v>
      </c>
      <c r="AM125" s="105">
        <f t="shared" si="26"/>
        <v>50</v>
      </c>
      <c r="AN125" s="75"/>
      <c r="AO125" s="75"/>
      <c r="AP125" s="75"/>
      <c r="AQ125" s="75"/>
      <c r="AR125" s="75"/>
      <c r="AS125" s="75"/>
      <c r="AT125" s="75"/>
    </row>
    <row r="126" ht="22.5" customHeight="1">
      <c r="A126" s="87" t="s">
        <v>590</v>
      </c>
      <c r="B126" s="87" t="s">
        <v>591</v>
      </c>
      <c r="C126" s="87" t="s">
        <v>27</v>
      </c>
      <c r="D126" s="87" t="s">
        <v>211</v>
      </c>
      <c r="E126" s="87" t="s">
        <v>592</v>
      </c>
      <c r="F126" s="87" t="s">
        <v>213</v>
      </c>
      <c r="G126" s="116">
        <v>0.3333333333333333</v>
      </c>
      <c r="H126" s="116">
        <v>0.75</v>
      </c>
      <c r="I126" s="89">
        <f t="shared" si="1"/>
        <v>0.4166666667</v>
      </c>
      <c r="J126" s="118">
        <v>45393.0</v>
      </c>
      <c r="K126" s="87" t="s">
        <v>2</v>
      </c>
      <c r="L126" s="92">
        <v>21000.0</v>
      </c>
      <c r="M126" s="87" t="s">
        <v>68</v>
      </c>
      <c r="N126" s="87" t="s">
        <v>69</v>
      </c>
      <c r="O126" s="135">
        <v>45901.0</v>
      </c>
      <c r="P126" s="167">
        <v>16555.0</v>
      </c>
      <c r="Q126" s="87"/>
      <c r="R126" s="95"/>
      <c r="S126" s="87" t="s">
        <v>217</v>
      </c>
      <c r="T126" s="87" t="s">
        <v>217</v>
      </c>
      <c r="U126" s="87"/>
      <c r="V126" s="97">
        <f t="shared" si="20"/>
        <v>16555</v>
      </c>
      <c r="W126" s="98">
        <v>0.12</v>
      </c>
      <c r="X126" s="99"/>
      <c r="Y126" s="99">
        <f t="shared" si="21"/>
        <v>18540</v>
      </c>
      <c r="Z126" s="119"/>
      <c r="AA126" s="99">
        <f t="shared" si="73"/>
        <v>21000</v>
      </c>
      <c r="AB126" s="99">
        <f t="shared" si="77"/>
        <v>15500</v>
      </c>
      <c r="AC126" s="101">
        <f t="shared" si="78"/>
        <v>2200</v>
      </c>
      <c r="AD126" s="101">
        <f t="shared" si="79"/>
        <v>3300</v>
      </c>
      <c r="AE126" s="101">
        <v>0.0</v>
      </c>
      <c r="AF126" s="101" t="str">
        <f t="shared" si="22"/>
        <v>OK</v>
      </c>
      <c r="AG126" s="101" t="str">
        <f t="shared" si="23"/>
        <v>Skill Missing</v>
      </c>
      <c r="AH126" s="102" t="str">
        <f t="shared" si="24"/>
        <v>#REF!</v>
      </c>
      <c r="AI126" s="101" t="str">
        <f t="shared" si="25"/>
        <v>Not Found</v>
      </c>
      <c r="AJ126" s="103"/>
      <c r="AK126" s="137"/>
      <c r="AL126" s="121">
        <f t="shared" si="80"/>
        <v>2.416666667</v>
      </c>
      <c r="AM126" s="105">
        <f t="shared" si="26"/>
        <v>29</v>
      </c>
      <c r="AN126" s="75"/>
      <c r="AO126" s="75"/>
      <c r="AP126" s="75"/>
      <c r="AQ126" s="75"/>
      <c r="AR126" s="75"/>
      <c r="AS126" s="75"/>
      <c r="AT126" s="75"/>
    </row>
    <row r="127" ht="22.5" customHeight="1">
      <c r="A127" s="7" t="s">
        <v>593</v>
      </c>
      <c r="B127" s="168" t="s">
        <v>594</v>
      </c>
      <c r="C127" s="169" t="s">
        <v>27</v>
      </c>
      <c r="D127" s="169" t="s">
        <v>244</v>
      </c>
      <c r="E127" s="169" t="s">
        <v>252</v>
      </c>
      <c r="F127" s="169" t="s">
        <v>213</v>
      </c>
      <c r="G127" s="149">
        <v>0.3333333333333333</v>
      </c>
      <c r="H127" s="149">
        <v>0.75</v>
      </c>
      <c r="I127" s="111">
        <f t="shared" si="1"/>
        <v>0.4166666667</v>
      </c>
      <c r="J127" s="164">
        <v>45413.0</v>
      </c>
      <c r="K127" s="169" t="s">
        <v>2</v>
      </c>
      <c r="L127" s="10">
        <v>17535.0</v>
      </c>
      <c r="M127" s="7" t="s">
        <v>68</v>
      </c>
      <c r="N127" s="170" t="s">
        <v>69</v>
      </c>
      <c r="O127" s="84">
        <v>45901.0</v>
      </c>
      <c r="P127" s="151">
        <v>14910.0</v>
      </c>
      <c r="Q127" s="171"/>
      <c r="R127" s="172"/>
      <c r="S127" s="7" t="s">
        <v>217</v>
      </c>
      <c r="T127" s="169" t="s">
        <v>217</v>
      </c>
      <c r="U127" s="169" t="s">
        <v>247</v>
      </c>
      <c r="V127" s="27">
        <f t="shared" si="20"/>
        <v>14910</v>
      </c>
      <c r="W127" s="13">
        <v>0.12</v>
      </c>
      <c r="X127" s="14"/>
      <c r="Y127" s="14">
        <f t="shared" si="21"/>
        <v>16700</v>
      </c>
      <c r="Z127" s="43" t="s">
        <v>208</v>
      </c>
      <c r="AA127" s="173">
        <f t="shared" si="73"/>
        <v>17535</v>
      </c>
      <c r="AB127" s="174">
        <f t="shared" si="77"/>
        <v>15500</v>
      </c>
      <c r="AC127" s="72">
        <f t="shared" si="78"/>
        <v>810</v>
      </c>
      <c r="AD127" s="154">
        <f t="shared" si="79"/>
        <v>1225</v>
      </c>
      <c r="AE127" s="72">
        <v>0.0</v>
      </c>
      <c r="AF127" s="8" t="str">
        <f t="shared" si="22"/>
        <v>OK</v>
      </c>
      <c r="AG127" s="8" t="str">
        <f t="shared" si="23"/>
        <v>US OK</v>
      </c>
      <c r="AH127" s="72" t="str">
        <f t="shared" si="24"/>
        <v>#REF!</v>
      </c>
      <c r="AI127" s="8" t="str">
        <f t="shared" si="25"/>
        <v>Not Found</v>
      </c>
      <c r="AJ127" s="155"/>
      <c r="AK127" s="110" t="s">
        <v>283</v>
      </c>
      <c r="AL127" s="75"/>
      <c r="AM127" s="75">
        <f t="shared" si="26"/>
        <v>28</v>
      </c>
      <c r="AN127" s="105"/>
      <c r="AO127" s="105"/>
      <c r="AP127" s="105"/>
      <c r="AQ127" s="105"/>
      <c r="AR127" s="105"/>
      <c r="AS127" s="105"/>
      <c r="AT127" s="105"/>
    </row>
    <row r="128" ht="22.5" customHeight="1">
      <c r="A128" s="87" t="s">
        <v>595</v>
      </c>
      <c r="B128" s="87" t="s">
        <v>596</v>
      </c>
      <c r="C128" s="87" t="s">
        <v>27</v>
      </c>
      <c r="D128" s="87" t="s">
        <v>211</v>
      </c>
      <c r="E128" s="87" t="s">
        <v>212</v>
      </c>
      <c r="F128" s="87" t="s">
        <v>213</v>
      </c>
      <c r="G128" s="115">
        <v>0.3333333333333333</v>
      </c>
      <c r="H128" s="115">
        <v>0.75</v>
      </c>
      <c r="I128" s="117">
        <f t="shared" si="1"/>
        <v>0.4166666667</v>
      </c>
      <c r="J128" s="118">
        <v>45422.0</v>
      </c>
      <c r="K128" s="87" t="s">
        <v>2</v>
      </c>
      <c r="L128" s="92">
        <v>18270.0</v>
      </c>
      <c r="M128" s="87" t="s">
        <v>68</v>
      </c>
      <c r="N128" s="87" t="s">
        <v>69</v>
      </c>
      <c r="O128" s="135">
        <v>45901.0</v>
      </c>
      <c r="P128" s="136">
        <v>14000.0</v>
      </c>
      <c r="Q128" s="87"/>
      <c r="R128" s="95"/>
      <c r="S128" s="87" t="s">
        <v>217</v>
      </c>
      <c r="T128" s="87" t="s">
        <v>217</v>
      </c>
      <c r="U128" s="87"/>
      <c r="V128" s="97">
        <f t="shared" si="20"/>
        <v>14000</v>
      </c>
      <c r="W128" s="98">
        <v>0.12</v>
      </c>
      <c r="X128" s="99"/>
      <c r="Y128" s="99">
        <f t="shared" si="21"/>
        <v>15680</v>
      </c>
      <c r="Z128" s="119"/>
      <c r="AA128" s="175">
        <f t="shared" si="73"/>
        <v>18270</v>
      </c>
      <c r="AB128" s="175">
        <f t="shared" si="77"/>
        <v>15500</v>
      </c>
      <c r="AC128" s="102">
        <f t="shared" si="78"/>
        <v>1110</v>
      </c>
      <c r="AD128" s="102">
        <f t="shared" si="79"/>
        <v>1660</v>
      </c>
      <c r="AE128" s="101"/>
      <c r="AF128" s="101" t="str">
        <f t="shared" si="22"/>
        <v>OK</v>
      </c>
      <c r="AG128" s="101" t="str">
        <f t="shared" si="23"/>
        <v>Skill Missing</v>
      </c>
      <c r="AH128" s="102" t="str">
        <f t="shared" si="24"/>
        <v>#REF!</v>
      </c>
      <c r="AI128" s="101" t="str">
        <f t="shared" si="25"/>
        <v>Not Found</v>
      </c>
      <c r="AJ128" s="103"/>
      <c r="AK128" s="104"/>
      <c r="AL128" s="121">
        <f t="shared" ref="AL128:AL132" si="81">AM128/12</f>
        <v>2.333333333</v>
      </c>
      <c r="AM128" s="105">
        <f t="shared" si="26"/>
        <v>28</v>
      </c>
      <c r="AN128" s="105"/>
      <c r="AO128" s="105"/>
      <c r="AP128" s="105"/>
      <c r="AQ128" s="105"/>
      <c r="AR128" s="105"/>
      <c r="AS128" s="105"/>
      <c r="AT128" s="105"/>
    </row>
    <row r="129" ht="22.5" customHeight="1">
      <c r="A129" s="87" t="s">
        <v>597</v>
      </c>
      <c r="B129" s="87" t="s">
        <v>553</v>
      </c>
      <c r="C129" s="87" t="s">
        <v>27</v>
      </c>
      <c r="D129" s="87" t="s">
        <v>211</v>
      </c>
      <c r="E129" s="87" t="s">
        <v>598</v>
      </c>
      <c r="F129" s="87" t="s">
        <v>213</v>
      </c>
      <c r="G129" s="115">
        <v>0.3333333333333333</v>
      </c>
      <c r="H129" s="115">
        <v>0.75</v>
      </c>
      <c r="I129" s="117">
        <f t="shared" si="1"/>
        <v>0.4166666667</v>
      </c>
      <c r="J129" s="118">
        <v>45484.0</v>
      </c>
      <c r="K129" s="87" t="s">
        <v>2</v>
      </c>
      <c r="L129" s="92">
        <v>20979.0</v>
      </c>
      <c r="M129" s="87" t="s">
        <v>68</v>
      </c>
      <c r="N129" s="134" t="s">
        <v>69</v>
      </c>
      <c r="O129" s="135">
        <v>45901.0</v>
      </c>
      <c r="P129" s="136">
        <v>18000.0</v>
      </c>
      <c r="Q129" s="87"/>
      <c r="R129" s="95"/>
      <c r="S129" s="87" t="s">
        <v>217</v>
      </c>
      <c r="T129" s="87" t="s">
        <v>217</v>
      </c>
      <c r="U129" s="87"/>
      <c r="V129" s="97">
        <f t="shared" si="20"/>
        <v>18000</v>
      </c>
      <c r="W129" s="98">
        <v>0.11</v>
      </c>
      <c r="X129" s="99"/>
      <c r="Y129" s="99">
        <f t="shared" si="21"/>
        <v>19980</v>
      </c>
      <c r="Z129" s="119"/>
      <c r="AA129" s="99">
        <f t="shared" si="73"/>
        <v>20979</v>
      </c>
      <c r="AB129" s="175">
        <f t="shared" si="77"/>
        <v>15500</v>
      </c>
      <c r="AC129" s="102">
        <f t="shared" si="78"/>
        <v>2190</v>
      </c>
      <c r="AD129" s="102">
        <f t="shared" si="79"/>
        <v>3289</v>
      </c>
      <c r="AE129" s="101"/>
      <c r="AF129" s="101" t="str">
        <f t="shared" si="22"/>
        <v>OK</v>
      </c>
      <c r="AG129" s="101" t="str">
        <f t="shared" si="23"/>
        <v>Skill Missing</v>
      </c>
      <c r="AH129" s="102" t="str">
        <f t="shared" si="24"/>
        <v>#REF!</v>
      </c>
      <c r="AI129" s="101" t="str">
        <f t="shared" si="25"/>
        <v>Not Found</v>
      </c>
      <c r="AJ129" s="103"/>
      <c r="AK129" s="104"/>
      <c r="AL129" s="121">
        <f t="shared" si="81"/>
        <v>2.166666667</v>
      </c>
      <c r="AM129" s="105">
        <f t="shared" si="26"/>
        <v>26</v>
      </c>
      <c r="AN129" s="75"/>
      <c r="AO129" s="75"/>
      <c r="AP129" s="75"/>
      <c r="AQ129" s="75"/>
      <c r="AR129" s="75"/>
      <c r="AS129" s="75"/>
      <c r="AT129" s="75"/>
    </row>
    <row r="130" ht="22.5" customHeight="1">
      <c r="A130" s="87" t="s">
        <v>599</v>
      </c>
      <c r="B130" s="87" t="s">
        <v>600</v>
      </c>
      <c r="C130" s="87" t="s">
        <v>27</v>
      </c>
      <c r="D130" s="87" t="s">
        <v>211</v>
      </c>
      <c r="E130" s="87" t="s">
        <v>592</v>
      </c>
      <c r="F130" s="87" t="s">
        <v>213</v>
      </c>
      <c r="G130" s="115">
        <v>0.3333333333333333</v>
      </c>
      <c r="H130" s="115">
        <v>0.75</v>
      </c>
      <c r="I130" s="117">
        <f t="shared" si="1"/>
        <v>0.4166666667</v>
      </c>
      <c r="J130" s="118">
        <v>45516.0</v>
      </c>
      <c r="K130" s="87" t="s">
        <v>2</v>
      </c>
      <c r="L130" s="92">
        <v>25641.0</v>
      </c>
      <c r="M130" s="87" t="s">
        <v>68</v>
      </c>
      <c r="N130" s="134" t="s">
        <v>69</v>
      </c>
      <c r="O130" s="135">
        <v>45901.0</v>
      </c>
      <c r="P130" s="136">
        <v>22000.0</v>
      </c>
      <c r="Q130" s="87"/>
      <c r="R130" s="95"/>
      <c r="S130" s="87" t="s">
        <v>217</v>
      </c>
      <c r="T130" s="87" t="s">
        <v>217</v>
      </c>
      <c r="U130" s="87"/>
      <c r="V130" s="97">
        <f t="shared" si="20"/>
        <v>22000</v>
      </c>
      <c r="W130" s="98">
        <v>0.11</v>
      </c>
      <c r="X130" s="99"/>
      <c r="Y130" s="99">
        <f t="shared" si="21"/>
        <v>24420</v>
      </c>
      <c r="Z130" s="119"/>
      <c r="AA130" s="99">
        <f t="shared" si="73"/>
        <v>25641</v>
      </c>
      <c r="AB130" s="99">
        <f t="shared" si="77"/>
        <v>15500</v>
      </c>
      <c r="AC130" s="101">
        <f t="shared" si="78"/>
        <v>4060</v>
      </c>
      <c r="AD130" s="101">
        <f t="shared" si="79"/>
        <v>6081</v>
      </c>
      <c r="AE130" s="101">
        <v>0.0</v>
      </c>
      <c r="AF130" s="101" t="str">
        <f t="shared" si="22"/>
        <v>OK</v>
      </c>
      <c r="AG130" s="101" t="str">
        <f t="shared" si="23"/>
        <v>Skill Missing</v>
      </c>
      <c r="AH130" s="102" t="str">
        <f t="shared" si="24"/>
        <v>#REF!</v>
      </c>
      <c r="AI130" s="101" t="str">
        <f t="shared" si="25"/>
        <v>Not Found</v>
      </c>
      <c r="AJ130" s="103"/>
      <c r="AK130" s="137"/>
      <c r="AL130" s="121">
        <f t="shared" si="81"/>
        <v>2.083333333</v>
      </c>
      <c r="AM130" s="105">
        <f t="shared" si="26"/>
        <v>25</v>
      </c>
      <c r="AN130" s="75"/>
      <c r="AO130" s="75"/>
      <c r="AP130" s="75"/>
      <c r="AQ130" s="75"/>
      <c r="AR130" s="75"/>
      <c r="AS130" s="75"/>
      <c r="AT130" s="75"/>
    </row>
    <row r="131" ht="22.5" customHeight="1">
      <c r="A131" s="87" t="s">
        <v>601</v>
      </c>
      <c r="B131" s="87" t="s">
        <v>538</v>
      </c>
      <c r="C131" s="87" t="s">
        <v>27</v>
      </c>
      <c r="D131" s="87" t="s">
        <v>211</v>
      </c>
      <c r="E131" s="87" t="s">
        <v>423</v>
      </c>
      <c r="F131" s="87" t="s">
        <v>213</v>
      </c>
      <c r="G131" s="116">
        <v>0.3333333333333333</v>
      </c>
      <c r="H131" s="116">
        <v>0.75</v>
      </c>
      <c r="I131" s="89">
        <f t="shared" si="1"/>
        <v>0.4166666667</v>
      </c>
      <c r="J131" s="118">
        <v>45516.0</v>
      </c>
      <c r="K131" s="87" t="s">
        <v>2</v>
      </c>
      <c r="L131" s="92">
        <v>15784.0</v>
      </c>
      <c r="M131" s="87" t="s">
        <v>68</v>
      </c>
      <c r="N131" s="134" t="s">
        <v>69</v>
      </c>
      <c r="O131" s="135">
        <v>45901.0</v>
      </c>
      <c r="P131" s="136">
        <v>12000.0</v>
      </c>
      <c r="Q131" s="87"/>
      <c r="R131" s="95"/>
      <c r="S131" s="87" t="s">
        <v>217</v>
      </c>
      <c r="T131" s="87" t="s">
        <v>217</v>
      </c>
      <c r="U131" s="87"/>
      <c r="V131" s="97">
        <f t="shared" si="20"/>
        <v>12000</v>
      </c>
      <c r="W131" s="98">
        <v>0.12</v>
      </c>
      <c r="X131" s="99"/>
      <c r="Y131" s="99">
        <f t="shared" si="21"/>
        <v>13440</v>
      </c>
      <c r="Z131" s="119"/>
      <c r="AA131" s="99">
        <f t="shared" si="73"/>
        <v>15784</v>
      </c>
      <c r="AB131" s="99">
        <f t="shared" si="77"/>
        <v>15500</v>
      </c>
      <c r="AC131" s="101">
        <f t="shared" si="78"/>
        <v>110</v>
      </c>
      <c r="AD131" s="101">
        <f t="shared" si="79"/>
        <v>174</v>
      </c>
      <c r="AE131" s="101">
        <v>0.0</v>
      </c>
      <c r="AF131" s="101" t="str">
        <f t="shared" si="22"/>
        <v>OK</v>
      </c>
      <c r="AG131" s="101" t="str">
        <f t="shared" si="23"/>
        <v>Skill Missing</v>
      </c>
      <c r="AH131" s="102" t="str">
        <f t="shared" si="24"/>
        <v>#REF!</v>
      </c>
      <c r="AI131" s="101" t="str">
        <f t="shared" si="25"/>
        <v>Not Found</v>
      </c>
      <c r="AJ131" s="103"/>
      <c r="AK131" s="104" t="s">
        <v>283</v>
      </c>
      <c r="AL131" s="121">
        <f t="shared" si="81"/>
        <v>2.083333333</v>
      </c>
      <c r="AM131" s="105">
        <f t="shared" si="26"/>
        <v>25</v>
      </c>
      <c r="AN131" s="177"/>
      <c r="AO131" s="177"/>
      <c r="AP131" s="177"/>
      <c r="AQ131" s="177"/>
      <c r="AR131" s="177"/>
      <c r="AS131" s="177"/>
      <c r="AT131" s="177"/>
    </row>
    <row r="132" ht="22.5" customHeight="1">
      <c r="A132" s="87" t="s">
        <v>602</v>
      </c>
      <c r="B132" s="87" t="s">
        <v>603</v>
      </c>
      <c r="C132" s="87" t="s">
        <v>27</v>
      </c>
      <c r="D132" s="87" t="s">
        <v>211</v>
      </c>
      <c r="E132" s="87" t="s">
        <v>212</v>
      </c>
      <c r="F132" s="87" t="s">
        <v>213</v>
      </c>
      <c r="G132" s="115">
        <v>0.3333333333333333</v>
      </c>
      <c r="H132" s="116">
        <v>0.75</v>
      </c>
      <c r="I132" s="117">
        <f t="shared" si="1"/>
        <v>0.4166666667</v>
      </c>
      <c r="J132" s="118">
        <v>45549.0</v>
      </c>
      <c r="K132" s="87" t="s">
        <v>2</v>
      </c>
      <c r="L132" s="92">
        <v>16535.0</v>
      </c>
      <c r="M132" s="87" t="s">
        <v>68</v>
      </c>
      <c r="N132" s="87" t="s">
        <v>69</v>
      </c>
      <c r="O132" s="135">
        <v>45901.0</v>
      </c>
      <c r="P132" s="136">
        <v>12000.0</v>
      </c>
      <c r="Q132" s="87"/>
      <c r="R132" s="95"/>
      <c r="S132" s="87" t="s">
        <v>217</v>
      </c>
      <c r="T132" s="87" t="s">
        <v>217</v>
      </c>
      <c r="U132" s="87"/>
      <c r="V132" s="97">
        <f t="shared" si="20"/>
        <v>12000</v>
      </c>
      <c r="W132" s="98">
        <v>0.12</v>
      </c>
      <c r="X132" s="99"/>
      <c r="Y132" s="99">
        <f t="shared" si="21"/>
        <v>13440</v>
      </c>
      <c r="Z132" s="119"/>
      <c r="AA132" s="99">
        <v>16535.0</v>
      </c>
      <c r="AB132" s="99">
        <f t="shared" si="77"/>
        <v>15500</v>
      </c>
      <c r="AC132" s="101">
        <f t="shared" si="78"/>
        <v>410</v>
      </c>
      <c r="AD132" s="101">
        <f t="shared" si="79"/>
        <v>625</v>
      </c>
      <c r="AE132" s="101">
        <v>0.0</v>
      </c>
      <c r="AF132" s="101" t="str">
        <f t="shared" si="22"/>
        <v>OK</v>
      </c>
      <c r="AG132" s="101" t="str">
        <f t="shared" si="23"/>
        <v>Skill Missing</v>
      </c>
      <c r="AH132" s="102" t="str">
        <f t="shared" si="24"/>
        <v>#REF!</v>
      </c>
      <c r="AI132" s="101" t="str">
        <f t="shared" si="25"/>
        <v>Not Found</v>
      </c>
      <c r="AJ132" s="103"/>
      <c r="AK132" s="104" t="s">
        <v>283</v>
      </c>
      <c r="AL132" s="121">
        <f t="shared" si="81"/>
        <v>2</v>
      </c>
      <c r="AM132" s="105">
        <f t="shared" si="26"/>
        <v>24</v>
      </c>
      <c r="AN132" s="75"/>
      <c r="AO132" s="75"/>
      <c r="AP132" s="75"/>
      <c r="AQ132" s="75"/>
      <c r="AR132" s="75"/>
      <c r="AS132" s="75"/>
      <c r="AT132" s="75"/>
    </row>
    <row r="133" ht="22.5" customHeight="1">
      <c r="A133" s="7" t="s">
        <v>604</v>
      </c>
      <c r="B133" s="7" t="s">
        <v>605</v>
      </c>
      <c r="C133" s="7" t="s">
        <v>27</v>
      </c>
      <c r="D133" s="7" t="s">
        <v>482</v>
      </c>
      <c r="E133" s="7" t="s">
        <v>356</v>
      </c>
      <c r="F133" s="7" t="s">
        <v>213</v>
      </c>
      <c r="G133" s="49">
        <v>0.375</v>
      </c>
      <c r="H133" s="49">
        <v>0.75</v>
      </c>
      <c r="I133" s="51">
        <f t="shared" si="1"/>
        <v>0.375</v>
      </c>
      <c r="J133" s="9">
        <v>45568.0</v>
      </c>
      <c r="K133" s="7" t="s">
        <v>2</v>
      </c>
      <c r="L133" s="10">
        <f>Y133</f>
        <v>64800</v>
      </c>
      <c r="M133" s="7" t="s">
        <v>68</v>
      </c>
      <c r="N133" s="83" t="s">
        <v>69</v>
      </c>
      <c r="O133" s="84">
        <v>45901.0</v>
      </c>
      <c r="P133" s="57">
        <v>60000.0</v>
      </c>
      <c r="Q133" s="7"/>
      <c r="R133" s="11"/>
      <c r="S133" s="7" t="s">
        <v>71</v>
      </c>
      <c r="T133" s="7" t="s">
        <v>71</v>
      </c>
      <c r="U133" s="7"/>
      <c r="V133" s="27">
        <f t="shared" si="20"/>
        <v>60000</v>
      </c>
      <c r="W133" s="13">
        <v>0.08</v>
      </c>
      <c r="X133" s="14"/>
      <c r="Y133" s="14">
        <f t="shared" si="21"/>
        <v>64800</v>
      </c>
      <c r="Z133" s="43"/>
      <c r="AA133" s="27">
        <f t="shared" ref="AA133:AA135" si="82">L133</f>
        <v>64800</v>
      </c>
      <c r="AB133" s="14">
        <f t="shared" si="77"/>
        <v>32400</v>
      </c>
      <c r="AC133" s="8">
        <f t="shared" si="78"/>
        <v>12960</v>
      </c>
      <c r="AD133" s="69">
        <f t="shared" si="79"/>
        <v>19440</v>
      </c>
      <c r="AE133" s="8">
        <v>0.0</v>
      </c>
      <c r="AF133" s="8" t="str">
        <f t="shared" si="22"/>
        <v>OK</v>
      </c>
      <c r="AG133" s="8" t="str">
        <f t="shared" si="23"/>
        <v>Skill Missing</v>
      </c>
      <c r="AH133" s="72" t="str">
        <f t="shared" si="24"/>
        <v>#REF!</v>
      </c>
      <c r="AI133" s="8" t="str">
        <f t="shared" si="25"/>
        <v>Not Found</v>
      </c>
      <c r="AJ133" s="21"/>
      <c r="AK133" s="110"/>
      <c r="AL133" s="75"/>
      <c r="AM133" s="75">
        <f t="shared" si="26"/>
        <v>23</v>
      </c>
      <c r="AN133" s="105"/>
      <c r="AO133" s="105"/>
      <c r="AP133" s="105"/>
      <c r="AQ133" s="105"/>
      <c r="AR133" s="105"/>
      <c r="AS133" s="105"/>
      <c r="AT133" s="105"/>
    </row>
    <row r="134" ht="22.5" customHeight="1">
      <c r="A134" s="87" t="s">
        <v>606</v>
      </c>
      <c r="B134" s="87" t="s">
        <v>607</v>
      </c>
      <c r="C134" s="87" t="s">
        <v>27</v>
      </c>
      <c r="D134" s="87" t="s">
        <v>211</v>
      </c>
      <c r="E134" s="87" t="s">
        <v>608</v>
      </c>
      <c r="F134" s="87" t="s">
        <v>213</v>
      </c>
      <c r="G134" s="116">
        <v>0.3333333333333333</v>
      </c>
      <c r="H134" s="116">
        <v>0.75</v>
      </c>
      <c r="I134" s="89">
        <f t="shared" si="1"/>
        <v>0.4166666667</v>
      </c>
      <c r="J134" s="118">
        <v>45581.0</v>
      </c>
      <c r="K134" s="87" t="s">
        <v>2</v>
      </c>
      <c r="L134" s="92">
        <v>23310.0</v>
      </c>
      <c r="M134" s="87" t="s">
        <v>68</v>
      </c>
      <c r="N134" s="134" t="s">
        <v>69</v>
      </c>
      <c r="O134" s="135">
        <v>45901.0</v>
      </c>
      <c r="P134" s="136">
        <v>20000.0</v>
      </c>
      <c r="Q134" s="87"/>
      <c r="R134" s="95"/>
      <c r="S134" s="87" t="s">
        <v>217</v>
      </c>
      <c r="T134" s="87" t="s">
        <v>217</v>
      </c>
      <c r="U134" s="87"/>
      <c r="V134" s="97">
        <f t="shared" si="20"/>
        <v>20000</v>
      </c>
      <c r="W134" s="98">
        <v>0.11</v>
      </c>
      <c r="X134" s="99"/>
      <c r="Y134" s="99">
        <f t="shared" si="21"/>
        <v>22200</v>
      </c>
      <c r="Z134" s="119"/>
      <c r="AA134" s="99">
        <f t="shared" si="82"/>
        <v>23310</v>
      </c>
      <c r="AB134" s="99">
        <f t="shared" si="77"/>
        <v>15500</v>
      </c>
      <c r="AC134" s="101">
        <f t="shared" si="78"/>
        <v>3120</v>
      </c>
      <c r="AD134" s="101">
        <f t="shared" si="79"/>
        <v>4690</v>
      </c>
      <c r="AE134" s="101">
        <v>0.0</v>
      </c>
      <c r="AF134" s="101" t="str">
        <f t="shared" si="22"/>
        <v>OK</v>
      </c>
      <c r="AG134" s="101" t="str">
        <f t="shared" si="23"/>
        <v>Skill Missing</v>
      </c>
      <c r="AH134" s="102" t="str">
        <f t="shared" si="24"/>
        <v>#REF!</v>
      </c>
      <c r="AI134" s="101" t="str">
        <f t="shared" si="25"/>
        <v>Not Found</v>
      </c>
      <c r="AJ134" s="103" t="s">
        <v>283</v>
      </c>
      <c r="AK134" s="104"/>
      <c r="AL134" s="121">
        <f>AM134/12</f>
        <v>1.916666667</v>
      </c>
      <c r="AM134" s="105">
        <f t="shared" si="26"/>
        <v>23</v>
      </c>
      <c r="AN134" s="75"/>
      <c r="AO134" s="75"/>
      <c r="AP134" s="75"/>
      <c r="AQ134" s="75"/>
      <c r="AR134" s="75"/>
      <c r="AS134" s="75"/>
      <c r="AT134" s="75"/>
    </row>
    <row r="135" ht="22.5" customHeight="1">
      <c r="A135" s="7" t="s">
        <v>611</v>
      </c>
      <c r="B135" s="7" t="s">
        <v>612</v>
      </c>
      <c r="C135" s="7" t="s">
        <v>27</v>
      </c>
      <c r="D135" s="7" t="s">
        <v>220</v>
      </c>
      <c r="E135" s="7" t="s">
        <v>223</v>
      </c>
      <c r="F135" s="7" t="s">
        <v>213</v>
      </c>
      <c r="G135" s="149">
        <v>0.3333333333333333</v>
      </c>
      <c r="H135" s="49">
        <v>0.75</v>
      </c>
      <c r="I135" s="111">
        <f t="shared" si="1"/>
        <v>0.4166666667</v>
      </c>
      <c r="J135" s="9">
        <v>45600.0</v>
      </c>
      <c r="K135" s="7" t="s">
        <v>2</v>
      </c>
      <c r="L135" s="10">
        <f t="shared" ref="L135:L137" si="83">Y135</f>
        <v>25000</v>
      </c>
      <c r="M135" s="7" t="s">
        <v>3</v>
      </c>
      <c r="N135" s="7" t="s">
        <v>69</v>
      </c>
      <c r="O135" s="7"/>
      <c r="P135" s="10">
        <v>25000.0</v>
      </c>
      <c r="Q135" s="7"/>
      <c r="R135" s="11"/>
      <c r="S135" s="7" t="s">
        <v>70</v>
      </c>
      <c r="T135" s="7" t="s">
        <v>71</v>
      </c>
      <c r="U135" s="7"/>
      <c r="V135" s="27">
        <f t="shared" si="20"/>
        <v>25000</v>
      </c>
      <c r="W135" s="13">
        <v>0.0</v>
      </c>
      <c r="X135" s="14"/>
      <c r="Y135" s="14">
        <f t="shared" si="21"/>
        <v>25000</v>
      </c>
      <c r="Z135" s="43"/>
      <c r="AA135" s="27">
        <f t="shared" si="82"/>
        <v>25000</v>
      </c>
      <c r="AB135" s="14">
        <f t="shared" si="77"/>
        <v>15500</v>
      </c>
      <c r="AC135" s="8">
        <f t="shared" si="78"/>
        <v>3800</v>
      </c>
      <c r="AD135" s="69">
        <f t="shared" si="79"/>
        <v>5700</v>
      </c>
      <c r="AE135" s="8">
        <v>0.0</v>
      </c>
      <c r="AF135" s="8" t="str">
        <f t="shared" si="22"/>
        <v>OK</v>
      </c>
      <c r="AG135" s="8" t="str">
        <f t="shared" si="23"/>
        <v>Skill Missing</v>
      </c>
      <c r="AH135" s="72" t="str">
        <f t="shared" si="24"/>
        <v>#REF!</v>
      </c>
      <c r="AI135" s="8" t="str">
        <f t="shared" si="25"/>
        <v>Not Found</v>
      </c>
      <c r="AJ135" s="21"/>
      <c r="AK135" s="110"/>
      <c r="AL135" s="75"/>
      <c r="AM135" s="75">
        <f t="shared" si="26"/>
        <v>22</v>
      </c>
      <c r="AN135" s="75"/>
      <c r="AO135" s="75"/>
      <c r="AP135" s="75"/>
      <c r="AQ135" s="75"/>
      <c r="AR135" s="75"/>
      <c r="AS135" s="75"/>
      <c r="AT135" s="75"/>
    </row>
    <row r="136" ht="22.5" customHeight="1">
      <c r="A136" s="7" t="s">
        <v>613</v>
      </c>
      <c r="B136" s="7" t="s">
        <v>614</v>
      </c>
      <c r="C136" s="7" t="s">
        <v>27</v>
      </c>
      <c r="D136" s="7" t="s">
        <v>485</v>
      </c>
      <c r="E136" s="7" t="s">
        <v>206</v>
      </c>
      <c r="F136" s="7" t="s">
        <v>213</v>
      </c>
      <c r="G136" s="112">
        <v>0.375</v>
      </c>
      <c r="H136" s="112">
        <v>0.7708333333333334</v>
      </c>
      <c r="I136" s="111">
        <f t="shared" si="1"/>
        <v>0.3958333333</v>
      </c>
      <c r="J136" s="9">
        <v>45658.0</v>
      </c>
      <c r="K136" s="7" t="s">
        <v>2</v>
      </c>
      <c r="L136" s="10">
        <f t="shared" si="83"/>
        <v>15100</v>
      </c>
      <c r="M136" s="7" t="s">
        <v>68</v>
      </c>
      <c r="N136" s="7" t="s">
        <v>69</v>
      </c>
      <c r="O136" s="84">
        <v>45901.0</v>
      </c>
      <c r="P136" s="57">
        <v>11000.0</v>
      </c>
      <c r="Q136" s="7"/>
      <c r="R136" s="11"/>
      <c r="S136" s="7" t="s">
        <v>217</v>
      </c>
      <c r="T136" s="7" t="s">
        <v>71</v>
      </c>
      <c r="U136" s="7"/>
      <c r="V136" s="27">
        <f t="shared" si="20"/>
        <v>11000</v>
      </c>
      <c r="W136" s="13">
        <v>0.12</v>
      </c>
      <c r="X136" s="14"/>
      <c r="Y136" s="14">
        <v>15100.0</v>
      </c>
      <c r="Z136" s="43"/>
      <c r="AA136" s="14">
        <v>15100.0</v>
      </c>
      <c r="AB136" s="14">
        <v>15100.0</v>
      </c>
      <c r="AC136" s="8">
        <v>0.0</v>
      </c>
      <c r="AD136" s="8">
        <v>0.0</v>
      </c>
      <c r="AE136" s="8">
        <v>0.0</v>
      </c>
      <c r="AF136" s="8" t="str">
        <f t="shared" si="22"/>
        <v>OK</v>
      </c>
      <c r="AG136" s="8" t="str">
        <f t="shared" si="23"/>
        <v>Skill Missing</v>
      </c>
      <c r="AH136" s="72" t="str">
        <f t="shared" si="24"/>
        <v>#REF!</v>
      </c>
      <c r="AI136" s="8" t="str">
        <f t="shared" si="25"/>
        <v>Not Found</v>
      </c>
      <c r="AJ136" s="21" t="s">
        <v>193</v>
      </c>
      <c r="AK136" s="110"/>
      <c r="AL136" s="75"/>
      <c r="AM136" s="75">
        <f t="shared" si="26"/>
        <v>20</v>
      </c>
      <c r="AN136" s="75"/>
      <c r="AO136" s="75"/>
      <c r="AP136" s="75"/>
      <c r="AQ136" s="75"/>
      <c r="AR136" s="75"/>
      <c r="AS136" s="75"/>
      <c r="AT136" s="75"/>
    </row>
    <row r="137" ht="22.5" customHeight="1">
      <c r="A137" s="7" t="s">
        <v>615</v>
      </c>
      <c r="B137" s="7" t="s">
        <v>616</v>
      </c>
      <c r="C137" s="7" t="s">
        <v>27</v>
      </c>
      <c r="D137" s="7" t="s">
        <v>347</v>
      </c>
      <c r="E137" s="7" t="s">
        <v>206</v>
      </c>
      <c r="F137" s="7" t="s">
        <v>213</v>
      </c>
      <c r="G137" s="112">
        <v>0.375</v>
      </c>
      <c r="H137" s="112">
        <v>0.75</v>
      </c>
      <c r="I137" s="111">
        <f t="shared" si="1"/>
        <v>0.375</v>
      </c>
      <c r="J137" s="9">
        <v>45658.0</v>
      </c>
      <c r="K137" s="7" t="s">
        <v>2</v>
      </c>
      <c r="L137" s="10">
        <f t="shared" si="83"/>
        <v>15500</v>
      </c>
      <c r="M137" s="7" t="s">
        <v>68</v>
      </c>
      <c r="N137" s="7" t="s">
        <v>69</v>
      </c>
      <c r="O137" s="84">
        <v>45901.0</v>
      </c>
      <c r="P137" s="57">
        <v>13000.0</v>
      </c>
      <c r="Q137" s="7"/>
      <c r="R137" s="11"/>
      <c r="S137" s="7" t="s">
        <v>217</v>
      </c>
      <c r="T137" s="7" t="s">
        <v>71</v>
      </c>
      <c r="U137" s="7"/>
      <c r="V137" s="27">
        <f t="shared" si="20"/>
        <v>13000</v>
      </c>
      <c r="W137" s="13">
        <v>0.192</v>
      </c>
      <c r="X137" s="14"/>
      <c r="Y137" s="14">
        <f t="shared" ref="Y137:Y180" si="84">if(W137="",V137,round(V137*(1+W137),-1))</f>
        <v>15500</v>
      </c>
      <c r="Z137" s="43"/>
      <c r="AA137" s="14">
        <v>15500.0</v>
      </c>
      <c r="AB137" s="14">
        <v>15500.0</v>
      </c>
      <c r="AC137" s="8">
        <v>0.0</v>
      </c>
      <c r="AD137" s="8">
        <v>0.0</v>
      </c>
      <c r="AE137" s="8">
        <v>0.0</v>
      </c>
      <c r="AF137" s="8" t="str">
        <f t="shared" si="22"/>
        <v>OK</v>
      </c>
      <c r="AG137" s="8" t="str">
        <f t="shared" si="23"/>
        <v>Skill Missing</v>
      </c>
      <c r="AH137" s="72" t="str">
        <f t="shared" si="24"/>
        <v>#REF!</v>
      </c>
      <c r="AI137" s="8" t="str">
        <f t="shared" si="25"/>
        <v>Not Found</v>
      </c>
      <c r="AJ137" s="21" t="s">
        <v>193</v>
      </c>
      <c r="AK137" s="110"/>
      <c r="AL137" s="75"/>
      <c r="AM137" s="75">
        <f t="shared" si="26"/>
        <v>20</v>
      </c>
      <c r="AN137" s="105"/>
      <c r="AO137" s="105"/>
      <c r="AP137" s="105"/>
      <c r="AQ137" s="105"/>
      <c r="AR137" s="105"/>
      <c r="AS137" s="105"/>
      <c r="AT137" s="105"/>
    </row>
    <row r="138" ht="22.5" customHeight="1">
      <c r="A138" s="14" t="s">
        <v>617</v>
      </c>
      <c r="B138" s="14" t="s">
        <v>404</v>
      </c>
      <c r="C138" s="14" t="s">
        <v>27</v>
      </c>
      <c r="D138" s="7" t="s">
        <v>286</v>
      </c>
      <c r="E138" s="7" t="s">
        <v>287</v>
      </c>
      <c r="F138" s="7" t="s">
        <v>213</v>
      </c>
      <c r="G138" s="112">
        <v>0.3958333333333333</v>
      </c>
      <c r="H138" s="112">
        <v>0.75</v>
      </c>
      <c r="I138" s="51">
        <f t="shared" si="1"/>
        <v>0.3541666667</v>
      </c>
      <c r="J138" s="9">
        <v>45712.0</v>
      </c>
      <c r="K138" s="7" t="s">
        <v>2</v>
      </c>
      <c r="L138" s="10">
        <v>21500.0</v>
      </c>
      <c r="M138" s="7" t="s">
        <v>68</v>
      </c>
      <c r="N138" s="140" t="s">
        <v>69</v>
      </c>
      <c r="O138" s="84">
        <v>45901.0</v>
      </c>
      <c r="P138" s="57">
        <v>16870.0</v>
      </c>
      <c r="Q138" s="7"/>
      <c r="R138" s="11"/>
      <c r="S138" s="7" t="s">
        <v>217</v>
      </c>
      <c r="T138" s="7" t="s">
        <v>71</v>
      </c>
      <c r="U138" s="7"/>
      <c r="V138" s="27">
        <f t="shared" si="20"/>
        <v>16870</v>
      </c>
      <c r="W138" s="13">
        <v>0.11</v>
      </c>
      <c r="X138" s="14"/>
      <c r="Y138" s="14">
        <f t="shared" si="84"/>
        <v>18730</v>
      </c>
      <c r="Z138" s="43"/>
      <c r="AA138" s="27">
        <f>L138</f>
        <v>21500</v>
      </c>
      <c r="AB138" s="14">
        <v>15830.0</v>
      </c>
      <c r="AC138" s="8">
        <f t="shared" ref="AC138:AC147" si="85">round(IF($AA138&lt;=$Z$1,($AA138-$AB138)*AC$1,$AA138*AC$2),-1)</f>
        <v>2270</v>
      </c>
      <c r="AD138" s="69">
        <f t="shared" ref="AD138:AD147" si="86">round(IF($AA138&lt;=$Z$1,($AA138-$AB138)*AD$1,$AA138*AD$2),-1)+AA138-AB138-AC138-round(IF($AA138&lt;=$Z$1,($AA138-$AB138)*AD$1,$AA138*AD$2),-1)</f>
        <v>3400</v>
      </c>
      <c r="AE138" s="8">
        <v>0.0</v>
      </c>
      <c r="AF138" s="8" t="str">
        <f t="shared" si="22"/>
        <v>OK</v>
      </c>
      <c r="AG138" s="8" t="str">
        <f t="shared" si="23"/>
        <v>Skill Missing</v>
      </c>
      <c r="AH138" s="72" t="str">
        <f t="shared" si="24"/>
        <v>#REF!</v>
      </c>
      <c r="AI138" s="8" t="str">
        <f t="shared" si="25"/>
        <v>Not Found</v>
      </c>
      <c r="AJ138" s="21" t="s">
        <v>193</v>
      </c>
      <c r="AK138" s="124"/>
      <c r="AL138" s="75"/>
      <c r="AM138" s="75">
        <f t="shared" si="26"/>
        <v>19</v>
      </c>
      <c r="AN138" s="75"/>
      <c r="AO138" s="75"/>
      <c r="AP138" s="75"/>
      <c r="AQ138" s="75"/>
      <c r="AR138" s="75"/>
      <c r="AS138" s="75"/>
      <c r="AT138" s="75"/>
    </row>
    <row r="139" ht="22.5" customHeight="1">
      <c r="A139" s="87" t="s">
        <v>620</v>
      </c>
      <c r="B139" s="87" t="s">
        <v>569</v>
      </c>
      <c r="C139" s="87" t="s">
        <v>621</v>
      </c>
      <c r="D139" s="87" t="s">
        <v>211</v>
      </c>
      <c r="E139" s="87" t="s">
        <v>592</v>
      </c>
      <c r="F139" s="87" t="s">
        <v>213</v>
      </c>
      <c r="G139" s="116">
        <v>0.3333333333333333</v>
      </c>
      <c r="H139" s="116">
        <v>0.75</v>
      </c>
      <c r="I139" s="89">
        <f t="shared" si="1"/>
        <v>0.4166666667</v>
      </c>
      <c r="J139" s="118">
        <v>45717.0</v>
      </c>
      <c r="K139" s="87" t="s">
        <v>2</v>
      </c>
      <c r="L139" s="92">
        <v>23100.0</v>
      </c>
      <c r="M139" s="87" t="s">
        <v>68</v>
      </c>
      <c r="N139" s="134" t="s">
        <v>69</v>
      </c>
      <c r="O139" s="87"/>
      <c r="P139" s="94">
        <v>22000.0</v>
      </c>
      <c r="Q139" s="87"/>
      <c r="R139" s="95"/>
      <c r="S139" s="87" t="s">
        <v>217</v>
      </c>
      <c r="T139" s="87" t="s">
        <v>622</v>
      </c>
      <c r="U139" s="87"/>
      <c r="V139" s="97">
        <f t="shared" si="20"/>
        <v>22000</v>
      </c>
      <c r="W139" s="98">
        <v>0.0</v>
      </c>
      <c r="X139" s="99"/>
      <c r="Y139" s="99">
        <f t="shared" si="84"/>
        <v>22000</v>
      </c>
      <c r="Z139" s="119"/>
      <c r="AA139" s="99">
        <v>23100.0</v>
      </c>
      <c r="AB139" s="14">
        <v>15830.0</v>
      </c>
      <c r="AC139" s="8">
        <f t="shared" si="85"/>
        <v>2910</v>
      </c>
      <c r="AD139" s="8">
        <f t="shared" si="86"/>
        <v>4360</v>
      </c>
      <c r="AE139" s="8">
        <v>0.0</v>
      </c>
      <c r="AF139" s="101" t="str">
        <f t="shared" si="22"/>
        <v>OK</v>
      </c>
      <c r="AG139" s="101" t="str">
        <f t="shared" si="23"/>
        <v>Skill Missing</v>
      </c>
      <c r="AH139" s="102" t="str">
        <f t="shared" si="24"/>
        <v>#REF!</v>
      </c>
      <c r="AI139" s="101" t="str">
        <f t="shared" si="25"/>
        <v>Not Found</v>
      </c>
      <c r="AJ139" s="103" t="s">
        <v>193</v>
      </c>
      <c r="AK139" s="137"/>
      <c r="AL139" s="121">
        <f t="shared" ref="AL139:AL142" si="87">AM139/12</f>
        <v>1.5</v>
      </c>
      <c r="AM139" s="105">
        <f t="shared" si="26"/>
        <v>18</v>
      </c>
      <c r="AN139" s="75"/>
      <c r="AO139" s="75"/>
      <c r="AP139" s="75"/>
      <c r="AQ139" s="75"/>
      <c r="AR139" s="75"/>
      <c r="AS139" s="75"/>
      <c r="AT139" s="75"/>
    </row>
    <row r="140" ht="22.5" customHeight="1">
      <c r="A140" s="87" t="s">
        <v>623</v>
      </c>
      <c r="B140" s="87" t="s">
        <v>624</v>
      </c>
      <c r="C140" s="87" t="s">
        <v>621</v>
      </c>
      <c r="D140" s="87" t="s">
        <v>211</v>
      </c>
      <c r="E140" s="87" t="s">
        <v>592</v>
      </c>
      <c r="F140" s="87" t="s">
        <v>213</v>
      </c>
      <c r="G140" s="116">
        <v>0.3333333333333333</v>
      </c>
      <c r="H140" s="116">
        <v>0.75</v>
      </c>
      <c r="I140" s="117">
        <f t="shared" si="1"/>
        <v>0.4166666667</v>
      </c>
      <c r="J140" s="118">
        <v>45721.0</v>
      </c>
      <c r="K140" s="87" t="s">
        <v>2</v>
      </c>
      <c r="L140" s="92">
        <v>20000.0</v>
      </c>
      <c r="M140" s="87" t="s">
        <v>68</v>
      </c>
      <c r="N140" s="87" t="s">
        <v>69</v>
      </c>
      <c r="O140" s="87"/>
      <c r="P140" s="92">
        <v>13750.0</v>
      </c>
      <c r="Q140" s="87"/>
      <c r="R140" s="95"/>
      <c r="S140" s="87" t="s">
        <v>217</v>
      </c>
      <c r="T140" s="87" t="s">
        <v>217</v>
      </c>
      <c r="U140" s="87"/>
      <c r="V140" s="97">
        <f t="shared" si="20"/>
        <v>13750</v>
      </c>
      <c r="W140" s="98">
        <v>0.0</v>
      </c>
      <c r="X140" s="99"/>
      <c r="Y140" s="99">
        <f t="shared" si="84"/>
        <v>13750</v>
      </c>
      <c r="Z140" s="119"/>
      <c r="AA140" s="14">
        <f>L140</f>
        <v>20000</v>
      </c>
      <c r="AB140" s="99">
        <v>15300.0</v>
      </c>
      <c r="AC140" s="101">
        <f t="shared" si="85"/>
        <v>1880</v>
      </c>
      <c r="AD140" s="101">
        <f t="shared" si="86"/>
        <v>2820</v>
      </c>
      <c r="AE140" s="101">
        <v>0.0</v>
      </c>
      <c r="AF140" s="101" t="str">
        <f t="shared" si="22"/>
        <v>OK</v>
      </c>
      <c r="AG140" s="101" t="str">
        <f t="shared" si="23"/>
        <v>Skill Missing</v>
      </c>
      <c r="AH140" s="102" t="str">
        <f t="shared" si="24"/>
        <v>#REF!</v>
      </c>
      <c r="AI140" s="101" t="str">
        <f t="shared" si="25"/>
        <v>Not Found</v>
      </c>
      <c r="AJ140" s="103" t="s">
        <v>193</v>
      </c>
      <c r="AK140" s="137"/>
      <c r="AL140" s="121">
        <f t="shared" si="87"/>
        <v>1.5</v>
      </c>
      <c r="AM140" s="105">
        <f t="shared" si="26"/>
        <v>18</v>
      </c>
      <c r="AN140" s="75"/>
      <c r="AO140" s="75"/>
      <c r="AP140" s="75"/>
      <c r="AQ140" s="75"/>
      <c r="AR140" s="75"/>
      <c r="AS140" s="75"/>
      <c r="AT140" s="75"/>
    </row>
    <row r="141" ht="22.5" customHeight="1">
      <c r="A141" s="87" t="s">
        <v>625</v>
      </c>
      <c r="B141" s="87" t="s">
        <v>626</v>
      </c>
      <c r="C141" s="87" t="s">
        <v>621</v>
      </c>
      <c r="D141" s="87" t="s">
        <v>211</v>
      </c>
      <c r="E141" s="87" t="s">
        <v>592</v>
      </c>
      <c r="F141" s="87" t="s">
        <v>213</v>
      </c>
      <c r="G141" s="116">
        <v>0.3333333333333333</v>
      </c>
      <c r="H141" s="116">
        <v>0.75</v>
      </c>
      <c r="I141" s="117">
        <f t="shared" si="1"/>
        <v>0.4166666667</v>
      </c>
      <c r="J141" s="118">
        <v>45723.0</v>
      </c>
      <c r="K141" s="87" t="s">
        <v>2</v>
      </c>
      <c r="L141" s="92">
        <v>23100.0</v>
      </c>
      <c r="M141" s="87" t="s">
        <v>68</v>
      </c>
      <c r="N141" s="87" t="s">
        <v>69</v>
      </c>
      <c r="O141" s="87"/>
      <c r="P141" s="94">
        <v>22000.0</v>
      </c>
      <c r="Q141" s="87"/>
      <c r="R141" s="95"/>
      <c r="S141" s="87" t="s">
        <v>217</v>
      </c>
      <c r="T141" s="87" t="s">
        <v>217</v>
      </c>
      <c r="U141" s="87"/>
      <c r="V141" s="97">
        <f t="shared" si="20"/>
        <v>22000</v>
      </c>
      <c r="W141" s="98">
        <v>0.0</v>
      </c>
      <c r="X141" s="99"/>
      <c r="Y141" s="99">
        <f t="shared" si="84"/>
        <v>22000</v>
      </c>
      <c r="Z141" s="119"/>
      <c r="AA141" s="99">
        <v>23100.0</v>
      </c>
      <c r="AB141" s="99">
        <v>15300.0</v>
      </c>
      <c r="AC141" s="101">
        <f t="shared" si="85"/>
        <v>3120</v>
      </c>
      <c r="AD141" s="101">
        <f t="shared" si="86"/>
        <v>4680</v>
      </c>
      <c r="AE141" s="101">
        <v>0.0</v>
      </c>
      <c r="AF141" s="101" t="str">
        <f t="shared" si="22"/>
        <v>OK</v>
      </c>
      <c r="AG141" s="101" t="str">
        <f t="shared" si="23"/>
        <v>Skill Missing</v>
      </c>
      <c r="AH141" s="102" t="str">
        <f t="shared" si="24"/>
        <v>#REF!</v>
      </c>
      <c r="AI141" s="101" t="str">
        <f t="shared" si="25"/>
        <v>Not Found</v>
      </c>
      <c r="AJ141" s="103" t="s">
        <v>193</v>
      </c>
      <c r="AK141" s="137"/>
      <c r="AL141" s="121">
        <f t="shared" si="87"/>
        <v>1.5</v>
      </c>
      <c r="AM141" s="105">
        <f t="shared" si="26"/>
        <v>18</v>
      </c>
      <c r="AN141" s="75"/>
      <c r="AO141" s="75"/>
      <c r="AP141" s="75"/>
      <c r="AQ141" s="75"/>
      <c r="AR141" s="75"/>
      <c r="AS141" s="75"/>
      <c r="AT141" s="75"/>
    </row>
    <row r="142" ht="22.5" customHeight="1">
      <c r="A142" s="87" t="s">
        <v>627</v>
      </c>
      <c r="B142" s="87" t="s">
        <v>628</v>
      </c>
      <c r="C142" s="87" t="s">
        <v>621</v>
      </c>
      <c r="D142" s="87" t="s">
        <v>211</v>
      </c>
      <c r="E142" s="87" t="s">
        <v>592</v>
      </c>
      <c r="F142" s="87" t="s">
        <v>213</v>
      </c>
      <c r="G142" s="116">
        <v>0.3333333333333333</v>
      </c>
      <c r="H142" s="116">
        <v>0.75</v>
      </c>
      <c r="I142" s="117">
        <f t="shared" si="1"/>
        <v>0.4166666667</v>
      </c>
      <c r="J142" s="118">
        <v>45733.0</v>
      </c>
      <c r="K142" s="87" t="s">
        <v>2</v>
      </c>
      <c r="L142" s="92">
        <v>21500.0</v>
      </c>
      <c r="M142" s="87" t="s">
        <v>68</v>
      </c>
      <c r="N142" s="87" t="s">
        <v>69</v>
      </c>
      <c r="O142" s="87"/>
      <c r="P142" s="92">
        <v>16800.0</v>
      </c>
      <c r="Q142" s="87"/>
      <c r="R142" s="95"/>
      <c r="S142" s="87" t="s">
        <v>217</v>
      </c>
      <c r="T142" s="87" t="s">
        <v>217</v>
      </c>
      <c r="U142" s="87"/>
      <c r="V142" s="97">
        <f t="shared" si="20"/>
        <v>16800</v>
      </c>
      <c r="W142" s="98">
        <v>0.0</v>
      </c>
      <c r="X142" s="99"/>
      <c r="Y142" s="99">
        <f t="shared" si="84"/>
        <v>16800</v>
      </c>
      <c r="Z142" s="119"/>
      <c r="AA142" s="99">
        <f t="shared" ref="AA142:AA166" si="88">L142</f>
        <v>21500</v>
      </c>
      <c r="AB142" s="14">
        <f>IFS(AND(AA142&lt;=15000),15300,AND(AA142&gt;15000,AA142&lt;15500),AA142,AND(AA142&gt;=15500,AA142&lt;$Z$1),15500,AA142&gt;=$Z$1,AA142*$AB$2)</f>
        <v>15500</v>
      </c>
      <c r="AC142" s="8">
        <f t="shared" si="85"/>
        <v>2400</v>
      </c>
      <c r="AD142" s="8">
        <f t="shared" si="86"/>
        <v>3600</v>
      </c>
      <c r="AE142" s="101">
        <v>0.0</v>
      </c>
      <c r="AF142" s="101" t="str">
        <f t="shared" si="22"/>
        <v>OK</v>
      </c>
      <c r="AG142" s="101" t="str">
        <f t="shared" si="23"/>
        <v>Skill Missing</v>
      </c>
      <c r="AH142" s="102" t="str">
        <f t="shared" si="24"/>
        <v>#REF!</v>
      </c>
      <c r="AI142" s="101" t="str">
        <f t="shared" si="25"/>
        <v>Not Found</v>
      </c>
      <c r="AJ142" s="103" t="s">
        <v>193</v>
      </c>
      <c r="AK142" s="137"/>
      <c r="AL142" s="121">
        <f t="shared" si="87"/>
        <v>1.5</v>
      </c>
      <c r="AM142" s="105">
        <f t="shared" si="26"/>
        <v>18</v>
      </c>
      <c r="AN142" s="105"/>
      <c r="AO142" s="105"/>
      <c r="AP142" s="105"/>
      <c r="AQ142" s="105"/>
      <c r="AR142" s="105"/>
      <c r="AS142" s="105"/>
      <c r="AT142" s="105"/>
    </row>
    <row r="143" ht="22.5" customHeight="1">
      <c r="A143" s="7" t="s">
        <v>629</v>
      </c>
      <c r="B143" s="7" t="s">
        <v>630</v>
      </c>
      <c r="C143" s="7" t="s">
        <v>27</v>
      </c>
      <c r="D143" s="7" t="s">
        <v>244</v>
      </c>
      <c r="E143" s="7" t="s">
        <v>292</v>
      </c>
      <c r="F143" s="7" t="s">
        <v>213</v>
      </c>
      <c r="G143" s="49">
        <v>0.3333333333333333</v>
      </c>
      <c r="H143" s="49">
        <v>0.75</v>
      </c>
      <c r="I143" s="51">
        <f t="shared" si="1"/>
        <v>0.4166666667</v>
      </c>
      <c r="J143" s="82">
        <v>45748.0</v>
      </c>
      <c r="K143" s="7" t="s">
        <v>2</v>
      </c>
      <c r="L143" s="10">
        <v>26780.0</v>
      </c>
      <c r="M143" s="7" t="s">
        <v>68</v>
      </c>
      <c r="N143" s="83" t="s">
        <v>69</v>
      </c>
      <c r="O143" s="84"/>
      <c r="P143" s="10">
        <v>26000.0</v>
      </c>
      <c r="Q143" s="7"/>
      <c r="R143" s="11"/>
      <c r="S143" s="85"/>
      <c r="T143" s="7" t="s">
        <v>71</v>
      </c>
      <c r="U143" s="7"/>
      <c r="V143" s="27">
        <f t="shared" si="20"/>
        <v>26000</v>
      </c>
      <c r="W143" s="13">
        <v>0.0</v>
      </c>
      <c r="X143" s="14"/>
      <c r="Y143" s="14">
        <f t="shared" si="84"/>
        <v>26000</v>
      </c>
      <c r="Z143" s="43"/>
      <c r="AA143" s="27">
        <f t="shared" si="88"/>
        <v>26780</v>
      </c>
      <c r="AB143" s="14">
        <v>15300.0</v>
      </c>
      <c r="AC143" s="8">
        <f t="shared" si="85"/>
        <v>4590</v>
      </c>
      <c r="AD143" s="69">
        <f t="shared" si="86"/>
        <v>6890</v>
      </c>
      <c r="AE143" s="8">
        <v>0.0</v>
      </c>
      <c r="AF143" s="8" t="str">
        <f t="shared" si="22"/>
        <v>OK</v>
      </c>
      <c r="AG143" s="8" t="str">
        <f t="shared" si="23"/>
        <v>Skill Missing</v>
      </c>
      <c r="AH143" s="72" t="str">
        <f t="shared" si="24"/>
        <v>#REF!</v>
      </c>
      <c r="AI143" s="8" t="str">
        <f t="shared" si="25"/>
        <v>Not Found</v>
      </c>
      <c r="AJ143" s="21" t="s">
        <v>193</v>
      </c>
      <c r="AK143" s="124"/>
      <c r="AL143" s="75"/>
      <c r="AM143" s="75">
        <f t="shared" si="26"/>
        <v>17</v>
      </c>
      <c r="AN143" s="75"/>
      <c r="AO143" s="75"/>
      <c r="AP143" s="75"/>
      <c r="AQ143" s="75"/>
      <c r="AR143" s="75"/>
      <c r="AS143" s="75"/>
      <c r="AT143" s="75"/>
    </row>
    <row r="144" ht="22.5" customHeight="1">
      <c r="A144" s="179" t="s">
        <v>631</v>
      </c>
      <c r="B144" s="180" t="s">
        <v>632</v>
      </c>
      <c r="C144" s="180" t="s">
        <v>27</v>
      </c>
      <c r="D144" s="180" t="s">
        <v>211</v>
      </c>
      <c r="E144" s="180" t="s">
        <v>412</v>
      </c>
      <c r="F144" s="180" t="s">
        <v>213</v>
      </c>
      <c r="G144" s="181">
        <v>0.3333333333333333</v>
      </c>
      <c r="H144" s="181">
        <v>0.75</v>
      </c>
      <c r="I144" s="117">
        <f t="shared" si="1"/>
        <v>0.4166666667</v>
      </c>
      <c r="J144" s="182">
        <v>45792.0</v>
      </c>
      <c r="K144" s="180" t="s">
        <v>2</v>
      </c>
      <c r="L144" s="94">
        <v>43350.0</v>
      </c>
      <c r="M144" s="180" t="s">
        <v>68</v>
      </c>
      <c r="N144" s="180" t="s">
        <v>69</v>
      </c>
      <c r="O144" s="160"/>
      <c r="P144" s="183">
        <v>42500.0</v>
      </c>
      <c r="Q144" s="184"/>
      <c r="R144" s="185"/>
      <c r="S144" s="141"/>
      <c r="T144" s="180" t="s">
        <v>217</v>
      </c>
      <c r="U144" s="184"/>
      <c r="V144" s="97">
        <f t="shared" si="20"/>
        <v>42500</v>
      </c>
      <c r="W144" s="98">
        <v>0.0</v>
      </c>
      <c r="X144" s="175"/>
      <c r="Y144" s="99">
        <f t="shared" si="84"/>
        <v>42500</v>
      </c>
      <c r="Z144" s="186"/>
      <c r="AA144" s="187">
        <f t="shared" si="88"/>
        <v>43350</v>
      </c>
      <c r="AB144" s="99">
        <f t="shared" ref="AB144:AB147" si="89">IFS(AND(AA144&lt;=15000),15300,AND(AA144&gt;15000,AA144&lt;15500),AA144,AND(AA144&gt;=15500,AA144&lt;$Z$1),15500,AA144&gt;=$Z$1,AA144*$AB$2)</f>
        <v>21675</v>
      </c>
      <c r="AC144" s="101">
        <f t="shared" si="85"/>
        <v>8670</v>
      </c>
      <c r="AD144" s="120">
        <f t="shared" si="86"/>
        <v>13005</v>
      </c>
      <c r="AE144" s="101">
        <v>0.0</v>
      </c>
      <c r="AF144" s="101" t="str">
        <f t="shared" si="22"/>
        <v>OK</v>
      </c>
      <c r="AG144" s="101" t="str">
        <f t="shared" si="23"/>
        <v>Skill Missing</v>
      </c>
      <c r="AH144" s="102" t="str">
        <f t="shared" si="24"/>
        <v>#REF!</v>
      </c>
      <c r="AI144" s="101" t="str">
        <f t="shared" si="25"/>
        <v>Not Found</v>
      </c>
      <c r="AJ144" s="188" t="s">
        <v>193</v>
      </c>
      <c r="AK144" s="189"/>
      <c r="AL144" s="121">
        <f t="shared" ref="AL144:AL145" si="90">AM144/12</f>
        <v>1.333333333</v>
      </c>
      <c r="AM144" s="105">
        <f t="shared" si="26"/>
        <v>16</v>
      </c>
      <c r="AN144" s="105"/>
      <c r="AO144" s="105"/>
      <c r="AP144" s="105"/>
      <c r="AQ144" s="105"/>
      <c r="AR144" s="105"/>
      <c r="AS144" s="105"/>
      <c r="AT144" s="105"/>
    </row>
    <row r="145" ht="22.5" customHeight="1">
      <c r="A145" s="87" t="s">
        <v>633</v>
      </c>
      <c r="B145" s="87" t="s">
        <v>634</v>
      </c>
      <c r="C145" s="87" t="s">
        <v>27</v>
      </c>
      <c r="D145" s="87" t="s">
        <v>211</v>
      </c>
      <c r="E145" s="87" t="s">
        <v>511</v>
      </c>
      <c r="F145" s="87" t="s">
        <v>213</v>
      </c>
      <c r="G145" s="88">
        <v>0.375</v>
      </c>
      <c r="H145" s="88">
        <v>0.75</v>
      </c>
      <c r="I145" s="89">
        <f t="shared" si="1"/>
        <v>0.375</v>
      </c>
      <c r="J145" s="90">
        <v>45839.0</v>
      </c>
      <c r="K145" s="87" t="s">
        <v>2</v>
      </c>
      <c r="L145" s="94">
        <f>Y145</f>
        <v>17760</v>
      </c>
      <c r="M145" s="87" t="s">
        <v>68</v>
      </c>
      <c r="N145" s="87" t="s">
        <v>69</v>
      </c>
      <c r="O145" s="135">
        <v>45901.0</v>
      </c>
      <c r="P145" s="136">
        <v>16000.0</v>
      </c>
      <c r="Q145" s="87"/>
      <c r="R145" s="95"/>
      <c r="S145" s="87" t="s">
        <v>217</v>
      </c>
      <c r="T145" s="87" t="s">
        <v>71</v>
      </c>
      <c r="U145" s="87"/>
      <c r="V145" s="97">
        <f t="shared" si="20"/>
        <v>16000</v>
      </c>
      <c r="W145" s="98">
        <v>0.11</v>
      </c>
      <c r="X145" s="99"/>
      <c r="Y145" s="99">
        <f t="shared" si="84"/>
        <v>17760</v>
      </c>
      <c r="Z145" s="99"/>
      <c r="AA145" s="97">
        <f t="shared" si="88"/>
        <v>17760</v>
      </c>
      <c r="AB145" s="99">
        <f t="shared" si="89"/>
        <v>15500</v>
      </c>
      <c r="AC145" s="101">
        <f t="shared" si="85"/>
        <v>900</v>
      </c>
      <c r="AD145" s="120">
        <f t="shared" si="86"/>
        <v>1360</v>
      </c>
      <c r="AE145" s="101">
        <v>0.0</v>
      </c>
      <c r="AF145" s="101" t="str">
        <f t="shared" si="22"/>
        <v>OK</v>
      </c>
      <c r="AG145" s="101" t="str">
        <f t="shared" si="23"/>
        <v>Skill Missing</v>
      </c>
      <c r="AH145" s="102" t="str">
        <f t="shared" si="24"/>
        <v>#REF!</v>
      </c>
      <c r="AI145" s="101" t="str">
        <f t="shared" si="25"/>
        <v>Not Found</v>
      </c>
      <c r="AJ145" s="103" t="s">
        <v>193</v>
      </c>
      <c r="AK145" s="103"/>
      <c r="AL145" s="121">
        <f t="shared" si="90"/>
        <v>1.166666667</v>
      </c>
      <c r="AM145" s="105">
        <f t="shared" si="26"/>
        <v>14</v>
      </c>
      <c r="AN145" s="75"/>
      <c r="AO145" s="75"/>
      <c r="AP145" s="75"/>
      <c r="AQ145" s="75"/>
      <c r="AR145" s="75"/>
      <c r="AS145" s="75"/>
      <c r="AT145" s="75"/>
    </row>
    <row r="146" ht="22.5" customHeight="1">
      <c r="A146" s="7" t="s">
        <v>635</v>
      </c>
      <c r="B146" s="7" t="s">
        <v>636</v>
      </c>
      <c r="C146" s="7" t="s">
        <v>27</v>
      </c>
      <c r="D146" s="7" t="s">
        <v>244</v>
      </c>
      <c r="E146" s="7" t="s">
        <v>252</v>
      </c>
      <c r="F146" s="7" t="s">
        <v>213</v>
      </c>
      <c r="G146" s="107">
        <v>0.3333333333333333</v>
      </c>
      <c r="H146" s="107">
        <v>0.75</v>
      </c>
      <c r="I146" s="51">
        <f t="shared" si="1"/>
        <v>0.4166666667</v>
      </c>
      <c r="J146" s="108">
        <v>45827.0</v>
      </c>
      <c r="K146" s="7" t="s">
        <v>2</v>
      </c>
      <c r="L146" s="10">
        <v>15000.0</v>
      </c>
      <c r="M146" s="7" t="s">
        <v>68</v>
      </c>
      <c r="N146" s="7" t="s">
        <v>69</v>
      </c>
      <c r="O146" s="84"/>
      <c r="P146" s="57">
        <v>12000.0</v>
      </c>
      <c r="Q146" s="7"/>
      <c r="R146" s="11"/>
      <c r="S146" s="7" t="s">
        <v>217</v>
      </c>
      <c r="T146" s="7" t="s">
        <v>217</v>
      </c>
      <c r="U146" s="7"/>
      <c r="V146" s="27">
        <f t="shared" si="20"/>
        <v>12000</v>
      </c>
      <c r="W146" s="13">
        <v>0.0</v>
      </c>
      <c r="X146" s="14"/>
      <c r="Y146" s="14">
        <f t="shared" si="84"/>
        <v>12000</v>
      </c>
      <c r="Z146" s="43"/>
      <c r="AA146" s="27">
        <f t="shared" si="88"/>
        <v>15000</v>
      </c>
      <c r="AB146" s="14">
        <f t="shared" si="89"/>
        <v>15300</v>
      </c>
      <c r="AC146" s="8">
        <f t="shared" si="85"/>
        <v>-120</v>
      </c>
      <c r="AD146" s="69">
        <f t="shared" si="86"/>
        <v>-180</v>
      </c>
      <c r="AE146" s="8">
        <v>0.0</v>
      </c>
      <c r="AF146" s="8" t="str">
        <f t="shared" si="22"/>
        <v>OK</v>
      </c>
      <c r="AG146" s="8" t="str">
        <f t="shared" si="23"/>
        <v>Skill Missing</v>
      </c>
      <c r="AH146" s="72" t="str">
        <f t="shared" si="24"/>
        <v>#REF!</v>
      </c>
      <c r="AI146" s="8" t="str">
        <f t="shared" si="25"/>
        <v>Not Found</v>
      </c>
      <c r="AJ146" s="21" t="s">
        <v>193</v>
      </c>
      <c r="AK146" s="110" t="s">
        <v>283</v>
      </c>
      <c r="AL146" s="75"/>
      <c r="AM146" s="75">
        <f t="shared" si="26"/>
        <v>15</v>
      </c>
      <c r="AN146" s="75"/>
      <c r="AO146" s="75"/>
      <c r="AP146" s="75"/>
      <c r="AQ146" s="75"/>
      <c r="AR146" s="75"/>
      <c r="AS146" s="75"/>
      <c r="AT146" s="75"/>
    </row>
    <row r="147" ht="22.5" customHeight="1">
      <c r="A147" s="87" t="s">
        <v>637</v>
      </c>
      <c r="B147" s="87" t="s">
        <v>638</v>
      </c>
      <c r="C147" s="87" t="s">
        <v>27</v>
      </c>
      <c r="D147" s="87" t="s">
        <v>211</v>
      </c>
      <c r="E147" s="87" t="s">
        <v>212</v>
      </c>
      <c r="F147" s="87" t="s">
        <v>213</v>
      </c>
      <c r="G147" s="88">
        <v>0.3333333333333333</v>
      </c>
      <c r="H147" s="88">
        <v>0.75</v>
      </c>
      <c r="I147" s="89">
        <f t="shared" si="1"/>
        <v>0.4166666667</v>
      </c>
      <c r="J147" s="90">
        <v>45846.0</v>
      </c>
      <c r="K147" s="87" t="s">
        <v>2</v>
      </c>
      <c r="L147" s="92">
        <v>23100.0</v>
      </c>
      <c r="M147" s="87" t="s">
        <v>68</v>
      </c>
      <c r="N147" s="87" t="s">
        <v>69</v>
      </c>
      <c r="O147" s="87"/>
      <c r="P147" s="94">
        <v>22000.0</v>
      </c>
      <c r="Q147" s="87"/>
      <c r="R147" s="95"/>
      <c r="S147" s="141"/>
      <c r="T147" s="87" t="s">
        <v>217</v>
      </c>
      <c r="U147" s="87"/>
      <c r="V147" s="97">
        <f t="shared" si="20"/>
        <v>22000</v>
      </c>
      <c r="W147" s="98">
        <v>0.0</v>
      </c>
      <c r="X147" s="99"/>
      <c r="Y147" s="99">
        <f t="shared" si="84"/>
        <v>22000</v>
      </c>
      <c r="Z147" s="99"/>
      <c r="AA147" s="99">
        <f t="shared" si="88"/>
        <v>23100</v>
      </c>
      <c r="AB147" s="99">
        <f t="shared" si="89"/>
        <v>15500</v>
      </c>
      <c r="AC147" s="101">
        <f t="shared" si="85"/>
        <v>3040</v>
      </c>
      <c r="AD147" s="101">
        <f t="shared" si="86"/>
        <v>4560</v>
      </c>
      <c r="AE147" s="101">
        <v>0.0</v>
      </c>
      <c r="AF147" s="101" t="str">
        <f t="shared" si="22"/>
        <v>OK</v>
      </c>
      <c r="AG147" s="101" t="str">
        <f t="shared" si="23"/>
        <v>Skill Missing</v>
      </c>
      <c r="AH147" s="102" t="str">
        <f t="shared" si="24"/>
        <v>#REF!</v>
      </c>
      <c r="AI147" s="101" t="str">
        <f t="shared" si="25"/>
        <v>Not Found</v>
      </c>
      <c r="AJ147" s="103" t="s">
        <v>193</v>
      </c>
      <c r="AK147" s="103"/>
      <c r="AL147" s="121">
        <f>AM147/12</f>
        <v>1.166666667</v>
      </c>
      <c r="AM147" s="105">
        <f t="shared" si="26"/>
        <v>14</v>
      </c>
      <c r="AN147" s="75"/>
      <c r="AO147" s="75"/>
      <c r="AP147" s="75"/>
      <c r="AQ147" s="75"/>
      <c r="AR147" s="75"/>
      <c r="AS147" s="75"/>
      <c r="AT147" s="75"/>
    </row>
    <row r="148" ht="22.5" customHeight="1">
      <c r="A148" s="7" t="s">
        <v>639</v>
      </c>
      <c r="B148" s="7" t="s">
        <v>640</v>
      </c>
      <c r="C148" s="7" t="s">
        <v>27</v>
      </c>
      <c r="D148" s="7" t="s">
        <v>286</v>
      </c>
      <c r="E148" s="7" t="s">
        <v>287</v>
      </c>
      <c r="F148" s="7" t="s">
        <v>213</v>
      </c>
      <c r="G148" s="107">
        <v>0.375</v>
      </c>
      <c r="H148" s="107">
        <v>0.75</v>
      </c>
      <c r="I148" s="51">
        <f t="shared" si="1"/>
        <v>0.375</v>
      </c>
      <c r="J148" s="108">
        <v>45784.0</v>
      </c>
      <c r="K148" s="7" t="s">
        <v>2</v>
      </c>
      <c r="L148" s="10">
        <f>Y148</f>
        <v>17760</v>
      </c>
      <c r="M148" s="7" t="s">
        <v>68</v>
      </c>
      <c r="N148" s="7" t="s">
        <v>69</v>
      </c>
      <c r="O148" s="84">
        <v>45901.0</v>
      </c>
      <c r="P148" s="57">
        <v>16000.0</v>
      </c>
      <c r="Q148" s="7"/>
      <c r="R148" s="11"/>
      <c r="S148" s="7" t="s">
        <v>217</v>
      </c>
      <c r="T148" s="7" t="s">
        <v>71</v>
      </c>
      <c r="U148" s="7"/>
      <c r="V148" s="27">
        <f t="shared" si="20"/>
        <v>16000</v>
      </c>
      <c r="W148" s="13">
        <v>0.11</v>
      </c>
      <c r="X148" s="14"/>
      <c r="Y148" s="14">
        <f t="shared" si="84"/>
        <v>17760</v>
      </c>
      <c r="Z148" s="14"/>
      <c r="AA148" s="27">
        <f t="shared" si="88"/>
        <v>17760</v>
      </c>
      <c r="AB148" s="14">
        <v>15500.0</v>
      </c>
      <c r="AC148" s="8">
        <v>2260.0</v>
      </c>
      <c r="AD148" s="8">
        <v>0.0</v>
      </c>
      <c r="AE148" s="8">
        <v>0.0</v>
      </c>
      <c r="AF148" s="8" t="str">
        <f t="shared" si="22"/>
        <v>OK</v>
      </c>
      <c r="AG148" s="8" t="str">
        <f t="shared" si="23"/>
        <v>Skill Missing</v>
      </c>
      <c r="AH148" s="72" t="str">
        <f t="shared" si="24"/>
        <v>#REF!</v>
      </c>
      <c r="AI148" s="8" t="str">
        <f t="shared" si="25"/>
        <v>Not Found</v>
      </c>
      <c r="AJ148" s="21" t="s">
        <v>193</v>
      </c>
      <c r="AK148" s="21"/>
      <c r="AL148" s="75"/>
      <c r="AM148" s="75">
        <f t="shared" si="26"/>
        <v>16</v>
      </c>
      <c r="AN148" s="105"/>
      <c r="AO148" s="105"/>
      <c r="AP148" s="105"/>
      <c r="AQ148" s="105"/>
      <c r="AR148" s="105"/>
      <c r="AS148" s="105"/>
      <c r="AT148" s="105"/>
    </row>
    <row r="149" ht="22.5" customHeight="1">
      <c r="A149" s="87" t="s">
        <v>641</v>
      </c>
      <c r="B149" s="87" t="s">
        <v>642</v>
      </c>
      <c r="C149" s="87" t="s">
        <v>27</v>
      </c>
      <c r="D149" s="87" t="s">
        <v>211</v>
      </c>
      <c r="E149" s="87" t="s">
        <v>598</v>
      </c>
      <c r="F149" s="87" t="s">
        <v>213</v>
      </c>
      <c r="G149" s="88">
        <v>0.3333333333333333</v>
      </c>
      <c r="H149" s="88">
        <v>0.75</v>
      </c>
      <c r="I149" s="89">
        <f t="shared" si="1"/>
        <v>0.4166666667</v>
      </c>
      <c r="J149" s="90">
        <v>45792.0</v>
      </c>
      <c r="K149" s="87" t="s">
        <v>2</v>
      </c>
      <c r="L149" s="92">
        <v>19000.0</v>
      </c>
      <c r="M149" s="87" t="s">
        <v>68</v>
      </c>
      <c r="N149" s="87" t="s">
        <v>69</v>
      </c>
      <c r="O149" s="87"/>
      <c r="P149" s="167">
        <v>14300.0</v>
      </c>
      <c r="Q149" s="87"/>
      <c r="R149" s="95"/>
      <c r="S149" s="87" t="s">
        <v>217</v>
      </c>
      <c r="T149" s="87" t="s">
        <v>217</v>
      </c>
      <c r="U149" s="87"/>
      <c r="V149" s="97">
        <f t="shared" si="20"/>
        <v>14300</v>
      </c>
      <c r="W149" s="98">
        <v>0.0</v>
      </c>
      <c r="X149" s="99"/>
      <c r="Y149" s="99">
        <f t="shared" si="84"/>
        <v>14300</v>
      </c>
      <c r="Z149" s="99"/>
      <c r="AA149" s="99">
        <f t="shared" si="88"/>
        <v>19000</v>
      </c>
      <c r="AB149" s="99">
        <f t="shared" ref="AB149:AB160" si="91">IFS(AND(AA149&lt;=15000),15300,AND(AA149&gt;15000,AA149&lt;15500),AA149,AND(AA149&gt;=15500,AA149&lt;$Z$1),15500,AA149&gt;=$Z$1,AA149*$AB$2)</f>
        <v>15500</v>
      </c>
      <c r="AC149" s="101">
        <f t="shared" ref="AC149:AC183" si="92">round(IF($AA149&lt;=$Z$1,($AA149-$AB149)*AC$1,$AA149*AC$2),-1)</f>
        <v>1400</v>
      </c>
      <c r="AD149" s="101">
        <f t="shared" ref="AD149:AD183" si="93">round(IF($AA149&lt;=$Z$1,($AA149-$AB149)*AD$1,$AA149*AD$2),-1)+AA149-AB149-AC149-round(IF($AA149&lt;=$Z$1,($AA149-$AB149)*AD$1,$AA149*AD$2),-1)</f>
        <v>2100</v>
      </c>
      <c r="AE149" s="101">
        <v>0.0</v>
      </c>
      <c r="AF149" s="101" t="str">
        <f t="shared" si="22"/>
        <v>OK</v>
      </c>
      <c r="AG149" s="101" t="str">
        <f t="shared" si="23"/>
        <v>Skill Missing</v>
      </c>
      <c r="AH149" s="102" t="str">
        <f t="shared" si="24"/>
        <v>#REF!</v>
      </c>
      <c r="AI149" s="101" t="str">
        <f t="shared" si="25"/>
        <v>Not Found</v>
      </c>
      <c r="AJ149" s="103" t="s">
        <v>193</v>
      </c>
      <c r="AK149" s="103"/>
      <c r="AL149" s="121">
        <f>AM149/12</f>
        <v>1.333333333</v>
      </c>
      <c r="AM149" s="105">
        <f t="shared" si="26"/>
        <v>16</v>
      </c>
      <c r="AN149" s="75"/>
      <c r="AO149" s="75"/>
      <c r="AP149" s="75"/>
      <c r="AQ149" s="75"/>
      <c r="AR149" s="75"/>
      <c r="AS149" s="75"/>
      <c r="AT149" s="75"/>
    </row>
    <row r="150" ht="22.5" customHeight="1">
      <c r="A150" s="139" t="s">
        <v>643</v>
      </c>
      <c r="B150" s="139" t="s">
        <v>475</v>
      </c>
      <c r="C150" s="7" t="s">
        <v>27</v>
      </c>
      <c r="D150" s="7" t="s">
        <v>459</v>
      </c>
      <c r="E150" s="7" t="s">
        <v>227</v>
      </c>
      <c r="F150" s="7" t="s">
        <v>213</v>
      </c>
      <c r="G150" s="107">
        <v>0.3333333333333333</v>
      </c>
      <c r="H150" s="107">
        <v>0.75</v>
      </c>
      <c r="I150" s="51">
        <f t="shared" si="1"/>
        <v>0.4166666667</v>
      </c>
      <c r="J150" s="108">
        <v>45793.0</v>
      </c>
      <c r="K150" s="7" t="s">
        <v>2</v>
      </c>
      <c r="L150" s="10">
        <v>15220.0</v>
      </c>
      <c r="M150" s="7" t="s">
        <v>68</v>
      </c>
      <c r="N150" s="7" t="s">
        <v>69</v>
      </c>
      <c r="O150" s="7"/>
      <c r="P150" s="57">
        <v>12000.0</v>
      </c>
      <c r="Q150" s="7"/>
      <c r="R150" s="11"/>
      <c r="S150" s="7" t="s">
        <v>217</v>
      </c>
      <c r="T150" s="7" t="s">
        <v>217</v>
      </c>
      <c r="U150" s="7"/>
      <c r="V150" s="27">
        <f t="shared" si="20"/>
        <v>12000</v>
      </c>
      <c r="W150" s="13">
        <v>0.0</v>
      </c>
      <c r="X150" s="14"/>
      <c r="Y150" s="14">
        <f t="shared" si="84"/>
        <v>12000</v>
      </c>
      <c r="Z150" s="14"/>
      <c r="AA150" s="27">
        <f t="shared" si="88"/>
        <v>15220</v>
      </c>
      <c r="AB150" s="99">
        <f t="shared" si="91"/>
        <v>15220</v>
      </c>
      <c r="AC150" s="101">
        <f t="shared" si="92"/>
        <v>0</v>
      </c>
      <c r="AD150" s="120">
        <f t="shared" si="93"/>
        <v>0</v>
      </c>
      <c r="AE150" s="101">
        <v>0.0</v>
      </c>
      <c r="AF150" s="8" t="str">
        <f t="shared" si="22"/>
        <v>OK</v>
      </c>
      <c r="AG150" s="8" t="str">
        <f t="shared" si="23"/>
        <v>Skill Missing</v>
      </c>
      <c r="AH150" s="72" t="str">
        <f t="shared" si="24"/>
        <v>#REF!</v>
      </c>
      <c r="AI150" s="8" t="str">
        <f t="shared" si="25"/>
        <v>Not Found</v>
      </c>
      <c r="AJ150" s="21" t="s">
        <v>193</v>
      </c>
      <c r="AK150" s="21"/>
      <c r="AL150" s="75"/>
      <c r="AM150" s="75">
        <f t="shared" si="26"/>
        <v>16</v>
      </c>
      <c r="AN150" s="75"/>
      <c r="AO150" s="75"/>
      <c r="AP150" s="75"/>
      <c r="AQ150" s="75"/>
      <c r="AR150" s="75"/>
      <c r="AS150" s="75"/>
      <c r="AT150" s="75"/>
    </row>
    <row r="151" ht="22.5" customHeight="1">
      <c r="A151" s="87" t="s">
        <v>644</v>
      </c>
      <c r="B151" s="87" t="s">
        <v>645</v>
      </c>
      <c r="C151" s="87" t="s">
        <v>27</v>
      </c>
      <c r="D151" s="87" t="s">
        <v>211</v>
      </c>
      <c r="E151" s="87" t="s">
        <v>212</v>
      </c>
      <c r="F151" s="87" t="s">
        <v>213</v>
      </c>
      <c r="G151" s="88">
        <v>0.3333333333333333</v>
      </c>
      <c r="H151" s="88">
        <v>0.75</v>
      </c>
      <c r="I151" s="89">
        <f t="shared" si="1"/>
        <v>0.4166666667</v>
      </c>
      <c r="J151" s="90">
        <v>45803.0</v>
      </c>
      <c r="K151" s="87" t="s">
        <v>2</v>
      </c>
      <c r="L151" s="92">
        <v>15400.0</v>
      </c>
      <c r="M151" s="87" t="s">
        <v>68</v>
      </c>
      <c r="N151" s="87" t="s">
        <v>69</v>
      </c>
      <c r="O151" s="135"/>
      <c r="P151" s="136">
        <v>14000.0</v>
      </c>
      <c r="Q151" s="87"/>
      <c r="R151" s="95"/>
      <c r="S151" s="87" t="s">
        <v>217</v>
      </c>
      <c r="T151" s="87" t="s">
        <v>217</v>
      </c>
      <c r="U151" s="87"/>
      <c r="V151" s="97">
        <f t="shared" si="20"/>
        <v>14000</v>
      </c>
      <c r="W151" s="98">
        <v>0.0</v>
      </c>
      <c r="X151" s="99"/>
      <c r="Y151" s="99">
        <f t="shared" si="84"/>
        <v>14000</v>
      </c>
      <c r="Z151" s="119"/>
      <c r="AA151" s="99">
        <f t="shared" si="88"/>
        <v>15400</v>
      </c>
      <c r="AB151" s="99">
        <f t="shared" si="91"/>
        <v>15400</v>
      </c>
      <c r="AC151" s="101">
        <f t="shared" si="92"/>
        <v>0</v>
      </c>
      <c r="AD151" s="101">
        <f t="shared" si="93"/>
        <v>0</v>
      </c>
      <c r="AE151" s="101">
        <v>0.0</v>
      </c>
      <c r="AF151" s="101" t="str">
        <f t="shared" si="22"/>
        <v>OK</v>
      </c>
      <c r="AG151" s="101" t="str">
        <f t="shared" si="23"/>
        <v>Skill Missing</v>
      </c>
      <c r="AH151" s="102" t="str">
        <f t="shared" si="24"/>
        <v>#REF!</v>
      </c>
      <c r="AI151" s="101" t="str">
        <f t="shared" si="25"/>
        <v>Not Found</v>
      </c>
      <c r="AJ151" s="103" t="s">
        <v>193</v>
      </c>
      <c r="AK151" s="103"/>
      <c r="AL151" s="121">
        <f t="shared" ref="AL151:AL152" si="94">AM151/12</f>
        <v>1.333333333</v>
      </c>
      <c r="AM151" s="105">
        <f t="shared" si="26"/>
        <v>16</v>
      </c>
      <c r="AN151" s="105"/>
      <c r="AO151" s="105"/>
      <c r="AP151" s="105"/>
      <c r="AQ151" s="105"/>
      <c r="AR151" s="105"/>
      <c r="AS151" s="105"/>
      <c r="AT151" s="105"/>
    </row>
    <row r="152" ht="22.5" customHeight="1">
      <c r="A152" s="190" t="s">
        <v>646</v>
      </c>
      <c r="B152" s="87" t="s">
        <v>420</v>
      </c>
      <c r="C152" s="87" t="s">
        <v>27</v>
      </c>
      <c r="D152" s="87" t="s">
        <v>211</v>
      </c>
      <c r="E152" s="87" t="s">
        <v>212</v>
      </c>
      <c r="F152" s="87" t="s">
        <v>213</v>
      </c>
      <c r="G152" s="88">
        <v>0.3333333333333333</v>
      </c>
      <c r="H152" s="88">
        <v>0.75</v>
      </c>
      <c r="I152" s="89">
        <f t="shared" si="1"/>
        <v>0.4166666667</v>
      </c>
      <c r="J152" s="90">
        <v>45813.0</v>
      </c>
      <c r="K152" s="87" t="s">
        <v>2</v>
      </c>
      <c r="L152" s="94">
        <f t="shared" ref="L152:L154" si="95">Y152</f>
        <v>14000</v>
      </c>
      <c r="M152" s="87" t="s">
        <v>68</v>
      </c>
      <c r="N152" s="87" t="s">
        <v>69</v>
      </c>
      <c r="O152" s="135"/>
      <c r="P152" s="136">
        <v>14000.0</v>
      </c>
      <c r="Q152" s="87"/>
      <c r="R152" s="95"/>
      <c r="S152" s="87" t="s">
        <v>70</v>
      </c>
      <c r="T152" s="87" t="s">
        <v>217</v>
      </c>
      <c r="U152" s="87"/>
      <c r="V152" s="97">
        <f t="shared" si="20"/>
        <v>14000</v>
      </c>
      <c r="W152" s="98">
        <v>0.0</v>
      </c>
      <c r="X152" s="99"/>
      <c r="Y152" s="99">
        <f t="shared" si="84"/>
        <v>14000</v>
      </c>
      <c r="Z152" s="119"/>
      <c r="AA152" s="97">
        <f t="shared" si="88"/>
        <v>14000</v>
      </c>
      <c r="AB152" s="99">
        <f t="shared" si="91"/>
        <v>15300</v>
      </c>
      <c r="AC152" s="101">
        <f t="shared" si="92"/>
        <v>-520</v>
      </c>
      <c r="AD152" s="120">
        <f t="shared" si="93"/>
        <v>-780</v>
      </c>
      <c r="AE152" s="101">
        <v>0.0</v>
      </c>
      <c r="AF152" s="101" t="str">
        <f t="shared" si="22"/>
        <v>OK</v>
      </c>
      <c r="AG152" s="101" t="str">
        <f t="shared" si="23"/>
        <v>Skill Missing</v>
      </c>
      <c r="AH152" s="102" t="str">
        <f t="shared" si="24"/>
        <v>#REF!</v>
      </c>
      <c r="AI152" s="101" t="str">
        <f t="shared" si="25"/>
        <v>Not Found</v>
      </c>
      <c r="AJ152" s="103" t="s">
        <v>193</v>
      </c>
      <c r="AK152" s="103"/>
      <c r="AL152" s="121">
        <f t="shared" si="94"/>
        <v>1.25</v>
      </c>
      <c r="AM152" s="105">
        <f t="shared" si="26"/>
        <v>15</v>
      </c>
      <c r="AN152" s="75"/>
      <c r="AO152" s="75"/>
      <c r="AP152" s="75"/>
      <c r="AQ152" s="75"/>
      <c r="AR152" s="75"/>
      <c r="AS152" s="75"/>
      <c r="AT152" s="75"/>
    </row>
    <row r="153" ht="22.5" customHeight="1">
      <c r="A153" s="7" t="s">
        <v>647</v>
      </c>
      <c r="B153" s="7" t="s">
        <v>648</v>
      </c>
      <c r="C153" s="7" t="s">
        <v>621</v>
      </c>
      <c r="D153" s="7" t="s">
        <v>324</v>
      </c>
      <c r="E153" s="7" t="s">
        <v>587</v>
      </c>
      <c r="F153" s="7" t="s">
        <v>213</v>
      </c>
      <c r="G153" s="107">
        <v>0.3333333333333333</v>
      </c>
      <c r="H153" s="107">
        <v>0.75</v>
      </c>
      <c r="I153" s="51">
        <f t="shared" si="1"/>
        <v>0.4166666667</v>
      </c>
      <c r="J153" s="9">
        <v>45706.0</v>
      </c>
      <c r="K153" s="7" t="s">
        <v>2</v>
      </c>
      <c r="L153" s="10">
        <f t="shared" si="95"/>
        <v>11000</v>
      </c>
      <c r="M153" s="7" t="s">
        <v>68</v>
      </c>
      <c r="N153" s="7" t="s">
        <v>69</v>
      </c>
      <c r="O153" s="7"/>
      <c r="P153" s="10">
        <v>11000.0</v>
      </c>
      <c r="Q153" s="7"/>
      <c r="R153" s="11"/>
      <c r="S153" s="7" t="s">
        <v>217</v>
      </c>
      <c r="T153" s="7" t="s">
        <v>217</v>
      </c>
      <c r="U153" s="7"/>
      <c r="V153" s="27">
        <f t="shared" si="20"/>
        <v>11000</v>
      </c>
      <c r="W153" s="13">
        <v>0.0</v>
      </c>
      <c r="X153" s="14"/>
      <c r="Y153" s="14">
        <f t="shared" si="84"/>
        <v>11000</v>
      </c>
      <c r="Z153" s="43"/>
      <c r="AA153" s="27">
        <f t="shared" si="88"/>
        <v>11000</v>
      </c>
      <c r="AB153" s="14">
        <f t="shared" si="91"/>
        <v>15300</v>
      </c>
      <c r="AC153" s="8">
        <f t="shared" si="92"/>
        <v>-1720</v>
      </c>
      <c r="AD153" s="69">
        <f t="shared" si="93"/>
        <v>-2580</v>
      </c>
      <c r="AE153" s="8">
        <v>0.0</v>
      </c>
      <c r="AF153" s="8" t="str">
        <f t="shared" si="22"/>
        <v>OK</v>
      </c>
      <c r="AG153" s="8" t="str">
        <f t="shared" si="23"/>
        <v>Skill Missing</v>
      </c>
      <c r="AH153" s="72" t="str">
        <f t="shared" si="24"/>
        <v>#REF!</v>
      </c>
      <c r="AI153" s="8" t="str">
        <f t="shared" si="25"/>
        <v>Not Found</v>
      </c>
      <c r="AJ153" s="21" t="s">
        <v>193</v>
      </c>
      <c r="AK153" s="124"/>
      <c r="AL153" s="75"/>
      <c r="AM153" s="75">
        <f t="shared" si="26"/>
        <v>19</v>
      </c>
      <c r="AN153" s="75"/>
      <c r="AO153" s="75"/>
      <c r="AP153" s="75"/>
      <c r="AQ153" s="75"/>
      <c r="AR153" s="75"/>
      <c r="AS153" s="75"/>
      <c r="AT153" s="75"/>
    </row>
    <row r="154" ht="22.5" customHeight="1">
      <c r="A154" s="7" t="s">
        <v>649</v>
      </c>
      <c r="B154" s="7" t="s">
        <v>650</v>
      </c>
      <c r="C154" s="7" t="s">
        <v>27</v>
      </c>
      <c r="D154" s="7" t="s">
        <v>485</v>
      </c>
      <c r="E154" s="7" t="s">
        <v>206</v>
      </c>
      <c r="F154" s="7" t="s">
        <v>213</v>
      </c>
      <c r="G154" s="107">
        <v>0.375</v>
      </c>
      <c r="H154" s="107">
        <v>0.75</v>
      </c>
      <c r="I154" s="51">
        <f t="shared" si="1"/>
        <v>0.375</v>
      </c>
      <c r="J154" s="108">
        <v>45873.0</v>
      </c>
      <c r="K154" s="7" t="s">
        <v>2</v>
      </c>
      <c r="L154" s="10">
        <f t="shared" si="95"/>
        <v>15000</v>
      </c>
      <c r="M154" s="7" t="s">
        <v>68</v>
      </c>
      <c r="N154" s="7" t="s">
        <v>69</v>
      </c>
      <c r="O154" s="7"/>
      <c r="P154" s="10">
        <v>15000.0</v>
      </c>
      <c r="Q154" s="7"/>
      <c r="R154" s="11"/>
      <c r="S154" s="7" t="s">
        <v>217</v>
      </c>
      <c r="T154" s="7"/>
      <c r="U154" s="7"/>
      <c r="V154" s="27">
        <f t="shared" si="20"/>
        <v>15000</v>
      </c>
      <c r="W154" s="13">
        <v>0.0</v>
      </c>
      <c r="X154" s="14"/>
      <c r="Y154" s="14">
        <f t="shared" si="84"/>
        <v>15000</v>
      </c>
      <c r="Z154" s="43"/>
      <c r="AA154" s="27">
        <f t="shared" si="88"/>
        <v>15000</v>
      </c>
      <c r="AB154" s="14">
        <f t="shared" si="91"/>
        <v>15300</v>
      </c>
      <c r="AC154" s="8">
        <f t="shared" si="92"/>
        <v>-120</v>
      </c>
      <c r="AD154" s="69">
        <f t="shared" si="93"/>
        <v>-180</v>
      </c>
      <c r="AE154" s="8">
        <v>0.0</v>
      </c>
      <c r="AF154" s="8" t="str">
        <f t="shared" si="22"/>
        <v>OK</v>
      </c>
      <c r="AG154" s="8" t="str">
        <f t="shared" si="23"/>
        <v>Skill Missing</v>
      </c>
      <c r="AH154" s="72" t="str">
        <f t="shared" si="24"/>
        <v>#REF!</v>
      </c>
      <c r="AI154" s="8" t="str">
        <f t="shared" si="25"/>
        <v>Not Found</v>
      </c>
      <c r="AJ154" s="21"/>
      <c r="AK154" s="110"/>
      <c r="AL154" s="75"/>
      <c r="AM154" s="75">
        <f t="shared" si="26"/>
        <v>13</v>
      </c>
      <c r="AN154" s="75"/>
      <c r="AO154" s="75"/>
      <c r="AP154" s="75"/>
      <c r="AQ154" s="75"/>
      <c r="AR154" s="75"/>
      <c r="AS154" s="75"/>
      <c r="AT154" s="75"/>
    </row>
    <row r="155" ht="22.5" customHeight="1">
      <c r="A155" s="87" t="s">
        <v>651</v>
      </c>
      <c r="B155" s="87" t="s">
        <v>652</v>
      </c>
      <c r="C155" s="87" t="s">
        <v>27</v>
      </c>
      <c r="D155" s="87" t="s">
        <v>211</v>
      </c>
      <c r="E155" s="87" t="s">
        <v>245</v>
      </c>
      <c r="F155" s="87" t="s">
        <v>213</v>
      </c>
      <c r="G155" s="88">
        <v>0.3333333333333333</v>
      </c>
      <c r="H155" s="88">
        <v>0.75</v>
      </c>
      <c r="I155" s="89">
        <f t="shared" si="1"/>
        <v>0.4166666667</v>
      </c>
      <c r="J155" s="90">
        <v>45873.0</v>
      </c>
      <c r="K155" s="87" t="s">
        <v>2</v>
      </c>
      <c r="L155" s="92">
        <v>14300.0</v>
      </c>
      <c r="M155" s="87" t="s">
        <v>68</v>
      </c>
      <c r="N155" s="87" t="s">
        <v>69</v>
      </c>
      <c r="O155" s="87"/>
      <c r="P155" s="94">
        <v>13000.0</v>
      </c>
      <c r="Q155" s="87"/>
      <c r="R155" s="95"/>
      <c r="S155" s="87" t="s">
        <v>217</v>
      </c>
      <c r="T155" s="87" t="s">
        <v>217</v>
      </c>
      <c r="U155" s="87"/>
      <c r="V155" s="97">
        <f t="shared" si="20"/>
        <v>13000</v>
      </c>
      <c r="W155" s="98">
        <v>0.0</v>
      </c>
      <c r="X155" s="99"/>
      <c r="Y155" s="99">
        <f t="shared" si="84"/>
        <v>13000</v>
      </c>
      <c r="Z155" s="119"/>
      <c r="AA155" s="99">
        <f t="shared" si="88"/>
        <v>14300</v>
      </c>
      <c r="AB155" s="99">
        <f t="shared" si="91"/>
        <v>15300</v>
      </c>
      <c r="AC155" s="101">
        <f t="shared" si="92"/>
        <v>-400</v>
      </c>
      <c r="AD155" s="101">
        <f t="shared" si="93"/>
        <v>-600</v>
      </c>
      <c r="AE155" s="101">
        <v>0.0</v>
      </c>
      <c r="AF155" s="101" t="str">
        <f t="shared" si="22"/>
        <v>OK</v>
      </c>
      <c r="AG155" s="101" t="str">
        <f t="shared" si="23"/>
        <v>Skill Missing</v>
      </c>
      <c r="AH155" s="102" t="str">
        <f t="shared" si="24"/>
        <v>#REF!</v>
      </c>
      <c r="AI155" s="101" t="str">
        <f t="shared" si="25"/>
        <v>Not Found</v>
      </c>
      <c r="AJ155" s="103"/>
      <c r="AK155" s="104"/>
      <c r="AL155" s="121">
        <f t="shared" ref="AL155:AL156" si="96">AM155/12</f>
        <v>1.083333333</v>
      </c>
      <c r="AM155" s="105">
        <f t="shared" si="26"/>
        <v>13</v>
      </c>
      <c r="AN155" s="75"/>
      <c r="AO155" s="75"/>
      <c r="AP155" s="75"/>
      <c r="AQ155" s="75"/>
      <c r="AR155" s="75"/>
      <c r="AS155" s="75"/>
      <c r="AT155" s="75"/>
    </row>
    <row r="156" ht="22.5" customHeight="1">
      <c r="A156" s="87" t="s">
        <v>653</v>
      </c>
      <c r="B156" s="87" t="s">
        <v>654</v>
      </c>
      <c r="C156" s="87" t="s">
        <v>27</v>
      </c>
      <c r="D156" s="87" t="s">
        <v>211</v>
      </c>
      <c r="E156" s="87" t="s">
        <v>245</v>
      </c>
      <c r="F156" s="87" t="s">
        <v>213</v>
      </c>
      <c r="G156" s="88">
        <v>0.3333333333333333</v>
      </c>
      <c r="H156" s="88">
        <v>0.75</v>
      </c>
      <c r="I156" s="89">
        <f t="shared" si="1"/>
        <v>0.4166666667</v>
      </c>
      <c r="J156" s="90">
        <v>45873.0</v>
      </c>
      <c r="K156" s="87" t="s">
        <v>2</v>
      </c>
      <c r="L156" s="92">
        <v>14300.0</v>
      </c>
      <c r="M156" s="87" t="s">
        <v>68</v>
      </c>
      <c r="N156" s="87" t="s">
        <v>69</v>
      </c>
      <c r="O156" s="87"/>
      <c r="P156" s="94">
        <v>13000.0</v>
      </c>
      <c r="Q156" s="87"/>
      <c r="R156" s="95"/>
      <c r="S156" s="87" t="s">
        <v>217</v>
      </c>
      <c r="T156" s="87" t="s">
        <v>217</v>
      </c>
      <c r="U156" s="87"/>
      <c r="V156" s="97">
        <f t="shared" si="20"/>
        <v>13000</v>
      </c>
      <c r="W156" s="98">
        <v>0.0</v>
      </c>
      <c r="X156" s="99"/>
      <c r="Y156" s="99">
        <f t="shared" si="84"/>
        <v>13000</v>
      </c>
      <c r="Z156" s="119"/>
      <c r="AA156" s="99">
        <f t="shared" si="88"/>
        <v>14300</v>
      </c>
      <c r="AB156" s="99">
        <f t="shared" si="91"/>
        <v>15300</v>
      </c>
      <c r="AC156" s="101">
        <f t="shared" si="92"/>
        <v>-400</v>
      </c>
      <c r="AD156" s="101">
        <f t="shared" si="93"/>
        <v>-600</v>
      </c>
      <c r="AE156" s="101">
        <v>0.0</v>
      </c>
      <c r="AF156" s="101" t="str">
        <f t="shared" si="22"/>
        <v>OK</v>
      </c>
      <c r="AG156" s="101" t="str">
        <f t="shared" si="23"/>
        <v>Skill Missing</v>
      </c>
      <c r="AH156" s="102" t="str">
        <f t="shared" si="24"/>
        <v>#REF!</v>
      </c>
      <c r="AI156" s="101" t="str">
        <f t="shared" si="25"/>
        <v>Not Found</v>
      </c>
      <c r="AJ156" s="103"/>
      <c r="AK156" s="104"/>
      <c r="AL156" s="121">
        <f t="shared" si="96"/>
        <v>1.083333333</v>
      </c>
      <c r="AM156" s="105">
        <f t="shared" si="26"/>
        <v>13</v>
      </c>
      <c r="AN156" s="105"/>
      <c r="AO156" s="105"/>
      <c r="AP156" s="105"/>
      <c r="AQ156" s="105"/>
      <c r="AR156" s="105"/>
      <c r="AS156" s="105"/>
      <c r="AT156" s="105"/>
    </row>
    <row r="157" ht="22.5" customHeight="1">
      <c r="A157" s="7" t="s">
        <v>655</v>
      </c>
      <c r="B157" s="7" t="s">
        <v>656</v>
      </c>
      <c r="C157" s="7" t="s">
        <v>27</v>
      </c>
      <c r="D157" s="7" t="s">
        <v>522</v>
      </c>
      <c r="E157" s="7" t="s">
        <v>383</v>
      </c>
      <c r="F157" s="7" t="s">
        <v>213</v>
      </c>
      <c r="G157" s="107">
        <v>0.375</v>
      </c>
      <c r="H157" s="107">
        <v>0.75</v>
      </c>
      <c r="I157" s="51">
        <f t="shared" si="1"/>
        <v>0.375</v>
      </c>
      <c r="J157" s="108">
        <v>45873.0</v>
      </c>
      <c r="K157" s="7" t="s">
        <v>2</v>
      </c>
      <c r="L157" s="10">
        <v>19000.0</v>
      </c>
      <c r="M157" s="7" t="s">
        <v>68</v>
      </c>
      <c r="N157" s="7" t="s">
        <v>69</v>
      </c>
      <c r="O157" s="7"/>
      <c r="P157" s="10">
        <v>17000.0</v>
      </c>
      <c r="Q157" s="7"/>
      <c r="R157" s="11"/>
      <c r="S157" s="7" t="s">
        <v>217</v>
      </c>
      <c r="T157" s="7" t="s">
        <v>71</v>
      </c>
      <c r="U157" s="7"/>
      <c r="V157" s="27">
        <f t="shared" si="20"/>
        <v>17000</v>
      </c>
      <c r="W157" s="13">
        <v>0.0</v>
      </c>
      <c r="X157" s="14"/>
      <c r="Y157" s="14">
        <f t="shared" si="84"/>
        <v>17000</v>
      </c>
      <c r="Z157" s="43"/>
      <c r="AA157" s="27">
        <f t="shared" si="88"/>
        <v>19000</v>
      </c>
      <c r="AB157" s="14">
        <f t="shared" si="91"/>
        <v>15500</v>
      </c>
      <c r="AC157" s="8">
        <f t="shared" si="92"/>
        <v>1400</v>
      </c>
      <c r="AD157" s="69">
        <f t="shared" si="93"/>
        <v>2100</v>
      </c>
      <c r="AE157" s="8">
        <v>0.0</v>
      </c>
      <c r="AF157" s="8" t="str">
        <f t="shared" si="22"/>
        <v>OK</v>
      </c>
      <c r="AG157" s="8" t="str">
        <f t="shared" si="23"/>
        <v>Skill Missing</v>
      </c>
      <c r="AH157" s="72" t="str">
        <f t="shared" si="24"/>
        <v>#REF!</v>
      </c>
      <c r="AI157" s="8" t="str">
        <f t="shared" si="25"/>
        <v>Not Found</v>
      </c>
      <c r="AJ157" s="21"/>
      <c r="AK157" s="110"/>
      <c r="AL157" s="75"/>
      <c r="AM157" s="75">
        <f t="shared" si="26"/>
        <v>13</v>
      </c>
      <c r="AN157" s="75"/>
      <c r="AO157" s="75"/>
      <c r="AP157" s="75"/>
      <c r="AQ157" s="75"/>
      <c r="AR157" s="75"/>
      <c r="AS157" s="75"/>
      <c r="AT157" s="75"/>
    </row>
    <row r="158" ht="22.5" customHeight="1">
      <c r="A158" s="7" t="s">
        <v>657</v>
      </c>
      <c r="B158" s="1" t="s">
        <v>658</v>
      </c>
      <c r="C158" s="7" t="s">
        <v>27</v>
      </c>
      <c r="D158" s="7" t="s">
        <v>244</v>
      </c>
      <c r="E158" s="7" t="s">
        <v>252</v>
      </c>
      <c r="F158" s="7" t="s">
        <v>199</v>
      </c>
      <c r="G158" s="112">
        <v>0.375</v>
      </c>
      <c r="H158" s="112">
        <v>0.7916666666666666</v>
      </c>
      <c r="I158" s="51">
        <f t="shared" si="1"/>
        <v>0.4166666667</v>
      </c>
      <c r="J158" s="108">
        <v>45887.0</v>
      </c>
      <c r="K158" s="7" t="s">
        <v>2</v>
      </c>
      <c r="L158" s="10">
        <v>26250.0</v>
      </c>
      <c r="M158" s="7" t="s">
        <v>659</v>
      </c>
      <c r="N158" s="7" t="s">
        <v>69</v>
      </c>
      <c r="O158" s="7"/>
      <c r="P158" s="10">
        <v>25000.0</v>
      </c>
      <c r="Q158" s="7"/>
      <c r="R158" s="11"/>
      <c r="S158" s="7" t="s">
        <v>217</v>
      </c>
      <c r="T158" s="7"/>
      <c r="U158" s="7"/>
      <c r="V158" s="27">
        <f t="shared" si="20"/>
        <v>25000</v>
      </c>
      <c r="W158" s="13"/>
      <c r="X158" s="14"/>
      <c r="Y158" s="27">
        <f t="shared" si="84"/>
        <v>25000</v>
      </c>
      <c r="Z158" s="43"/>
      <c r="AA158" s="27">
        <f t="shared" si="88"/>
        <v>26250</v>
      </c>
      <c r="AB158" s="14">
        <f t="shared" si="91"/>
        <v>15500</v>
      </c>
      <c r="AC158" s="8">
        <f t="shared" si="92"/>
        <v>4300</v>
      </c>
      <c r="AD158" s="69">
        <f t="shared" si="93"/>
        <v>6450</v>
      </c>
      <c r="AE158" s="8">
        <v>0.0</v>
      </c>
      <c r="AF158" s="8" t="str">
        <f t="shared" si="22"/>
        <v>OK</v>
      </c>
      <c r="AG158" s="8" t="str">
        <f t="shared" si="23"/>
        <v>Skill Missing</v>
      </c>
      <c r="AH158" s="72" t="str">
        <f t="shared" si="24"/>
        <v>#REF!</v>
      </c>
      <c r="AI158" s="8" t="str">
        <f t="shared" si="25"/>
        <v>Not Found</v>
      </c>
      <c r="AJ158" s="21"/>
      <c r="AK158" s="110"/>
      <c r="AL158" s="75"/>
      <c r="AM158" s="75">
        <f t="shared" si="26"/>
        <v>13</v>
      </c>
      <c r="AN158" s="75"/>
      <c r="AO158" s="75"/>
      <c r="AP158" s="75"/>
      <c r="AQ158" s="75"/>
      <c r="AR158" s="75"/>
      <c r="AS158" s="75"/>
      <c r="AT158" s="75"/>
    </row>
    <row r="159" ht="22.5" customHeight="1">
      <c r="A159" s="87" t="s">
        <v>660</v>
      </c>
      <c r="B159" s="87" t="s">
        <v>661</v>
      </c>
      <c r="C159" s="87" t="s">
        <v>27</v>
      </c>
      <c r="D159" s="87" t="s">
        <v>211</v>
      </c>
      <c r="E159" s="87" t="s">
        <v>212</v>
      </c>
      <c r="F159" s="87" t="s">
        <v>213</v>
      </c>
      <c r="G159" s="88">
        <v>0.3333333333333333</v>
      </c>
      <c r="H159" s="88">
        <v>0.75</v>
      </c>
      <c r="I159" s="89">
        <f t="shared" si="1"/>
        <v>0.4166666667</v>
      </c>
      <c r="J159" s="90">
        <v>45901.0</v>
      </c>
      <c r="K159" s="87" t="s">
        <v>2</v>
      </c>
      <c r="L159" s="92">
        <v>16500.0</v>
      </c>
      <c r="M159" s="87" t="s">
        <v>659</v>
      </c>
      <c r="N159" s="87" t="s">
        <v>69</v>
      </c>
      <c r="O159" s="87"/>
      <c r="P159" s="94">
        <v>15000.0</v>
      </c>
      <c r="Q159" s="87"/>
      <c r="R159" s="95"/>
      <c r="S159" s="87" t="s">
        <v>217</v>
      </c>
      <c r="T159" s="87" t="s">
        <v>217</v>
      </c>
      <c r="U159" s="87" t="s">
        <v>247</v>
      </c>
      <c r="V159" s="97">
        <f t="shared" si="20"/>
        <v>15000</v>
      </c>
      <c r="W159" s="98">
        <v>0.0</v>
      </c>
      <c r="X159" s="99"/>
      <c r="Y159" s="99">
        <f t="shared" si="84"/>
        <v>15000</v>
      </c>
      <c r="Z159" s="119" t="s">
        <v>208</v>
      </c>
      <c r="AA159" s="99">
        <f t="shared" si="88"/>
        <v>16500</v>
      </c>
      <c r="AB159" s="99">
        <f t="shared" si="91"/>
        <v>15500</v>
      </c>
      <c r="AC159" s="101">
        <f t="shared" si="92"/>
        <v>400</v>
      </c>
      <c r="AD159" s="101">
        <f t="shared" si="93"/>
        <v>600</v>
      </c>
      <c r="AE159" s="101">
        <v>0.0</v>
      </c>
      <c r="AF159" s="101" t="str">
        <f t="shared" si="22"/>
        <v>OK</v>
      </c>
      <c r="AG159" s="101" t="str">
        <f t="shared" si="23"/>
        <v>US OK</v>
      </c>
      <c r="AH159" s="102" t="str">
        <f t="shared" si="24"/>
        <v>#REF!</v>
      </c>
      <c r="AI159" s="101" t="str">
        <f t="shared" si="25"/>
        <v>Not Found</v>
      </c>
      <c r="AJ159" s="103"/>
      <c r="AK159" s="104" t="s">
        <v>283</v>
      </c>
      <c r="AL159" s="121">
        <f>AM159/12</f>
        <v>1</v>
      </c>
      <c r="AM159" s="105">
        <f t="shared" si="26"/>
        <v>12</v>
      </c>
      <c r="AN159" s="75"/>
      <c r="AO159" s="75"/>
      <c r="AP159" s="75"/>
      <c r="AQ159" s="75"/>
      <c r="AR159" s="75"/>
      <c r="AS159" s="75"/>
      <c r="AT159" s="75"/>
    </row>
    <row r="160" ht="22.5" customHeight="1">
      <c r="A160" s="7" t="s">
        <v>662</v>
      </c>
      <c r="B160" s="7" t="s">
        <v>663</v>
      </c>
      <c r="C160" s="7" t="s">
        <v>27</v>
      </c>
      <c r="D160" s="7" t="s">
        <v>560</v>
      </c>
      <c r="E160" s="7" t="s">
        <v>664</v>
      </c>
      <c r="F160" s="7" t="s">
        <v>213</v>
      </c>
      <c r="G160" s="107">
        <v>0.3333333333333333</v>
      </c>
      <c r="H160" s="107">
        <v>0.75</v>
      </c>
      <c r="I160" s="51">
        <f t="shared" si="1"/>
        <v>0.4166666667</v>
      </c>
      <c r="J160" s="108">
        <v>45882.0</v>
      </c>
      <c r="K160" s="7" t="s">
        <v>2</v>
      </c>
      <c r="L160" s="10">
        <v>28840.0</v>
      </c>
      <c r="M160" s="7" t="s">
        <v>659</v>
      </c>
      <c r="N160" s="7" t="s">
        <v>69</v>
      </c>
      <c r="O160" s="7"/>
      <c r="P160" s="10">
        <v>28000.0</v>
      </c>
      <c r="Q160" s="7"/>
      <c r="R160" s="11"/>
      <c r="S160" s="85"/>
      <c r="T160" s="7" t="s">
        <v>217</v>
      </c>
      <c r="U160" s="7" t="s">
        <v>247</v>
      </c>
      <c r="V160" s="27">
        <f t="shared" si="20"/>
        <v>28000</v>
      </c>
      <c r="W160" s="13">
        <v>0.0</v>
      </c>
      <c r="X160" s="14"/>
      <c r="Y160" s="14">
        <f t="shared" si="84"/>
        <v>28000</v>
      </c>
      <c r="Z160" s="43" t="s">
        <v>208</v>
      </c>
      <c r="AA160" s="27">
        <f t="shared" si="88"/>
        <v>28840</v>
      </c>
      <c r="AB160" s="14">
        <f t="shared" si="91"/>
        <v>15500</v>
      </c>
      <c r="AC160" s="8">
        <f t="shared" si="92"/>
        <v>5340</v>
      </c>
      <c r="AD160" s="69">
        <f t="shared" si="93"/>
        <v>8000</v>
      </c>
      <c r="AE160" s="8">
        <v>0.0</v>
      </c>
      <c r="AF160" s="8" t="str">
        <f t="shared" si="22"/>
        <v>OK</v>
      </c>
      <c r="AG160" s="8" t="str">
        <f t="shared" si="23"/>
        <v>US OK</v>
      </c>
      <c r="AH160" s="72" t="str">
        <f t="shared" si="24"/>
        <v>#REF!</v>
      </c>
      <c r="AI160" s="8" t="str">
        <f t="shared" si="25"/>
        <v>Not Found</v>
      </c>
      <c r="AJ160" s="21"/>
      <c r="AK160" s="110" t="s">
        <v>283</v>
      </c>
      <c r="AL160" s="75"/>
      <c r="AM160" s="75">
        <f t="shared" si="26"/>
        <v>13</v>
      </c>
      <c r="AN160" s="75"/>
      <c r="AO160" s="75"/>
      <c r="AP160" s="75"/>
      <c r="AQ160" s="75"/>
      <c r="AR160" s="75"/>
      <c r="AS160" s="75"/>
      <c r="AT160" s="75"/>
    </row>
    <row r="161" ht="22.5" customHeight="1">
      <c r="A161" s="7" t="s">
        <v>665</v>
      </c>
      <c r="B161" s="7" t="s">
        <v>666</v>
      </c>
      <c r="C161" s="7" t="s">
        <v>27</v>
      </c>
      <c r="D161" s="7" t="s">
        <v>389</v>
      </c>
      <c r="E161" s="139" t="s">
        <v>348</v>
      </c>
      <c r="F161" s="7" t="s">
        <v>213</v>
      </c>
      <c r="G161" s="107">
        <v>0.375</v>
      </c>
      <c r="H161" s="107">
        <v>0.7708333333333334</v>
      </c>
      <c r="I161" s="51">
        <f t="shared" si="1"/>
        <v>0.3958333333</v>
      </c>
      <c r="J161" s="108">
        <v>45888.0</v>
      </c>
      <c r="K161" s="7" t="s">
        <v>2</v>
      </c>
      <c r="L161" s="10">
        <f t="shared" ref="L161:L162" si="97">Y161</f>
        <v>125000</v>
      </c>
      <c r="M161" s="7" t="s">
        <v>659</v>
      </c>
      <c r="N161" s="7" t="s">
        <v>69</v>
      </c>
      <c r="O161" s="7"/>
      <c r="P161" s="10">
        <v>125000.0</v>
      </c>
      <c r="Q161" s="7"/>
      <c r="R161" s="11"/>
      <c r="S161" s="7" t="s">
        <v>70</v>
      </c>
      <c r="T161" s="7" t="s">
        <v>71</v>
      </c>
      <c r="U161" s="7" t="s">
        <v>247</v>
      </c>
      <c r="V161" s="27">
        <f t="shared" si="20"/>
        <v>125000</v>
      </c>
      <c r="W161" s="13"/>
      <c r="X161" s="14"/>
      <c r="Y161" s="27">
        <f t="shared" si="84"/>
        <v>125000</v>
      </c>
      <c r="Z161" s="43" t="s">
        <v>208</v>
      </c>
      <c r="AA161" s="27">
        <f t="shared" si="88"/>
        <v>125000</v>
      </c>
      <c r="AB161" s="14"/>
      <c r="AC161" s="8">
        <f t="shared" si="92"/>
        <v>25000</v>
      </c>
      <c r="AD161" s="69">
        <f t="shared" si="93"/>
        <v>100000</v>
      </c>
      <c r="AE161" s="8">
        <v>0.0</v>
      </c>
      <c r="AF161" s="8" t="str">
        <f t="shared" si="22"/>
        <v>OK</v>
      </c>
      <c r="AG161" s="8" t="str">
        <f t="shared" si="23"/>
        <v>US OK</v>
      </c>
      <c r="AH161" s="72" t="str">
        <f t="shared" si="24"/>
        <v>#REF!</v>
      </c>
      <c r="AI161" s="8" t="str">
        <f t="shared" si="25"/>
        <v>Not Found</v>
      </c>
      <c r="AJ161" s="21"/>
      <c r="AK161" s="110" t="s">
        <v>283</v>
      </c>
      <c r="AL161" s="75"/>
      <c r="AM161" s="75">
        <f t="shared" si="26"/>
        <v>13</v>
      </c>
      <c r="AN161" s="105"/>
      <c r="AO161" s="105"/>
      <c r="AP161" s="105"/>
      <c r="AQ161" s="105"/>
      <c r="AR161" s="105"/>
      <c r="AS161" s="105"/>
      <c r="AT161" s="105"/>
    </row>
    <row r="162" ht="22.5" customHeight="1">
      <c r="A162" s="7" t="s">
        <v>667</v>
      </c>
      <c r="B162" s="7" t="s">
        <v>668</v>
      </c>
      <c r="C162" s="7" t="s">
        <v>27</v>
      </c>
      <c r="D162" s="7" t="s">
        <v>324</v>
      </c>
      <c r="E162" s="7" t="s">
        <v>198</v>
      </c>
      <c r="F162" s="7" t="s">
        <v>202</v>
      </c>
      <c r="G162" s="107">
        <v>0.375</v>
      </c>
      <c r="H162" s="107">
        <v>0.75</v>
      </c>
      <c r="I162" s="51">
        <f t="shared" si="1"/>
        <v>0.375</v>
      </c>
      <c r="J162" s="108">
        <v>45931.0</v>
      </c>
      <c r="K162" s="7" t="s">
        <v>2</v>
      </c>
      <c r="L162" s="10">
        <f t="shared" si="97"/>
        <v>30000</v>
      </c>
      <c r="M162" s="7" t="s">
        <v>659</v>
      </c>
      <c r="N162" s="7" t="s">
        <v>69</v>
      </c>
      <c r="O162" s="7"/>
      <c r="P162" s="7">
        <v>30000.0</v>
      </c>
      <c r="Q162" s="7"/>
      <c r="R162" s="78"/>
      <c r="S162" s="7"/>
      <c r="T162" s="7" t="s">
        <v>71</v>
      </c>
      <c r="U162" s="7"/>
      <c r="V162" s="27">
        <f t="shared" si="20"/>
        <v>30000</v>
      </c>
      <c r="W162" s="59">
        <v>0.0</v>
      </c>
      <c r="X162" s="14"/>
      <c r="Y162" s="14">
        <f t="shared" si="84"/>
        <v>30000</v>
      </c>
      <c r="Z162" s="14"/>
      <c r="AA162" s="27">
        <f t="shared" si="88"/>
        <v>30000</v>
      </c>
      <c r="AB162" s="14">
        <f t="shared" ref="AB162:AB183" si="98">IFS(AND(AA162&lt;=15000),15300,AND(AA162&gt;15000,AA162&lt;15500),AA162,AND(AA162&gt;=15500,AA162&lt;$Z$1),15500,AA162&gt;=$Z$1,AA162*$AB$2)</f>
        <v>15500</v>
      </c>
      <c r="AC162" s="8">
        <f t="shared" si="92"/>
        <v>5800</v>
      </c>
      <c r="AD162" s="69">
        <f t="shared" si="93"/>
        <v>8700</v>
      </c>
      <c r="AE162" s="8">
        <v>0.0</v>
      </c>
      <c r="AF162" s="8" t="str">
        <f t="shared" si="22"/>
        <v>OK</v>
      </c>
      <c r="AG162" s="8" t="str">
        <f t="shared" si="23"/>
        <v>Skill Missing</v>
      </c>
      <c r="AH162" s="72" t="str">
        <f t="shared" si="24"/>
        <v>#REF!</v>
      </c>
      <c r="AI162" s="8" t="str">
        <f t="shared" si="25"/>
        <v>Not Found</v>
      </c>
      <c r="AJ162" s="21"/>
      <c r="AK162" s="110"/>
      <c r="AL162" s="81"/>
      <c r="AM162" s="81">
        <f t="shared" si="26"/>
        <v>11</v>
      </c>
      <c r="AN162" s="81"/>
      <c r="AO162" s="81"/>
      <c r="AP162" s="81"/>
      <c r="AQ162" s="81"/>
      <c r="AR162" s="81"/>
      <c r="AS162" s="81"/>
      <c r="AT162" s="81"/>
    </row>
    <row r="163" ht="22.5" customHeight="1">
      <c r="A163" s="7" t="s">
        <v>669</v>
      </c>
      <c r="B163" s="7" t="s">
        <v>670</v>
      </c>
      <c r="C163" s="7" t="s">
        <v>27</v>
      </c>
      <c r="D163" s="7" t="s">
        <v>244</v>
      </c>
      <c r="E163" s="7" t="s">
        <v>245</v>
      </c>
      <c r="F163" s="7" t="s">
        <v>213</v>
      </c>
      <c r="G163" s="107">
        <v>0.3333333333333333</v>
      </c>
      <c r="H163" s="107">
        <v>0.75</v>
      </c>
      <c r="I163" s="51">
        <f t="shared" si="1"/>
        <v>0.4166666667</v>
      </c>
      <c r="J163" s="108">
        <v>45992.0</v>
      </c>
      <c r="K163" s="7" t="s">
        <v>2</v>
      </c>
      <c r="L163" s="10">
        <v>13595.0</v>
      </c>
      <c r="M163" s="7" t="s">
        <v>659</v>
      </c>
      <c r="N163" s="7" t="s">
        <v>69</v>
      </c>
      <c r="O163" s="7"/>
      <c r="P163" s="10">
        <v>11000.0</v>
      </c>
      <c r="Q163" s="7"/>
      <c r="R163" s="11"/>
      <c r="S163" s="7"/>
      <c r="T163" s="7" t="s">
        <v>217</v>
      </c>
      <c r="U163" s="7"/>
      <c r="V163" s="27">
        <f t="shared" si="20"/>
        <v>11000</v>
      </c>
      <c r="W163" s="13"/>
      <c r="X163" s="14"/>
      <c r="Y163" s="27">
        <f t="shared" si="84"/>
        <v>11000</v>
      </c>
      <c r="Z163" s="14"/>
      <c r="AA163" s="27">
        <f t="shared" si="88"/>
        <v>13595</v>
      </c>
      <c r="AB163" s="14">
        <f t="shared" si="98"/>
        <v>15300</v>
      </c>
      <c r="AC163" s="8">
        <f t="shared" si="92"/>
        <v>-680</v>
      </c>
      <c r="AD163" s="69">
        <f t="shared" si="93"/>
        <v>-1025</v>
      </c>
      <c r="AE163" s="8">
        <v>0.0</v>
      </c>
      <c r="AF163" s="8" t="str">
        <f t="shared" si="22"/>
        <v>OK</v>
      </c>
      <c r="AG163" s="8" t="str">
        <f t="shared" si="23"/>
        <v>Skill Missing</v>
      </c>
      <c r="AH163" s="72" t="str">
        <f t="shared" si="24"/>
        <v>#REF!</v>
      </c>
      <c r="AI163" s="8" t="str">
        <f t="shared" si="25"/>
        <v>Not Found</v>
      </c>
      <c r="AJ163" s="21"/>
      <c r="AK163" s="110"/>
      <c r="AL163" s="75"/>
      <c r="AM163" s="75">
        <f t="shared" si="26"/>
        <v>9</v>
      </c>
      <c r="AN163" s="105"/>
      <c r="AO163" s="105"/>
      <c r="AP163" s="105"/>
      <c r="AQ163" s="105"/>
      <c r="AR163" s="105"/>
      <c r="AS163" s="105"/>
      <c r="AT163" s="105"/>
    </row>
    <row r="164" ht="22.5" customHeight="1">
      <c r="A164" s="139" t="s">
        <v>671</v>
      </c>
      <c r="B164" s="139" t="s">
        <v>672</v>
      </c>
      <c r="C164" s="139" t="s">
        <v>27</v>
      </c>
      <c r="D164" s="139" t="s">
        <v>560</v>
      </c>
      <c r="E164" s="7" t="s">
        <v>252</v>
      </c>
      <c r="F164" s="7" t="s">
        <v>213</v>
      </c>
      <c r="G164" s="107">
        <v>0.3333333333333333</v>
      </c>
      <c r="H164" s="107">
        <v>0.75</v>
      </c>
      <c r="I164" s="51">
        <f t="shared" si="1"/>
        <v>0.4166666667</v>
      </c>
      <c r="J164" s="108">
        <v>45992.0</v>
      </c>
      <c r="K164" s="7" t="s">
        <v>2</v>
      </c>
      <c r="L164" s="10">
        <v>18900.0</v>
      </c>
      <c r="M164" s="7" t="s">
        <v>659</v>
      </c>
      <c r="N164" s="7" t="s">
        <v>69</v>
      </c>
      <c r="O164" s="7"/>
      <c r="P164" s="10">
        <v>18000.0</v>
      </c>
      <c r="Q164" s="7"/>
      <c r="R164" s="11"/>
      <c r="S164" s="7"/>
      <c r="T164" s="7" t="s">
        <v>217</v>
      </c>
      <c r="U164" s="7"/>
      <c r="V164" s="27">
        <f t="shared" si="20"/>
        <v>18000</v>
      </c>
      <c r="W164" s="13"/>
      <c r="X164" s="14"/>
      <c r="Y164" s="27">
        <f t="shared" si="84"/>
        <v>18000</v>
      </c>
      <c r="Z164" s="14"/>
      <c r="AA164" s="27">
        <f t="shared" si="88"/>
        <v>18900</v>
      </c>
      <c r="AB164" s="14">
        <f t="shared" si="98"/>
        <v>15500</v>
      </c>
      <c r="AC164" s="8">
        <f t="shared" si="92"/>
        <v>1360</v>
      </c>
      <c r="AD164" s="69">
        <f t="shared" si="93"/>
        <v>2040</v>
      </c>
      <c r="AE164" s="8">
        <v>0.0</v>
      </c>
      <c r="AF164" s="8" t="str">
        <f t="shared" si="22"/>
        <v>OK</v>
      </c>
      <c r="AG164" s="8" t="str">
        <f t="shared" si="23"/>
        <v>Skill Missing</v>
      </c>
      <c r="AH164" s="72" t="str">
        <f t="shared" si="24"/>
        <v>#REF!</v>
      </c>
      <c r="AI164" s="8" t="str">
        <f t="shared" si="25"/>
        <v>Not Found</v>
      </c>
      <c r="AJ164" s="21"/>
      <c r="AK164" s="110"/>
      <c r="AL164" s="75"/>
      <c r="AM164" s="75">
        <f t="shared" si="26"/>
        <v>9</v>
      </c>
      <c r="AN164" s="105"/>
      <c r="AO164" s="105"/>
      <c r="AP164" s="105"/>
      <c r="AQ164" s="105"/>
      <c r="AR164" s="105"/>
      <c r="AS164" s="105"/>
      <c r="AT164" s="105"/>
    </row>
    <row r="165" ht="22.5" customHeight="1">
      <c r="A165" s="87" t="s">
        <v>673</v>
      </c>
      <c r="B165" s="87" t="s">
        <v>674</v>
      </c>
      <c r="C165" s="87" t="s">
        <v>27</v>
      </c>
      <c r="D165" s="87" t="s">
        <v>211</v>
      </c>
      <c r="E165" s="87" t="s">
        <v>212</v>
      </c>
      <c r="F165" s="87" t="s">
        <v>213</v>
      </c>
      <c r="G165" s="88">
        <v>0.3333333333333333</v>
      </c>
      <c r="H165" s="88">
        <v>0.75</v>
      </c>
      <c r="I165" s="89">
        <f t="shared" si="1"/>
        <v>0.4166666667</v>
      </c>
      <c r="J165" s="90">
        <v>45992.0</v>
      </c>
      <c r="K165" s="87" t="s">
        <v>2</v>
      </c>
      <c r="L165" s="92">
        <v>16400.0</v>
      </c>
      <c r="M165" s="87" t="s">
        <v>659</v>
      </c>
      <c r="N165" s="87" t="s">
        <v>69</v>
      </c>
      <c r="O165" s="87"/>
      <c r="P165" s="94">
        <v>14000.0</v>
      </c>
      <c r="Q165" s="87"/>
      <c r="R165" s="95"/>
      <c r="S165" s="87"/>
      <c r="T165" s="87" t="s">
        <v>217</v>
      </c>
      <c r="U165" s="87"/>
      <c r="V165" s="97">
        <f t="shared" si="20"/>
        <v>14000</v>
      </c>
      <c r="W165" s="98"/>
      <c r="X165" s="99"/>
      <c r="Y165" s="97">
        <f t="shared" si="84"/>
        <v>14000</v>
      </c>
      <c r="Z165" s="99"/>
      <c r="AA165" s="99">
        <f t="shared" si="88"/>
        <v>16400</v>
      </c>
      <c r="AB165" s="99">
        <f t="shared" si="98"/>
        <v>15500</v>
      </c>
      <c r="AC165" s="101">
        <f t="shared" si="92"/>
        <v>360</v>
      </c>
      <c r="AD165" s="101">
        <f t="shared" si="93"/>
        <v>540</v>
      </c>
      <c r="AE165" s="101">
        <v>0.0</v>
      </c>
      <c r="AF165" s="101" t="str">
        <f t="shared" si="22"/>
        <v>OK</v>
      </c>
      <c r="AG165" s="101" t="str">
        <f t="shared" si="23"/>
        <v>Skill Missing</v>
      </c>
      <c r="AH165" s="102" t="str">
        <f t="shared" si="24"/>
        <v>#REF!</v>
      </c>
      <c r="AI165" s="101" t="str">
        <f t="shared" si="25"/>
        <v>Not Found</v>
      </c>
      <c r="AJ165" s="103"/>
      <c r="AK165" s="104"/>
      <c r="AL165" s="121">
        <f>AM165/12</f>
        <v>0.75</v>
      </c>
      <c r="AM165" s="105">
        <f t="shared" si="26"/>
        <v>9</v>
      </c>
      <c r="AN165" s="105"/>
      <c r="AO165" s="105"/>
      <c r="AP165" s="105"/>
      <c r="AQ165" s="105"/>
      <c r="AR165" s="105"/>
      <c r="AS165" s="105"/>
      <c r="AT165" s="105"/>
    </row>
    <row r="166" ht="22.5" customHeight="1">
      <c r="A166" s="7" t="s">
        <v>675</v>
      </c>
      <c r="B166" s="7" t="s">
        <v>676</v>
      </c>
      <c r="C166" s="7" t="s">
        <v>621</v>
      </c>
      <c r="D166" s="7" t="s">
        <v>389</v>
      </c>
      <c r="E166" s="7" t="s">
        <v>390</v>
      </c>
      <c r="F166" s="7" t="s">
        <v>202</v>
      </c>
      <c r="G166" s="112">
        <v>0.4166666666666667</v>
      </c>
      <c r="H166" s="112">
        <v>0.7916666666666666</v>
      </c>
      <c r="I166" s="111">
        <f t="shared" si="1"/>
        <v>0.375</v>
      </c>
      <c r="J166" s="108">
        <v>46004.0</v>
      </c>
      <c r="K166" s="7" t="s">
        <v>2</v>
      </c>
      <c r="L166" s="10">
        <f t="shared" ref="L166:L168" si="99">Y166</f>
        <v>21000</v>
      </c>
      <c r="M166" s="7" t="s">
        <v>68</v>
      </c>
      <c r="N166" s="7" t="s">
        <v>69</v>
      </c>
      <c r="O166" s="7"/>
      <c r="P166" s="10">
        <v>21000.0</v>
      </c>
      <c r="Q166" s="7"/>
      <c r="R166" s="11"/>
      <c r="S166" s="7" t="s">
        <v>217</v>
      </c>
      <c r="T166" s="7" t="s">
        <v>71</v>
      </c>
      <c r="U166" s="7"/>
      <c r="V166" s="27">
        <f t="shared" si="20"/>
        <v>21000</v>
      </c>
      <c r="W166" s="13"/>
      <c r="X166" s="14"/>
      <c r="Y166" s="27">
        <f t="shared" si="84"/>
        <v>21000</v>
      </c>
      <c r="Z166" s="14"/>
      <c r="AA166" s="27">
        <f t="shared" si="88"/>
        <v>21000</v>
      </c>
      <c r="AB166" s="14">
        <f t="shared" si="98"/>
        <v>15500</v>
      </c>
      <c r="AC166" s="8">
        <f t="shared" si="92"/>
        <v>2200</v>
      </c>
      <c r="AD166" s="69">
        <f t="shared" si="93"/>
        <v>3300</v>
      </c>
      <c r="AE166" s="8">
        <v>0.0</v>
      </c>
      <c r="AF166" s="8" t="str">
        <f t="shared" si="22"/>
        <v>OK</v>
      </c>
      <c r="AG166" s="8" t="str">
        <f t="shared" si="23"/>
        <v>Skill Missing</v>
      </c>
      <c r="AH166" s="72"/>
      <c r="AI166" s="8"/>
      <c r="AJ166" s="21"/>
      <c r="AK166" s="110"/>
      <c r="AL166" s="75"/>
      <c r="AM166" s="75">
        <f t="shared" si="26"/>
        <v>9</v>
      </c>
      <c r="AN166" s="75"/>
      <c r="AO166" s="75"/>
      <c r="AP166" s="75"/>
      <c r="AQ166" s="75"/>
      <c r="AR166" s="75"/>
      <c r="AS166" s="75"/>
      <c r="AT166" s="75"/>
    </row>
    <row r="167" ht="22.5" customHeight="1">
      <c r="A167" s="7" t="s">
        <v>677</v>
      </c>
      <c r="B167" s="7" t="s">
        <v>678</v>
      </c>
      <c r="C167" s="7" t="s">
        <v>27</v>
      </c>
      <c r="D167" s="7" t="s">
        <v>226</v>
      </c>
      <c r="E167" s="7" t="s">
        <v>245</v>
      </c>
      <c r="F167" s="7" t="s">
        <v>202</v>
      </c>
      <c r="G167" s="112">
        <v>0.375</v>
      </c>
      <c r="H167" s="112">
        <v>0.7916666666666666</v>
      </c>
      <c r="I167" s="51">
        <f t="shared" si="1"/>
        <v>0.4166666667</v>
      </c>
      <c r="J167" s="191">
        <v>46023.0</v>
      </c>
      <c r="K167" s="7" t="s">
        <v>2</v>
      </c>
      <c r="L167" s="10">
        <f t="shared" si="99"/>
        <v>13610</v>
      </c>
      <c r="M167" s="7" t="s">
        <v>68</v>
      </c>
      <c r="N167" s="192" t="s">
        <v>69</v>
      </c>
      <c r="O167" s="7"/>
      <c r="P167" s="10">
        <v>12150.0</v>
      </c>
      <c r="Q167" s="7"/>
      <c r="R167" s="11"/>
      <c r="S167" s="7" t="s">
        <v>217</v>
      </c>
      <c r="T167" s="7" t="s">
        <v>71</v>
      </c>
      <c r="U167" s="7"/>
      <c r="V167" s="27">
        <f t="shared" si="20"/>
        <v>12150</v>
      </c>
      <c r="W167" s="13">
        <v>0.12</v>
      </c>
      <c r="X167" s="14"/>
      <c r="Y167" s="14">
        <f t="shared" si="84"/>
        <v>13610</v>
      </c>
      <c r="Z167" s="14"/>
      <c r="AA167" s="14">
        <v>12150.0</v>
      </c>
      <c r="AB167" s="109">
        <f t="shared" si="98"/>
        <v>15300</v>
      </c>
      <c r="AC167" s="21">
        <f t="shared" si="92"/>
        <v>-1260</v>
      </c>
      <c r="AD167" s="21">
        <f t="shared" si="93"/>
        <v>-1890</v>
      </c>
      <c r="AE167" s="21">
        <v>0.0</v>
      </c>
      <c r="AF167" s="8" t="str">
        <f t="shared" si="22"/>
        <v>OK</v>
      </c>
      <c r="AG167" s="8"/>
      <c r="AH167" s="72"/>
      <c r="AI167" s="8"/>
      <c r="AJ167" s="21"/>
      <c r="AK167" s="110"/>
      <c r="AL167" s="75"/>
      <c r="AM167" s="75">
        <f t="shared" si="26"/>
        <v>8</v>
      </c>
      <c r="AN167" s="75"/>
      <c r="AO167" s="75"/>
      <c r="AP167" s="75"/>
      <c r="AQ167" s="75"/>
      <c r="AR167" s="75"/>
      <c r="AS167" s="75"/>
      <c r="AT167" s="75"/>
    </row>
    <row r="168" ht="22.5" customHeight="1">
      <c r="A168" s="7" t="s">
        <v>679</v>
      </c>
      <c r="B168" s="7" t="s">
        <v>680</v>
      </c>
      <c r="C168" s="7" t="s">
        <v>27</v>
      </c>
      <c r="D168" s="7" t="s">
        <v>522</v>
      </c>
      <c r="E168" s="7" t="s">
        <v>206</v>
      </c>
      <c r="F168" s="7" t="s">
        <v>213</v>
      </c>
      <c r="G168" s="112">
        <v>0.375</v>
      </c>
      <c r="H168" s="107">
        <v>0.75</v>
      </c>
      <c r="I168" s="51">
        <f t="shared" si="1"/>
        <v>0.375</v>
      </c>
      <c r="J168" s="191">
        <v>46023.0</v>
      </c>
      <c r="K168" s="7" t="s">
        <v>2</v>
      </c>
      <c r="L168" s="10">
        <f t="shared" si="99"/>
        <v>15000</v>
      </c>
      <c r="M168" s="7" t="s">
        <v>68</v>
      </c>
      <c r="N168" s="7" t="s">
        <v>69</v>
      </c>
      <c r="O168" s="7"/>
      <c r="P168" s="10">
        <v>15000.0</v>
      </c>
      <c r="Q168" s="7"/>
      <c r="R168" s="11"/>
      <c r="S168" s="7"/>
      <c r="T168" s="7" t="s">
        <v>71</v>
      </c>
      <c r="U168" s="7"/>
      <c r="V168" s="27">
        <f t="shared" si="20"/>
        <v>15000</v>
      </c>
      <c r="W168" s="13"/>
      <c r="X168" s="14"/>
      <c r="Y168" s="27">
        <f t="shared" si="84"/>
        <v>15000</v>
      </c>
      <c r="Z168" s="14"/>
      <c r="AA168" s="14">
        <v>15000.0</v>
      </c>
      <c r="AB168" s="109">
        <f t="shared" si="98"/>
        <v>15300</v>
      </c>
      <c r="AC168" s="21">
        <f t="shared" si="92"/>
        <v>-120</v>
      </c>
      <c r="AD168" s="21">
        <f t="shared" si="93"/>
        <v>-180</v>
      </c>
      <c r="AE168" s="21">
        <v>0.0</v>
      </c>
      <c r="AF168" s="8" t="str">
        <f t="shared" si="22"/>
        <v>OK</v>
      </c>
      <c r="AG168" s="8" t="str">
        <f>IF(U168="US",IF(AA168&lt;9750,"Under","US OK"),IF(U168="S",IF(AA168&lt;12000,"Under","S OK"),"Skill Missing"))</f>
        <v>Skill Missing</v>
      </c>
      <c r="AH168" s="72" t="str">
        <f>VLOOKUP(A168,'Advance Sheet'!$A$4:$A$165,1,FALSE)</f>
        <v>#REF!</v>
      </c>
      <c r="AI168" s="8" t="str">
        <f>IF(ISERROR(VLOOKUP(A168,'SNP Sal Main'!$A$3:$A1516,1,false))=FALSE,"SNP SAL",IF(ISERROR(VLOOKUP(A168,'Rest Sal Main org'!$A$3:$A1516,1,false))=FALSE,"Rest Sal","Not Found"))</f>
        <v>Not Found</v>
      </c>
      <c r="AJ168" s="21"/>
      <c r="AK168" s="110" t="s">
        <v>71</v>
      </c>
      <c r="AL168" s="75"/>
      <c r="AM168" s="75">
        <f t="shared" si="26"/>
        <v>8</v>
      </c>
      <c r="AN168" s="105"/>
      <c r="AO168" s="105"/>
      <c r="AP168" s="105"/>
      <c r="AQ168" s="105"/>
      <c r="AR168" s="105"/>
      <c r="AS168" s="105"/>
      <c r="AT168" s="105"/>
    </row>
    <row r="169" ht="22.5" customHeight="1">
      <c r="A169" s="87" t="s">
        <v>681</v>
      </c>
      <c r="B169" s="87" t="s">
        <v>682</v>
      </c>
      <c r="C169" s="87" t="s">
        <v>27</v>
      </c>
      <c r="D169" s="87" t="s">
        <v>211</v>
      </c>
      <c r="E169" s="87" t="s">
        <v>423</v>
      </c>
      <c r="F169" s="87" t="s">
        <v>213</v>
      </c>
      <c r="G169" s="116">
        <v>0.3333333333333333</v>
      </c>
      <c r="H169" s="116">
        <v>0.75</v>
      </c>
      <c r="I169" s="89">
        <f t="shared" si="1"/>
        <v>0.4166666667</v>
      </c>
      <c r="J169" s="193">
        <v>46023.0</v>
      </c>
      <c r="K169" s="87" t="s">
        <v>2</v>
      </c>
      <c r="L169" s="92">
        <v>16500.0</v>
      </c>
      <c r="M169" s="87" t="s">
        <v>68</v>
      </c>
      <c r="N169" s="87" t="s">
        <v>69</v>
      </c>
      <c r="O169" s="87"/>
      <c r="P169" s="94">
        <v>15000.0</v>
      </c>
      <c r="Q169" s="87"/>
      <c r="R169" s="95"/>
      <c r="S169" s="87" t="s">
        <v>217</v>
      </c>
      <c r="T169" s="87" t="s">
        <v>217</v>
      </c>
      <c r="U169" s="87"/>
      <c r="V169" s="97">
        <f t="shared" si="20"/>
        <v>15000</v>
      </c>
      <c r="W169" s="98"/>
      <c r="X169" s="99"/>
      <c r="Y169" s="97">
        <f t="shared" si="84"/>
        <v>15000</v>
      </c>
      <c r="Z169" s="99"/>
      <c r="AA169" s="99">
        <v>15000.0</v>
      </c>
      <c r="AB169" s="194">
        <f t="shared" si="98"/>
        <v>15300</v>
      </c>
      <c r="AC169" s="103">
        <f t="shared" si="92"/>
        <v>-120</v>
      </c>
      <c r="AD169" s="103">
        <f t="shared" si="93"/>
        <v>-180</v>
      </c>
      <c r="AE169" s="103">
        <v>0.0</v>
      </c>
      <c r="AF169" s="101" t="str">
        <f t="shared" si="22"/>
        <v>OK</v>
      </c>
      <c r="AG169" s="101"/>
      <c r="AH169" s="102"/>
      <c r="AI169" s="101"/>
      <c r="AJ169" s="103"/>
      <c r="AK169" s="104" t="s">
        <v>71</v>
      </c>
      <c r="AL169" s="121">
        <f>AM169/12</f>
        <v>0.6666666667</v>
      </c>
      <c r="AM169" s="105">
        <f t="shared" si="26"/>
        <v>8</v>
      </c>
      <c r="AN169" s="105"/>
      <c r="AO169" s="105"/>
      <c r="AP169" s="105"/>
      <c r="AQ169" s="105"/>
      <c r="AR169" s="105"/>
      <c r="AS169" s="105"/>
      <c r="AT169" s="105"/>
    </row>
    <row r="170" ht="22.5" customHeight="1">
      <c r="A170" s="87" t="s">
        <v>683</v>
      </c>
      <c r="B170" s="87" t="s">
        <v>684</v>
      </c>
      <c r="C170" s="87" t="s">
        <v>27</v>
      </c>
      <c r="D170" s="87" t="s">
        <v>211</v>
      </c>
      <c r="E170" s="87" t="s">
        <v>245</v>
      </c>
      <c r="F170" s="87" t="s">
        <v>199</v>
      </c>
      <c r="G170" s="116">
        <v>0.3333333333333333</v>
      </c>
      <c r="H170" s="116">
        <v>0.75</v>
      </c>
      <c r="I170" s="117">
        <f t="shared" si="1"/>
        <v>0.4166666667</v>
      </c>
      <c r="J170" s="90">
        <v>46034.0</v>
      </c>
      <c r="K170" s="87" t="s">
        <v>2</v>
      </c>
      <c r="L170" s="94">
        <f>Y170</f>
        <v>12000</v>
      </c>
      <c r="M170" s="87" t="s">
        <v>68</v>
      </c>
      <c r="N170" s="87" t="s">
        <v>69</v>
      </c>
      <c r="O170" s="87"/>
      <c r="P170" s="94">
        <v>12000.0</v>
      </c>
      <c r="Q170" s="87"/>
      <c r="R170" s="95"/>
      <c r="S170" s="87" t="s">
        <v>217</v>
      </c>
      <c r="T170" s="87" t="s">
        <v>217</v>
      </c>
      <c r="U170" s="87"/>
      <c r="V170" s="97">
        <f t="shared" si="20"/>
        <v>12000</v>
      </c>
      <c r="W170" s="98"/>
      <c r="X170" s="99"/>
      <c r="Y170" s="97">
        <f t="shared" si="84"/>
        <v>12000</v>
      </c>
      <c r="Z170" s="99"/>
      <c r="AA170" s="99">
        <v>12000.0</v>
      </c>
      <c r="AB170" s="194">
        <f t="shared" si="98"/>
        <v>15300</v>
      </c>
      <c r="AC170" s="103">
        <f t="shared" si="92"/>
        <v>-1320</v>
      </c>
      <c r="AD170" s="103">
        <f t="shared" si="93"/>
        <v>-1980</v>
      </c>
      <c r="AE170" s="103">
        <v>0.0</v>
      </c>
      <c r="AF170" s="101" t="str">
        <f t="shared" si="22"/>
        <v>OK</v>
      </c>
      <c r="AG170" s="101"/>
      <c r="AH170" s="102"/>
      <c r="AI170" s="101"/>
      <c r="AJ170" s="103"/>
      <c r="AK170" s="104" t="s">
        <v>71</v>
      </c>
      <c r="AL170" s="105">
        <f>if(J170="","",datedif(J170,$AM$2,"Y"))</f>
        <v>0</v>
      </c>
      <c r="AM170" s="105">
        <f t="shared" si="26"/>
        <v>8</v>
      </c>
      <c r="AN170" s="105"/>
      <c r="AO170" s="105"/>
      <c r="AP170" s="105"/>
      <c r="AQ170" s="105"/>
      <c r="AR170" s="105"/>
      <c r="AS170" s="105"/>
      <c r="AT170" s="105"/>
    </row>
    <row r="171" ht="22.5" customHeight="1">
      <c r="A171" s="7" t="s">
        <v>685</v>
      </c>
      <c r="B171" s="7" t="s">
        <v>686</v>
      </c>
      <c r="C171" s="7" t="s">
        <v>27</v>
      </c>
      <c r="D171" s="7" t="s">
        <v>244</v>
      </c>
      <c r="E171" s="7" t="s">
        <v>252</v>
      </c>
      <c r="F171" s="7" t="s">
        <v>199</v>
      </c>
      <c r="G171" s="49">
        <v>0.3333333333333333</v>
      </c>
      <c r="H171" s="49">
        <v>0.75</v>
      </c>
      <c r="I171" s="51">
        <f t="shared" si="1"/>
        <v>0.4166666667</v>
      </c>
      <c r="J171" s="108">
        <v>46057.0</v>
      </c>
      <c r="K171" s="7" t="s">
        <v>2</v>
      </c>
      <c r="L171" s="10">
        <v>15400.0</v>
      </c>
      <c r="M171" s="7" t="s">
        <v>68</v>
      </c>
      <c r="N171" s="7" t="s">
        <v>69</v>
      </c>
      <c r="O171" s="7"/>
      <c r="P171" s="10">
        <v>12000.0</v>
      </c>
      <c r="Q171" s="7"/>
      <c r="R171" s="11"/>
      <c r="S171" s="7" t="s">
        <v>217</v>
      </c>
      <c r="T171" s="7" t="s">
        <v>217</v>
      </c>
      <c r="U171" s="7"/>
      <c r="V171" s="27">
        <f t="shared" si="20"/>
        <v>12000</v>
      </c>
      <c r="W171" s="13"/>
      <c r="X171" s="14"/>
      <c r="Y171" s="27">
        <f t="shared" si="84"/>
        <v>12000</v>
      </c>
      <c r="Z171" s="14"/>
      <c r="AA171" s="14">
        <v>15400.0</v>
      </c>
      <c r="AB171" s="109">
        <f t="shared" si="98"/>
        <v>15400</v>
      </c>
      <c r="AC171" s="21">
        <f t="shared" si="92"/>
        <v>0</v>
      </c>
      <c r="AD171" s="21">
        <f t="shared" si="93"/>
        <v>0</v>
      </c>
      <c r="AE171" s="8">
        <v>0.0</v>
      </c>
      <c r="AF171" s="8" t="str">
        <f t="shared" si="22"/>
        <v>OK</v>
      </c>
      <c r="AG171" s="8"/>
      <c r="AH171" s="72"/>
      <c r="AI171" s="8"/>
      <c r="AJ171" s="21"/>
      <c r="AK171" s="110"/>
      <c r="AL171" s="75"/>
      <c r="AM171" s="75">
        <f t="shared" si="26"/>
        <v>7</v>
      </c>
      <c r="AN171" s="75"/>
      <c r="AO171" s="75"/>
      <c r="AP171" s="75"/>
      <c r="AQ171" s="75"/>
      <c r="AR171" s="75"/>
      <c r="AS171" s="75"/>
      <c r="AT171" s="75"/>
    </row>
    <row r="172" ht="22.5" customHeight="1">
      <c r="A172" s="7" t="s">
        <v>687</v>
      </c>
      <c r="B172" s="7" t="s">
        <v>688</v>
      </c>
      <c r="C172" s="7" t="s">
        <v>27</v>
      </c>
      <c r="D172" s="7" t="s">
        <v>560</v>
      </c>
      <c r="E172" s="7"/>
      <c r="F172" s="7" t="s">
        <v>213</v>
      </c>
      <c r="G172" s="49">
        <v>0.3333333333333333</v>
      </c>
      <c r="H172" s="49">
        <v>0.75</v>
      </c>
      <c r="I172" s="51">
        <f t="shared" si="1"/>
        <v>0.4166666667</v>
      </c>
      <c r="J172" s="108">
        <v>46057.0</v>
      </c>
      <c r="K172" s="7" t="s">
        <v>2</v>
      </c>
      <c r="L172" s="10">
        <v>13200.0</v>
      </c>
      <c r="M172" s="7" t="s">
        <v>68</v>
      </c>
      <c r="N172" s="7" t="s">
        <v>69</v>
      </c>
      <c r="O172" s="7"/>
      <c r="P172" s="10">
        <v>12000.0</v>
      </c>
      <c r="Q172" s="7"/>
      <c r="R172" s="11"/>
      <c r="S172" s="7" t="s">
        <v>217</v>
      </c>
      <c r="T172" s="7" t="s">
        <v>217</v>
      </c>
      <c r="U172" s="7"/>
      <c r="V172" s="27">
        <f t="shared" si="20"/>
        <v>12000</v>
      </c>
      <c r="W172" s="13"/>
      <c r="X172" s="14"/>
      <c r="Y172" s="27">
        <f t="shared" si="84"/>
        <v>12000</v>
      </c>
      <c r="Z172" s="14"/>
      <c r="AA172" s="14">
        <v>12000.0</v>
      </c>
      <c r="AB172" s="109">
        <f t="shared" si="98"/>
        <v>15300</v>
      </c>
      <c r="AC172" s="21">
        <f t="shared" si="92"/>
        <v>-1320</v>
      </c>
      <c r="AD172" s="21">
        <f t="shared" si="93"/>
        <v>-1980</v>
      </c>
      <c r="AE172" s="21">
        <v>0.0</v>
      </c>
      <c r="AF172" s="8" t="str">
        <f t="shared" si="22"/>
        <v>OK</v>
      </c>
      <c r="AG172" s="8"/>
      <c r="AH172" s="72"/>
      <c r="AI172" s="8"/>
      <c r="AJ172" s="21"/>
      <c r="AK172" s="110" t="s">
        <v>71</v>
      </c>
      <c r="AL172" s="75"/>
      <c r="AM172" s="75">
        <f t="shared" si="26"/>
        <v>7</v>
      </c>
      <c r="AN172" s="75"/>
      <c r="AO172" s="75"/>
      <c r="AP172" s="75"/>
      <c r="AQ172" s="75"/>
      <c r="AR172" s="75"/>
      <c r="AS172" s="75"/>
      <c r="AT172" s="75"/>
    </row>
    <row r="173" ht="22.5" customHeight="1">
      <c r="A173" s="7" t="s">
        <v>689</v>
      </c>
      <c r="B173" s="7" t="s">
        <v>690</v>
      </c>
      <c r="C173" s="7" t="s">
        <v>27</v>
      </c>
      <c r="D173" s="7" t="s">
        <v>244</v>
      </c>
      <c r="E173" s="7" t="s">
        <v>245</v>
      </c>
      <c r="F173" s="7" t="s">
        <v>213</v>
      </c>
      <c r="G173" s="49">
        <v>0.3333333333333333</v>
      </c>
      <c r="H173" s="49">
        <v>0.75</v>
      </c>
      <c r="I173" s="111">
        <f t="shared" si="1"/>
        <v>0.4166666667</v>
      </c>
      <c r="J173" s="108">
        <v>46057.0</v>
      </c>
      <c r="K173" s="7" t="s">
        <v>2</v>
      </c>
      <c r="L173" s="10">
        <v>14300.0</v>
      </c>
      <c r="M173" s="7" t="s">
        <v>68</v>
      </c>
      <c r="N173" s="7" t="s">
        <v>69</v>
      </c>
      <c r="O173" s="7"/>
      <c r="P173" s="10">
        <v>13000.0</v>
      </c>
      <c r="Q173" s="7"/>
      <c r="R173" s="11"/>
      <c r="S173" s="7" t="s">
        <v>217</v>
      </c>
      <c r="T173" s="7" t="s">
        <v>217</v>
      </c>
      <c r="U173" s="7"/>
      <c r="V173" s="27">
        <f t="shared" si="20"/>
        <v>13000</v>
      </c>
      <c r="W173" s="13"/>
      <c r="X173" s="14"/>
      <c r="Y173" s="27">
        <f t="shared" si="84"/>
        <v>13000</v>
      </c>
      <c r="Z173" s="14"/>
      <c r="AA173" s="14">
        <v>13000.0</v>
      </c>
      <c r="AB173" s="109">
        <f t="shared" si="98"/>
        <v>15300</v>
      </c>
      <c r="AC173" s="21">
        <f t="shared" si="92"/>
        <v>-920</v>
      </c>
      <c r="AD173" s="21">
        <f t="shared" si="93"/>
        <v>-1380</v>
      </c>
      <c r="AE173" s="21">
        <v>0.0</v>
      </c>
      <c r="AF173" s="8" t="str">
        <f t="shared" si="22"/>
        <v>OK</v>
      </c>
      <c r="AG173" s="8"/>
      <c r="AH173" s="72"/>
      <c r="AI173" s="8"/>
      <c r="AJ173" s="21"/>
      <c r="AK173" s="110" t="s">
        <v>71</v>
      </c>
      <c r="AL173" s="75"/>
      <c r="AM173" s="75">
        <f t="shared" si="26"/>
        <v>7</v>
      </c>
      <c r="AN173" s="105"/>
      <c r="AO173" s="105"/>
      <c r="AP173" s="105"/>
      <c r="AQ173" s="105"/>
      <c r="AR173" s="105"/>
      <c r="AS173" s="105"/>
      <c r="AT173" s="105"/>
    </row>
    <row r="174" ht="22.5" customHeight="1">
      <c r="A174" s="87" t="s">
        <v>691</v>
      </c>
      <c r="B174" s="87" t="s">
        <v>692</v>
      </c>
      <c r="C174" s="87" t="s">
        <v>27</v>
      </c>
      <c r="D174" s="87" t="s">
        <v>211</v>
      </c>
      <c r="E174" s="87" t="s">
        <v>592</v>
      </c>
      <c r="F174" s="87" t="s">
        <v>213</v>
      </c>
      <c r="G174" s="116">
        <v>0.3333333333333333</v>
      </c>
      <c r="H174" s="116">
        <v>0.75</v>
      </c>
      <c r="I174" s="89">
        <f t="shared" si="1"/>
        <v>0.4166666667</v>
      </c>
      <c r="J174" s="90">
        <v>46057.0</v>
      </c>
      <c r="K174" s="87" t="s">
        <v>2</v>
      </c>
      <c r="L174" s="92">
        <v>24000.0</v>
      </c>
      <c r="M174" s="87" t="s">
        <v>68</v>
      </c>
      <c r="N174" s="87" t="s">
        <v>69</v>
      </c>
      <c r="O174" s="87"/>
      <c r="P174" s="92">
        <v>18900.0</v>
      </c>
      <c r="Q174" s="87"/>
      <c r="R174" s="95"/>
      <c r="S174" s="87" t="s">
        <v>217</v>
      </c>
      <c r="T174" s="87" t="s">
        <v>217</v>
      </c>
      <c r="U174" s="87"/>
      <c r="V174" s="97">
        <f t="shared" si="20"/>
        <v>18900</v>
      </c>
      <c r="W174" s="98"/>
      <c r="X174" s="99"/>
      <c r="Y174" s="97">
        <f t="shared" si="84"/>
        <v>18900</v>
      </c>
      <c r="Z174" s="99"/>
      <c r="AA174" s="14">
        <f>L174</f>
        <v>24000</v>
      </c>
      <c r="AB174" s="109">
        <f t="shared" si="98"/>
        <v>15500</v>
      </c>
      <c r="AC174" s="21">
        <f t="shared" si="92"/>
        <v>3400</v>
      </c>
      <c r="AD174" s="21">
        <f t="shared" si="93"/>
        <v>5100</v>
      </c>
      <c r="AE174" s="103">
        <v>0.0</v>
      </c>
      <c r="AF174" s="101" t="str">
        <f t="shared" si="22"/>
        <v>OK</v>
      </c>
      <c r="AG174" s="101"/>
      <c r="AH174" s="102"/>
      <c r="AI174" s="101"/>
      <c r="AJ174" s="103"/>
      <c r="AK174" s="104" t="s">
        <v>71</v>
      </c>
      <c r="AL174" s="121">
        <f>AM174/12</f>
        <v>0.5833333333</v>
      </c>
      <c r="AM174" s="105">
        <f t="shared" si="26"/>
        <v>7</v>
      </c>
      <c r="AN174" s="75"/>
      <c r="AO174" s="75"/>
      <c r="AP174" s="75"/>
      <c r="AQ174" s="75"/>
      <c r="AR174" s="75"/>
      <c r="AS174" s="75"/>
      <c r="AT174" s="75"/>
    </row>
    <row r="175" ht="22.5" customHeight="1">
      <c r="A175" s="7" t="s">
        <v>693</v>
      </c>
      <c r="B175" s="7" t="s">
        <v>694</v>
      </c>
      <c r="C175" s="7" t="s">
        <v>27</v>
      </c>
      <c r="D175" s="7" t="s">
        <v>695</v>
      </c>
      <c r="E175" s="7" t="s">
        <v>206</v>
      </c>
      <c r="F175" s="7" t="s">
        <v>213</v>
      </c>
      <c r="G175" s="107">
        <v>0.375</v>
      </c>
      <c r="H175" s="107">
        <v>0.7708333333333334</v>
      </c>
      <c r="I175" s="111">
        <f t="shared" si="1"/>
        <v>0.3958333333</v>
      </c>
      <c r="J175" s="108">
        <v>46057.0</v>
      </c>
      <c r="K175" s="7" t="s">
        <v>2</v>
      </c>
      <c r="L175" s="10">
        <f>Y175</f>
        <v>35000</v>
      </c>
      <c r="M175" s="7" t="s">
        <v>68</v>
      </c>
      <c r="N175" s="7" t="s">
        <v>69</v>
      </c>
      <c r="O175" s="7"/>
      <c r="P175" s="10">
        <v>35000.0</v>
      </c>
      <c r="Q175" s="7"/>
      <c r="R175" s="11"/>
      <c r="S175" s="7" t="s">
        <v>217</v>
      </c>
      <c r="T175" s="7" t="s">
        <v>71</v>
      </c>
      <c r="U175" s="7"/>
      <c r="V175" s="27">
        <f t="shared" si="20"/>
        <v>35000</v>
      </c>
      <c r="W175" s="13"/>
      <c r="X175" s="14"/>
      <c r="Y175" s="27">
        <f t="shared" si="84"/>
        <v>35000</v>
      </c>
      <c r="Z175" s="14"/>
      <c r="AA175" s="7">
        <v>35000.0</v>
      </c>
      <c r="AB175" s="109">
        <f t="shared" si="98"/>
        <v>17500</v>
      </c>
      <c r="AC175" s="21">
        <f t="shared" si="92"/>
        <v>7000</v>
      </c>
      <c r="AD175" s="21">
        <f t="shared" si="93"/>
        <v>10500</v>
      </c>
      <c r="AE175" s="21">
        <v>0.0</v>
      </c>
      <c r="AF175" s="8" t="str">
        <f t="shared" si="22"/>
        <v>OK</v>
      </c>
      <c r="AG175" s="8"/>
      <c r="AH175" s="72"/>
      <c r="AI175" s="8"/>
      <c r="AJ175" s="21"/>
      <c r="AK175" s="110" t="s">
        <v>71</v>
      </c>
      <c r="AL175" s="75"/>
      <c r="AM175" s="75">
        <f t="shared" si="26"/>
        <v>7</v>
      </c>
      <c r="AN175" s="105"/>
      <c r="AO175" s="105"/>
      <c r="AP175" s="105"/>
      <c r="AQ175" s="105"/>
      <c r="AR175" s="105"/>
      <c r="AS175" s="105"/>
      <c r="AT175" s="105"/>
    </row>
    <row r="176" ht="22.5" customHeight="1">
      <c r="A176" s="7" t="s">
        <v>696</v>
      </c>
      <c r="B176" s="7" t="s">
        <v>697</v>
      </c>
      <c r="C176" s="7" t="s">
        <v>27</v>
      </c>
      <c r="D176" s="7" t="s">
        <v>244</v>
      </c>
      <c r="E176" s="7" t="s">
        <v>252</v>
      </c>
      <c r="F176" s="7" t="s">
        <v>199</v>
      </c>
      <c r="G176" s="49">
        <v>0.3333333333333333</v>
      </c>
      <c r="H176" s="49">
        <v>0.75</v>
      </c>
      <c r="I176" s="51">
        <f t="shared" si="1"/>
        <v>0.4166666667</v>
      </c>
      <c r="J176" s="108">
        <v>46057.0</v>
      </c>
      <c r="K176" s="7" t="s">
        <v>2</v>
      </c>
      <c r="L176" s="10">
        <v>15400.0</v>
      </c>
      <c r="M176" s="7" t="s">
        <v>68</v>
      </c>
      <c r="N176" s="7" t="s">
        <v>69</v>
      </c>
      <c r="O176" s="7"/>
      <c r="P176" s="10">
        <v>12000.0</v>
      </c>
      <c r="Q176" s="7"/>
      <c r="R176" s="11"/>
      <c r="S176" s="7" t="s">
        <v>217</v>
      </c>
      <c r="T176" s="7" t="s">
        <v>217</v>
      </c>
      <c r="U176" s="7"/>
      <c r="V176" s="27">
        <f t="shared" si="20"/>
        <v>12000</v>
      </c>
      <c r="W176" s="13"/>
      <c r="X176" s="14"/>
      <c r="Y176" s="27">
        <f t="shared" si="84"/>
        <v>12000</v>
      </c>
      <c r="Z176" s="14"/>
      <c r="AA176" s="27">
        <v>15400.0</v>
      </c>
      <c r="AB176" s="109">
        <f t="shared" si="98"/>
        <v>15400</v>
      </c>
      <c r="AC176" s="21">
        <f t="shared" si="92"/>
        <v>0</v>
      </c>
      <c r="AD176" s="166">
        <f t="shared" si="93"/>
        <v>0</v>
      </c>
      <c r="AE176" s="8">
        <v>0.0</v>
      </c>
      <c r="AF176" s="8" t="str">
        <f t="shared" si="22"/>
        <v>OK</v>
      </c>
      <c r="AG176" s="8"/>
      <c r="AH176" s="72"/>
      <c r="AI176" s="8"/>
      <c r="AJ176" s="21"/>
      <c r="AK176" s="110"/>
      <c r="AL176" s="75"/>
      <c r="AM176" s="75">
        <f t="shared" si="26"/>
        <v>7</v>
      </c>
      <c r="AN176" s="75"/>
      <c r="AO176" s="75"/>
      <c r="AP176" s="75"/>
      <c r="AQ176" s="75"/>
      <c r="AR176" s="75"/>
      <c r="AS176" s="75"/>
      <c r="AT176" s="75"/>
    </row>
    <row r="177" ht="22.5" customHeight="1">
      <c r="A177" s="7" t="s">
        <v>698</v>
      </c>
      <c r="B177" s="7" t="s">
        <v>215</v>
      </c>
      <c r="C177" s="7" t="s">
        <v>27</v>
      </c>
      <c r="D177" s="7"/>
      <c r="E177" s="7" t="s">
        <v>216</v>
      </c>
      <c r="F177" s="7" t="s">
        <v>213</v>
      </c>
      <c r="G177" s="107">
        <v>0.375</v>
      </c>
      <c r="H177" s="107">
        <v>0.7708333333333334</v>
      </c>
      <c r="I177" s="51">
        <f t="shared" si="1"/>
        <v>0.3958333333</v>
      </c>
      <c r="J177" s="108">
        <v>46054.0</v>
      </c>
      <c r="K177" s="7" t="s">
        <v>2</v>
      </c>
      <c r="L177" s="10">
        <v>35000.0</v>
      </c>
      <c r="M177" s="7" t="s">
        <v>659</v>
      </c>
      <c r="N177" s="7" t="s">
        <v>69</v>
      </c>
      <c r="O177" s="7"/>
      <c r="P177" s="7">
        <v>35000.0</v>
      </c>
      <c r="Q177" s="7"/>
      <c r="R177" s="78"/>
      <c r="S177" s="7" t="s">
        <v>71</v>
      </c>
      <c r="T177" s="7" t="s">
        <v>71</v>
      </c>
      <c r="U177" s="7"/>
      <c r="V177" s="27">
        <f t="shared" si="20"/>
        <v>35000</v>
      </c>
      <c r="W177" s="59">
        <v>0.0</v>
      </c>
      <c r="X177" s="14"/>
      <c r="Y177" s="14">
        <f t="shared" si="84"/>
        <v>35000</v>
      </c>
      <c r="Z177" s="14"/>
      <c r="AA177" s="14">
        <v>35000.0</v>
      </c>
      <c r="AB177" s="109">
        <f t="shared" si="98"/>
        <v>17500</v>
      </c>
      <c r="AC177" s="21">
        <f t="shared" si="92"/>
        <v>7000</v>
      </c>
      <c r="AD177" s="21">
        <f t="shared" si="93"/>
        <v>10500</v>
      </c>
      <c r="AE177" s="21">
        <v>0.0</v>
      </c>
      <c r="AF177" s="8" t="str">
        <f t="shared" si="22"/>
        <v>OK</v>
      </c>
      <c r="AG177" s="8"/>
      <c r="AH177" s="72"/>
      <c r="AI177" s="8"/>
      <c r="AJ177" s="21"/>
      <c r="AK177" s="110" t="s">
        <v>217</v>
      </c>
      <c r="AL177" s="81"/>
      <c r="AM177" s="81">
        <f t="shared" si="26"/>
        <v>7</v>
      </c>
      <c r="AN177" s="105"/>
      <c r="AO177" s="105"/>
      <c r="AP177" s="105"/>
      <c r="AQ177" s="105"/>
      <c r="AR177" s="105"/>
      <c r="AS177" s="105"/>
      <c r="AT177" s="105"/>
    </row>
    <row r="178" ht="22.5" customHeight="1">
      <c r="A178" s="87" t="s">
        <v>699</v>
      </c>
      <c r="B178" s="87" t="s">
        <v>700</v>
      </c>
      <c r="C178" s="87" t="s">
        <v>27</v>
      </c>
      <c r="D178" s="87" t="s">
        <v>701</v>
      </c>
      <c r="E178" s="87" t="s">
        <v>206</v>
      </c>
      <c r="F178" s="87" t="s">
        <v>213</v>
      </c>
      <c r="G178" s="88">
        <v>0.3333333333333333</v>
      </c>
      <c r="H178" s="88">
        <v>0.75</v>
      </c>
      <c r="I178" s="89">
        <f t="shared" si="1"/>
        <v>0.4166666667</v>
      </c>
      <c r="J178" s="90">
        <v>46062.0</v>
      </c>
      <c r="K178" s="87" t="s">
        <v>2</v>
      </c>
      <c r="L178" s="94">
        <f>Y178</f>
        <v>15000</v>
      </c>
      <c r="M178" s="87" t="s">
        <v>659</v>
      </c>
      <c r="N178" s="87" t="s">
        <v>69</v>
      </c>
      <c r="O178" s="87"/>
      <c r="P178" s="94">
        <v>15000.0</v>
      </c>
      <c r="Q178" s="87"/>
      <c r="R178" s="95"/>
      <c r="S178" s="87" t="s">
        <v>217</v>
      </c>
      <c r="T178" s="87" t="s">
        <v>217</v>
      </c>
      <c r="U178" s="87"/>
      <c r="V178" s="97">
        <f t="shared" si="20"/>
        <v>15000</v>
      </c>
      <c r="W178" s="98"/>
      <c r="X178" s="99"/>
      <c r="Y178" s="97">
        <f t="shared" si="84"/>
        <v>15000</v>
      </c>
      <c r="Z178" s="99"/>
      <c r="AA178" s="99">
        <v>15000.0</v>
      </c>
      <c r="AB178" s="99">
        <f t="shared" si="98"/>
        <v>15300</v>
      </c>
      <c r="AC178" s="101">
        <f t="shared" si="92"/>
        <v>-120</v>
      </c>
      <c r="AD178" s="101">
        <f t="shared" si="93"/>
        <v>-180</v>
      </c>
      <c r="AE178" s="101">
        <v>0.0</v>
      </c>
      <c r="AF178" s="101" t="str">
        <f t="shared" si="22"/>
        <v>OK</v>
      </c>
      <c r="AG178" s="101" t="str">
        <f t="shared" ref="AG178:AG180" si="100">IF(U178="US",IF(AA178&lt;9750,"Under","US OK"),IF(U178="S",IF(AA178&lt;12000,"Under","S OK"),"Skill Missing"))</f>
        <v>Skill Missing</v>
      </c>
      <c r="AH178" s="102" t="str">
        <f t="shared" ref="AH178:AH180" si="101">VLOOKUP(A178,'Advance Sheet'!$A$4:$A$165,1,FALSE)</f>
        <v>#REF!</v>
      </c>
      <c r="AI178" s="101" t="str">
        <f t="shared" ref="AI178:AI180" si="102">IF(ISERROR(VLOOKUP(A178,'SNP Sal Main'!$A$3:$A1516,1,false))=FALSE,"SNP SAL",IF(ISERROR(VLOOKUP(A178,'Rest Sal Main org'!$A$3:$A1516,1,false))=FALSE,"Rest Sal","Not Found"))</f>
        <v>Not Found</v>
      </c>
      <c r="AJ178" s="103"/>
      <c r="AK178" s="104" t="s">
        <v>71</v>
      </c>
      <c r="AL178" s="105">
        <f>if(J178="","",datedif(J178,$AM$2,"Y"))</f>
        <v>0</v>
      </c>
      <c r="AM178" s="105">
        <f t="shared" si="26"/>
        <v>7</v>
      </c>
      <c r="AN178" s="81"/>
      <c r="AO178" s="81"/>
      <c r="AP178" s="81"/>
      <c r="AQ178" s="81"/>
      <c r="AR178" s="81"/>
      <c r="AS178" s="81"/>
      <c r="AT178" s="81"/>
    </row>
    <row r="179" ht="22.5" customHeight="1">
      <c r="A179" s="7" t="s">
        <v>702</v>
      </c>
      <c r="B179" s="7" t="s">
        <v>703</v>
      </c>
      <c r="C179" s="7" t="s">
        <v>27</v>
      </c>
      <c r="D179" s="7" t="s">
        <v>244</v>
      </c>
      <c r="E179" s="7" t="s">
        <v>245</v>
      </c>
      <c r="F179" s="7" t="s">
        <v>213</v>
      </c>
      <c r="G179" s="49">
        <v>0.3333333333333333</v>
      </c>
      <c r="H179" s="49">
        <v>0.75</v>
      </c>
      <c r="I179" s="51">
        <f t="shared" si="1"/>
        <v>0.4166666667</v>
      </c>
      <c r="J179" s="82">
        <v>46077.0</v>
      </c>
      <c r="K179" s="7" t="s">
        <v>2</v>
      </c>
      <c r="L179" s="10">
        <v>17336.0</v>
      </c>
      <c r="M179" s="7" t="s">
        <v>68</v>
      </c>
      <c r="N179" s="83" t="s">
        <v>69</v>
      </c>
      <c r="O179" s="84">
        <v>45536.0</v>
      </c>
      <c r="P179" s="10">
        <v>15510.0</v>
      </c>
      <c r="Q179" s="7"/>
      <c r="R179" s="11"/>
      <c r="S179" s="7" t="s">
        <v>217</v>
      </c>
      <c r="T179" s="7" t="s">
        <v>217</v>
      </c>
      <c r="U179" s="7" t="s">
        <v>247</v>
      </c>
      <c r="V179" s="27">
        <f t="shared" si="20"/>
        <v>15510</v>
      </c>
      <c r="W179" s="13"/>
      <c r="X179" s="14"/>
      <c r="Y179" s="27">
        <f t="shared" si="84"/>
        <v>15510</v>
      </c>
      <c r="Z179" s="43" t="s">
        <v>704</v>
      </c>
      <c r="AA179" s="27">
        <f t="shared" ref="AA179:AA180" si="103">L179</f>
        <v>17336</v>
      </c>
      <c r="AB179" s="14">
        <f t="shared" si="98"/>
        <v>15500</v>
      </c>
      <c r="AC179" s="8">
        <f t="shared" si="92"/>
        <v>730</v>
      </c>
      <c r="AD179" s="69">
        <f t="shared" si="93"/>
        <v>1106</v>
      </c>
      <c r="AE179" s="8">
        <v>0.0</v>
      </c>
      <c r="AF179" s="8" t="str">
        <f t="shared" si="22"/>
        <v>OK</v>
      </c>
      <c r="AG179" s="8" t="str">
        <f t="shared" si="100"/>
        <v>US OK</v>
      </c>
      <c r="AH179" s="72" t="str">
        <f t="shared" si="101"/>
        <v>#REF!</v>
      </c>
      <c r="AI179" s="8" t="str">
        <f t="shared" si="102"/>
        <v>Not Found</v>
      </c>
      <c r="AJ179" s="21"/>
      <c r="AK179" s="124"/>
      <c r="AL179" s="75"/>
      <c r="AM179" s="75">
        <f t="shared" si="26"/>
        <v>7</v>
      </c>
      <c r="AN179" s="75"/>
      <c r="AO179" s="75"/>
      <c r="AP179" s="75"/>
      <c r="AQ179" s="75"/>
      <c r="AR179" s="75"/>
      <c r="AS179" s="75"/>
      <c r="AT179" s="75"/>
    </row>
    <row r="180" ht="22.5" customHeight="1">
      <c r="A180" s="7" t="s">
        <v>705</v>
      </c>
      <c r="B180" s="83" t="s">
        <v>706</v>
      </c>
      <c r="C180" s="7" t="s">
        <v>27</v>
      </c>
      <c r="D180" s="7" t="s">
        <v>244</v>
      </c>
      <c r="E180" s="7" t="s">
        <v>252</v>
      </c>
      <c r="F180" s="7" t="s">
        <v>213</v>
      </c>
      <c r="G180" s="49">
        <v>0.3333333333333333</v>
      </c>
      <c r="H180" s="49">
        <v>0.75</v>
      </c>
      <c r="I180" s="89">
        <f t="shared" si="1"/>
        <v>0.4166666667</v>
      </c>
      <c r="J180" s="82">
        <v>46017.0</v>
      </c>
      <c r="K180" s="7" t="s">
        <v>2</v>
      </c>
      <c r="L180" s="10">
        <v>16535.0</v>
      </c>
      <c r="M180" s="7" t="s">
        <v>68</v>
      </c>
      <c r="N180" s="7" t="s">
        <v>69</v>
      </c>
      <c r="O180" s="84">
        <v>45536.0</v>
      </c>
      <c r="P180" s="10">
        <v>15100.0</v>
      </c>
      <c r="Q180" s="7"/>
      <c r="R180" s="11"/>
      <c r="S180" s="7" t="s">
        <v>217</v>
      </c>
      <c r="T180" s="7" t="s">
        <v>217</v>
      </c>
      <c r="U180" s="7" t="s">
        <v>707</v>
      </c>
      <c r="V180" s="27">
        <f t="shared" si="20"/>
        <v>15100</v>
      </c>
      <c r="W180" s="13"/>
      <c r="X180" s="14"/>
      <c r="Y180" s="27">
        <f t="shared" si="84"/>
        <v>15100</v>
      </c>
      <c r="Z180" s="43" t="s">
        <v>208</v>
      </c>
      <c r="AA180" s="27">
        <f t="shared" si="103"/>
        <v>16535</v>
      </c>
      <c r="AB180" s="14">
        <f t="shared" si="98"/>
        <v>15500</v>
      </c>
      <c r="AC180" s="8">
        <f t="shared" si="92"/>
        <v>410</v>
      </c>
      <c r="AD180" s="69">
        <f t="shared" si="93"/>
        <v>625</v>
      </c>
      <c r="AE180" s="8">
        <v>0.0</v>
      </c>
      <c r="AF180" s="8" t="str">
        <f t="shared" si="22"/>
        <v>OK</v>
      </c>
      <c r="AG180" s="8" t="str">
        <f t="shared" si="100"/>
        <v>S OK</v>
      </c>
      <c r="AH180" s="72" t="str">
        <f t="shared" si="101"/>
        <v>#REF!</v>
      </c>
      <c r="AI180" s="8" t="str">
        <f t="shared" si="102"/>
        <v>Not Found</v>
      </c>
      <c r="AJ180" s="21" t="s">
        <v>193</v>
      </c>
      <c r="AK180" s="110" t="s">
        <v>283</v>
      </c>
      <c r="AL180" s="75"/>
      <c r="AM180" s="75">
        <f t="shared" si="26"/>
        <v>9</v>
      </c>
      <c r="AN180" s="75"/>
      <c r="AO180" s="75"/>
      <c r="AP180" s="75"/>
      <c r="AQ180" s="75"/>
      <c r="AR180" s="75"/>
      <c r="AS180" s="75"/>
      <c r="AT180" s="75"/>
    </row>
    <row r="181" ht="22.5" customHeight="1">
      <c r="A181" s="195" t="s">
        <v>708</v>
      </c>
      <c r="B181" s="169" t="s">
        <v>709</v>
      </c>
      <c r="C181" s="169" t="s">
        <v>27</v>
      </c>
      <c r="D181" s="169" t="s">
        <v>701</v>
      </c>
      <c r="E181" s="169" t="s">
        <v>701</v>
      </c>
      <c r="F181" s="169" t="s">
        <v>213</v>
      </c>
      <c r="G181" s="149">
        <v>0.375</v>
      </c>
      <c r="H181" s="149">
        <v>0.7708333333333334</v>
      </c>
      <c r="I181" s="89">
        <f t="shared" si="1"/>
        <v>0.3958333333</v>
      </c>
      <c r="J181" s="196">
        <v>46090.0</v>
      </c>
      <c r="K181" s="169" t="s">
        <v>2</v>
      </c>
      <c r="L181" s="197">
        <v>24000.0</v>
      </c>
      <c r="M181" s="195" t="s">
        <v>68</v>
      </c>
      <c r="N181" s="195" t="s">
        <v>69</v>
      </c>
      <c r="O181" s="171"/>
      <c r="P181" s="197">
        <v>24000.0</v>
      </c>
      <c r="Q181" s="171"/>
      <c r="R181" s="198"/>
      <c r="S181" s="168" t="s">
        <v>217</v>
      </c>
      <c r="T181" s="168" t="s">
        <v>71</v>
      </c>
      <c r="U181" s="171"/>
      <c r="V181" s="173">
        <v>24000.0</v>
      </c>
      <c r="W181" s="199"/>
      <c r="X181" s="200"/>
      <c r="Y181" s="200"/>
      <c r="Z181" s="200"/>
      <c r="AA181" s="201">
        <v>24000.0</v>
      </c>
      <c r="AB181" s="201">
        <f t="shared" si="98"/>
        <v>15500</v>
      </c>
      <c r="AC181" s="202">
        <f t="shared" si="92"/>
        <v>3400</v>
      </c>
      <c r="AD181" s="202">
        <f t="shared" si="93"/>
        <v>5100</v>
      </c>
      <c r="AE181" s="202">
        <v>0.0</v>
      </c>
      <c r="AF181" s="72" t="str">
        <f t="shared" si="22"/>
        <v>OK</v>
      </c>
      <c r="AG181" s="200"/>
      <c r="AH181" s="200"/>
      <c r="AI181" s="200"/>
      <c r="AJ181" s="171"/>
      <c r="AK181" s="203" t="s">
        <v>71</v>
      </c>
      <c r="AL181" s="204"/>
      <c r="AM181" s="177">
        <f t="shared" si="26"/>
        <v>6</v>
      </c>
      <c r="AN181" s="75"/>
      <c r="AO181" s="75"/>
      <c r="AP181" s="75"/>
      <c r="AQ181" s="75"/>
      <c r="AR181" s="75"/>
      <c r="AS181" s="75"/>
      <c r="AT181" s="75"/>
    </row>
    <row r="182" ht="22.5" customHeight="1">
      <c r="A182" s="7" t="s">
        <v>710</v>
      </c>
      <c r="B182" s="7" t="s">
        <v>711</v>
      </c>
      <c r="C182" s="7" t="s">
        <v>27</v>
      </c>
      <c r="D182" s="7" t="s">
        <v>220</v>
      </c>
      <c r="E182" s="7" t="s">
        <v>220</v>
      </c>
      <c r="F182" s="7" t="s">
        <v>213</v>
      </c>
      <c r="G182" s="7"/>
      <c r="H182" s="7"/>
      <c r="I182" s="51" t="str">
        <f t="shared" si="1"/>
        <v/>
      </c>
      <c r="J182" s="108">
        <v>46090.0</v>
      </c>
      <c r="K182" s="7" t="s">
        <v>2</v>
      </c>
      <c r="L182" s="10">
        <v>16800.0</v>
      </c>
      <c r="M182" s="7" t="s">
        <v>68</v>
      </c>
      <c r="N182" s="7" t="s">
        <v>69</v>
      </c>
      <c r="O182" s="7"/>
      <c r="P182" s="10">
        <v>16000.0</v>
      </c>
      <c r="Q182" s="7"/>
      <c r="R182" s="11"/>
      <c r="S182" s="7" t="s">
        <v>217</v>
      </c>
      <c r="T182" s="7" t="s">
        <v>217</v>
      </c>
      <c r="U182" s="7"/>
      <c r="V182" s="27">
        <v>16000.0</v>
      </c>
      <c r="W182" s="13"/>
      <c r="X182" s="14"/>
      <c r="Y182" s="14"/>
      <c r="Z182" s="14"/>
      <c r="AA182" s="14">
        <v>16800.0</v>
      </c>
      <c r="AB182" s="201">
        <f t="shared" si="98"/>
        <v>15500</v>
      </c>
      <c r="AC182" s="202">
        <f t="shared" si="92"/>
        <v>520</v>
      </c>
      <c r="AD182" s="202">
        <f t="shared" si="93"/>
        <v>780</v>
      </c>
      <c r="AE182" s="202">
        <v>0.0</v>
      </c>
      <c r="AF182" s="8" t="str">
        <f t="shared" si="22"/>
        <v>OK</v>
      </c>
      <c r="AG182" s="8"/>
      <c r="AH182" s="72"/>
      <c r="AI182" s="8"/>
      <c r="AJ182" s="21"/>
      <c r="AK182" s="110" t="s">
        <v>71</v>
      </c>
      <c r="AL182" s="75"/>
      <c r="AM182" s="75">
        <f t="shared" si="26"/>
        <v>6</v>
      </c>
      <c r="AN182" s="105"/>
      <c r="AO182" s="105"/>
      <c r="AP182" s="105"/>
      <c r="AQ182" s="105"/>
      <c r="AR182" s="105"/>
      <c r="AS182" s="105"/>
      <c r="AT182" s="105"/>
    </row>
    <row r="183" ht="22.5" customHeight="1">
      <c r="A183" s="7" t="s">
        <v>712</v>
      </c>
      <c r="B183" s="7" t="s">
        <v>713</v>
      </c>
      <c r="C183" s="7" t="s">
        <v>27</v>
      </c>
      <c r="D183" s="7" t="s">
        <v>205</v>
      </c>
      <c r="E183" s="7" t="s">
        <v>206</v>
      </c>
      <c r="F183" s="7" t="s">
        <v>213</v>
      </c>
      <c r="G183" s="107">
        <v>0.375</v>
      </c>
      <c r="H183" s="107">
        <v>0.75</v>
      </c>
      <c r="I183" s="89">
        <f t="shared" si="1"/>
        <v>0.375</v>
      </c>
      <c r="J183" s="108">
        <v>46090.0</v>
      </c>
      <c r="K183" s="7" t="s">
        <v>2</v>
      </c>
      <c r="L183" s="10">
        <v>16000.0</v>
      </c>
      <c r="M183" s="7" t="s">
        <v>68</v>
      </c>
      <c r="N183" s="7" t="s">
        <v>69</v>
      </c>
      <c r="O183" s="7"/>
      <c r="P183" s="10">
        <v>16000.0</v>
      </c>
      <c r="Q183" s="7"/>
      <c r="R183" s="11"/>
      <c r="S183" s="7" t="s">
        <v>217</v>
      </c>
      <c r="T183" s="7" t="s">
        <v>71</v>
      </c>
      <c r="U183" s="7"/>
      <c r="V183" s="27"/>
      <c r="W183" s="13"/>
      <c r="X183" s="14"/>
      <c r="Y183" s="14"/>
      <c r="Z183" s="14"/>
      <c r="AA183" s="14">
        <v>16000.0</v>
      </c>
      <c r="AB183" s="109">
        <f t="shared" si="98"/>
        <v>15500</v>
      </c>
      <c r="AC183" s="21">
        <f t="shared" si="92"/>
        <v>200</v>
      </c>
      <c r="AD183" s="21">
        <f t="shared" si="93"/>
        <v>300</v>
      </c>
      <c r="AE183" s="21">
        <v>0.0</v>
      </c>
      <c r="AF183" s="8" t="str">
        <f t="shared" si="22"/>
        <v>OK</v>
      </c>
      <c r="AG183" s="8"/>
      <c r="AH183" s="72"/>
      <c r="AI183" s="8"/>
      <c r="AJ183" s="21" t="s">
        <v>283</v>
      </c>
      <c r="AK183" s="110" t="s">
        <v>71</v>
      </c>
      <c r="AL183" s="75"/>
      <c r="AM183" s="75">
        <f t="shared" si="26"/>
        <v>6</v>
      </c>
      <c r="AN183" s="75"/>
      <c r="AO183" s="75"/>
      <c r="AP183" s="75"/>
      <c r="AQ183" s="75"/>
      <c r="AR183" s="75"/>
      <c r="AS183" s="75"/>
      <c r="AT183" s="75"/>
    </row>
    <row r="184" ht="22.5" customHeight="1">
      <c r="A184" s="7" t="s">
        <v>714</v>
      </c>
      <c r="B184" s="7" t="s">
        <v>219</v>
      </c>
      <c r="C184" s="7" t="s">
        <v>27</v>
      </c>
      <c r="D184" s="7" t="s">
        <v>220</v>
      </c>
      <c r="E184" s="7" t="s">
        <v>220</v>
      </c>
      <c r="F184" s="7" t="s">
        <v>213</v>
      </c>
      <c r="G184" s="7"/>
      <c r="H184" s="7"/>
      <c r="I184" s="205"/>
      <c r="J184" s="108">
        <v>46064.0</v>
      </c>
      <c r="K184" s="7" t="s">
        <v>2</v>
      </c>
      <c r="L184" s="10">
        <v>16800.0</v>
      </c>
      <c r="M184" s="7" t="s">
        <v>68</v>
      </c>
      <c r="N184" s="7" t="s">
        <v>69</v>
      </c>
      <c r="O184" s="7"/>
      <c r="P184" s="10">
        <v>16000.0</v>
      </c>
      <c r="Q184" s="7"/>
      <c r="R184" s="11"/>
      <c r="S184" s="7"/>
      <c r="T184" s="7" t="s">
        <v>217</v>
      </c>
      <c r="U184" s="7"/>
      <c r="V184" s="27">
        <v>16000.0</v>
      </c>
      <c r="W184" s="13"/>
      <c r="X184" s="14"/>
      <c r="Y184" s="14"/>
      <c r="Z184" s="14"/>
      <c r="AA184" s="14">
        <v>16000.0</v>
      </c>
      <c r="AB184" s="14">
        <v>15500.0</v>
      </c>
      <c r="AC184" s="8">
        <v>200.0</v>
      </c>
      <c r="AD184" s="8">
        <v>300.0</v>
      </c>
      <c r="AE184" s="8">
        <v>0.0</v>
      </c>
      <c r="AF184" s="8" t="s">
        <v>715</v>
      </c>
      <c r="AG184" s="8"/>
      <c r="AH184" s="72"/>
      <c r="AI184" s="8"/>
      <c r="AJ184" s="21"/>
      <c r="AK184" s="110"/>
      <c r="AL184" s="75"/>
      <c r="AM184" s="75">
        <f t="shared" si="26"/>
        <v>7</v>
      </c>
      <c r="AN184" s="105"/>
      <c r="AO184" s="105"/>
      <c r="AP184" s="105"/>
      <c r="AQ184" s="105"/>
      <c r="AR184" s="105"/>
      <c r="AS184" s="105"/>
      <c r="AT184" s="105"/>
    </row>
    <row r="185" ht="22.5" customHeight="1">
      <c r="A185" s="7" t="s">
        <v>716</v>
      </c>
      <c r="B185" s="7" t="s">
        <v>717</v>
      </c>
      <c r="C185" s="7" t="s">
        <v>27</v>
      </c>
      <c r="D185" s="7" t="s">
        <v>211</v>
      </c>
      <c r="E185" s="7" t="s">
        <v>212</v>
      </c>
      <c r="F185" s="7" t="s">
        <v>213</v>
      </c>
      <c r="G185" s="112">
        <v>0.3333333333333333</v>
      </c>
      <c r="H185" s="112">
        <v>0.75</v>
      </c>
      <c r="I185" s="89">
        <f t="shared" ref="I185:I245" si="104">IF(ISBLANK(H185),,H185-G185)</f>
        <v>0.4166666667</v>
      </c>
      <c r="J185" s="108">
        <v>46113.0</v>
      </c>
      <c r="K185" s="7" t="s">
        <v>2</v>
      </c>
      <c r="L185" s="17">
        <v>14300.0</v>
      </c>
      <c r="M185" s="7" t="s">
        <v>68</v>
      </c>
      <c r="N185" s="7" t="s">
        <v>69</v>
      </c>
      <c r="O185" s="7"/>
      <c r="P185" s="10"/>
      <c r="Q185" s="7"/>
      <c r="R185" s="11"/>
      <c r="S185" s="7" t="s">
        <v>217</v>
      </c>
      <c r="T185" s="7" t="s">
        <v>217</v>
      </c>
      <c r="U185" s="7"/>
      <c r="V185" s="27"/>
      <c r="W185" s="13"/>
      <c r="X185" s="14"/>
      <c r="Y185" s="14"/>
      <c r="Z185" s="14"/>
      <c r="AA185" s="14">
        <v>13000.0</v>
      </c>
      <c r="AB185" s="14">
        <f t="shared" ref="AB185:AB198" si="105">IFS(AND(AA185&lt;=15000),15300,AND(AA185&gt;15000,AA185&lt;15500),AA185,AND(AA185&gt;=15500,AA185&lt;$Z$1),15500,AA185&gt;=$Z$1,AA185*$AB$2)</f>
        <v>15300</v>
      </c>
      <c r="AC185" s="8">
        <f t="shared" ref="AC185:AC198" si="106">round(IF($AA185&lt;=$Z$1,($AA185-$AB185)*AC$1,$AA185*AC$2),-1)</f>
        <v>-920</v>
      </c>
      <c r="AD185" s="8">
        <f t="shared" ref="AD185:AD198" si="107">round(IF($AA185&lt;=$Z$1,($AA185-$AB185)*AD$1,$AA185*AD$2),-1)+AA185-AB185-AC185-round(IF($AA185&lt;=$Z$1,($AA185-$AB185)*AD$1,$AA185*AD$2),-1)</f>
        <v>-1380</v>
      </c>
      <c r="AE185" s="8">
        <v>0.0</v>
      </c>
      <c r="AF185" s="8" t="str">
        <f>IF(SUM(AB185:AE185)=AA185,"OK","NO")</f>
        <v>OK</v>
      </c>
      <c r="AG185" s="8"/>
      <c r="AH185" s="72"/>
      <c r="AI185" s="8"/>
      <c r="AJ185" s="21"/>
      <c r="AK185" s="110" t="s">
        <v>71</v>
      </c>
      <c r="AL185" s="75"/>
      <c r="AM185" s="75">
        <f t="shared" si="26"/>
        <v>5</v>
      </c>
      <c r="AN185" s="75"/>
      <c r="AO185" s="75"/>
      <c r="AP185" s="75"/>
      <c r="AQ185" s="75"/>
      <c r="AR185" s="75"/>
      <c r="AS185" s="75"/>
      <c r="AT185" s="75"/>
    </row>
    <row r="186" ht="22.5" customHeight="1">
      <c r="A186" s="7" t="s">
        <v>718</v>
      </c>
      <c r="B186" s="7" t="s">
        <v>719</v>
      </c>
      <c r="C186" s="7" t="s">
        <v>27</v>
      </c>
      <c r="D186" s="7" t="s">
        <v>211</v>
      </c>
      <c r="E186" s="7" t="s">
        <v>592</v>
      </c>
      <c r="F186" s="7" t="s">
        <v>213</v>
      </c>
      <c r="G186" s="112">
        <v>0.3333333333333333</v>
      </c>
      <c r="H186" s="112">
        <v>0.75</v>
      </c>
      <c r="I186" s="89">
        <f t="shared" si="104"/>
        <v>0.4166666667</v>
      </c>
      <c r="J186" s="108">
        <v>46113.0</v>
      </c>
      <c r="K186" s="7" t="s">
        <v>2</v>
      </c>
      <c r="L186" s="17">
        <v>16500.0</v>
      </c>
      <c r="M186" s="7" t="s">
        <v>68</v>
      </c>
      <c r="N186" s="7" t="s">
        <v>69</v>
      </c>
      <c r="O186" s="7"/>
      <c r="P186" s="10"/>
      <c r="Q186" s="7"/>
      <c r="R186" s="11"/>
      <c r="S186" s="7" t="s">
        <v>217</v>
      </c>
      <c r="T186" s="7" t="s">
        <v>217</v>
      </c>
      <c r="U186" s="7"/>
      <c r="V186" s="27"/>
      <c r="W186" s="13"/>
      <c r="X186" s="14"/>
      <c r="Y186" s="14"/>
      <c r="Z186" s="14"/>
      <c r="AA186" s="27">
        <v>15000.0</v>
      </c>
      <c r="AB186" s="14">
        <f t="shared" si="105"/>
        <v>15300</v>
      </c>
      <c r="AC186" s="8">
        <f t="shared" si="106"/>
        <v>-120</v>
      </c>
      <c r="AD186" s="69">
        <f t="shared" si="107"/>
        <v>-180</v>
      </c>
      <c r="AE186" s="8">
        <v>0.0</v>
      </c>
      <c r="AF186" s="8"/>
      <c r="AG186" s="8"/>
      <c r="AH186" s="72"/>
      <c r="AI186" s="8"/>
      <c r="AJ186" s="21"/>
      <c r="AK186" s="110" t="s">
        <v>71</v>
      </c>
      <c r="AL186" s="121">
        <f>AM186/12</f>
        <v>0.4166666667</v>
      </c>
      <c r="AM186" s="75">
        <f t="shared" si="26"/>
        <v>5</v>
      </c>
      <c r="AN186" s="75"/>
      <c r="AO186" s="75"/>
      <c r="AP186" s="75"/>
      <c r="AQ186" s="75"/>
      <c r="AR186" s="75"/>
      <c r="AS186" s="75"/>
      <c r="AT186" s="75"/>
    </row>
    <row r="187" ht="22.5" customHeight="1">
      <c r="A187" s="7" t="s">
        <v>720</v>
      </c>
      <c r="B187" s="7" t="s">
        <v>721</v>
      </c>
      <c r="C187" s="7" t="s">
        <v>27</v>
      </c>
      <c r="D187" s="7" t="s">
        <v>560</v>
      </c>
      <c r="E187" s="7" t="s">
        <v>664</v>
      </c>
      <c r="F187" s="7" t="s">
        <v>213</v>
      </c>
      <c r="G187" s="112">
        <v>0.3333333333333333</v>
      </c>
      <c r="H187" s="112">
        <v>0.75</v>
      </c>
      <c r="I187" s="89">
        <f t="shared" si="104"/>
        <v>0.4166666667</v>
      </c>
      <c r="J187" s="108">
        <v>46113.0</v>
      </c>
      <c r="K187" s="7" t="s">
        <v>2</v>
      </c>
      <c r="L187" s="10">
        <v>16500.0</v>
      </c>
      <c r="M187" s="7" t="s">
        <v>68</v>
      </c>
      <c r="N187" s="7" t="s">
        <v>69</v>
      </c>
      <c r="O187" s="7"/>
      <c r="P187" s="10"/>
      <c r="Q187" s="7"/>
      <c r="R187" s="11"/>
      <c r="S187" s="7" t="s">
        <v>217</v>
      </c>
      <c r="T187" s="7" t="s">
        <v>217</v>
      </c>
      <c r="U187" s="7"/>
      <c r="V187" s="27"/>
      <c r="W187" s="13"/>
      <c r="X187" s="14"/>
      <c r="Y187" s="14"/>
      <c r="Z187" s="14"/>
      <c r="AA187" s="27">
        <f t="shared" ref="AA187:AA243" si="108">L187</f>
        <v>16500</v>
      </c>
      <c r="AB187" s="14">
        <f t="shared" si="105"/>
        <v>15500</v>
      </c>
      <c r="AC187" s="8">
        <f t="shared" si="106"/>
        <v>400</v>
      </c>
      <c r="AD187" s="69">
        <f t="shared" si="107"/>
        <v>600</v>
      </c>
      <c r="AE187" s="8">
        <v>0.0</v>
      </c>
      <c r="AF187" s="8"/>
      <c r="AG187" s="8"/>
      <c r="AH187" s="72"/>
      <c r="AI187" s="8"/>
      <c r="AJ187" s="21"/>
      <c r="AK187" s="110" t="s">
        <v>71</v>
      </c>
      <c r="AL187" s="75"/>
      <c r="AM187" s="75">
        <f t="shared" si="26"/>
        <v>5</v>
      </c>
      <c r="AN187" s="105"/>
      <c r="AO187" s="105"/>
      <c r="AP187" s="105"/>
      <c r="AQ187" s="105"/>
      <c r="AR187" s="105"/>
      <c r="AS187" s="105"/>
      <c r="AT187" s="105"/>
    </row>
    <row r="188" ht="22.5" customHeight="1">
      <c r="A188" s="7" t="s">
        <v>722</v>
      </c>
      <c r="B188" s="7" t="s">
        <v>723</v>
      </c>
      <c r="C188" s="7" t="s">
        <v>27</v>
      </c>
      <c r="D188" s="7" t="s">
        <v>211</v>
      </c>
      <c r="E188" s="7" t="s">
        <v>511</v>
      </c>
      <c r="F188" s="7" t="s">
        <v>213</v>
      </c>
      <c r="G188" s="112">
        <v>0.3333333333333333</v>
      </c>
      <c r="H188" s="112">
        <v>0.75</v>
      </c>
      <c r="I188" s="89">
        <f t="shared" si="104"/>
        <v>0.4166666667</v>
      </c>
      <c r="J188" s="108">
        <v>46116.0</v>
      </c>
      <c r="K188" s="7" t="s">
        <v>2</v>
      </c>
      <c r="L188" s="10">
        <v>26000.0</v>
      </c>
      <c r="M188" s="7" t="s">
        <v>68</v>
      </c>
      <c r="N188" s="7" t="s">
        <v>69</v>
      </c>
      <c r="O188" s="7"/>
      <c r="P188" s="10"/>
      <c r="Q188" s="7"/>
      <c r="R188" s="11"/>
      <c r="S188" s="7" t="s">
        <v>217</v>
      </c>
      <c r="T188" s="7" t="s">
        <v>217</v>
      </c>
      <c r="U188" s="7"/>
      <c r="V188" s="27"/>
      <c r="W188" s="13"/>
      <c r="X188" s="14"/>
      <c r="Y188" s="14"/>
      <c r="Z188" s="14"/>
      <c r="AA188" s="27">
        <f t="shared" si="108"/>
        <v>26000</v>
      </c>
      <c r="AB188" s="14">
        <f t="shared" si="105"/>
        <v>15500</v>
      </c>
      <c r="AC188" s="8">
        <f t="shared" si="106"/>
        <v>4200</v>
      </c>
      <c r="AD188" s="69">
        <f t="shared" si="107"/>
        <v>6300</v>
      </c>
      <c r="AE188" s="8">
        <v>0.0</v>
      </c>
      <c r="AF188" s="8"/>
      <c r="AG188" s="8"/>
      <c r="AH188" s="72"/>
      <c r="AI188" s="8"/>
      <c r="AJ188" s="21"/>
      <c r="AK188" s="110" t="s">
        <v>71</v>
      </c>
      <c r="AL188" s="121">
        <f>AM188/12</f>
        <v>0.4166666667</v>
      </c>
      <c r="AM188" s="75">
        <f t="shared" si="26"/>
        <v>5</v>
      </c>
      <c r="AN188" s="75"/>
      <c r="AO188" s="75"/>
      <c r="AP188" s="75"/>
      <c r="AQ188" s="75"/>
      <c r="AR188" s="75"/>
      <c r="AS188" s="75"/>
      <c r="AT188" s="75"/>
    </row>
    <row r="189" ht="22.5" customHeight="1">
      <c r="A189" s="7" t="s">
        <v>724</v>
      </c>
      <c r="B189" s="7" t="s">
        <v>725</v>
      </c>
      <c r="C189" s="7" t="s">
        <v>27</v>
      </c>
      <c r="D189" s="7" t="s">
        <v>211</v>
      </c>
      <c r="E189" s="7" t="s">
        <v>212</v>
      </c>
      <c r="F189" s="7" t="s">
        <v>213</v>
      </c>
      <c r="G189" s="112">
        <v>0.3333333333333333</v>
      </c>
      <c r="H189" s="112">
        <v>0.75</v>
      </c>
      <c r="I189" s="89">
        <f t="shared" si="104"/>
        <v>0.4166666667</v>
      </c>
      <c r="J189" s="108">
        <v>46118.0</v>
      </c>
      <c r="K189" s="7" t="s">
        <v>2</v>
      </c>
      <c r="L189" s="10">
        <v>16500.0</v>
      </c>
      <c r="M189" s="7" t="s">
        <v>68</v>
      </c>
      <c r="N189" s="7" t="s">
        <v>69</v>
      </c>
      <c r="O189" s="7"/>
      <c r="P189" s="10"/>
      <c r="Q189" s="7"/>
      <c r="R189" s="11"/>
      <c r="S189" s="7" t="s">
        <v>217</v>
      </c>
      <c r="T189" s="7" t="s">
        <v>217</v>
      </c>
      <c r="U189" s="7"/>
      <c r="V189" s="27"/>
      <c r="W189" s="13"/>
      <c r="X189" s="14"/>
      <c r="Y189" s="14"/>
      <c r="Z189" s="14"/>
      <c r="AA189" s="27">
        <f t="shared" si="108"/>
        <v>16500</v>
      </c>
      <c r="AB189" s="14">
        <f t="shared" si="105"/>
        <v>15500</v>
      </c>
      <c r="AC189" s="8">
        <f t="shared" si="106"/>
        <v>400</v>
      </c>
      <c r="AD189" s="69">
        <f t="shared" si="107"/>
        <v>600</v>
      </c>
      <c r="AE189" s="8">
        <v>0.0</v>
      </c>
      <c r="AF189" s="8"/>
      <c r="AG189" s="8"/>
      <c r="AH189" s="72"/>
      <c r="AI189" s="8"/>
      <c r="AJ189" s="21"/>
      <c r="AK189" s="110" t="s">
        <v>71</v>
      </c>
      <c r="AL189" s="75"/>
      <c r="AM189" s="75">
        <f t="shared" si="26"/>
        <v>5</v>
      </c>
      <c r="AN189" s="75"/>
      <c r="AO189" s="75"/>
      <c r="AP189" s="75"/>
      <c r="AQ189" s="75"/>
      <c r="AR189" s="75"/>
      <c r="AS189" s="75"/>
      <c r="AT189" s="75"/>
    </row>
    <row r="190" ht="22.5" customHeight="1">
      <c r="A190" s="7" t="s">
        <v>726</v>
      </c>
      <c r="B190" s="7" t="s">
        <v>727</v>
      </c>
      <c r="C190" s="7" t="s">
        <v>27</v>
      </c>
      <c r="D190" s="7" t="s">
        <v>485</v>
      </c>
      <c r="E190" s="7" t="s">
        <v>206</v>
      </c>
      <c r="F190" s="7" t="s">
        <v>213</v>
      </c>
      <c r="G190" s="107">
        <v>0.375</v>
      </c>
      <c r="H190" s="107">
        <v>0.75</v>
      </c>
      <c r="I190" s="89">
        <f t="shared" si="104"/>
        <v>0.375</v>
      </c>
      <c r="J190" s="108">
        <v>46118.0</v>
      </c>
      <c r="K190" s="7" t="s">
        <v>2</v>
      </c>
      <c r="L190" s="10">
        <v>12000.0</v>
      </c>
      <c r="M190" s="7" t="s">
        <v>68</v>
      </c>
      <c r="N190" s="7" t="s">
        <v>69</v>
      </c>
      <c r="O190" s="7"/>
      <c r="P190" s="10"/>
      <c r="Q190" s="7"/>
      <c r="R190" s="11"/>
      <c r="S190" s="7" t="s">
        <v>217</v>
      </c>
      <c r="T190" s="7" t="s">
        <v>71</v>
      </c>
      <c r="U190" s="7"/>
      <c r="V190" s="27"/>
      <c r="W190" s="13"/>
      <c r="X190" s="14"/>
      <c r="Y190" s="14"/>
      <c r="Z190" s="14"/>
      <c r="AA190" s="27">
        <f t="shared" si="108"/>
        <v>12000</v>
      </c>
      <c r="AB190" s="14">
        <f t="shared" si="105"/>
        <v>15300</v>
      </c>
      <c r="AC190" s="8">
        <f t="shared" si="106"/>
        <v>-1320</v>
      </c>
      <c r="AD190" s="69">
        <f t="shared" si="107"/>
        <v>-1980</v>
      </c>
      <c r="AE190" s="8">
        <v>0.0</v>
      </c>
      <c r="AF190" s="8"/>
      <c r="AG190" s="8"/>
      <c r="AH190" s="72"/>
      <c r="AI190" s="8"/>
      <c r="AJ190" s="21"/>
      <c r="AK190" s="110" t="s">
        <v>71</v>
      </c>
      <c r="AL190" s="75"/>
      <c r="AM190" s="75">
        <f t="shared" si="26"/>
        <v>5</v>
      </c>
      <c r="AN190" s="75"/>
      <c r="AO190" s="75"/>
      <c r="AP190" s="75"/>
      <c r="AQ190" s="75"/>
      <c r="AR190" s="75"/>
      <c r="AS190" s="75"/>
      <c r="AT190" s="75"/>
    </row>
    <row r="191" ht="22.5" customHeight="1">
      <c r="A191" s="7" t="s">
        <v>728</v>
      </c>
      <c r="B191" s="7" t="s">
        <v>425</v>
      </c>
      <c r="C191" s="7" t="s">
        <v>27</v>
      </c>
      <c r="D191" s="7" t="s">
        <v>211</v>
      </c>
      <c r="E191" s="7" t="s">
        <v>423</v>
      </c>
      <c r="F191" s="7" t="s">
        <v>213</v>
      </c>
      <c r="G191" s="88">
        <v>0.3333333333333333</v>
      </c>
      <c r="H191" s="88">
        <v>0.75</v>
      </c>
      <c r="I191" s="51">
        <f t="shared" si="104"/>
        <v>0.4166666667</v>
      </c>
      <c r="J191" s="108">
        <v>46121.0</v>
      </c>
      <c r="K191" s="7" t="s">
        <v>2</v>
      </c>
      <c r="L191" s="17">
        <v>16800.0</v>
      </c>
      <c r="M191" s="7" t="s">
        <v>68</v>
      </c>
      <c r="N191" s="7" t="s">
        <v>69</v>
      </c>
      <c r="O191" s="7"/>
      <c r="P191" s="10"/>
      <c r="Q191" s="7"/>
      <c r="R191" s="11"/>
      <c r="S191" s="7"/>
      <c r="T191" s="7" t="s">
        <v>217</v>
      </c>
      <c r="U191" s="7"/>
      <c r="V191" s="27"/>
      <c r="W191" s="13"/>
      <c r="X191" s="14"/>
      <c r="Y191" s="14"/>
      <c r="Z191" s="14"/>
      <c r="AA191" s="14">
        <f t="shared" si="108"/>
        <v>16800</v>
      </c>
      <c r="AB191" s="14">
        <f t="shared" si="105"/>
        <v>15500</v>
      </c>
      <c r="AC191" s="8">
        <f t="shared" si="106"/>
        <v>520</v>
      </c>
      <c r="AD191" s="8">
        <f t="shared" si="107"/>
        <v>780</v>
      </c>
      <c r="AE191" s="8">
        <v>0.0</v>
      </c>
      <c r="AF191" s="8" t="str">
        <f t="shared" ref="AF191:AF235" si="109">IF(SUM(AB191:AE191)=AA191,"OK","NO")</f>
        <v>OK</v>
      </c>
      <c r="AG191" s="8" t="str">
        <f t="shared" ref="AG191:AG235" si="110">IF(U191="US",IF(AA191&lt;9750,"Under","US OK"),IF(U191="S",IF(AA191&lt;12000,"Under","S OK"),"Skill Missing"))</f>
        <v>Skill Missing</v>
      </c>
      <c r="AH191" s="72"/>
      <c r="AI191" s="8" t="str">
        <f t="shared" ref="AI191:AI210" si="111">IF(ISERROR(VLOOKUP(A191,'SNP Sal Main'!$A$3:$A1516,1,false))=FALSE,"SNP SAL",IF(ISERROR(VLOOKUP(A191,'Rest Sal Main org'!$A$3:$A1516,1,false))=FALSE,"Rest Sal","Not Found"))</f>
        <v>Not Found</v>
      </c>
      <c r="AJ191" s="21"/>
      <c r="AK191" s="110" t="s">
        <v>71</v>
      </c>
      <c r="AL191" s="121">
        <f t="shared" ref="AL191:AL192" si="112">AM191/12</f>
        <v>0.4166666667</v>
      </c>
      <c r="AM191" s="75">
        <f t="shared" si="26"/>
        <v>5</v>
      </c>
      <c r="AN191" s="105"/>
      <c r="AO191" s="105"/>
      <c r="AP191" s="105"/>
      <c r="AQ191" s="105"/>
      <c r="AR191" s="105"/>
      <c r="AS191" s="105"/>
      <c r="AT191" s="105"/>
    </row>
    <row r="192" ht="22.5" customHeight="1">
      <c r="A192" s="7" t="s">
        <v>729</v>
      </c>
      <c r="B192" s="7" t="s">
        <v>730</v>
      </c>
      <c r="C192" s="7" t="s">
        <v>27</v>
      </c>
      <c r="D192" s="7" t="s">
        <v>211</v>
      </c>
      <c r="E192" s="7" t="s">
        <v>212</v>
      </c>
      <c r="F192" s="7" t="s">
        <v>213</v>
      </c>
      <c r="G192" s="112">
        <v>0.3333333333333333</v>
      </c>
      <c r="H192" s="112">
        <v>0.75</v>
      </c>
      <c r="I192" s="51">
        <f t="shared" si="104"/>
        <v>0.4166666667</v>
      </c>
      <c r="J192" s="108">
        <v>46140.0</v>
      </c>
      <c r="K192" s="7" t="s">
        <v>2</v>
      </c>
      <c r="L192" s="10">
        <v>16250.0</v>
      </c>
      <c r="M192" s="7" t="s">
        <v>68</v>
      </c>
      <c r="N192" s="7" t="s">
        <v>69</v>
      </c>
      <c r="O192" s="7"/>
      <c r="P192" s="10"/>
      <c r="Q192" s="7"/>
      <c r="R192" s="11"/>
      <c r="S192" s="7"/>
      <c r="T192" s="7" t="s">
        <v>217</v>
      </c>
      <c r="U192" s="7"/>
      <c r="V192" s="27"/>
      <c r="W192" s="13"/>
      <c r="X192" s="14"/>
      <c r="Y192" s="14"/>
      <c r="Z192" s="14"/>
      <c r="AA192" s="27">
        <f t="shared" si="108"/>
        <v>16250</v>
      </c>
      <c r="AB192" s="14">
        <f t="shared" si="105"/>
        <v>15500</v>
      </c>
      <c r="AC192" s="8">
        <f t="shared" si="106"/>
        <v>300</v>
      </c>
      <c r="AD192" s="69">
        <f t="shared" si="107"/>
        <v>450</v>
      </c>
      <c r="AE192" s="8">
        <v>0.0</v>
      </c>
      <c r="AF192" s="8" t="str">
        <f t="shared" si="109"/>
        <v>OK</v>
      </c>
      <c r="AG192" s="8" t="str">
        <f t="shared" si="110"/>
        <v>Skill Missing</v>
      </c>
      <c r="AH192" s="72"/>
      <c r="AI192" s="8" t="str">
        <f t="shared" si="111"/>
        <v>Not Found</v>
      </c>
      <c r="AJ192" s="21"/>
      <c r="AK192" s="110"/>
      <c r="AL192" s="121">
        <f t="shared" si="112"/>
        <v>0.3333333333</v>
      </c>
      <c r="AM192" s="75">
        <f t="shared" si="26"/>
        <v>4</v>
      </c>
      <c r="AN192" s="75"/>
      <c r="AO192" s="75"/>
      <c r="AP192" s="75"/>
      <c r="AQ192" s="75"/>
      <c r="AR192" s="75"/>
      <c r="AS192" s="75"/>
      <c r="AT192" s="75"/>
    </row>
    <row r="193" ht="22.5" customHeight="1">
      <c r="A193" s="7" t="s">
        <v>731</v>
      </c>
      <c r="B193" s="7" t="s">
        <v>732</v>
      </c>
      <c r="C193" s="7" t="s">
        <v>27</v>
      </c>
      <c r="D193" s="7" t="s">
        <v>244</v>
      </c>
      <c r="E193" s="7" t="s">
        <v>733</v>
      </c>
      <c r="F193" s="7" t="s">
        <v>199</v>
      </c>
      <c r="G193" s="112">
        <v>0.375</v>
      </c>
      <c r="H193" s="112">
        <v>0.75</v>
      </c>
      <c r="I193" s="51">
        <f t="shared" si="104"/>
        <v>0.375</v>
      </c>
      <c r="J193" s="108">
        <v>46122.0</v>
      </c>
      <c r="K193" s="7" t="s">
        <v>2</v>
      </c>
      <c r="L193" s="10">
        <v>15400.0</v>
      </c>
      <c r="M193" s="7" t="s">
        <v>68</v>
      </c>
      <c r="N193" s="7" t="s">
        <v>69</v>
      </c>
      <c r="O193" s="7"/>
      <c r="P193" s="10"/>
      <c r="Q193" s="7"/>
      <c r="R193" s="11"/>
      <c r="S193" s="7"/>
      <c r="T193" s="7"/>
      <c r="U193" s="7"/>
      <c r="V193" s="27"/>
      <c r="W193" s="13"/>
      <c r="X193" s="14"/>
      <c r="Y193" s="14"/>
      <c r="Z193" s="14"/>
      <c r="AA193" s="27">
        <f t="shared" si="108"/>
        <v>15400</v>
      </c>
      <c r="AB193" s="14">
        <f t="shared" si="105"/>
        <v>15400</v>
      </c>
      <c r="AC193" s="8">
        <f t="shared" si="106"/>
        <v>0</v>
      </c>
      <c r="AD193" s="69">
        <f t="shared" si="107"/>
        <v>0</v>
      </c>
      <c r="AE193" s="8">
        <v>0.0</v>
      </c>
      <c r="AF193" s="8" t="str">
        <f t="shared" si="109"/>
        <v>OK</v>
      </c>
      <c r="AG193" s="8" t="str">
        <f t="shared" si="110"/>
        <v>Skill Missing</v>
      </c>
      <c r="AH193" s="72"/>
      <c r="AI193" s="8" t="str">
        <f t="shared" si="111"/>
        <v>Not Found</v>
      </c>
      <c r="AJ193" s="21"/>
      <c r="AK193" s="110"/>
      <c r="AL193" s="75"/>
      <c r="AM193" s="75">
        <f t="shared" si="26"/>
        <v>5</v>
      </c>
      <c r="AN193" s="75"/>
      <c r="AO193" s="75"/>
      <c r="AP193" s="75"/>
      <c r="AQ193" s="75"/>
      <c r="AR193" s="75"/>
      <c r="AS193" s="75"/>
      <c r="AT193" s="75"/>
    </row>
    <row r="194" ht="22.5" customHeight="1">
      <c r="A194" s="7" t="s">
        <v>734</v>
      </c>
      <c r="B194" s="7" t="s">
        <v>735</v>
      </c>
      <c r="C194" s="7" t="s">
        <v>27</v>
      </c>
      <c r="D194" s="7" t="s">
        <v>560</v>
      </c>
      <c r="E194" s="7" t="s">
        <v>736</v>
      </c>
      <c r="F194" s="7" t="s">
        <v>213</v>
      </c>
      <c r="G194" s="112">
        <v>0.3333333333333333</v>
      </c>
      <c r="H194" s="112">
        <v>0.75</v>
      </c>
      <c r="I194" s="51">
        <f t="shared" si="104"/>
        <v>0.4166666667</v>
      </c>
      <c r="J194" s="108">
        <v>46143.0</v>
      </c>
      <c r="K194" s="7" t="s">
        <v>2</v>
      </c>
      <c r="L194" s="10">
        <v>16000.0</v>
      </c>
      <c r="M194" s="7" t="s">
        <v>68</v>
      </c>
      <c r="N194" s="7" t="s">
        <v>69</v>
      </c>
      <c r="O194" s="7"/>
      <c r="P194" s="10"/>
      <c r="Q194" s="7"/>
      <c r="R194" s="11"/>
      <c r="S194" s="7"/>
      <c r="T194" s="7" t="s">
        <v>217</v>
      </c>
      <c r="U194" s="7"/>
      <c r="V194" s="27"/>
      <c r="W194" s="13"/>
      <c r="X194" s="14"/>
      <c r="Y194" s="14"/>
      <c r="Z194" s="14"/>
      <c r="AA194" s="27">
        <f t="shared" si="108"/>
        <v>16000</v>
      </c>
      <c r="AB194" s="14">
        <f t="shared" si="105"/>
        <v>15500</v>
      </c>
      <c r="AC194" s="8">
        <f t="shared" si="106"/>
        <v>200</v>
      </c>
      <c r="AD194" s="69">
        <f t="shared" si="107"/>
        <v>300</v>
      </c>
      <c r="AE194" s="8">
        <v>0.0</v>
      </c>
      <c r="AF194" s="8" t="str">
        <f t="shared" si="109"/>
        <v>OK</v>
      </c>
      <c r="AG194" s="8" t="str">
        <f t="shared" si="110"/>
        <v>Skill Missing</v>
      </c>
      <c r="AH194" s="72"/>
      <c r="AI194" s="8" t="str">
        <f t="shared" si="111"/>
        <v>Not Found</v>
      </c>
      <c r="AJ194" s="21"/>
      <c r="AK194" s="110"/>
      <c r="AL194" s="75"/>
      <c r="AM194" s="75">
        <f t="shared" si="26"/>
        <v>4</v>
      </c>
      <c r="AN194" s="105"/>
      <c r="AO194" s="105"/>
      <c r="AP194" s="105"/>
      <c r="AQ194" s="105"/>
      <c r="AR194" s="105"/>
      <c r="AS194" s="105"/>
      <c r="AT194" s="105"/>
    </row>
    <row r="195" ht="22.5" customHeight="1">
      <c r="A195" s="7" t="s">
        <v>737</v>
      </c>
      <c r="B195" s="7" t="s">
        <v>738</v>
      </c>
      <c r="C195" s="7" t="s">
        <v>27</v>
      </c>
      <c r="D195" s="7" t="s">
        <v>244</v>
      </c>
      <c r="E195" s="7" t="s">
        <v>739</v>
      </c>
      <c r="F195" s="7" t="s">
        <v>213</v>
      </c>
      <c r="G195" s="112">
        <v>0.3333333333333333</v>
      </c>
      <c r="H195" s="112">
        <v>0.75</v>
      </c>
      <c r="I195" s="51">
        <f t="shared" si="104"/>
        <v>0.4166666667</v>
      </c>
      <c r="J195" s="108">
        <v>46146.0</v>
      </c>
      <c r="K195" s="7" t="s">
        <v>2</v>
      </c>
      <c r="L195" s="10">
        <v>16000.0</v>
      </c>
      <c r="M195" s="7" t="s">
        <v>68</v>
      </c>
      <c r="N195" s="7" t="s">
        <v>69</v>
      </c>
      <c r="O195" s="7"/>
      <c r="P195" s="10"/>
      <c r="Q195" s="7"/>
      <c r="R195" s="11"/>
      <c r="S195" s="7"/>
      <c r="T195" s="7" t="s">
        <v>217</v>
      </c>
      <c r="U195" s="7"/>
      <c r="V195" s="27"/>
      <c r="W195" s="13"/>
      <c r="X195" s="14"/>
      <c r="Y195" s="14"/>
      <c r="Z195" s="14"/>
      <c r="AA195" s="27">
        <f t="shared" si="108"/>
        <v>16000</v>
      </c>
      <c r="AB195" s="14">
        <f t="shared" si="105"/>
        <v>15500</v>
      </c>
      <c r="AC195" s="8">
        <f t="shared" si="106"/>
        <v>200</v>
      </c>
      <c r="AD195" s="69">
        <f t="shared" si="107"/>
        <v>300</v>
      </c>
      <c r="AE195" s="8">
        <v>0.0</v>
      </c>
      <c r="AF195" s="8" t="str">
        <f t="shared" si="109"/>
        <v>OK</v>
      </c>
      <c r="AG195" s="8" t="str">
        <f t="shared" si="110"/>
        <v>Skill Missing</v>
      </c>
      <c r="AH195" s="72"/>
      <c r="AI195" s="8" t="str">
        <f t="shared" si="111"/>
        <v>Not Found</v>
      </c>
      <c r="AJ195" s="21"/>
      <c r="AK195" s="110"/>
      <c r="AL195" s="75"/>
      <c r="AM195" s="75">
        <f t="shared" si="26"/>
        <v>4</v>
      </c>
      <c r="AN195" s="105"/>
      <c r="AO195" s="105"/>
      <c r="AP195" s="105"/>
      <c r="AQ195" s="105"/>
      <c r="AR195" s="105"/>
      <c r="AS195" s="105"/>
      <c r="AT195" s="105"/>
    </row>
    <row r="196" ht="22.5" customHeight="1">
      <c r="A196" s="7" t="s">
        <v>740</v>
      </c>
      <c r="B196" s="7" t="s">
        <v>741</v>
      </c>
      <c r="C196" s="7" t="s">
        <v>27</v>
      </c>
      <c r="D196" s="7" t="s">
        <v>211</v>
      </c>
      <c r="E196" s="87" t="s">
        <v>412</v>
      </c>
      <c r="F196" s="7" t="s">
        <v>213</v>
      </c>
      <c r="G196" s="112">
        <v>0.3333333333333333</v>
      </c>
      <c r="H196" s="112">
        <v>0.75</v>
      </c>
      <c r="I196" s="51">
        <f t="shared" si="104"/>
        <v>0.4166666667</v>
      </c>
      <c r="J196" s="108">
        <v>46146.0</v>
      </c>
      <c r="K196" s="7" t="s">
        <v>2</v>
      </c>
      <c r="L196" s="10">
        <v>50000.0</v>
      </c>
      <c r="M196" s="7" t="s">
        <v>68</v>
      </c>
      <c r="N196" s="7" t="s">
        <v>69</v>
      </c>
      <c r="O196" s="7"/>
      <c r="P196" s="10">
        <v>45000.0</v>
      </c>
      <c r="Q196" s="7"/>
      <c r="R196" s="11"/>
      <c r="S196" s="7"/>
      <c r="T196" s="7" t="s">
        <v>71</v>
      </c>
      <c r="U196" s="7"/>
      <c r="V196" s="27"/>
      <c r="W196" s="13"/>
      <c r="X196" s="14"/>
      <c r="Y196" s="14"/>
      <c r="Z196" s="14"/>
      <c r="AA196" s="27">
        <f t="shared" si="108"/>
        <v>50000</v>
      </c>
      <c r="AB196" s="14">
        <f t="shared" si="105"/>
        <v>25000</v>
      </c>
      <c r="AC196" s="8">
        <f t="shared" si="106"/>
        <v>10000</v>
      </c>
      <c r="AD196" s="69">
        <f t="shared" si="107"/>
        <v>15000</v>
      </c>
      <c r="AE196" s="8">
        <v>0.0</v>
      </c>
      <c r="AF196" s="8" t="str">
        <f t="shared" si="109"/>
        <v>OK</v>
      </c>
      <c r="AG196" s="8" t="str">
        <f t="shared" si="110"/>
        <v>Skill Missing</v>
      </c>
      <c r="AH196" s="72"/>
      <c r="AI196" s="8" t="str">
        <f t="shared" si="111"/>
        <v>Not Found</v>
      </c>
      <c r="AJ196" s="21"/>
      <c r="AK196" s="110"/>
      <c r="AL196" s="121">
        <f t="shared" ref="AL196:AL197" si="113">AM196/12</f>
        <v>0.3333333333</v>
      </c>
      <c r="AM196" s="75">
        <f t="shared" si="26"/>
        <v>4</v>
      </c>
      <c r="AN196" s="75"/>
      <c r="AO196" s="75"/>
      <c r="AP196" s="75"/>
      <c r="AQ196" s="75"/>
      <c r="AR196" s="75"/>
      <c r="AS196" s="75"/>
      <c r="AT196" s="75"/>
    </row>
    <row r="197" ht="22.5" customHeight="1">
      <c r="A197" s="7" t="s">
        <v>742</v>
      </c>
      <c r="B197" s="7" t="s">
        <v>743</v>
      </c>
      <c r="C197" s="7" t="s">
        <v>27</v>
      </c>
      <c r="D197" s="7" t="s">
        <v>211</v>
      </c>
      <c r="E197" s="7" t="s">
        <v>212</v>
      </c>
      <c r="F197" s="7" t="s">
        <v>213</v>
      </c>
      <c r="G197" s="112">
        <v>0.3333333333333333</v>
      </c>
      <c r="H197" s="112">
        <v>0.75</v>
      </c>
      <c r="I197" s="51">
        <f t="shared" si="104"/>
        <v>0.4166666667</v>
      </c>
      <c r="J197" s="108">
        <v>46146.0</v>
      </c>
      <c r="K197" s="7" t="s">
        <v>2</v>
      </c>
      <c r="L197" s="10">
        <v>12000.0</v>
      </c>
      <c r="M197" s="7" t="s">
        <v>68</v>
      </c>
      <c r="N197" s="7" t="s">
        <v>69</v>
      </c>
      <c r="O197" s="7"/>
      <c r="P197" s="10"/>
      <c r="Q197" s="7"/>
      <c r="R197" s="11"/>
      <c r="S197" s="7"/>
      <c r="T197" s="7" t="s">
        <v>217</v>
      </c>
      <c r="U197" s="7"/>
      <c r="V197" s="27"/>
      <c r="W197" s="13"/>
      <c r="X197" s="14"/>
      <c r="Y197" s="14"/>
      <c r="Z197" s="14"/>
      <c r="AA197" s="27">
        <f t="shared" si="108"/>
        <v>12000</v>
      </c>
      <c r="AB197" s="14">
        <f t="shared" si="105"/>
        <v>15300</v>
      </c>
      <c r="AC197" s="8">
        <f t="shared" si="106"/>
        <v>-1320</v>
      </c>
      <c r="AD197" s="69">
        <f t="shared" si="107"/>
        <v>-1980</v>
      </c>
      <c r="AE197" s="8">
        <v>0.0</v>
      </c>
      <c r="AF197" s="8" t="str">
        <f t="shared" si="109"/>
        <v>OK</v>
      </c>
      <c r="AG197" s="8" t="str">
        <f t="shared" si="110"/>
        <v>Skill Missing</v>
      </c>
      <c r="AH197" s="72"/>
      <c r="AI197" s="8" t="str">
        <f t="shared" si="111"/>
        <v>Not Found</v>
      </c>
      <c r="AJ197" s="21"/>
      <c r="AK197" s="110"/>
      <c r="AL197" s="121">
        <f t="shared" si="113"/>
        <v>0.3333333333</v>
      </c>
      <c r="AM197" s="75">
        <f t="shared" si="26"/>
        <v>4</v>
      </c>
      <c r="AN197" s="75"/>
      <c r="AO197" s="75"/>
      <c r="AP197" s="75"/>
      <c r="AQ197" s="75"/>
      <c r="AR197" s="75"/>
      <c r="AS197" s="75"/>
      <c r="AT197" s="75"/>
    </row>
    <row r="198" ht="22.5" customHeight="1">
      <c r="A198" s="7" t="s">
        <v>744</v>
      </c>
      <c r="B198" s="7" t="s">
        <v>745</v>
      </c>
      <c r="C198" s="7" t="s">
        <v>27</v>
      </c>
      <c r="D198" s="7" t="s">
        <v>560</v>
      </c>
      <c r="E198" s="7" t="s">
        <v>746</v>
      </c>
      <c r="F198" s="7" t="s">
        <v>213</v>
      </c>
      <c r="G198" s="112">
        <v>0.3333333333333333</v>
      </c>
      <c r="H198" s="112">
        <v>0.75</v>
      </c>
      <c r="I198" s="51">
        <f t="shared" si="104"/>
        <v>0.4166666667</v>
      </c>
      <c r="J198" s="108">
        <v>46151.0</v>
      </c>
      <c r="K198" s="7" t="s">
        <v>2</v>
      </c>
      <c r="L198" s="10">
        <v>20000.0</v>
      </c>
      <c r="M198" s="7" t="s">
        <v>68</v>
      </c>
      <c r="N198" s="7" t="s">
        <v>69</v>
      </c>
      <c r="O198" s="7"/>
      <c r="P198" s="10"/>
      <c r="Q198" s="7"/>
      <c r="R198" s="11"/>
      <c r="S198" s="7"/>
      <c r="T198" s="87" t="s">
        <v>217</v>
      </c>
      <c r="U198" s="7"/>
      <c r="V198" s="27"/>
      <c r="W198" s="13"/>
      <c r="X198" s="14"/>
      <c r="Y198" s="14"/>
      <c r="Z198" s="14"/>
      <c r="AA198" s="27">
        <f t="shared" si="108"/>
        <v>20000</v>
      </c>
      <c r="AB198" s="14">
        <f t="shared" si="105"/>
        <v>15500</v>
      </c>
      <c r="AC198" s="8">
        <f t="shared" si="106"/>
        <v>1800</v>
      </c>
      <c r="AD198" s="69">
        <f t="shared" si="107"/>
        <v>2700</v>
      </c>
      <c r="AE198" s="8">
        <v>0.0</v>
      </c>
      <c r="AF198" s="8" t="str">
        <f t="shared" si="109"/>
        <v>OK</v>
      </c>
      <c r="AG198" s="8" t="str">
        <f t="shared" si="110"/>
        <v>Skill Missing</v>
      </c>
      <c r="AH198" s="72"/>
      <c r="AI198" s="8" t="str">
        <f t="shared" si="111"/>
        <v>Not Found</v>
      </c>
      <c r="AJ198" s="21"/>
      <c r="AK198" s="110"/>
      <c r="AL198" s="75"/>
      <c r="AM198" s="75">
        <f t="shared" si="26"/>
        <v>4</v>
      </c>
      <c r="AN198" s="105"/>
      <c r="AO198" s="105"/>
      <c r="AP198" s="105"/>
      <c r="AQ198" s="105"/>
      <c r="AR198" s="105"/>
      <c r="AS198" s="105"/>
      <c r="AT198" s="105"/>
    </row>
    <row r="199" ht="22.5" customHeight="1">
      <c r="A199" s="206" t="s">
        <v>744</v>
      </c>
      <c r="B199" s="87" t="s">
        <v>745</v>
      </c>
      <c r="C199" s="87" t="s">
        <v>621</v>
      </c>
      <c r="D199" s="87" t="s">
        <v>211</v>
      </c>
      <c r="E199" s="87" t="s">
        <v>592</v>
      </c>
      <c r="F199" s="87" t="s">
        <v>213</v>
      </c>
      <c r="G199" s="116">
        <v>0.3333333333333333</v>
      </c>
      <c r="H199" s="116">
        <v>0.75</v>
      </c>
      <c r="I199" s="117">
        <f t="shared" si="104"/>
        <v>0.4166666667</v>
      </c>
      <c r="J199" s="118">
        <v>45724.0</v>
      </c>
      <c r="K199" s="87" t="s">
        <v>2</v>
      </c>
      <c r="L199" s="94">
        <f>Y199</f>
        <v>21000</v>
      </c>
      <c r="M199" s="87" t="s">
        <v>68</v>
      </c>
      <c r="N199" s="87" t="s">
        <v>69</v>
      </c>
      <c r="O199" s="87"/>
      <c r="P199" s="94">
        <v>21000.0</v>
      </c>
      <c r="Q199" s="87"/>
      <c r="R199" s="95"/>
      <c r="S199" s="87" t="s">
        <v>217</v>
      </c>
      <c r="T199" s="87" t="s">
        <v>217</v>
      </c>
      <c r="U199" s="87"/>
      <c r="V199" s="97">
        <f>P199</f>
        <v>21000</v>
      </c>
      <c r="W199" s="98">
        <v>0.0</v>
      </c>
      <c r="X199" s="99"/>
      <c r="Y199" s="99">
        <f>if(W199="",V199,round(V199*(1+W199),-1))</f>
        <v>21000</v>
      </c>
      <c r="Z199" s="119"/>
      <c r="AA199" s="97">
        <f t="shared" si="108"/>
        <v>21000</v>
      </c>
      <c r="AB199" s="99">
        <v>13000.0</v>
      </c>
      <c r="AC199" s="101">
        <v>5000.0</v>
      </c>
      <c r="AD199" s="101">
        <v>3000.0</v>
      </c>
      <c r="AE199" s="101">
        <v>0.0</v>
      </c>
      <c r="AF199" s="101" t="str">
        <f t="shared" si="109"/>
        <v>OK</v>
      </c>
      <c r="AG199" s="101" t="str">
        <f t="shared" si="110"/>
        <v>Skill Missing</v>
      </c>
      <c r="AH199" s="102" t="str">
        <f>VLOOKUP(A199,'Advance Sheet'!$A$4:$A$165,1,FALSE)</f>
        <v>#REF!</v>
      </c>
      <c r="AI199" s="101" t="str">
        <f t="shared" si="111"/>
        <v>Not Found</v>
      </c>
      <c r="AJ199" s="103" t="s">
        <v>193</v>
      </c>
      <c r="AK199" s="137"/>
      <c r="AL199" s="105">
        <f>if(J199="","",datedif(J199,$AM$2,"Y"))</f>
        <v>1</v>
      </c>
      <c r="AM199" s="105">
        <f t="shared" si="26"/>
        <v>18</v>
      </c>
      <c r="AN199" s="105"/>
      <c r="AO199" s="105"/>
      <c r="AP199" s="105"/>
      <c r="AQ199" s="105"/>
      <c r="AR199" s="105"/>
      <c r="AS199" s="105"/>
      <c r="AT199" s="105"/>
    </row>
    <row r="200" ht="22.5" customHeight="1">
      <c r="A200" s="7" t="s">
        <v>747</v>
      </c>
      <c r="B200" s="7" t="s">
        <v>748</v>
      </c>
      <c r="C200" s="7" t="s">
        <v>27</v>
      </c>
      <c r="D200" s="7" t="s">
        <v>211</v>
      </c>
      <c r="E200" s="7" t="s">
        <v>572</v>
      </c>
      <c r="F200" s="7" t="s">
        <v>213</v>
      </c>
      <c r="G200" s="112">
        <v>0.3333333333333333</v>
      </c>
      <c r="H200" s="112">
        <v>0.75</v>
      </c>
      <c r="I200" s="51">
        <f t="shared" si="104"/>
        <v>0.4166666667</v>
      </c>
      <c r="J200" s="108">
        <v>46153.0</v>
      </c>
      <c r="K200" s="7" t="s">
        <v>2</v>
      </c>
      <c r="L200" s="10">
        <v>14000.0</v>
      </c>
      <c r="M200" s="7" t="s">
        <v>68</v>
      </c>
      <c r="N200" s="7" t="s">
        <v>69</v>
      </c>
      <c r="O200" s="7"/>
      <c r="P200" s="10"/>
      <c r="Q200" s="7"/>
      <c r="R200" s="11"/>
      <c r="S200" s="7"/>
      <c r="T200" s="7"/>
      <c r="U200" s="7"/>
      <c r="V200" s="27"/>
      <c r="W200" s="13"/>
      <c r="X200" s="14"/>
      <c r="Y200" s="14"/>
      <c r="Z200" s="14"/>
      <c r="AA200" s="27">
        <f t="shared" si="108"/>
        <v>14000</v>
      </c>
      <c r="AB200" s="14">
        <f t="shared" ref="AB200:AB245" si="114">IFS(AND(AA200&lt;=15000),15300,AND(AA200&gt;15000,AA200&lt;15500),AA200,AND(AA200&gt;=15500,AA200&lt;$Z$1),15500,AA200&gt;=$Z$1,AA200*$AB$2)</f>
        <v>15300</v>
      </c>
      <c r="AC200" s="8">
        <f t="shared" ref="AC200:AC245" si="115">round(IF($AA200&lt;=$Z$1,($AA200-$AB200)*AC$1,$AA200*AC$2),-1)</f>
        <v>-520</v>
      </c>
      <c r="AD200" s="69">
        <f t="shared" ref="AD200:AD245" si="116">round(IF($AA200&lt;=$Z$1,($AA200-$AB200)*AD$1,$AA200*AD$2),-1)+AA200-AB200-AC200-round(IF($AA200&lt;=$Z$1,($AA200-$AB200)*AD$1,$AA200*AD$2),-1)</f>
        <v>-780</v>
      </c>
      <c r="AE200" s="8">
        <v>0.0</v>
      </c>
      <c r="AF200" s="8" t="str">
        <f t="shared" si="109"/>
        <v>OK</v>
      </c>
      <c r="AG200" s="8" t="str">
        <f t="shared" si="110"/>
        <v>Skill Missing</v>
      </c>
      <c r="AH200" s="72"/>
      <c r="AI200" s="8" t="str">
        <f t="shared" si="111"/>
        <v>Not Found</v>
      </c>
      <c r="AJ200" s="21"/>
      <c r="AK200" s="110"/>
      <c r="AL200" s="121">
        <f t="shared" ref="AL200:AL202" si="117">AM200/12</f>
        <v>0.3333333333</v>
      </c>
      <c r="AM200" s="75">
        <f t="shared" si="26"/>
        <v>4</v>
      </c>
      <c r="AN200" s="75"/>
      <c r="AO200" s="75"/>
      <c r="AP200" s="75"/>
      <c r="AQ200" s="75"/>
      <c r="AR200" s="75"/>
      <c r="AS200" s="75"/>
      <c r="AT200" s="75"/>
    </row>
    <row r="201" ht="22.5" customHeight="1">
      <c r="A201" s="7" t="s">
        <v>749</v>
      </c>
      <c r="B201" s="7" t="s">
        <v>750</v>
      </c>
      <c r="C201" s="7" t="s">
        <v>27</v>
      </c>
      <c r="D201" s="7" t="s">
        <v>211</v>
      </c>
      <c r="E201" s="7" t="s">
        <v>212</v>
      </c>
      <c r="F201" s="7" t="s">
        <v>213</v>
      </c>
      <c r="G201" s="112">
        <v>0.3333333333333333</v>
      </c>
      <c r="H201" s="112">
        <v>0.75</v>
      </c>
      <c r="I201" s="51">
        <f t="shared" si="104"/>
        <v>0.4166666667</v>
      </c>
      <c r="J201" s="108">
        <v>46155.0</v>
      </c>
      <c r="K201" s="7" t="s">
        <v>2</v>
      </c>
      <c r="L201" s="10">
        <v>15500.0</v>
      </c>
      <c r="M201" s="7" t="s">
        <v>68</v>
      </c>
      <c r="N201" s="7" t="s">
        <v>69</v>
      </c>
      <c r="O201" s="7"/>
      <c r="P201" s="10"/>
      <c r="Q201" s="7"/>
      <c r="R201" s="11"/>
      <c r="S201" s="7"/>
      <c r="T201" s="7" t="s">
        <v>217</v>
      </c>
      <c r="U201" s="7"/>
      <c r="V201" s="27"/>
      <c r="W201" s="13"/>
      <c r="X201" s="14"/>
      <c r="Y201" s="14"/>
      <c r="Z201" s="14"/>
      <c r="AA201" s="27">
        <f t="shared" si="108"/>
        <v>15500</v>
      </c>
      <c r="AB201" s="14">
        <f t="shared" si="114"/>
        <v>15500</v>
      </c>
      <c r="AC201" s="8">
        <f t="shared" si="115"/>
        <v>0</v>
      </c>
      <c r="AD201" s="69">
        <f t="shared" si="116"/>
        <v>0</v>
      </c>
      <c r="AE201" s="8">
        <v>0.0</v>
      </c>
      <c r="AF201" s="8" t="str">
        <f t="shared" si="109"/>
        <v>OK</v>
      </c>
      <c r="AG201" s="8" t="str">
        <f t="shared" si="110"/>
        <v>Skill Missing</v>
      </c>
      <c r="AH201" s="72"/>
      <c r="AI201" s="8" t="str">
        <f t="shared" si="111"/>
        <v>Not Found</v>
      </c>
      <c r="AJ201" s="21"/>
      <c r="AK201" s="110"/>
      <c r="AL201" s="121">
        <f t="shared" si="117"/>
        <v>0.3333333333</v>
      </c>
      <c r="AM201" s="75">
        <f t="shared" si="26"/>
        <v>4</v>
      </c>
      <c r="AN201" s="75"/>
      <c r="AO201" s="75"/>
      <c r="AP201" s="75"/>
      <c r="AQ201" s="75"/>
      <c r="AR201" s="75"/>
      <c r="AS201" s="75"/>
      <c r="AT201" s="75"/>
    </row>
    <row r="202" ht="22.5" customHeight="1">
      <c r="A202" s="7" t="s">
        <v>751</v>
      </c>
      <c r="B202" s="7" t="s">
        <v>752</v>
      </c>
      <c r="C202" s="7" t="s">
        <v>27</v>
      </c>
      <c r="D202" s="7" t="s">
        <v>211</v>
      </c>
      <c r="E202" s="7" t="s">
        <v>423</v>
      </c>
      <c r="F202" s="7" t="s">
        <v>213</v>
      </c>
      <c r="G202" s="112">
        <v>0.3333333333333333</v>
      </c>
      <c r="H202" s="112">
        <v>0.75</v>
      </c>
      <c r="I202" s="51">
        <f t="shared" si="104"/>
        <v>0.4166666667</v>
      </c>
      <c r="J202" s="108">
        <v>46155.0</v>
      </c>
      <c r="K202" s="7" t="s">
        <v>2</v>
      </c>
      <c r="L202" s="10">
        <v>18000.0</v>
      </c>
      <c r="M202" s="7" t="s">
        <v>68</v>
      </c>
      <c r="N202" s="7" t="s">
        <v>69</v>
      </c>
      <c r="O202" s="7"/>
      <c r="P202" s="10"/>
      <c r="Q202" s="7"/>
      <c r="R202" s="11"/>
      <c r="S202" s="7"/>
      <c r="T202" s="7" t="s">
        <v>217</v>
      </c>
      <c r="U202" s="7"/>
      <c r="V202" s="27"/>
      <c r="W202" s="13"/>
      <c r="X202" s="14"/>
      <c r="Y202" s="14"/>
      <c r="Z202" s="14"/>
      <c r="AA202" s="27">
        <f t="shared" si="108"/>
        <v>18000</v>
      </c>
      <c r="AB202" s="14">
        <f t="shared" si="114"/>
        <v>15500</v>
      </c>
      <c r="AC202" s="8">
        <f t="shared" si="115"/>
        <v>1000</v>
      </c>
      <c r="AD202" s="69">
        <f t="shared" si="116"/>
        <v>1500</v>
      </c>
      <c r="AE202" s="8">
        <v>0.0</v>
      </c>
      <c r="AF202" s="8" t="str">
        <f t="shared" si="109"/>
        <v>OK</v>
      </c>
      <c r="AG202" s="8" t="str">
        <f t="shared" si="110"/>
        <v>Skill Missing</v>
      </c>
      <c r="AH202" s="72"/>
      <c r="AI202" s="8" t="str">
        <f t="shared" si="111"/>
        <v>Not Found</v>
      </c>
      <c r="AJ202" s="21"/>
      <c r="AK202" s="110"/>
      <c r="AL202" s="121">
        <f t="shared" si="117"/>
        <v>0.3333333333</v>
      </c>
      <c r="AM202" s="75">
        <f t="shared" si="26"/>
        <v>4</v>
      </c>
      <c r="AN202" s="105"/>
      <c r="AO202" s="105"/>
      <c r="AP202" s="105"/>
      <c r="AQ202" s="105"/>
      <c r="AR202" s="105"/>
      <c r="AS202" s="105"/>
      <c r="AT202" s="105"/>
    </row>
    <row r="203" ht="22.5" customHeight="1">
      <c r="A203" s="7" t="s">
        <v>753</v>
      </c>
      <c r="B203" s="7" t="s">
        <v>754</v>
      </c>
      <c r="C203" s="7" t="s">
        <v>27</v>
      </c>
      <c r="D203" s="7" t="s">
        <v>244</v>
      </c>
      <c r="E203" s="7" t="s">
        <v>739</v>
      </c>
      <c r="F203" s="7" t="s">
        <v>213</v>
      </c>
      <c r="G203" s="112">
        <v>0.3333333333333333</v>
      </c>
      <c r="H203" s="112">
        <v>0.75</v>
      </c>
      <c r="I203" s="51">
        <f t="shared" si="104"/>
        <v>0.4166666667</v>
      </c>
      <c r="J203" s="108">
        <v>46162.0</v>
      </c>
      <c r="K203" s="7" t="s">
        <v>2</v>
      </c>
      <c r="L203" s="10">
        <v>13000.0</v>
      </c>
      <c r="M203" s="7" t="s">
        <v>68</v>
      </c>
      <c r="N203" s="7" t="s">
        <v>69</v>
      </c>
      <c r="O203" s="7"/>
      <c r="P203" s="10"/>
      <c r="Q203" s="7"/>
      <c r="R203" s="11"/>
      <c r="S203" s="7"/>
      <c r="T203" s="87" t="s">
        <v>217</v>
      </c>
      <c r="U203" s="7"/>
      <c r="V203" s="27"/>
      <c r="W203" s="13"/>
      <c r="X203" s="14"/>
      <c r="Y203" s="14"/>
      <c r="Z203" s="14"/>
      <c r="AA203" s="27">
        <f t="shared" si="108"/>
        <v>13000</v>
      </c>
      <c r="AB203" s="14">
        <f t="shared" si="114"/>
        <v>15300</v>
      </c>
      <c r="AC203" s="8">
        <f t="shared" si="115"/>
        <v>-920</v>
      </c>
      <c r="AD203" s="69">
        <f t="shared" si="116"/>
        <v>-1380</v>
      </c>
      <c r="AE203" s="8">
        <v>0.0</v>
      </c>
      <c r="AF203" s="8" t="str">
        <f t="shared" si="109"/>
        <v>OK</v>
      </c>
      <c r="AG203" s="8" t="str">
        <f t="shared" si="110"/>
        <v>Skill Missing</v>
      </c>
      <c r="AH203" s="72"/>
      <c r="AI203" s="8" t="str">
        <f t="shared" si="111"/>
        <v>Not Found</v>
      </c>
      <c r="AJ203" s="21"/>
      <c r="AK203" s="110"/>
      <c r="AL203" s="75"/>
      <c r="AM203" s="75">
        <f t="shared" si="26"/>
        <v>4</v>
      </c>
      <c r="AN203" s="105"/>
      <c r="AO203" s="105"/>
      <c r="AP203" s="105"/>
      <c r="AQ203" s="105"/>
      <c r="AR203" s="105"/>
      <c r="AS203" s="105"/>
      <c r="AT203" s="105"/>
    </row>
    <row r="204" ht="22.5" customHeight="1">
      <c r="A204" s="7" t="s">
        <v>755</v>
      </c>
      <c r="B204" s="7" t="s">
        <v>756</v>
      </c>
      <c r="C204" s="7" t="s">
        <v>27</v>
      </c>
      <c r="D204" s="7" t="s">
        <v>757</v>
      </c>
      <c r="E204" s="7" t="s">
        <v>739</v>
      </c>
      <c r="F204" s="7" t="s">
        <v>213</v>
      </c>
      <c r="G204" s="112">
        <v>0.3333333333333333</v>
      </c>
      <c r="H204" s="112">
        <v>0.75</v>
      </c>
      <c r="I204" s="51">
        <f t="shared" si="104"/>
        <v>0.4166666667</v>
      </c>
      <c r="J204" s="108">
        <v>46162.0</v>
      </c>
      <c r="K204" s="7" t="s">
        <v>2</v>
      </c>
      <c r="L204" s="10">
        <v>15000.0</v>
      </c>
      <c r="M204" s="7" t="s">
        <v>68</v>
      </c>
      <c r="N204" s="7" t="s">
        <v>69</v>
      </c>
      <c r="O204" s="7"/>
      <c r="P204" s="10"/>
      <c r="Q204" s="7"/>
      <c r="R204" s="11"/>
      <c r="S204" s="7"/>
      <c r="T204" s="87" t="s">
        <v>217</v>
      </c>
      <c r="U204" s="7"/>
      <c r="V204" s="27"/>
      <c r="W204" s="13"/>
      <c r="X204" s="14"/>
      <c r="Y204" s="14"/>
      <c r="Z204" s="14"/>
      <c r="AA204" s="27">
        <f t="shared" si="108"/>
        <v>15000</v>
      </c>
      <c r="AB204" s="14">
        <f t="shared" si="114"/>
        <v>15300</v>
      </c>
      <c r="AC204" s="8">
        <f t="shared" si="115"/>
        <v>-120</v>
      </c>
      <c r="AD204" s="69">
        <f t="shared" si="116"/>
        <v>-180</v>
      </c>
      <c r="AE204" s="8">
        <v>0.0</v>
      </c>
      <c r="AF204" s="8" t="str">
        <f t="shared" si="109"/>
        <v>OK</v>
      </c>
      <c r="AG204" s="8" t="str">
        <f t="shared" si="110"/>
        <v>Skill Missing</v>
      </c>
      <c r="AH204" s="72"/>
      <c r="AI204" s="8" t="str">
        <f t="shared" si="111"/>
        <v>Not Found</v>
      </c>
      <c r="AJ204" s="21"/>
      <c r="AK204" s="110"/>
      <c r="AL204" s="75"/>
      <c r="AM204" s="75">
        <f t="shared" si="26"/>
        <v>4</v>
      </c>
      <c r="AN204" s="75"/>
      <c r="AO204" s="75"/>
      <c r="AP204" s="75"/>
      <c r="AQ204" s="75"/>
      <c r="AR204" s="75"/>
      <c r="AS204" s="75"/>
      <c r="AT204" s="75"/>
    </row>
    <row r="205" ht="22.5" customHeight="1">
      <c r="A205" s="7" t="s">
        <v>758</v>
      </c>
      <c r="B205" s="7" t="s">
        <v>759</v>
      </c>
      <c r="C205" s="7" t="s">
        <v>27</v>
      </c>
      <c r="D205" s="7" t="s">
        <v>757</v>
      </c>
      <c r="E205" s="7" t="s">
        <v>739</v>
      </c>
      <c r="F205" s="7" t="s">
        <v>213</v>
      </c>
      <c r="G205" s="112">
        <v>0.3333333333333333</v>
      </c>
      <c r="H205" s="112">
        <v>0.75</v>
      </c>
      <c r="I205" s="51">
        <f t="shared" si="104"/>
        <v>0.4166666667</v>
      </c>
      <c r="J205" s="108">
        <v>46162.0</v>
      </c>
      <c r="K205" s="7" t="s">
        <v>2</v>
      </c>
      <c r="L205" s="10">
        <v>15000.0</v>
      </c>
      <c r="M205" s="7" t="s">
        <v>68</v>
      </c>
      <c r="N205" s="7" t="s">
        <v>69</v>
      </c>
      <c r="O205" s="7"/>
      <c r="P205" s="10"/>
      <c r="Q205" s="7"/>
      <c r="R205" s="11"/>
      <c r="S205" s="7"/>
      <c r="T205" s="87" t="s">
        <v>217</v>
      </c>
      <c r="U205" s="7"/>
      <c r="V205" s="27"/>
      <c r="W205" s="13"/>
      <c r="X205" s="14"/>
      <c r="Y205" s="14"/>
      <c r="Z205" s="14"/>
      <c r="AA205" s="27">
        <f t="shared" si="108"/>
        <v>15000</v>
      </c>
      <c r="AB205" s="14">
        <f t="shared" si="114"/>
        <v>15300</v>
      </c>
      <c r="AC205" s="8">
        <f t="shared" si="115"/>
        <v>-120</v>
      </c>
      <c r="AD205" s="69">
        <f t="shared" si="116"/>
        <v>-180</v>
      </c>
      <c r="AE205" s="8">
        <v>0.0</v>
      </c>
      <c r="AF205" s="8" t="str">
        <f t="shared" si="109"/>
        <v>OK</v>
      </c>
      <c r="AG205" s="8" t="str">
        <f t="shared" si="110"/>
        <v>Skill Missing</v>
      </c>
      <c r="AH205" s="72"/>
      <c r="AI205" s="8" t="str">
        <f t="shared" si="111"/>
        <v>Not Found</v>
      </c>
      <c r="AJ205" s="21"/>
      <c r="AK205" s="110"/>
      <c r="AL205" s="75"/>
      <c r="AM205" s="75">
        <f t="shared" si="26"/>
        <v>4</v>
      </c>
      <c r="AN205" s="75"/>
      <c r="AO205" s="75"/>
      <c r="AP205" s="75"/>
      <c r="AQ205" s="75"/>
      <c r="AR205" s="75"/>
      <c r="AS205" s="75"/>
      <c r="AT205" s="75"/>
    </row>
    <row r="206" ht="22.5" customHeight="1">
      <c r="A206" s="7" t="s">
        <v>760</v>
      </c>
      <c r="B206" s="7" t="s">
        <v>761</v>
      </c>
      <c r="C206" s="7" t="s">
        <v>27</v>
      </c>
      <c r="D206" s="7" t="s">
        <v>757</v>
      </c>
      <c r="E206" s="7" t="s">
        <v>762</v>
      </c>
      <c r="F206" s="7" t="s">
        <v>213</v>
      </c>
      <c r="G206" s="112">
        <v>0.3333333333333333</v>
      </c>
      <c r="H206" s="112">
        <v>0.75</v>
      </c>
      <c r="I206" s="51">
        <f t="shared" si="104"/>
        <v>0.4166666667</v>
      </c>
      <c r="J206" s="108">
        <v>46163.0</v>
      </c>
      <c r="K206" s="7" t="s">
        <v>2</v>
      </c>
      <c r="L206" s="10">
        <v>15300.0</v>
      </c>
      <c r="M206" s="7" t="s">
        <v>68</v>
      </c>
      <c r="N206" s="7" t="s">
        <v>69</v>
      </c>
      <c r="O206" s="7"/>
      <c r="P206" s="10"/>
      <c r="Q206" s="7"/>
      <c r="R206" s="11"/>
      <c r="S206" s="7"/>
      <c r="T206" s="87" t="s">
        <v>217</v>
      </c>
      <c r="U206" s="7"/>
      <c r="V206" s="27"/>
      <c r="W206" s="13"/>
      <c r="X206" s="14"/>
      <c r="Y206" s="14"/>
      <c r="Z206" s="14"/>
      <c r="AA206" s="27">
        <f t="shared" si="108"/>
        <v>15300</v>
      </c>
      <c r="AB206" s="14">
        <f t="shared" si="114"/>
        <v>15300</v>
      </c>
      <c r="AC206" s="8">
        <f t="shared" si="115"/>
        <v>0</v>
      </c>
      <c r="AD206" s="69">
        <f t="shared" si="116"/>
        <v>0</v>
      </c>
      <c r="AE206" s="8">
        <v>0.0</v>
      </c>
      <c r="AF206" s="8" t="str">
        <f t="shared" si="109"/>
        <v>OK</v>
      </c>
      <c r="AG206" s="8" t="str">
        <f t="shared" si="110"/>
        <v>Skill Missing</v>
      </c>
      <c r="AH206" s="72"/>
      <c r="AI206" s="8" t="str">
        <f t="shared" si="111"/>
        <v>Not Found</v>
      </c>
      <c r="AJ206" s="21"/>
      <c r="AK206" s="110"/>
      <c r="AL206" s="75"/>
      <c r="AM206" s="75">
        <f t="shared" si="26"/>
        <v>4</v>
      </c>
      <c r="AN206" s="105"/>
      <c r="AO206" s="105"/>
      <c r="AP206" s="105"/>
      <c r="AQ206" s="105"/>
      <c r="AR206" s="105"/>
      <c r="AS206" s="105"/>
      <c r="AT206" s="105"/>
    </row>
    <row r="207" ht="22.5" customHeight="1">
      <c r="A207" s="7" t="s">
        <v>763</v>
      </c>
      <c r="B207" s="7" t="s">
        <v>764</v>
      </c>
      <c r="C207" s="7" t="s">
        <v>27</v>
      </c>
      <c r="D207" s="7" t="s">
        <v>757</v>
      </c>
      <c r="E207" s="7" t="s">
        <v>739</v>
      </c>
      <c r="F207" s="7" t="s">
        <v>213</v>
      </c>
      <c r="G207" s="112">
        <v>0.3333333333333333</v>
      </c>
      <c r="H207" s="112">
        <v>0.75</v>
      </c>
      <c r="I207" s="51">
        <f t="shared" si="104"/>
        <v>0.4166666667</v>
      </c>
      <c r="J207" s="108">
        <v>46165.0</v>
      </c>
      <c r="K207" s="7" t="s">
        <v>2</v>
      </c>
      <c r="L207" s="10">
        <v>15000.0</v>
      </c>
      <c r="M207" s="7" t="s">
        <v>68</v>
      </c>
      <c r="N207" s="7" t="s">
        <v>69</v>
      </c>
      <c r="O207" s="7"/>
      <c r="P207" s="10"/>
      <c r="Q207" s="7"/>
      <c r="R207" s="11"/>
      <c r="S207" s="7"/>
      <c r="T207" s="87" t="s">
        <v>217</v>
      </c>
      <c r="U207" s="7"/>
      <c r="V207" s="27"/>
      <c r="W207" s="13"/>
      <c r="X207" s="14"/>
      <c r="Y207" s="14"/>
      <c r="Z207" s="14"/>
      <c r="AA207" s="27">
        <f t="shared" si="108"/>
        <v>15000</v>
      </c>
      <c r="AB207" s="14">
        <f t="shared" si="114"/>
        <v>15300</v>
      </c>
      <c r="AC207" s="8">
        <f t="shared" si="115"/>
        <v>-120</v>
      </c>
      <c r="AD207" s="69">
        <f t="shared" si="116"/>
        <v>-180</v>
      </c>
      <c r="AE207" s="8">
        <v>0.0</v>
      </c>
      <c r="AF207" s="8" t="str">
        <f t="shared" si="109"/>
        <v>OK</v>
      </c>
      <c r="AG207" s="8" t="str">
        <f t="shared" si="110"/>
        <v>Skill Missing</v>
      </c>
      <c r="AH207" s="72"/>
      <c r="AI207" s="8" t="str">
        <f t="shared" si="111"/>
        <v>Not Found</v>
      </c>
      <c r="AJ207" s="21"/>
      <c r="AK207" s="110"/>
      <c r="AL207" s="75"/>
      <c r="AM207" s="75">
        <f t="shared" si="26"/>
        <v>4</v>
      </c>
      <c r="AN207" s="75"/>
      <c r="AO207" s="75"/>
      <c r="AP207" s="75"/>
      <c r="AQ207" s="75"/>
      <c r="AR207" s="75"/>
      <c r="AS207" s="75"/>
      <c r="AT207" s="75"/>
    </row>
    <row r="208" ht="22.5" customHeight="1">
      <c r="A208" s="7" t="s">
        <v>765</v>
      </c>
      <c r="B208" s="7" t="s">
        <v>766</v>
      </c>
      <c r="C208" s="7" t="s">
        <v>27</v>
      </c>
      <c r="D208" s="7" t="s">
        <v>757</v>
      </c>
      <c r="E208" s="7" t="s">
        <v>739</v>
      </c>
      <c r="F208" s="7" t="s">
        <v>213</v>
      </c>
      <c r="G208" s="112">
        <v>0.3333333333333333</v>
      </c>
      <c r="H208" s="112">
        <v>0.75</v>
      </c>
      <c r="I208" s="51">
        <f t="shared" si="104"/>
        <v>0.4166666667</v>
      </c>
      <c r="J208" s="108">
        <v>46165.0</v>
      </c>
      <c r="K208" s="7" t="s">
        <v>2</v>
      </c>
      <c r="L208" s="10">
        <v>15000.0</v>
      </c>
      <c r="M208" s="7" t="s">
        <v>68</v>
      </c>
      <c r="N208" s="7" t="s">
        <v>69</v>
      </c>
      <c r="O208" s="7"/>
      <c r="P208" s="10"/>
      <c r="Q208" s="7"/>
      <c r="R208" s="11"/>
      <c r="S208" s="7"/>
      <c r="T208" s="87" t="s">
        <v>217</v>
      </c>
      <c r="U208" s="7"/>
      <c r="V208" s="27"/>
      <c r="W208" s="13"/>
      <c r="X208" s="14"/>
      <c r="Y208" s="14"/>
      <c r="Z208" s="14"/>
      <c r="AA208" s="27">
        <f t="shared" si="108"/>
        <v>15000</v>
      </c>
      <c r="AB208" s="14">
        <f t="shared" si="114"/>
        <v>15300</v>
      </c>
      <c r="AC208" s="8">
        <f t="shared" si="115"/>
        <v>-120</v>
      </c>
      <c r="AD208" s="69">
        <f t="shared" si="116"/>
        <v>-180</v>
      </c>
      <c r="AE208" s="8">
        <v>0.0</v>
      </c>
      <c r="AF208" s="8" t="str">
        <f t="shared" si="109"/>
        <v>OK</v>
      </c>
      <c r="AG208" s="8" t="str">
        <f t="shared" si="110"/>
        <v>Skill Missing</v>
      </c>
      <c r="AH208" s="72"/>
      <c r="AI208" s="8" t="str">
        <f t="shared" si="111"/>
        <v>Not Found</v>
      </c>
      <c r="AJ208" s="21"/>
      <c r="AK208" s="110"/>
      <c r="AL208" s="75"/>
      <c r="AM208" s="75">
        <f t="shared" si="26"/>
        <v>4</v>
      </c>
      <c r="AN208" s="75"/>
      <c r="AO208" s="75"/>
      <c r="AP208" s="75"/>
      <c r="AQ208" s="75"/>
      <c r="AR208" s="75"/>
      <c r="AS208" s="75"/>
      <c r="AT208" s="75"/>
    </row>
    <row r="209" ht="22.5" customHeight="1">
      <c r="A209" s="7" t="s">
        <v>767</v>
      </c>
      <c r="B209" s="7" t="s">
        <v>768</v>
      </c>
      <c r="C209" s="7" t="s">
        <v>27</v>
      </c>
      <c r="D209" s="7" t="s">
        <v>757</v>
      </c>
      <c r="E209" s="7" t="s">
        <v>739</v>
      </c>
      <c r="F209" s="7" t="s">
        <v>213</v>
      </c>
      <c r="G209" s="112">
        <v>0.3333333333333333</v>
      </c>
      <c r="H209" s="112">
        <v>0.75</v>
      </c>
      <c r="I209" s="51">
        <f t="shared" si="104"/>
        <v>0.4166666667</v>
      </c>
      <c r="J209" s="108">
        <v>46165.0</v>
      </c>
      <c r="K209" s="7" t="s">
        <v>2</v>
      </c>
      <c r="L209" s="10">
        <v>15000.0</v>
      </c>
      <c r="M209" s="7" t="s">
        <v>68</v>
      </c>
      <c r="N209" s="7" t="s">
        <v>69</v>
      </c>
      <c r="O209" s="7"/>
      <c r="P209" s="10"/>
      <c r="Q209" s="7"/>
      <c r="R209" s="11"/>
      <c r="S209" s="7"/>
      <c r="T209" s="7" t="s">
        <v>217</v>
      </c>
      <c r="U209" s="7"/>
      <c r="V209" s="27"/>
      <c r="W209" s="13"/>
      <c r="X209" s="14"/>
      <c r="Y209" s="14"/>
      <c r="Z209" s="14"/>
      <c r="AA209" s="27">
        <f t="shared" si="108"/>
        <v>15000</v>
      </c>
      <c r="AB209" s="14">
        <f t="shared" si="114"/>
        <v>15300</v>
      </c>
      <c r="AC209" s="8">
        <f t="shared" si="115"/>
        <v>-120</v>
      </c>
      <c r="AD209" s="69">
        <f t="shared" si="116"/>
        <v>-180</v>
      </c>
      <c r="AE209" s="8">
        <v>0.0</v>
      </c>
      <c r="AF209" s="8" t="str">
        <f t="shared" si="109"/>
        <v>OK</v>
      </c>
      <c r="AG209" s="8" t="str">
        <f t="shared" si="110"/>
        <v>Skill Missing</v>
      </c>
      <c r="AH209" s="72"/>
      <c r="AI209" s="8" t="str">
        <f t="shared" si="111"/>
        <v>Not Found</v>
      </c>
      <c r="AJ209" s="21"/>
      <c r="AK209" s="110"/>
      <c r="AL209" s="75"/>
      <c r="AM209" s="75">
        <f t="shared" si="26"/>
        <v>4</v>
      </c>
      <c r="AN209" s="81"/>
      <c r="AO209" s="81"/>
      <c r="AP209" s="81"/>
      <c r="AQ209" s="81"/>
      <c r="AR209" s="81"/>
      <c r="AS209" s="81"/>
      <c r="AT209" s="81"/>
    </row>
    <row r="210" ht="22.5" customHeight="1">
      <c r="A210" s="7" t="s">
        <v>769</v>
      </c>
      <c r="B210" s="7" t="s">
        <v>282</v>
      </c>
      <c r="C210" s="7" t="s">
        <v>27</v>
      </c>
      <c r="D210" s="7" t="s">
        <v>770</v>
      </c>
      <c r="E210" s="7" t="s">
        <v>212</v>
      </c>
      <c r="F210" s="7" t="s">
        <v>213</v>
      </c>
      <c r="G210" s="112">
        <v>0.3333333333333333</v>
      </c>
      <c r="H210" s="112">
        <v>0.75</v>
      </c>
      <c r="I210" s="51">
        <f t="shared" si="104"/>
        <v>0.4166666667</v>
      </c>
      <c r="J210" s="108">
        <v>46167.0</v>
      </c>
      <c r="K210" s="7" t="s">
        <v>2</v>
      </c>
      <c r="L210" s="10">
        <v>17000.0</v>
      </c>
      <c r="M210" s="7" t="s">
        <v>68</v>
      </c>
      <c r="N210" s="7" t="s">
        <v>69</v>
      </c>
      <c r="O210" s="7"/>
      <c r="P210" s="10"/>
      <c r="Q210" s="7"/>
      <c r="R210" s="11"/>
      <c r="S210" s="7"/>
      <c r="T210" s="7" t="s">
        <v>217</v>
      </c>
      <c r="U210" s="7"/>
      <c r="V210" s="27"/>
      <c r="W210" s="13"/>
      <c r="X210" s="14"/>
      <c r="Y210" s="14"/>
      <c r="Z210" s="14"/>
      <c r="AA210" s="27">
        <f t="shared" si="108"/>
        <v>17000</v>
      </c>
      <c r="AB210" s="14">
        <f t="shared" si="114"/>
        <v>15500</v>
      </c>
      <c r="AC210" s="8">
        <f t="shared" si="115"/>
        <v>600</v>
      </c>
      <c r="AD210" s="69">
        <f t="shared" si="116"/>
        <v>900</v>
      </c>
      <c r="AE210" s="8">
        <v>0.0</v>
      </c>
      <c r="AF210" s="8" t="str">
        <f t="shared" si="109"/>
        <v>OK</v>
      </c>
      <c r="AG210" s="8" t="str">
        <f t="shared" si="110"/>
        <v>Skill Missing</v>
      </c>
      <c r="AH210" s="72"/>
      <c r="AI210" s="8" t="str">
        <f t="shared" si="111"/>
        <v>Not Found</v>
      </c>
      <c r="AJ210" s="21"/>
      <c r="AK210" s="110"/>
      <c r="AL210" s="121">
        <f>AM210/12</f>
        <v>0.3333333333</v>
      </c>
      <c r="AM210" s="75">
        <f t="shared" si="26"/>
        <v>4</v>
      </c>
      <c r="AN210" s="75"/>
      <c r="AO210" s="75"/>
      <c r="AP210" s="75"/>
      <c r="AQ210" s="75"/>
      <c r="AR210" s="75"/>
      <c r="AS210" s="75"/>
      <c r="AT210" s="75"/>
    </row>
    <row r="211" ht="22.5" customHeight="1">
      <c r="A211" s="7" t="s">
        <v>771</v>
      </c>
      <c r="B211" s="7" t="s">
        <v>237</v>
      </c>
      <c r="C211" s="7" t="s">
        <v>27</v>
      </c>
      <c r="D211" s="7" t="s">
        <v>770</v>
      </c>
      <c r="E211" s="7" t="s">
        <v>739</v>
      </c>
      <c r="F211" s="7" t="s">
        <v>213</v>
      </c>
      <c r="G211" s="112">
        <v>0.3333333333333333</v>
      </c>
      <c r="H211" s="112">
        <v>0.75</v>
      </c>
      <c r="I211" s="51">
        <f t="shared" si="104"/>
        <v>0.4166666667</v>
      </c>
      <c r="J211" s="108">
        <v>46174.0</v>
      </c>
      <c r="K211" s="7" t="s">
        <v>2</v>
      </c>
      <c r="L211" s="10">
        <v>13000.0</v>
      </c>
      <c r="M211" s="87" t="s">
        <v>68</v>
      </c>
      <c r="N211" s="87" t="s">
        <v>69</v>
      </c>
      <c r="O211" s="7"/>
      <c r="P211" s="10"/>
      <c r="Q211" s="7"/>
      <c r="R211" s="11"/>
      <c r="S211" s="7"/>
      <c r="T211" s="7"/>
      <c r="U211" s="7"/>
      <c r="V211" s="27"/>
      <c r="W211" s="13"/>
      <c r="X211" s="14"/>
      <c r="Y211" s="14"/>
      <c r="Z211" s="14"/>
      <c r="AA211" s="27">
        <f t="shared" si="108"/>
        <v>13000</v>
      </c>
      <c r="AB211" s="14">
        <f t="shared" si="114"/>
        <v>15300</v>
      </c>
      <c r="AC211" s="8">
        <f t="shared" si="115"/>
        <v>-920</v>
      </c>
      <c r="AD211" s="69">
        <f t="shared" si="116"/>
        <v>-1380</v>
      </c>
      <c r="AE211" s="8">
        <v>0.0</v>
      </c>
      <c r="AF211" s="8" t="str">
        <f t="shared" si="109"/>
        <v>OK</v>
      </c>
      <c r="AG211" s="8" t="str">
        <f t="shared" si="110"/>
        <v>Skill Missing</v>
      </c>
      <c r="AH211" s="72"/>
      <c r="AI211" s="8"/>
      <c r="AJ211" s="21"/>
      <c r="AK211" s="110"/>
      <c r="AL211" s="75"/>
      <c r="AM211" s="75">
        <f t="shared" si="26"/>
        <v>3</v>
      </c>
      <c r="AN211" s="75"/>
      <c r="AO211" s="75"/>
      <c r="AP211" s="75"/>
      <c r="AQ211" s="75"/>
      <c r="AR211" s="75"/>
      <c r="AS211" s="75"/>
      <c r="AT211" s="75"/>
    </row>
    <row r="212" ht="22.5" customHeight="1">
      <c r="A212" s="7" t="s">
        <v>772</v>
      </c>
      <c r="B212" s="7" t="s">
        <v>773</v>
      </c>
      <c r="C212" s="7" t="s">
        <v>27</v>
      </c>
      <c r="D212" s="7" t="s">
        <v>774</v>
      </c>
      <c r="E212" s="7" t="s">
        <v>775</v>
      </c>
      <c r="F212" s="7" t="s">
        <v>213</v>
      </c>
      <c r="G212" s="112">
        <v>0.3333333333333333</v>
      </c>
      <c r="H212" s="112">
        <v>0.75</v>
      </c>
      <c r="I212" s="51">
        <f t="shared" si="104"/>
        <v>0.4166666667</v>
      </c>
      <c r="J212" s="108">
        <v>46175.0</v>
      </c>
      <c r="K212" s="7" t="s">
        <v>2</v>
      </c>
      <c r="L212" s="10">
        <v>15000.0</v>
      </c>
      <c r="M212" s="87" t="s">
        <v>68</v>
      </c>
      <c r="N212" s="87" t="s">
        <v>69</v>
      </c>
      <c r="O212" s="7"/>
      <c r="P212" s="10"/>
      <c r="Q212" s="7"/>
      <c r="R212" s="11"/>
      <c r="S212" s="7"/>
      <c r="T212" s="7"/>
      <c r="U212" s="7"/>
      <c r="V212" s="27"/>
      <c r="W212" s="13"/>
      <c r="X212" s="14"/>
      <c r="Y212" s="14"/>
      <c r="Z212" s="14"/>
      <c r="AA212" s="27">
        <f t="shared" si="108"/>
        <v>15000</v>
      </c>
      <c r="AB212" s="14">
        <f t="shared" si="114"/>
        <v>15300</v>
      </c>
      <c r="AC212" s="8">
        <f t="shared" si="115"/>
        <v>-120</v>
      </c>
      <c r="AD212" s="69">
        <f t="shared" si="116"/>
        <v>-180</v>
      </c>
      <c r="AE212" s="8">
        <v>0.0</v>
      </c>
      <c r="AF212" s="8" t="str">
        <f t="shared" si="109"/>
        <v>OK</v>
      </c>
      <c r="AG212" s="8" t="str">
        <f t="shared" si="110"/>
        <v>Skill Missing</v>
      </c>
      <c r="AH212" s="72"/>
      <c r="AI212" s="8"/>
      <c r="AJ212" s="21"/>
      <c r="AK212" s="110"/>
      <c r="AL212" s="75"/>
      <c r="AM212" s="75">
        <f t="shared" si="26"/>
        <v>3</v>
      </c>
      <c r="AN212" s="75"/>
      <c r="AO212" s="75"/>
      <c r="AP212" s="75"/>
      <c r="AQ212" s="75"/>
      <c r="AR212" s="75"/>
      <c r="AS212" s="75"/>
      <c r="AT212" s="75"/>
    </row>
    <row r="213" ht="22.5" customHeight="1">
      <c r="A213" s="7" t="s">
        <v>776</v>
      </c>
      <c r="B213" s="7" t="s">
        <v>777</v>
      </c>
      <c r="C213" s="7" t="s">
        <v>27</v>
      </c>
      <c r="D213" s="7" t="s">
        <v>770</v>
      </c>
      <c r="E213" s="7" t="s">
        <v>778</v>
      </c>
      <c r="F213" s="7" t="s">
        <v>213</v>
      </c>
      <c r="G213" s="112">
        <v>0.3333333333333333</v>
      </c>
      <c r="H213" s="112">
        <v>0.75</v>
      </c>
      <c r="I213" s="51">
        <f t="shared" si="104"/>
        <v>0.4166666667</v>
      </c>
      <c r="J213" s="108">
        <v>46175.0</v>
      </c>
      <c r="K213" s="7" t="s">
        <v>2</v>
      </c>
      <c r="L213" s="10">
        <v>15300.0</v>
      </c>
      <c r="M213" s="87" t="s">
        <v>68</v>
      </c>
      <c r="N213" s="87" t="s">
        <v>69</v>
      </c>
      <c r="O213" s="7"/>
      <c r="P213" s="10"/>
      <c r="Q213" s="7"/>
      <c r="R213" s="11"/>
      <c r="S213" s="7"/>
      <c r="T213" s="7"/>
      <c r="U213" s="7"/>
      <c r="V213" s="27"/>
      <c r="W213" s="13"/>
      <c r="X213" s="14"/>
      <c r="Y213" s="14"/>
      <c r="Z213" s="14"/>
      <c r="AA213" s="27">
        <f t="shared" si="108"/>
        <v>15300</v>
      </c>
      <c r="AB213" s="14">
        <f t="shared" si="114"/>
        <v>15300</v>
      </c>
      <c r="AC213" s="8">
        <f t="shared" si="115"/>
        <v>0</v>
      </c>
      <c r="AD213" s="69">
        <f t="shared" si="116"/>
        <v>0</v>
      </c>
      <c r="AE213" s="8">
        <v>0.0</v>
      </c>
      <c r="AF213" s="8" t="str">
        <f t="shared" si="109"/>
        <v>OK</v>
      </c>
      <c r="AG213" s="8" t="str">
        <f t="shared" si="110"/>
        <v>Skill Missing</v>
      </c>
      <c r="AH213" s="72"/>
      <c r="AI213" s="8"/>
      <c r="AJ213" s="21"/>
      <c r="AK213" s="110"/>
      <c r="AL213" s="121">
        <f t="shared" ref="AL213:AL216" si="118">AM213/12</f>
        <v>0.25</v>
      </c>
      <c r="AM213" s="75">
        <f t="shared" si="26"/>
        <v>3</v>
      </c>
      <c r="AN213" s="75"/>
      <c r="AO213" s="75"/>
      <c r="AP213" s="75"/>
      <c r="AQ213" s="75"/>
      <c r="AR213" s="75"/>
      <c r="AS213" s="75"/>
      <c r="AT213" s="75"/>
    </row>
    <row r="214" ht="22.5" customHeight="1">
      <c r="A214" s="7" t="s">
        <v>779</v>
      </c>
      <c r="B214" s="7" t="s">
        <v>780</v>
      </c>
      <c r="C214" s="7" t="s">
        <v>27</v>
      </c>
      <c r="D214" s="7" t="s">
        <v>770</v>
      </c>
      <c r="E214" s="7" t="s">
        <v>778</v>
      </c>
      <c r="F214" s="7" t="s">
        <v>213</v>
      </c>
      <c r="G214" s="112">
        <v>0.3333333333333333</v>
      </c>
      <c r="H214" s="112">
        <v>0.75</v>
      </c>
      <c r="I214" s="51">
        <f t="shared" si="104"/>
        <v>0.4166666667</v>
      </c>
      <c r="J214" s="108">
        <v>46175.0</v>
      </c>
      <c r="K214" s="7" t="s">
        <v>2</v>
      </c>
      <c r="L214" s="10">
        <v>15000.0</v>
      </c>
      <c r="M214" s="87" t="s">
        <v>68</v>
      </c>
      <c r="N214" s="87" t="s">
        <v>69</v>
      </c>
      <c r="O214" s="7"/>
      <c r="P214" s="10"/>
      <c r="Q214" s="7"/>
      <c r="R214" s="11"/>
      <c r="S214" s="7"/>
      <c r="T214" s="7" t="s">
        <v>217</v>
      </c>
      <c r="U214" s="7"/>
      <c r="V214" s="27"/>
      <c r="W214" s="13"/>
      <c r="X214" s="14"/>
      <c r="Y214" s="14"/>
      <c r="Z214" s="14"/>
      <c r="AA214" s="27">
        <f t="shared" si="108"/>
        <v>15000</v>
      </c>
      <c r="AB214" s="14">
        <f t="shared" si="114"/>
        <v>15300</v>
      </c>
      <c r="AC214" s="8">
        <f t="shared" si="115"/>
        <v>-120</v>
      </c>
      <c r="AD214" s="69">
        <f t="shared" si="116"/>
        <v>-180</v>
      </c>
      <c r="AE214" s="8">
        <v>0.0</v>
      </c>
      <c r="AF214" s="8" t="str">
        <f t="shared" si="109"/>
        <v>OK</v>
      </c>
      <c r="AG214" s="8" t="str">
        <f t="shared" si="110"/>
        <v>Skill Missing</v>
      </c>
      <c r="AH214" s="72"/>
      <c r="AI214" s="8"/>
      <c r="AJ214" s="21"/>
      <c r="AK214" s="110"/>
      <c r="AL214" s="121">
        <f t="shared" si="118"/>
        <v>0.25</v>
      </c>
      <c r="AM214" s="75">
        <f t="shared" si="26"/>
        <v>3</v>
      </c>
      <c r="AN214" s="75"/>
      <c r="AO214" s="75"/>
      <c r="AP214" s="75"/>
      <c r="AQ214" s="75"/>
      <c r="AR214" s="75"/>
      <c r="AS214" s="75"/>
      <c r="AT214" s="75"/>
    </row>
    <row r="215" ht="22.5" customHeight="1">
      <c r="A215" s="7" t="s">
        <v>781</v>
      </c>
      <c r="B215" s="7" t="s">
        <v>782</v>
      </c>
      <c r="C215" s="7" t="s">
        <v>27</v>
      </c>
      <c r="D215" s="7" t="s">
        <v>770</v>
      </c>
      <c r="E215" s="7" t="s">
        <v>778</v>
      </c>
      <c r="F215" s="7" t="s">
        <v>213</v>
      </c>
      <c r="G215" s="112">
        <v>0.3333333333333333</v>
      </c>
      <c r="H215" s="112">
        <v>0.75</v>
      </c>
      <c r="I215" s="51">
        <f t="shared" si="104"/>
        <v>0.4166666667</v>
      </c>
      <c r="J215" s="108">
        <v>46175.0</v>
      </c>
      <c r="K215" s="7" t="s">
        <v>2</v>
      </c>
      <c r="L215" s="10">
        <v>22000.0</v>
      </c>
      <c r="M215" s="87" t="s">
        <v>68</v>
      </c>
      <c r="N215" s="87" t="s">
        <v>69</v>
      </c>
      <c r="O215" s="7"/>
      <c r="P215" s="10"/>
      <c r="Q215" s="7"/>
      <c r="R215" s="11"/>
      <c r="S215" s="7"/>
      <c r="T215" s="7" t="s">
        <v>217</v>
      </c>
      <c r="U215" s="7"/>
      <c r="V215" s="27"/>
      <c r="W215" s="13"/>
      <c r="X215" s="14"/>
      <c r="Y215" s="14"/>
      <c r="Z215" s="14"/>
      <c r="AA215" s="27">
        <f t="shared" si="108"/>
        <v>22000</v>
      </c>
      <c r="AB215" s="14">
        <f t="shared" si="114"/>
        <v>15500</v>
      </c>
      <c r="AC215" s="8">
        <f t="shared" si="115"/>
        <v>2600</v>
      </c>
      <c r="AD215" s="69">
        <f t="shared" si="116"/>
        <v>3900</v>
      </c>
      <c r="AE215" s="8">
        <v>0.0</v>
      </c>
      <c r="AF215" s="8" t="str">
        <f t="shared" si="109"/>
        <v>OK</v>
      </c>
      <c r="AG215" s="8" t="str">
        <f t="shared" si="110"/>
        <v>Skill Missing</v>
      </c>
      <c r="AH215" s="72"/>
      <c r="AI215" s="8"/>
      <c r="AJ215" s="21"/>
      <c r="AK215" s="110"/>
      <c r="AL215" s="121">
        <f t="shared" si="118"/>
        <v>0.25</v>
      </c>
      <c r="AM215" s="75">
        <f t="shared" si="26"/>
        <v>3</v>
      </c>
      <c r="AN215" s="75"/>
      <c r="AO215" s="75"/>
      <c r="AP215" s="75"/>
      <c r="AQ215" s="75"/>
      <c r="AR215" s="75"/>
      <c r="AS215" s="75"/>
      <c r="AT215" s="75"/>
    </row>
    <row r="216" ht="22.5" customHeight="1">
      <c r="A216" s="7" t="s">
        <v>783</v>
      </c>
      <c r="B216" s="7" t="s">
        <v>784</v>
      </c>
      <c r="C216" s="7" t="s">
        <v>27</v>
      </c>
      <c r="D216" s="7" t="s">
        <v>770</v>
      </c>
      <c r="E216" s="7" t="s">
        <v>212</v>
      </c>
      <c r="F216" s="7" t="s">
        <v>213</v>
      </c>
      <c r="G216" s="112">
        <v>0.3333333333333333</v>
      </c>
      <c r="H216" s="112">
        <v>0.75</v>
      </c>
      <c r="I216" s="51">
        <f t="shared" si="104"/>
        <v>0.4166666667</v>
      </c>
      <c r="J216" s="108">
        <v>46178.0</v>
      </c>
      <c r="K216" s="7" t="s">
        <v>2</v>
      </c>
      <c r="L216" s="10">
        <v>16000.0</v>
      </c>
      <c r="M216" s="87" t="s">
        <v>68</v>
      </c>
      <c r="N216" s="87" t="s">
        <v>69</v>
      </c>
      <c r="O216" s="7"/>
      <c r="P216" s="10"/>
      <c r="Q216" s="7"/>
      <c r="R216" s="11"/>
      <c r="S216" s="7"/>
      <c r="T216" s="7" t="s">
        <v>217</v>
      </c>
      <c r="U216" s="7"/>
      <c r="V216" s="27"/>
      <c r="W216" s="13"/>
      <c r="X216" s="14"/>
      <c r="Y216" s="14"/>
      <c r="Z216" s="14"/>
      <c r="AA216" s="27">
        <f t="shared" si="108"/>
        <v>16000</v>
      </c>
      <c r="AB216" s="14">
        <f t="shared" si="114"/>
        <v>15500</v>
      </c>
      <c r="AC216" s="8">
        <f t="shared" si="115"/>
        <v>200</v>
      </c>
      <c r="AD216" s="69">
        <f t="shared" si="116"/>
        <v>300</v>
      </c>
      <c r="AE216" s="8">
        <v>0.0</v>
      </c>
      <c r="AF216" s="8" t="str">
        <f t="shared" si="109"/>
        <v>OK</v>
      </c>
      <c r="AG216" s="8" t="str">
        <f t="shared" si="110"/>
        <v>Skill Missing</v>
      </c>
      <c r="AH216" s="72"/>
      <c r="AI216" s="8"/>
      <c r="AJ216" s="21"/>
      <c r="AK216" s="110"/>
      <c r="AL216" s="121">
        <f t="shared" si="118"/>
        <v>0.25</v>
      </c>
      <c r="AM216" s="75">
        <f t="shared" si="26"/>
        <v>3</v>
      </c>
      <c r="AN216" s="75"/>
      <c r="AO216" s="75"/>
      <c r="AP216" s="75"/>
      <c r="AQ216" s="75"/>
      <c r="AR216" s="75"/>
      <c r="AS216" s="75"/>
      <c r="AT216" s="75"/>
    </row>
    <row r="217" ht="22.5" customHeight="1">
      <c r="A217" s="7" t="s">
        <v>785</v>
      </c>
      <c r="B217" s="7" t="s">
        <v>289</v>
      </c>
      <c r="C217" s="7" t="s">
        <v>27</v>
      </c>
      <c r="D217" s="7" t="s">
        <v>786</v>
      </c>
      <c r="E217" s="7" t="s">
        <v>787</v>
      </c>
      <c r="F217" s="7" t="s">
        <v>213</v>
      </c>
      <c r="G217" s="112">
        <v>0.3333333333333333</v>
      </c>
      <c r="H217" s="112">
        <v>0.75</v>
      </c>
      <c r="I217" s="51">
        <f t="shared" si="104"/>
        <v>0.4166666667</v>
      </c>
      <c r="J217" s="108">
        <v>46189.0</v>
      </c>
      <c r="K217" s="7" t="s">
        <v>2</v>
      </c>
      <c r="L217" s="10">
        <v>10000.0</v>
      </c>
      <c r="M217" s="87" t="s">
        <v>68</v>
      </c>
      <c r="N217" s="87" t="s">
        <v>69</v>
      </c>
      <c r="O217" s="7"/>
      <c r="P217" s="10"/>
      <c r="Q217" s="7"/>
      <c r="R217" s="11"/>
      <c r="S217" s="7"/>
      <c r="T217" s="7" t="s">
        <v>217</v>
      </c>
      <c r="U217" s="7"/>
      <c r="V217" s="27"/>
      <c r="W217" s="13"/>
      <c r="X217" s="14"/>
      <c r="Y217" s="14"/>
      <c r="Z217" s="14"/>
      <c r="AA217" s="27">
        <f t="shared" si="108"/>
        <v>10000</v>
      </c>
      <c r="AB217" s="14">
        <f t="shared" si="114"/>
        <v>15300</v>
      </c>
      <c r="AC217" s="8">
        <f t="shared" si="115"/>
        <v>-2120</v>
      </c>
      <c r="AD217" s="69">
        <f t="shared" si="116"/>
        <v>-3180</v>
      </c>
      <c r="AE217" s="8">
        <v>0.0</v>
      </c>
      <c r="AF217" s="8" t="str">
        <f t="shared" si="109"/>
        <v>OK</v>
      </c>
      <c r="AG217" s="8" t="str">
        <f t="shared" si="110"/>
        <v>Skill Missing</v>
      </c>
      <c r="AH217" s="72"/>
      <c r="AI217" s="8"/>
      <c r="AJ217" s="21"/>
      <c r="AK217" s="110"/>
      <c r="AL217" s="75"/>
      <c r="AM217" s="75">
        <f t="shared" si="26"/>
        <v>3</v>
      </c>
      <c r="AN217" s="75"/>
      <c r="AO217" s="75"/>
      <c r="AP217" s="75"/>
      <c r="AQ217" s="75"/>
      <c r="AR217" s="75"/>
      <c r="AS217" s="75"/>
      <c r="AT217" s="75"/>
    </row>
    <row r="218" ht="22.5" customHeight="1">
      <c r="A218" s="7" t="s">
        <v>788</v>
      </c>
      <c r="B218" s="7" t="s">
        <v>789</v>
      </c>
      <c r="C218" s="7" t="s">
        <v>27</v>
      </c>
      <c r="D218" s="7" t="s">
        <v>389</v>
      </c>
      <c r="E218" s="7" t="s">
        <v>390</v>
      </c>
      <c r="F218" s="7" t="s">
        <v>213</v>
      </c>
      <c r="G218" s="112">
        <v>0.3333333333333333</v>
      </c>
      <c r="H218" s="112">
        <v>0.75</v>
      </c>
      <c r="I218" s="51">
        <f t="shared" si="104"/>
        <v>0.4166666667</v>
      </c>
      <c r="J218" s="108">
        <v>46189.0</v>
      </c>
      <c r="K218" s="7" t="s">
        <v>2</v>
      </c>
      <c r="L218" s="10">
        <v>32000.0</v>
      </c>
      <c r="M218" s="87" t="s">
        <v>68</v>
      </c>
      <c r="N218" s="87" t="s">
        <v>69</v>
      </c>
      <c r="O218" s="7"/>
      <c r="P218" s="10"/>
      <c r="Q218" s="7"/>
      <c r="R218" s="11"/>
      <c r="S218" s="7"/>
      <c r="T218" s="7"/>
      <c r="U218" s="7"/>
      <c r="V218" s="27"/>
      <c r="W218" s="13"/>
      <c r="X218" s="14"/>
      <c r="Y218" s="14"/>
      <c r="Z218" s="14"/>
      <c r="AA218" s="27">
        <f t="shared" si="108"/>
        <v>32000</v>
      </c>
      <c r="AB218" s="14">
        <f t="shared" si="114"/>
        <v>15500</v>
      </c>
      <c r="AC218" s="8">
        <f t="shared" si="115"/>
        <v>6600</v>
      </c>
      <c r="AD218" s="69">
        <f t="shared" si="116"/>
        <v>9900</v>
      </c>
      <c r="AE218" s="8">
        <v>0.0</v>
      </c>
      <c r="AF218" s="8" t="str">
        <f t="shared" si="109"/>
        <v>OK</v>
      </c>
      <c r="AG218" s="8" t="str">
        <f t="shared" si="110"/>
        <v>Skill Missing</v>
      </c>
      <c r="AH218" s="72"/>
      <c r="AI218" s="8"/>
      <c r="AJ218" s="21"/>
      <c r="AK218" s="110"/>
      <c r="AL218" s="75"/>
      <c r="AM218" s="75">
        <f t="shared" si="26"/>
        <v>3</v>
      </c>
      <c r="AN218" s="75"/>
      <c r="AO218" s="75"/>
      <c r="AP218" s="75"/>
      <c r="AQ218" s="75"/>
      <c r="AR218" s="75"/>
      <c r="AS218" s="75"/>
      <c r="AT218" s="75"/>
    </row>
    <row r="219" ht="22.5" customHeight="1">
      <c r="A219" s="7" t="s">
        <v>790</v>
      </c>
      <c r="B219" s="7" t="s">
        <v>791</v>
      </c>
      <c r="C219" s="7" t="s">
        <v>27</v>
      </c>
      <c r="D219" s="7" t="s">
        <v>757</v>
      </c>
      <c r="E219" s="7" t="s">
        <v>733</v>
      </c>
      <c r="F219" s="7" t="s">
        <v>199</v>
      </c>
      <c r="G219" s="112">
        <v>0.3333333333333333</v>
      </c>
      <c r="H219" s="112">
        <v>0.75</v>
      </c>
      <c r="I219" s="51">
        <f t="shared" si="104"/>
        <v>0.4166666667</v>
      </c>
      <c r="J219" s="108">
        <v>46174.0</v>
      </c>
      <c r="K219" s="7" t="s">
        <v>2</v>
      </c>
      <c r="L219" s="10">
        <v>14000.0</v>
      </c>
      <c r="M219" s="87" t="s">
        <v>68</v>
      </c>
      <c r="N219" s="87" t="s">
        <v>69</v>
      </c>
      <c r="O219" s="7"/>
      <c r="P219" s="10"/>
      <c r="Q219" s="7"/>
      <c r="R219" s="11"/>
      <c r="S219" s="7"/>
      <c r="T219" s="7" t="s">
        <v>217</v>
      </c>
      <c r="U219" s="7"/>
      <c r="V219" s="27"/>
      <c r="W219" s="13"/>
      <c r="X219" s="14"/>
      <c r="Y219" s="14"/>
      <c r="Z219" s="14"/>
      <c r="AA219" s="27">
        <f t="shared" si="108"/>
        <v>14000</v>
      </c>
      <c r="AB219" s="14">
        <f t="shared" si="114"/>
        <v>15300</v>
      </c>
      <c r="AC219" s="8">
        <f t="shared" si="115"/>
        <v>-520</v>
      </c>
      <c r="AD219" s="69">
        <f t="shared" si="116"/>
        <v>-780</v>
      </c>
      <c r="AE219" s="8">
        <v>0.0</v>
      </c>
      <c r="AF219" s="8" t="str">
        <f t="shared" si="109"/>
        <v>OK</v>
      </c>
      <c r="AG219" s="8" t="str">
        <f t="shared" si="110"/>
        <v>Skill Missing</v>
      </c>
      <c r="AH219" s="72"/>
      <c r="AI219" s="8"/>
      <c r="AJ219" s="21"/>
      <c r="AK219" s="110"/>
      <c r="AL219" s="75"/>
      <c r="AM219" s="75">
        <f t="shared" si="26"/>
        <v>3</v>
      </c>
      <c r="AN219" s="75"/>
      <c r="AO219" s="75"/>
      <c r="AP219" s="75"/>
      <c r="AQ219" s="75"/>
      <c r="AR219" s="75"/>
      <c r="AS219" s="75"/>
      <c r="AT219" s="75"/>
    </row>
    <row r="220" ht="22.5" customHeight="1">
      <c r="A220" s="7" t="s">
        <v>792</v>
      </c>
      <c r="B220" s="7" t="s">
        <v>793</v>
      </c>
      <c r="C220" s="7" t="s">
        <v>27</v>
      </c>
      <c r="D220" s="7" t="s">
        <v>770</v>
      </c>
      <c r="E220" s="7" t="s">
        <v>423</v>
      </c>
      <c r="F220" s="7" t="s">
        <v>213</v>
      </c>
      <c r="G220" s="112">
        <v>0.3333333333333333</v>
      </c>
      <c r="H220" s="112">
        <v>0.75</v>
      </c>
      <c r="I220" s="51">
        <f t="shared" si="104"/>
        <v>0.4166666667</v>
      </c>
      <c r="J220" s="108">
        <v>46204.0</v>
      </c>
      <c r="K220" s="7" t="s">
        <v>2</v>
      </c>
      <c r="L220" s="17">
        <v>16500.0</v>
      </c>
      <c r="M220" s="87" t="s">
        <v>68</v>
      </c>
      <c r="N220" s="87" t="s">
        <v>69</v>
      </c>
      <c r="O220" s="7"/>
      <c r="P220" s="10"/>
      <c r="Q220" s="7"/>
      <c r="R220" s="11"/>
      <c r="S220" s="7"/>
      <c r="T220" s="7" t="s">
        <v>217</v>
      </c>
      <c r="U220" s="7"/>
      <c r="V220" s="27"/>
      <c r="W220" s="13"/>
      <c r="X220" s="14"/>
      <c r="Y220" s="14"/>
      <c r="Z220" s="14"/>
      <c r="AA220" s="14">
        <f t="shared" si="108"/>
        <v>16500</v>
      </c>
      <c r="AB220" s="14">
        <f t="shared" si="114"/>
        <v>15500</v>
      </c>
      <c r="AC220" s="8">
        <f t="shared" si="115"/>
        <v>400</v>
      </c>
      <c r="AD220" s="8">
        <f t="shared" si="116"/>
        <v>600</v>
      </c>
      <c r="AE220" s="8">
        <v>0.0</v>
      </c>
      <c r="AF220" s="8" t="str">
        <f t="shared" si="109"/>
        <v>OK</v>
      </c>
      <c r="AG220" s="8" t="str">
        <f t="shared" si="110"/>
        <v>Skill Missing</v>
      </c>
      <c r="AH220" s="72"/>
      <c r="AI220" s="8"/>
      <c r="AJ220" s="21"/>
      <c r="AK220" s="110"/>
      <c r="AL220" s="121">
        <f t="shared" ref="AL220:AL222" si="119">AM220/12</f>
        <v>0.1666666667</v>
      </c>
      <c r="AM220" s="75">
        <f t="shared" si="26"/>
        <v>2</v>
      </c>
      <c r="AN220" s="75"/>
      <c r="AO220" s="75"/>
      <c r="AP220" s="75"/>
      <c r="AQ220" s="75"/>
      <c r="AR220" s="75"/>
      <c r="AS220" s="75"/>
      <c r="AT220" s="75"/>
    </row>
    <row r="221" ht="22.5" customHeight="1">
      <c r="A221" s="7" t="s">
        <v>794</v>
      </c>
      <c r="B221" s="7" t="s">
        <v>795</v>
      </c>
      <c r="C221" s="7" t="s">
        <v>27</v>
      </c>
      <c r="D221" s="7" t="s">
        <v>770</v>
      </c>
      <c r="E221" s="7" t="s">
        <v>778</v>
      </c>
      <c r="F221" s="7" t="s">
        <v>213</v>
      </c>
      <c r="G221" s="112">
        <v>0.3333333333333333</v>
      </c>
      <c r="H221" s="112">
        <v>0.75</v>
      </c>
      <c r="I221" s="51">
        <f t="shared" si="104"/>
        <v>0.4166666667</v>
      </c>
      <c r="J221" s="108">
        <v>46204.0</v>
      </c>
      <c r="K221" s="7" t="s">
        <v>2</v>
      </c>
      <c r="L221" s="10">
        <v>18000.0</v>
      </c>
      <c r="M221" s="87" t="s">
        <v>68</v>
      </c>
      <c r="N221" s="87" t="s">
        <v>69</v>
      </c>
      <c r="O221" s="7"/>
      <c r="P221" s="10"/>
      <c r="Q221" s="7"/>
      <c r="R221" s="11"/>
      <c r="S221" s="7"/>
      <c r="T221" s="7" t="s">
        <v>217</v>
      </c>
      <c r="U221" s="7"/>
      <c r="V221" s="27"/>
      <c r="W221" s="13"/>
      <c r="X221" s="14"/>
      <c r="Y221" s="14"/>
      <c r="Z221" s="14"/>
      <c r="AA221" s="27">
        <f t="shared" si="108"/>
        <v>18000</v>
      </c>
      <c r="AB221" s="14">
        <f t="shared" si="114"/>
        <v>15500</v>
      </c>
      <c r="AC221" s="8">
        <f t="shared" si="115"/>
        <v>1000</v>
      </c>
      <c r="AD221" s="69">
        <f t="shared" si="116"/>
        <v>1500</v>
      </c>
      <c r="AE221" s="8">
        <v>0.0</v>
      </c>
      <c r="AF221" s="8" t="str">
        <f t="shared" si="109"/>
        <v>OK</v>
      </c>
      <c r="AG221" s="8" t="str">
        <f t="shared" si="110"/>
        <v>Skill Missing</v>
      </c>
      <c r="AH221" s="72"/>
      <c r="AI221" s="8"/>
      <c r="AJ221" s="21"/>
      <c r="AK221" s="110"/>
      <c r="AL221" s="121">
        <f t="shared" si="119"/>
        <v>0.1666666667</v>
      </c>
      <c r="AM221" s="75">
        <f t="shared" si="26"/>
        <v>2</v>
      </c>
      <c r="AN221" s="75"/>
      <c r="AO221" s="75"/>
      <c r="AP221" s="75"/>
      <c r="AQ221" s="75"/>
      <c r="AR221" s="75"/>
      <c r="AS221" s="75"/>
      <c r="AT221" s="75"/>
    </row>
    <row r="222" ht="22.5" customHeight="1">
      <c r="A222" s="7" t="s">
        <v>796</v>
      </c>
      <c r="B222" s="7" t="s">
        <v>797</v>
      </c>
      <c r="C222" s="7" t="s">
        <v>27</v>
      </c>
      <c r="D222" s="7" t="s">
        <v>770</v>
      </c>
      <c r="E222" s="7" t="s">
        <v>778</v>
      </c>
      <c r="F222" s="7" t="s">
        <v>213</v>
      </c>
      <c r="G222" s="112">
        <v>0.3333333333333333</v>
      </c>
      <c r="H222" s="112">
        <v>0.75</v>
      </c>
      <c r="I222" s="51">
        <f t="shared" si="104"/>
        <v>0.4166666667</v>
      </c>
      <c r="J222" s="108">
        <v>46204.0</v>
      </c>
      <c r="K222" s="7" t="s">
        <v>2</v>
      </c>
      <c r="L222" s="10">
        <v>16000.0</v>
      </c>
      <c r="M222" s="87" t="s">
        <v>68</v>
      </c>
      <c r="N222" s="87" t="s">
        <v>69</v>
      </c>
      <c r="O222" s="7"/>
      <c r="P222" s="10"/>
      <c r="Q222" s="7"/>
      <c r="R222" s="11"/>
      <c r="S222" s="7"/>
      <c r="T222" s="7" t="s">
        <v>217</v>
      </c>
      <c r="U222" s="7"/>
      <c r="V222" s="27"/>
      <c r="W222" s="13"/>
      <c r="X222" s="14"/>
      <c r="Y222" s="14"/>
      <c r="Z222" s="14"/>
      <c r="AA222" s="27">
        <f t="shared" si="108"/>
        <v>16000</v>
      </c>
      <c r="AB222" s="14">
        <f t="shared" si="114"/>
        <v>15500</v>
      </c>
      <c r="AC222" s="8">
        <f t="shared" si="115"/>
        <v>200</v>
      </c>
      <c r="AD222" s="69">
        <f t="shared" si="116"/>
        <v>300</v>
      </c>
      <c r="AE222" s="8">
        <v>0.0</v>
      </c>
      <c r="AF222" s="8" t="str">
        <f t="shared" si="109"/>
        <v>OK</v>
      </c>
      <c r="AG222" s="8" t="str">
        <f t="shared" si="110"/>
        <v>Skill Missing</v>
      </c>
      <c r="AH222" s="72"/>
      <c r="AI222" s="8"/>
      <c r="AJ222" s="21"/>
      <c r="AK222" s="110"/>
      <c r="AL222" s="121">
        <f t="shared" si="119"/>
        <v>0.1666666667</v>
      </c>
      <c r="AM222" s="75">
        <f t="shared" si="26"/>
        <v>2</v>
      </c>
      <c r="AN222" s="75"/>
      <c r="AO222" s="75"/>
      <c r="AP222" s="75"/>
      <c r="AQ222" s="75"/>
      <c r="AR222" s="75"/>
      <c r="AS222" s="75"/>
      <c r="AT222" s="75"/>
    </row>
    <row r="223" ht="22.5" customHeight="1">
      <c r="A223" s="7" t="s">
        <v>798</v>
      </c>
      <c r="B223" s="7" t="s">
        <v>799</v>
      </c>
      <c r="C223" s="7" t="s">
        <v>27</v>
      </c>
      <c r="D223" s="7" t="s">
        <v>560</v>
      </c>
      <c r="E223" s="7" t="s">
        <v>746</v>
      </c>
      <c r="F223" s="7" t="s">
        <v>213</v>
      </c>
      <c r="G223" s="112">
        <v>0.3333333333333333</v>
      </c>
      <c r="H223" s="112">
        <v>0.75</v>
      </c>
      <c r="I223" s="51">
        <f t="shared" si="104"/>
        <v>0.4166666667</v>
      </c>
      <c r="J223" s="108">
        <v>46204.0</v>
      </c>
      <c r="K223" s="7" t="s">
        <v>2</v>
      </c>
      <c r="L223" s="10">
        <v>29000.0</v>
      </c>
      <c r="M223" s="87" t="s">
        <v>68</v>
      </c>
      <c r="N223" s="87" t="s">
        <v>69</v>
      </c>
      <c r="O223" s="7"/>
      <c r="P223" s="10"/>
      <c r="Q223" s="7"/>
      <c r="R223" s="11"/>
      <c r="S223" s="7"/>
      <c r="T223" s="7" t="s">
        <v>217</v>
      </c>
      <c r="U223" s="7"/>
      <c r="V223" s="27"/>
      <c r="W223" s="13"/>
      <c r="X223" s="14"/>
      <c r="Y223" s="14"/>
      <c r="Z223" s="14"/>
      <c r="AA223" s="27">
        <f t="shared" si="108"/>
        <v>29000</v>
      </c>
      <c r="AB223" s="14">
        <f t="shared" si="114"/>
        <v>15500</v>
      </c>
      <c r="AC223" s="8">
        <f t="shared" si="115"/>
        <v>5400</v>
      </c>
      <c r="AD223" s="69">
        <f t="shared" si="116"/>
        <v>8100</v>
      </c>
      <c r="AE223" s="8">
        <v>0.0</v>
      </c>
      <c r="AF223" s="8" t="str">
        <f t="shared" si="109"/>
        <v>OK</v>
      </c>
      <c r="AG223" s="8" t="str">
        <f t="shared" si="110"/>
        <v>Skill Missing</v>
      </c>
      <c r="AH223" s="72"/>
      <c r="AI223" s="8"/>
      <c r="AJ223" s="21"/>
      <c r="AK223" s="110"/>
      <c r="AL223" s="75"/>
      <c r="AM223" s="75">
        <f t="shared" si="26"/>
        <v>2</v>
      </c>
      <c r="AN223" s="75"/>
      <c r="AO223" s="75"/>
      <c r="AP223" s="75"/>
      <c r="AQ223" s="75"/>
      <c r="AR223" s="75"/>
      <c r="AS223" s="75"/>
      <c r="AT223" s="75"/>
    </row>
    <row r="224" ht="22.5" customHeight="1">
      <c r="A224" s="7" t="s">
        <v>800</v>
      </c>
      <c r="B224" s="7" t="s">
        <v>686</v>
      </c>
      <c r="C224" s="7" t="s">
        <v>27</v>
      </c>
      <c r="D224" s="7" t="s">
        <v>757</v>
      </c>
      <c r="E224" s="7" t="s">
        <v>739</v>
      </c>
      <c r="F224" s="7" t="s">
        <v>213</v>
      </c>
      <c r="G224" s="112">
        <v>0.3333333333333333</v>
      </c>
      <c r="H224" s="112">
        <v>0.75</v>
      </c>
      <c r="I224" s="51">
        <f t="shared" si="104"/>
        <v>0.4166666667</v>
      </c>
      <c r="J224" s="108">
        <v>46205.0</v>
      </c>
      <c r="K224" s="7" t="s">
        <v>2</v>
      </c>
      <c r="L224" s="10">
        <v>15500.0</v>
      </c>
      <c r="M224" s="87" t="s">
        <v>68</v>
      </c>
      <c r="N224" s="87" t="s">
        <v>69</v>
      </c>
      <c r="O224" s="7"/>
      <c r="P224" s="10"/>
      <c r="Q224" s="7"/>
      <c r="R224" s="11"/>
      <c r="S224" s="7"/>
      <c r="T224" s="7" t="s">
        <v>217</v>
      </c>
      <c r="U224" s="7"/>
      <c r="V224" s="27"/>
      <c r="W224" s="13"/>
      <c r="X224" s="14"/>
      <c r="Y224" s="14"/>
      <c r="Z224" s="14"/>
      <c r="AA224" s="27">
        <f t="shared" si="108"/>
        <v>15500</v>
      </c>
      <c r="AB224" s="14">
        <f t="shared" si="114"/>
        <v>15500</v>
      </c>
      <c r="AC224" s="8">
        <f t="shared" si="115"/>
        <v>0</v>
      </c>
      <c r="AD224" s="69">
        <f t="shared" si="116"/>
        <v>0</v>
      </c>
      <c r="AE224" s="8">
        <v>0.0</v>
      </c>
      <c r="AF224" s="8" t="str">
        <f t="shared" si="109"/>
        <v>OK</v>
      </c>
      <c r="AG224" s="8" t="str">
        <f t="shared" si="110"/>
        <v>Skill Missing</v>
      </c>
      <c r="AH224" s="72"/>
      <c r="AI224" s="8"/>
      <c r="AJ224" s="21"/>
      <c r="AK224" s="110"/>
      <c r="AL224" s="75"/>
      <c r="AM224" s="75">
        <f t="shared" si="26"/>
        <v>2</v>
      </c>
      <c r="AN224" s="75"/>
      <c r="AO224" s="75"/>
      <c r="AP224" s="75"/>
      <c r="AQ224" s="75"/>
      <c r="AR224" s="75"/>
      <c r="AS224" s="75"/>
      <c r="AT224" s="75"/>
    </row>
    <row r="225" ht="22.5" customHeight="1">
      <c r="A225" s="7" t="s">
        <v>801</v>
      </c>
      <c r="B225" s="7" t="s">
        <v>802</v>
      </c>
      <c r="C225" s="7" t="s">
        <v>27</v>
      </c>
      <c r="D225" s="7" t="s">
        <v>770</v>
      </c>
      <c r="E225" s="7" t="s">
        <v>739</v>
      </c>
      <c r="F225" s="7" t="s">
        <v>213</v>
      </c>
      <c r="G225" s="112">
        <v>0.3333333333333333</v>
      </c>
      <c r="H225" s="112">
        <v>0.75</v>
      </c>
      <c r="I225" s="51">
        <f t="shared" si="104"/>
        <v>0.4166666667</v>
      </c>
      <c r="J225" s="108">
        <v>46207.0</v>
      </c>
      <c r="K225" s="7" t="s">
        <v>2</v>
      </c>
      <c r="L225" s="10">
        <v>15250.0</v>
      </c>
      <c r="M225" s="87" t="s">
        <v>68</v>
      </c>
      <c r="N225" s="87" t="s">
        <v>69</v>
      </c>
      <c r="O225" s="7"/>
      <c r="P225" s="10"/>
      <c r="Q225" s="7"/>
      <c r="R225" s="11"/>
      <c r="S225" s="7"/>
      <c r="T225" s="7" t="s">
        <v>217</v>
      </c>
      <c r="U225" s="7"/>
      <c r="V225" s="27"/>
      <c r="W225" s="13"/>
      <c r="X225" s="14"/>
      <c r="Y225" s="14"/>
      <c r="Z225" s="14"/>
      <c r="AA225" s="27">
        <f t="shared" si="108"/>
        <v>15250</v>
      </c>
      <c r="AB225" s="14">
        <f t="shared" si="114"/>
        <v>15250</v>
      </c>
      <c r="AC225" s="8">
        <f t="shared" si="115"/>
        <v>0</v>
      </c>
      <c r="AD225" s="69">
        <f t="shared" si="116"/>
        <v>0</v>
      </c>
      <c r="AE225" s="8">
        <v>0.0</v>
      </c>
      <c r="AF225" s="8" t="str">
        <f t="shared" si="109"/>
        <v>OK</v>
      </c>
      <c r="AG225" s="8" t="str">
        <f t="shared" si="110"/>
        <v>Skill Missing</v>
      </c>
      <c r="AH225" s="72"/>
      <c r="AI225" s="8"/>
      <c r="AJ225" s="21"/>
      <c r="AK225" s="110"/>
      <c r="AL225" s="121">
        <f t="shared" ref="AL225:AL230" si="120">AM225/12</f>
        <v>0.1666666667</v>
      </c>
      <c r="AM225" s="75">
        <f t="shared" si="26"/>
        <v>2</v>
      </c>
      <c r="AN225" s="75"/>
      <c r="AO225" s="75"/>
      <c r="AP225" s="75"/>
      <c r="AQ225" s="75"/>
      <c r="AR225" s="75"/>
      <c r="AS225" s="75"/>
      <c r="AT225" s="75"/>
    </row>
    <row r="226" ht="22.5" customHeight="1">
      <c r="A226" s="7" t="s">
        <v>803</v>
      </c>
      <c r="B226" s="7" t="s">
        <v>465</v>
      </c>
      <c r="C226" s="7" t="s">
        <v>27</v>
      </c>
      <c r="D226" s="7" t="s">
        <v>770</v>
      </c>
      <c r="E226" s="7" t="s">
        <v>778</v>
      </c>
      <c r="F226" s="7" t="s">
        <v>213</v>
      </c>
      <c r="G226" s="112">
        <v>0.3333333333333333</v>
      </c>
      <c r="H226" s="112">
        <v>0.75</v>
      </c>
      <c r="I226" s="51">
        <f t="shared" si="104"/>
        <v>0.4166666667</v>
      </c>
      <c r="J226" s="108">
        <v>46209.0</v>
      </c>
      <c r="K226" s="7" t="s">
        <v>2</v>
      </c>
      <c r="L226" s="10">
        <v>16000.0</v>
      </c>
      <c r="M226" s="87" t="s">
        <v>68</v>
      </c>
      <c r="N226" s="87" t="s">
        <v>69</v>
      </c>
      <c r="O226" s="7"/>
      <c r="P226" s="10"/>
      <c r="Q226" s="7"/>
      <c r="R226" s="11"/>
      <c r="S226" s="7"/>
      <c r="T226" s="7" t="s">
        <v>217</v>
      </c>
      <c r="U226" s="7"/>
      <c r="V226" s="27"/>
      <c r="W226" s="13"/>
      <c r="X226" s="14"/>
      <c r="Y226" s="14"/>
      <c r="Z226" s="14"/>
      <c r="AA226" s="27">
        <f t="shared" si="108"/>
        <v>16000</v>
      </c>
      <c r="AB226" s="14">
        <f t="shared" si="114"/>
        <v>15500</v>
      </c>
      <c r="AC226" s="8">
        <f t="shared" si="115"/>
        <v>200</v>
      </c>
      <c r="AD226" s="69">
        <f t="shared" si="116"/>
        <v>300</v>
      </c>
      <c r="AE226" s="8">
        <v>0.0</v>
      </c>
      <c r="AF226" s="8" t="str">
        <f t="shared" si="109"/>
        <v>OK</v>
      </c>
      <c r="AG226" s="8" t="str">
        <f t="shared" si="110"/>
        <v>Skill Missing</v>
      </c>
      <c r="AH226" s="72"/>
      <c r="AI226" s="8"/>
      <c r="AJ226" s="21"/>
      <c r="AK226" s="110"/>
      <c r="AL226" s="121">
        <f t="shared" si="120"/>
        <v>0.1666666667</v>
      </c>
      <c r="AM226" s="75">
        <f t="shared" si="26"/>
        <v>2</v>
      </c>
      <c r="AN226" s="75"/>
      <c r="AO226" s="75"/>
      <c r="AP226" s="75"/>
      <c r="AQ226" s="75"/>
      <c r="AR226" s="75"/>
      <c r="AS226" s="75"/>
      <c r="AT226" s="75"/>
    </row>
    <row r="227" ht="22.5" customHeight="1">
      <c r="A227" s="7" t="s">
        <v>804</v>
      </c>
      <c r="B227" s="7" t="s">
        <v>805</v>
      </c>
      <c r="C227" s="7" t="s">
        <v>27</v>
      </c>
      <c r="D227" s="7" t="s">
        <v>770</v>
      </c>
      <c r="E227" s="7" t="s">
        <v>592</v>
      </c>
      <c r="F227" s="7" t="s">
        <v>213</v>
      </c>
      <c r="G227" s="112">
        <v>0.3333333333333333</v>
      </c>
      <c r="H227" s="112">
        <v>0.75</v>
      </c>
      <c r="I227" s="51">
        <f t="shared" si="104"/>
        <v>0.4166666667</v>
      </c>
      <c r="J227" s="108">
        <v>46209.0</v>
      </c>
      <c r="K227" s="7" t="s">
        <v>2</v>
      </c>
      <c r="L227" s="10">
        <v>20000.0</v>
      </c>
      <c r="M227" s="87" t="s">
        <v>68</v>
      </c>
      <c r="N227" s="87" t="s">
        <v>69</v>
      </c>
      <c r="O227" s="7"/>
      <c r="P227" s="10"/>
      <c r="Q227" s="7"/>
      <c r="R227" s="11"/>
      <c r="S227" s="7"/>
      <c r="T227" s="7" t="s">
        <v>217</v>
      </c>
      <c r="U227" s="7"/>
      <c r="V227" s="27"/>
      <c r="W227" s="13"/>
      <c r="X227" s="14"/>
      <c r="Y227" s="14"/>
      <c r="Z227" s="14"/>
      <c r="AA227" s="27">
        <f t="shared" si="108"/>
        <v>20000</v>
      </c>
      <c r="AB227" s="14">
        <f t="shared" si="114"/>
        <v>15500</v>
      </c>
      <c r="AC227" s="8">
        <f t="shared" si="115"/>
        <v>1800</v>
      </c>
      <c r="AD227" s="69">
        <f t="shared" si="116"/>
        <v>2700</v>
      </c>
      <c r="AE227" s="8">
        <v>0.0</v>
      </c>
      <c r="AF227" s="8" t="str">
        <f t="shared" si="109"/>
        <v>OK</v>
      </c>
      <c r="AG227" s="8" t="str">
        <f t="shared" si="110"/>
        <v>Skill Missing</v>
      </c>
      <c r="AH227" s="72"/>
      <c r="AI227" s="8"/>
      <c r="AJ227" s="21"/>
      <c r="AK227" s="110"/>
      <c r="AL227" s="121">
        <f t="shared" si="120"/>
        <v>0.1666666667</v>
      </c>
      <c r="AM227" s="75">
        <f t="shared" si="26"/>
        <v>2</v>
      </c>
      <c r="AN227" s="75"/>
      <c r="AO227" s="75"/>
      <c r="AP227" s="75"/>
      <c r="AQ227" s="75"/>
      <c r="AR227" s="75"/>
      <c r="AS227" s="75"/>
      <c r="AT227" s="75"/>
    </row>
    <row r="228" ht="22.5" customHeight="1">
      <c r="A228" s="7" t="s">
        <v>806</v>
      </c>
      <c r="B228" s="7" t="s">
        <v>807</v>
      </c>
      <c r="C228" s="7" t="s">
        <v>27</v>
      </c>
      <c r="D228" s="7" t="s">
        <v>770</v>
      </c>
      <c r="E228" s="7" t="s">
        <v>423</v>
      </c>
      <c r="F228" s="7" t="s">
        <v>213</v>
      </c>
      <c r="G228" s="112">
        <v>0.3333333333333333</v>
      </c>
      <c r="H228" s="112">
        <v>0.75</v>
      </c>
      <c r="I228" s="51">
        <f t="shared" si="104"/>
        <v>0.4166666667</v>
      </c>
      <c r="J228" s="108">
        <v>46211.0</v>
      </c>
      <c r="K228" s="7" t="s">
        <v>2</v>
      </c>
      <c r="L228" s="10">
        <v>16500.0</v>
      </c>
      <c r="M228" s="87" t="s">
        <v>68</v>
      </c>
      <c r="N228" s="87" t="s">
        <v>69</v>
      </c>
      <c r="O228" s="7"/>
      <c r="P228" s="10"/>
      <c r="Q228" s="7"/>
      <c r="R228" s="11"/>
      <c r="S228" s="7"/>
      <c r="T228" s="7" t="s">
        <v>217</v>
      </c>
      <c r="U228" s="7"/>
      <c r="V228" s="27"/>
      <c r="W228" s="13"/>
      <c r="X228" s="14"/>
      <c r="Y228" s="14"/>
      <c r="Z228" s="14"/>
      <c r="AA228" s="27">
        <f t="shared" si="108"/>
        <v>16500</v>
      </c>
      <c r="AB228" s="14">
        <f t="shared" si="114"/>
        <v>15500</v>
      </c>
      <c r="AC228" s="8">
        <f t="shared" si="115"/>
        <v>400</v>
      </c>
      <c r="AD228" s="69">
        <f t="shared" si="116"/>
        <v>600</v>
      </c>
      <c r="AE228" s="8">
        <v>0.0</v>
      </c>
      <c r="AF228" s="8" t="str">
        <f t="shared" si="109"/>
        <v>OK</v>
      </c>
      <c r="AG228" s="8" t="str">
        <f t="shared" si="110"/>
        <v>Skill Missing</v>
      </c>
      <c r="AH228" s="72"/>
      <c r="AI228" s="8"/>
      <c r="AJ228" s="21"/>
      <c r="AK228" s="110"/>
      <c r="AL228" s="121">
        <f t="shared" si="120"/>
        <v>0.1666666667</v>
      </c>
      <c r="AM228" s="75">
        <f t="shared" si="26"/>
        <v>2</v>
      </c>
      <c r="AN228" s="75"/>
      <c r="AO228" s="75"/>
      <c r="AP228" s="75"/>
      <c r="AQ228" s="75"/>
      <c r="AR228" s="75"/>
      <c r="AS228" s="75"/>
      <c r="AT228" s="75"/>
    </row>
    <row r="229" ht="22.5" customHeight="1">
      <c r="A229" s="7" t="s">
        <v>808</v>
      </c>
      <c r="B229" s="7" t="s">
        <v>809</v>
      </c>
      <c r="C229" s="7" t="s">
        <v>27</v>
      </c>
      <c r="D229" s="7" t="s">
        <v>770</v>
      </c>
      <c r="E229" s="7" t="s">
        <v>778</v>
      </c>
      <c r="F229" s="7" t="s">
        <v>213</v>
      </c>
      <c r="G229" s="112">
        <v>0.3333333333333333</v>
      </c>
      <c r="H229" s="112">
        <v>0.75</v>
      </c>
      <c r="I229" s="51">
        <f t="shared" si="104"/>
        <v>0.4166666667</v>
      </c>
      <c r="J229" s="108">
        <v>46208.0</v>
      </c>
      <c r="K229" s="7" t="s">
        <v>2</v>
      </c>
      <c r="L229" s="10">
        <v>15250.0</v>
      </c>
      <c r="M229" s="87" t="s">
        <v>68</v>
      </c>
      <c r="N229" s="87" t="s">
        <v>69</v>
      </c>
      <c r="O229" s="7"/>
      <c r="P229" s="10"/>
      <c r="Q229" s="7"/>
      <c r="R229" s="11"/>
      <c r="S229" s="7"/>
      <c r="T229" s="7" t="s">
        <v>217</v>
      </c>
      <c r="U229" s="7"/>
      <c r="V229" s="27"/>
      <c r="W229" s="13"/>
      <c r="X229" s="14"/>
      <c r="Y229" s="14"/>
      <c r="Z229" s="14"/>
      <c r="AA229" s="27">
        <f t="shared" si="108"/>
        <v>15250</v>
      </c>
      <c r="AB229" s="14">
        <f t="shared" si="114"/>
        <v>15250</v>
      </c>
      <c r="AC229" s="8">
        <f t="shared" si="115"/>
        <v>0</v>
      </c>
      <c r="AD229" s="69">
        <f t="shared" si="116"/>
        <v>0</v>
      </c>
      <c r="AE229" s="8">
        <v>0.0</v>
      </c>
      <c r="AF229" s="8" t="str">
        <f t="shared" si="109"/>
        <v>OK</v>
      </c>
      <c r="AG229" s="8" t="str">
        <f t="shared" si="110"/>
        <v>Skill Missing</v>
      </c>
      <c r="AH229" s="72"/>
      <c r="AI229" s="8"/>
      <c r="AJ229" s="21"/>
      <c r="AK229" s="110"/>
      <c r="AL229" s="121">
        <f t="shared" si="120"/>
        <v>0.1666666667</v>
      </c>
      <c r="AM229" s="75">
        <f t="shared" si="26"/>
        <v>2</v>
      </c>
      <c r="AN229" s="75"/>
      <c r="AO229" s="75"/>
      <c r="AP229" s="75"/>
      <c r="AQ229" s="75"/>
      <c r="AR229" s="75"/>
      <c r="AS229" s="75"/>
      <c r="AT229" s="75"/>
    </row>
    <row r="230" ht="22.5" customHeight="1">
      <c r="A230" s="7" t="s">
        <v>810</v>
      </c>
      <c r="B230" s="7" t="s">
        <v>811</v>
      </c>
      <c r="C230" s="7" t="s">
        <v>27</v>
      </c>
      <c r="D230" s="7" t="s">
        <v>770</v>
      </c>
      <c r="E230" s="7" t="s">
        <v>592</v>
      </c>
      <c r="F230" s="7" t="s">
        <v>213</v>
      </c>
      <c r="G230" s="112">
        <v>0.3333333333333333</v>
      </c>
      <c r="H230" s="112">
        <v>0.75</v>
      </c>
      <c r="I230" s="51">
        <f t="shared" si="104"/>
        <v>0.4166666667</v>
      </c>
      <c r="J230" s="108">
        <v>46216.0</v>
      </c>
      <c r="K230" s="7" t="s">
        <v>2</v>
      </c>
      <c r="L230" s="10">
        <v>21000.0</v>
      </c>
      <c r="M230" s="87" t="s">
        <v>68</v>
      </c>
      <c r="N230" s="87" t="s">
        <v>69</v>
      </c>
      <c r="O230" s="7"/>
      <c r="P230" s="10"/>
      <c r="Q230" s="7"/>
      <c r="R230" s="11"/>
      <c r="S230" s="7"/>
      <c r="T230" s="7" t="s">
        <v>217</v>
      </c>
      <c r="U230" s="7"/>
      <c r="V230" s="27"/>
      <c r="W230" s="13"/>
      <c r="X230" s="14"/>
      <c r="Y230" s="14"/>
      <c r="Z230" s="14"/>
      <c r="AA230" s="27">
        <f t="shared" si="108"/>
        <v>21000</v>
      </c>
      <c r="AB230" s="14">
        <f t="shared" si="114"/>
        <v>15500</v>
      </c>
      <c r="AC230" s="8">
        <f t="shared" si="115"/>
        <v>2200</v>
      </c>
      <c r="AD230" s="69">
        <f t="shared" si="116"/>
        <v>3300</v>
      </c>
      <c r="AE230" s="8">
        <v>0.0</v>
      </c>
      <c r="AF230" s="8" t="str">
        <f t="shared" si="109"/>
        <v>OK</v>
      </c>
      <c r="AG230" s="8" t="str">
        <f t="shared" si="110"/>
        <v>Skill Missing</v>
      </c>
      <c r="AH230" s="72"/>
      <c r="AI230" s="8"/>
      <c r="AJ230" s="21"/>
      <c r="AK230" s="110"/>
      <c r="AL230" s="121">
        <f t="shared" si="120"/>
        <v>0.1666666667</v>
      </c>
      <c r="AM230" s="75">
        <f t="shared" si="26"/>
        <v>2</v>
      </c>
      <c r="AN230" s="75"/>
      <c r="AO230" s="75"/>
      <c r="AP230" s="75"/>
      <c r="AQ230" s="75"/>
      <c r="AR230" s="75"/>
      <c r="AS230" s="75"/>
      <c r="AT230" s="75"/>
    </row>
    <row r="231" ht="22.5" customHeight="1">
      <c r="A231" s="7" t="s">
        <v>812</v>
      </c>
      <c r="B231" s="7" t="s">
        <v>813</v>
      </c>
      <c r="C231" s="7" t="s">
        <v>27</v>
      </c>
      <c r="D231" s="7" t="s">
        <v>814</v>
      </c>
      <c r="E231" s="7" t="s">
        <v>815</v>
      </c>
      <c r="F231" s="7" t="s">
        <v>213</v>
      </c>
      <c r="G231" s="112">
        <v>0.3333333333333333</v>
      </c>
      <c r="H231" s="112">
        <v>0.75</v>
      </c>
      <c r="I231" s="51">
        <f t="shared" si="104"/>
        <v>0.4166666667</v>
      </c>
      <c r="J231" s="108">
        <v>46218.0</v>
      </c>
      <c r="K231" s="7" t="s">
        <v>2</v>
      </c>
      <c r="L231" s="10">
        <v>20000.0</v>
      </c>
      <c r="M231" s="87" t="s">
        <v>68</v>
      </c>
      <c r="N231" s="87" t="s">
        <v>69</v>
      </c>
      <c r="O231" s="7"/>
      <c r="P231" s="10"/>
      <c r="Q231" s="7"/>
      <c r="R231" s="11"/>
      <c r="S231" s="7"/>
      <c r="T231" s="7"/>
      <c r="U231" s="7"/>
      <c r="V231" s="27"/>
      <c r="W231" s="13"/>
      <c r="X231" s="14"/>
      <c r="Y231" s="14"/>
      <c r="Z231" s="14"/>
      <c r="AA231" s="27">
        <f t="shared" si="108"/>
        <v>20000</v>
      </c>
      <c r="AB231" s="14">
        <f t="shared" si="114"/>
        <v>15500</v>
      </c>
      <c r="AC231" s="8">
        <f t="shared" si="115"/>
        <v>1800</v>
      </c>
      <c r="AD231" s="69">
        <f t="shared" si="116"/>
        <v>2700</v>
      </c>
      <c r="AE231" s="8">
        <v>0.0</v>
      </c>
      <c r="AF231" s="8" t="str">
        <f t="shared" si="109"/>
        <v>OK</v>
      </c>
      <c r="AG231" s="8" t="str">
        <f t="shared" si="110"/>
        <v>Skill Missing</v>
      </c>
      <c r="AH231" s="72"/>
      <c r="AI231" s="8"/>
      <c r="AJ231" s="21"/>
      <c r="AK231" s="110"/>
      <c r="AL231" s="75"/>
      <c r="AM231" s="75">
        <f t="shared" si="26"/>
        <v>2</v>
      </c>
      <c r="AN231" s="105"/>
      <c r="AO231" s="105"/>
      <c r="AP231" s="105"/>
      <c r="AQ231" s="105"/>
      <c r="AR231" s="105"/>
      <c r="AS231" s="105"/>
      <c r="AT231" s="105"/>
    </row>
    <row r="232" ht="22.5" customHeight="1">
      <c r="A232" s="7" t="s">
        <v>816</v>
      </c>
      <c r="B232" s="7" t="s">
        <v>524</v>
      </c>
      <c r="C232" s="7" t="s">
        <v>27</v>
      </c>
      <c r="D232" s="7" t="s">
        <v>560</v>
      </c>
      <c r="E232" s="7" t="s">
        <v>817</v>
      </c>
      <c r="F232" s="7" t="s">
        <v>213</v>
      </c>
      <c r="G232" s="112">
        <v>0.3333333333333333</v>
      </c>
      <c r="H232" s="112">
        <v>0.75</v>
      </c>
      <c r="I232" s="51">
        <f t="shared" si="104"/>
        <v>0.4166666667</v>
      </c>
      <c r="J232" s="108">
        <v>46219.0</v>
      </c>
      <c r="K232" s="7" t="s">
        <v>2</v>
      </c>
      <c r="L232" s="10">
        <v>60836.0</v>
      </c>
      <c r="M232" s="87" t="s">
        <v>68</v>
      </c>
      <c r="N232" s="87" t="s">
        <v>69</v>
      </c>
      <c r="O232" s="7"/>
      <c r="P232" s="10"/>
      <c r="Q232" s="7"/>
      <c r="R232" s="11"/>
      <c r="S232" s="7"/>
      <c r="T232" s="7"/>
      <c r="U232" s="7"/>
      <c r="V232" s="27"/>
      <c r="W232" s="13"/>
      <c r="X232" s="14"/>
      <c r="Y232" s="14"/>
      <c r="Z232" s="14"/>
      <c r="AA232" s="27">
        <f t="shared" si="108"/>
        <v>60836</v>
      </c>
      <c r="AB232" s="14">
        <f t="shared" si="114"/>
        <v>30418</v>
      </c>
      <c r="AC232" s="8">
        <f t="shared" si="115"/>
        <v>12170</v>
      </c>
      <c r="AD232" s="69">
        <f t="shared" si="116"/>
        <v>18248</v>
      </c>
      <c r="AE232" s="8">
        <v>0.0</v>
      </c>
      <c r="AF232" s="8" t="str">
        <f t="shared" si="109"/>
        <v>OK</v>
      </c>
      <c r="AG232" s="8" t="str">
        <f t="shared" si="110"/>
        <v>Skill Missing</v>
      </c>
      <c r="AH232" s="72"/>
      <c r="AI232" s="8"/>
      <c r="AJ232" s="21"/>
      <c r="AK232" s="110"/>
      <c r="AL232" s="75"/>
      <c r="AM232" s="75">
        <f t="shared" si="26"/>
        <v>2</v>
      </c>
      <c r="AN232" s="75"/>
      <c r="AO232" s="75"/>
      <c r="AP232" s="75"/>
      <c r="AQ232" s="75"/>
      <c r="AR232" s="75"/>
      <c r="AS232" s="75"/>
      <c r="AT232" s="75"/>
    </row>
    <row r="233" ht="22.5" customHeight="1">
      <c r="A233" s="7" t="s">
        <v>818</v>
      </c>
      <c r="B233" s="7" t="s">
        <v>819</v>
      </c>
      <c r="C233" s="7" t="s">
        <v>27</v>
      </c>
      <c r="D233" s="7" t="s">
        <v>770</v>
      </c>
      <c r="E233" s="7" t="s">
        <v>733</v>
      </c>
      <c r="F233" s="7" t="s">
        <v>213</v>
      </c>
      <c r="G233" s="112">
        <v>0.3333333333333333</v>
      </c>
      <c r="H233" s="112">
        <v>0.75</v>
      </c>
      <c r="I233" s="51">
        <f t="shared" si="104"/>
        <v>0.4166666667</v>
      </c>
      <c r="J233" s="108">
        <v>46227.0</v>
      </c>
      <c r="K233" s="7" t="s">
        <v>2</v>
      </c>
      <c r="L233" s="10">
        <v>16500.0</v>
      </c>
      <c r="M233" s="87" t="s">
        <v>68</v>
      </c>
      <c r="N233" s="87" t="s">
        <v>69</v>
      </c>
      <c r="O233" s="7"/>
      <c r="P233" s="10"/>
      <c r="Q233" s="7"/>
      <c r="R233" s="11"/>
      <c r="S233" s="7"/>
      <c r="T233" s="7" t="s">
        <v>217</v>
      </c>
      <c r="U233" s="7"/>
      <c r="V233" s="27"/>
      <c r="W233" s="13"/>
      <c r="X233" s="14"/>
      <c r="Y233" s="14"/>
      <c r="Z233" s="14"/>
      <c r="AA233" s="27">
        <f t="shared" si="108"/>
        <v>16500</v>
      </c>
      <c r="AB233" s="14">
        <f t="shared" si="114"/>
        <v>15500</v>
      </c>
      <c r="AC233" s="8">
        <f t="shared" si="115"/>
        <v>400</v>
      </c>
      <c r="AD233" s="69">
        <f t="shared" si="116"/>
        <v>600</v>
      </c>
      <c r="AE233" s="8">
        <v>0.0</v>
      </c>
      <c r="AF233" s="8" t="str">
        <f t="shared" si="109"/>
        <v>OK</v>
      </c>
      <c r="AG233" s="8" t="str">
        <f t="shared" si="110"/>
        <v>Skill Missing</v>
      </c>
      <c r="AH233" s="72"/>
      <c r="AI233" s="8"/>
      <c r="AJ233" s="21"/>
      <c r="AK233" s="110"/>
      <c r="AL233" s="75"/>
      <c r="AM233" s="75">
        <f t="shared" si="26"/>
        <v>2</v>
      </c>
      <c r="AN233" s="75"/>
      <c r="AO233" s="75"/>
      <c r="AP233" s="75"/>
      <c r="AQ233" s="75"/>
      <c r="AR233" s="75"/>
      <c r="AS233" s="75"/>
      <c r="AT233" s="75"/>
    </row>
    <row r="234" ht="22.5" customHeight="1">
      <c r="A234" s="7" t="s">
        <v>820</v>
      </c>
      <c r="B234" s="7" t="s">
        <v>821</v>
      </c>
      <c r="C234" s="7" t="s">
        <v>27</v>
      </c>
      <c r="D234" s="7" t="s">
        <v>770</v>
      </c>
      <c r="E234" s="7" t="s">
        <v>733</v>
      </c>
      <c r="F234" s="7" t="s">
        <v>213</v>
      </c>
      <c r="G234" s="112">
        <v>0.3333333333333333</v>
      </c>
      <c r="H234" s="112">
        <v>0.75</v>
      </c>
      <c r="I234" s="51">
        <f t="shared" si="104"/>
        <v>0.4166666667</v>
      </c>
      <c r="J234" s="108">
        <v>46232.0</v>
      </c>
      <c r="K234" s="7" t="s">
        <v>2</v>
      </c>
      <c r="L234" s="10">
        <v>16000.0</v>
      </c>
      <c r="M234" s="87" t="s">
        <v>68</v>
      </c>
      <c r="N234" s="87" t="s">
        <v>69</v>
      </c>
      <c r="O234" s="7"/>
      <c r="P234" s="10"/>
      <c r="Q234" s="7"/>
      <c r="R234" s="11"/>
      <c r="S234" s="7"/>
      <c r="T234" s="7" t="s">
        <v>217</v>
      </c>
      <c r="U234" s="7"/>
      <c r="V234" s="27"/>
      <c r="W234" s="13"/>
      <c r="X234" s="14"/>
      <c r="Y234" s="14"/>
      <c r="Z234" s="14"/>
      <c r="AA234" s="27">
        <f t="shared" si="108"/>
        <v>16000</v>
      </c>
      <c r="AB234" s="14">
        <f t="shared" si="114"/>
        <v>15500</v>
      </c>
      <c r="AC234" s="8">
        <f t="shared" si="115"/>
        <v>200</v>
      </c>
      <c r="AD234" s="69">
        <f t="shared" si="116"/>
        <v>300</v>
      </c>
      <c r="AE234" s="8">
        <v>0.0</v>
      </c>
      <c r="AF234" s="8" t="str">
        <f t="shared" si="109"/>
        <v>OK</v>
      </c>
      <c r="AG234" s="8" t="str">
        <f t="shared" si="110"/>
        <v>Skill Missing</v>
      </c>
      <c r="AH234" s="72"/>
      <c r="AI234" s="8"/>
      <c r="AJ234" s="21"/>
      <c r="AK234" s="110"/>
      <c r="AL234" s="75"/>
      <c r="AM234" s="75">
        <f t="shared" si="26"/>
        <v>1</v>
      </c>
      <c r="AN234" s="75"/>
      <c r="AO234" s="75"/>
      <c r="AP234" s="75"/>
      <c r="AQ234" s="75"/>
      <c r="AR234" s="75"/>
      <c r="AS234" s="75"/>
      <c r="AT234" s="75"/>
    </row>
    <row r="235" ht="22.5" customHeight="1">
      <c r="A235" s="7" t="s">
        <v>822</v>
      </c>
      <c r="B235" s="7" t="s">
        <v>823</v>
      </c>
      <c r="C235" s="7" t="s">
        <v>27</v>
      </c>
      <c r="D235" s="7" t="s">
        <v>770</v>
      </c>
      <c r="E235" s="7" t="s">
        <v>739</v>
      </c>
      <c r="F235" s="7" t="s">
        <v>213</v>
      </c>
      <c r="G235" s="112">
        <v>0.3333333333333333</v>
      </c>
      <c r="H235" s="112">
        <v>0.75</v>
      </c>
      <c r="I235" s="51">
        <f t="shared" si="104"/>
        <v>0.4166666667</v>
      </c>
      <c r="J235" s="108">
        <v>46232.0</v>
      </c>
      <c r="K235" s="7" t="s">
        <v>2</v>
      </c>
      <c r="L235" s="10">
        <v>15250.0</v>
      </c>
      <c r="M235" s="87" t="s">
        <v>68</v>
      </c>
      <c r="N235" s="87" t="s">
        <v>69</v>
      </c>
      <c r="O235" s="7"/>
      <c r="P235" s="10"/>
      <c r="Q235" s="7"/>
      <c r="R235" s="11"/>
      <c r="S235" s="7"/>
      <c r="T235" s="7" t="s">
        <v>217</v>
      </c>
      <c r="U235" s="7"/>
      <c r="V235" s="27"/>
      <c r="W235" s="13"/>
      <c r="X235" s="14"/>
      <c r="Y235" s="14"/>
      <c r="Z235" s="14"/>
      <c r="AA235" s="27">
        <f t="shared" si="108"/>
        <v>15250</v>
      </c>
      <c r="AB235" s="14">
        <f t="shared" si="114"/>
        <v>15250</v>
      </c>
      <c r="AC235" s="8">
        <f t="shared" si="115"/>
        <v>0</v>
      </c>
      <c r="AD235" s="69">
        <f t="shared" si="116"/>
        <v>0</v>
      </c>
      <c r="AE235" s="8">
        <v>0.0</v>
      </c>
      <c r="AF235" s="8" t="str">
        <f t="shared" si="109"/>
        <v>OK</v>
      </c>
      <c r="AG235" s="8" t="str">
        <f t="shared" si="110"/>
        <v>Skill Missing</v>
      </c>
      <c r="AH235" s="72"/>
      <c r="AI235" s="8"/>
      <c r="AJ235" s="21"/>
      <c r="AK235" s="110"/>
      <c r="AL235" s="75"/>
      <c r="AM235" s="75">
        <f t="shared" si="26"/>
        <v>1</v>
      </c>
      <c r="AN235" s="75"/>
      <c r="AO235" s="75"/>
      <c r="AP235" s="75"/>
      <c r="AQ235" s="75"/>
      <c r="AR235" s="75"/>
      <c r="AS235" s="75"/>
      <c r="AT235" s="75"/>
    </row>
    <row r="236" ht="22.5" customHeight="1">
      <c r="A236" s="7" t="s">
        <v>824</v>
      </c>
      <c r="B236" s="7" t="s">
        <v>825</v>
      </c>
      <c r="C236" s="7" t="s">
        <v>27</v>
      </c>
      <c r="D236" s="7" t="s">
        <v>826</v>
      </c>
      <c r="E236" s="7" t="s">
        <v>827</v>
      </c>
      <c r="F236" s="7" t="s">
        <v>213</v>
      </c>
      <c r="G236" s="112">
        <v>0.375</v>
      </c>
      <c r="H236" s="112">
        <v>0.75</v>
      </c>
      <c r="I236" s="51">
        <f t="shared" si="104"/>
        <v>0.375</v>
      </c>
      <c r="J236" s="108">
        <v>46237.0</v>
      </c>
      <c r="K236" s="7" t="s">
        <v>2</v>
      </c>
      <c r="L236" s="10">
        <v>84000.0</v>
      </c>
      <c r="M236" s="87" t="s">
        <v>68</v>
      </c>
      <c r="N236" s="87" t="s">
        <v>69</v>
      </c>
      <c r="O236" s="7"/>
      <c r="P236" s="10"/>
      <c r="Q236" s="7"/>
      <c r="R236" s="11"/>
      <c r="S236" s="7"/>
      <c r="T236" s="7"/>
      <c r="U236" s="7"/>
      <c r="V236" s="27"/>
      <c r="W236" s="13"/>
      <c r="X236" s="14"/>
      <c r="Y236" s="14"/>
      <c r="Z236" s="14"/>
      <c r="AA236" s="27">
        <f t="shared" si="108"/>
        <v>84000</v>
      </c>
      <c r="AB236" s="14">
        <f t="shared" si="114"/>
        <v>42000</v>
      </c>
      <c r="AC236" s="8">
        <f t="shared" si="115"/>
        <v>16800</v>
      </c>
      <c r="AD236" s="69">
        <f t="shared" si="116"/>
        <v>25200</v>
      </c>
      <c r="AE236" s="8">
        <v>0.0</v>
      </c>
      <c r="AF236" s="8"/>
      <c r="AG236" s="8"/>
      <c r="AH236" s="72"/>
      <c r="AI236" s="8"/>
      <c r="AJ236" s="21"/>
      <c r="AK236" s="110"/>
      <c r="AL236" s="75"/>
      <c r="AM236" s="75"/>
      <c r="AN236" s="75"/>
      <c r="AO236" s="75"/>
      <c r="AP236" s="75"/>
      <c r="AQ236" s="75"/>
      <c r="AR236" s="75"/>
      <c r="AS236" s="75"/>
      <c r="AT236" s="75"/>
    </row>
    <row r="237" ht="22.5" customHeight="1">
      <c r="A237" s="7" t="s">
        <v>828</v>
      </c>
      <c r="B237" s="7" t="s">
        <v>829</v>
      </c>
      <c r="C237" s="7" t="s">
        <v>27</v>
      </c>
      <c r="D237" s="7" t="s">
        <v>757</v>
      </c>
      <c r="E237" s="7" t="s">
        <v>739</v>
      </c>
      <c r="F237" s="7" t="s">
        <v>213</v>
      </c>
      <c r="G237" s="112">
        <v>0.3333333333333333</v>
      </c>
      <c r="H237" s="112">
        <v>0.75</v>
      </c>
      <c r="I237" s="51">
        <f t="shared" si="104"/>
        <v>0.4166666667</v>
      </c>
      <c r="J237" s="108">
        <v>46242.0</v>
      </c>
      <c r="K237" s="7" t="s">
        <v>2</v>
      </c>
      <c r="L237" s="10">
        <v>15230.0</v>
      </c>
      <c r="M237" s="87" t="s">
        <v>68</v>
      </c>
      <c r="N237" s="87" t="s">
        <v>69</v>
      </c>
      <c r="O237" s="7"/>
      <c r="P237" s="10"/>
      <c r="Q237" s="7"/>
      <c r="R237" s="11"/>
      <c r="S237" s="7"/>
      <c r="T237" s="7" t="s">
        <v>622</v>
      </c>
      <c r="U237" s="7"/>
      <c r="V237" s="27"/>
      <c r="W237" s="13"/>
      <c r="X237" s="14"/>
      <c r="Y237" s="14"/>
      <c r="Z237" s="14"/>
      <c r="AA237" s="27">
        <f t="shared" si="108"/>
        <v>15230</v>
      </c>
      <c r="AB237" s="14">
        <f t="shared" si="114"/>
        <v>15230</v>
      </c>
      <c r="AC237" s="8">
        <f t="shared" si="115"/>
        <v>0</v>
      </c>
      <c r="AD237" s="69">
        <f t="shared" si="116"/>
        <v>0</v>
      </c>
      <c r="AE237" s="8">
        <v>0.0</v>
      </c>
      <c r="AF237" s="8"/>
      <c r="AG237" s="8"/>
      <c r="AH237" s="72"/>
      <c r="AI237" s="8"/>
      <c r="AJ237" s="21"/>
      <c r="AK237" s="110"/>
      <c r="AL237" s="75"/>
      <c r="AM237" s="75"/>
      <c r="AN237" s="75"/>
      <c r="AO237" s="75"/>
      <c r="AP237" s="75"/>
      <c r="AQ237" s="75"/>
      <c r="AR237" s="75"/>
      <c r="AS237" s="75"/>
      <c r="AT237" s="75"/>
    </row>
    <row r="238" ht="22.5" customHeight="1">
      <c r="A238" s="7" t="s">
        <v>830</v>
      </c>
      <c r="B238" s="7" t="s">
        <v>782</v>
      </c>
      <c r="C238" s="7" t="s">
        <v>27</v>
      </c>
      <c r="D238" s="7" t="s">
        <v>770</v>
      </c>
      <c r="E238" s="7" t="s">
        <v>739</v>
      </c>
      <c r="F238" s="7" t="s">
        <v>213</v>
      </c>
      <c r="G238" s="112">
        <v>0.3333333333333333</v>
      </c>
      <c r="H238" s="112">
        <v>0.75</v>
      </c>
      <c r="I238" s="51">
        <f t="shared" si="104"/>
        <v>0.4166666667</v>
      </c>
      <c r="J238" s="108">
        <v>46244.0</v>
      </c>
      <c r="K238" s="7" t="s">
        <v>2</v>
      </c>
      <c r="L238" s="10">
        <v>15230.0</v>
      </c>
      <c r="M238" s="87" t="s">
        <v>68</v>
      </c>
      <c r="N238" s="87" t="s">
        <v>69</v>
      </c>
      <c r="O238" s="7"/>
      <c r="P238" s="10"/>
      <c r="Q238" s="7"/>
      <c r="R238" s="11"/>
      <c r="S238" s="7"/>
      <c r="T238" s="7" t="s">
        <v>622</v>
      </c>
      <c r="U238" s="7"/>
      <c r="V238" s="27"/>
      <c r="W238" s="13"/>
      <c r="X238" s="14"/>
      <c r="Y238" s="14"/>
      <c r="Z238" s="14"/>
      <c r="AA238" s="27">
        <f t="shared" si="108"/>
        <v>15230</v>
      </c>
      <c r="AB238" s="14">
        <f t="shared" si="114"/>
        <v>15230</v>
      </c>
      <c r="AC238" s="8">
        <f t="shared" si="115"/>
        <v>0</v>
      </c>
      <c r="AD238" s="69">
        <f t="shared" si="116"/>
        <v>0</v>
      </c>
      <c r="AE238" s="8">
        <v>0.0</v>
      </c>
      <c r="AF238" s="8"/>
      <c r="AG238" s="8"/>
      <c r="AH238" s="72"/>
      <c r="AI238" s="8"/>
      <c r="AJ238" s="21"/>
      <c r="AK238" s="110"/>
      <c r="AL238" s="75"/>
      <c r="AM238" s="75"/>
      <c r="AN238" s="75"/>
      <c r="AO238" s="75"/>
      <c r="AP238" s="75"/>
      <c r="AQ238" s="75"/>
      <c r="AR238" s="75"/>
      <c r="AS238" s="75"/>
      <c r="AT238" s="75"/>
    </row>
    <row r="239" ht="22.5" customHeight="1">
      <c r="A239" s="7" t="s">
        <v>831</v>
      </c>
      <c r="B239" s="7" t="s">
        <v>832</v>
      </c>
      <c r="C239" s="7" t="s">
        <v>27</v>
      </c>
      <c r="D239" s="7" t="s">
        <v>770</v>
      </c>
      <c r="E239" s="7" t="s">
        <v>739</v>
      </c>
      <c r="F239" s="7" t="s">
        <v>213</v>
      </c>
      <c r="G239" s="112">
        <v>0.3333333333333333</v>
      </c>
      <c r="H239" s="112">
        <v>0.75</v>
      </c>
      <c r="I239" s="51">
        <f t="shared" si="104"/>
        <v>0.4166666667</v>
      </c>
      <c r="J239" s="108">
        <v>46245.0</v>
      </c>
      <c r="K239" s="7" t="s">
        <v>2</v>
      </c>
      <c r="L239" s="10">
        <v>15230.0</v>
      </c>
      <c r="M239" s="87" t="s">
        <v>68</v>
      </c>
      <c r="N239" s="87" t="s">
        <v>69</v>
      </c>
      <c r="O239" s="7"/>
      <c r="P239" s="10"/>
      <c r="Q239" s="7"/>
      <c r="R239" s="11"/>
      <c r="S239" s="7"/>
      <c r="T239" s="7" t="s">
        <v>622</v>
      </c>
      <c r="U239" s="7"/>
      <c r="V239" s="27"/>
      <c r="W239" s="13"/>
      <c r="X239" s="14"/>
      <c r="Y239" s="14"/>
      <c r="Z239" s="14"/>
      <c r="AA239" s="27">
        <f t="shared" si="108"/>
        <v>15230</v>
      </c>
      <c r="AB239" s="14">
        <f t="shared" si="114"/>
        <v>15230</v>
      </c>
      <c r="AC239" s="8">
        <f t="shared" si="115"/>
        <v>0</v>
      </c>
      <c r="AD239" s="69">
        <f t="shared" si="116"/>
        <v>0</v>
      </c>
      <c r="AE239" s="8">
        <v>0.0</v>
      </c>
      <c r="AF239" s="8"/>
      <c r="AG239" s="8"/>
      <c r="AH239" s="72"/>
      <c r="AI239" s="8"/>
      <c r="AJ239" s="21"/>
      <c r="AK239" s="110"/>
      <c r="AL239" s="75"/>
      <c r="AM239" s="75"/>
      <c r="AN239" s="75"/>
      <c r="AO239" s="75"/>
      <c r="AP239" s="75"/>
      <c r="AQ239" s="75"/>
      <c r="AR239" s="75"/>
      <c r="AS239" s="75"/>
      <c r="AT239" s="75"/>
    </row>
    <row r="240" ht="22.5" customHeight="1">
      <c r="A240" s="7" t="s">
        <v>833</v>
      </c>
      <c r="B240" s="7" t="s">
        <v>834</v>
      </c>
      <c r="C240" s="7" t="s">
        <v>27</v>
      </c>
      <c r="D240" s="7" t="s">
        <v>770</v>
      </c>
      <c r="E240" s="7" t="s">
        <v>739</v>
      </c>
      <c r="F240" s="7" t="s">
        <v>213</v>
      </c>
      <c r="G240" s="112">
        <v>0.3333333333333333</v>
      </c>
      <c r="H240" s="112">
        <v>0.75</v>
      </c>
      <c r="I240" s="51">
        <f t="shared" si="104"/>
        <v>0.4166666667</v>
      </c>
      <c r="J240" s="108">
        <v>46246.0</v>
      </c>
      <c r="K240" s="7" t="s">
        <v>2</v>
      </c>
      <c r="L240" s="10">
        <v>15230.0</v>
      </c>
      <c r="M240" s="87" t="s">
        <v>68</v>
      </c>
      <c r="N240" s="87" t="s">
        <v>69</v>
      </c>
      <c r="O240" s="7"/>
      <c r="P240" s="10"/>
      <c r="Q240" s="7"/>
      <c r="R240" s="11"/>
      <c r="S240" s="7"/>
      <c r="T240" s="7" t="s">
        <v>622</v>
      </c>
      <c r="U240" s="7"/>
      <c r="V240" s="27"/>
      <c r="W240" s="13"/>
      <c r="X240" s="14"/>
      <c r="Y240" s="14"/>
      <c r="Z240" s="14"/>
      <c r="AA240" s="27">
        <f t="shared" si="108"/>
        <v>15230</v>
      </c>
      <c r="AB240" s="14">
        <f t="shared" si="114"/>
        <v>15230</v>
      </c>
      <c r="AC240" s="8">
        <f t="shared" si="115"/>
        <v>0</v>
      </c>
      <c r="AD240" s="69">
        <f t="shared" si="116"/>
        <v>0</v>
      </c>
      <c r="AE240" s="8">
        <v>0.0</v>
      </c>
      <c r="AF240" s="8"/>
      <c r="AG240" s="8"/>
      <c r="AH240" s="72"/>
      <c r="AI240" s="8"/>
      <c r="AJ240" s="21"/>
      <c r="AK240" s="110"/>
      <c r="AL240" s="75"/>
      <c r="AM240" s="75"/>
      <c r="AN240" s="75"/>
      <c r="AO240" s="75"/>
      <c r="AP240" s="75"/>
      <c r="AQ240" s="75"/>
      <c r="AR240" s="75"/>
      <c r="AS240" s="75"/>
      <c r="AT240" s="75"/>
    </row>
    <row r="241" ht="22.5" customHeight="1">
      <c r="A241" s="7" t="s">
        <v>835</v>
      </c>
      <c r="B241" s="7" t="s">
        <v>836</v>
      </c>
      <c r="C241" s="7" t="s">
        <v>27</v>
      </c>
      <c r="D241" s="7" t="s">
        <v>757</v>
      </c>
      <c r="E241" s="7" t="s">
        <v>837</v>
      </c>
      <c r="F241" s="7" t="s">
        <v>213</v>
      </c>
      <c r="G241" s="112">
        <v>0.3333333333333333</v>
      </c>
      <c r="H241" s="112">
        <v>0.75</v>
      </c>
      <c r="I241" s="51">
        <f t="shared" si="104"/>
        <v>0.4166666667</v>
      </c>
      <c r="J241" s="108">
        <v>46251.0</v>
      </c>
      <c r="K241" s="7" t="s">
        <v>2</v>
      </c>
      <c r="L241" s="10">
        <v>30000.0</v>
      </c>
      <c r="M241" s="87" t="s">
        <v>68</v>
      </c>
      <c r="N241" s="87" t="s">
        <v>69</v>
      </c>
      <c r="O241" s="7"/>
      <c r="P241" s="10"/>
      <c r="Q241" s="7"/>
      <c r="R241" s="11"/>
      <c r="S241" s="7"/>
      <c r="T241" s="7"/>
      <c r="U241" s="7"/>
      <c r="V241" s="27"/>
      <c r="W241" s="13"/>
      <c r="X241" s="14"/>
      <c r="Y241" s="14"/>
      <c r="Z241" s="14"/>
      <c r="AA241" s="27">
        <f t="shared" si="108"/>
        <v>30000</v>
      </c>
      <c r="AB241" s="14">
        <f t="shared" si="114"/>
        <v>15500</v>
      </c>
      <c r="AC241" s="8">
        <f t="shared" si="115"/>
        <v>5800</v>
      </c>
      <c r="AD241" s="69">
        <f t="shared" si="116"/>
        <v>8700</v>
      </c>
      <c r="AE241" s="8">
        <v>0.0</v>
      </c>
      <c r="AF241" s="8"/>
      <c r="AG241" s="8"/>
      <c r="AH241" s="72"/>
      <c r="AI241" s="8"/>
      <c r="AJ241" s="21"/>
      <c r="AK241" s="110"/>
      <c r="AL241" s="75"/>
      <c r="AM241" s="75"/>
      <c r="AN241" s="75"/>
      <c r="AO241" s="75"/>
      <c r="AP241" s="75"/>
      <c r="AQ241" s="75"/>
      <c r="AR241" s="75"/>
      <c r="AS241" s="75"/>
      <c r="AT241" s="75"/>
    </row>
    <row r="242" ht="22.5" customHeight="1">
      <c r="A242" s="7" t="s">
        <v>838</v>
      </c>
      <c r="B242" s="7" t="s">
        <v>471</v>
      </c>
      <c r="C242" s="7" t="s">
        <v>27</v>
      </c>
      <c r="D242" s="7" t="s">
        <v>770</v>
      </c>
      <c r="E242" s="7" t="s">
        <v>839</v>
      </c>
      <c r="F242" s="7" t="s">
        <v>213</v>
      </c>
      <c r="G242" s="112">
        <v>0.3333333333333333</v>
      </c>
      <c r="H242" s="112">
        <v>0.75</v>
      </c>
      <c r="I242" s="51">
        <f t="shared" si="104"/>
        <v>0.4166666667</v>
      </c>
      <c r="J242" s="108">
        <v>46258.0</v>
      </c>
      <c r="K242" s="7" t="s">
        <v>2</v>
      </c>
      <c r="L242" s="10">
        <v>52000.0</v>
      </c>
      <c r="M242" s="87" t="s">
        <v>68</v>
      </c>
      <c r="N242" s="87" t="s">
        <v>69</v>
      </c>
      <c r="O242" s="7"/>
      <c r="P242" s="10"/>
      <c r="Q242" s="7"/>
      <c r="R242" s="11"/>
      <c r="S242" s="7"/>
      <c r="T242" s="7"/>
      <c r="U242" s="7"/>
      <c r="V242" s="27"/>
      <c r="W242" s="13"/>
      <c r="X242" s="14"/>
      <c r="Y242" s="14"/>
      <c r="Z242" s="14"/>
      <c r="AA242" s="27">
        <f t="shared" si="108"/>
        <v>52000</v>
      </c>
      <c r="AB242" s="14">
        <f t="shared" si="114"/>
        <v>26000</v>
      </c>
      <c r="AC242" s="8">
        <f t="shared" si="115"/>
        <v>10400</v>
      </c>
      <c r="AD242" s="69">
        <f t="shared" si="116"/>
        <v>15600</v>
      </c>
      <c r="AE242" s="8">
        <v>0.0</v>
      </c>
      <c r="AF242" s="8"/>
      <c r="AG242" s="8"/>
      <c r="AH242" s="72"/>
      <c r="AI242" s="8"/>
      <c r="AJ242" s="21"/>
      <c r="AK242" s="110"/>
      <c r="AL242" s="75"/>
      <c r="AM242" s="75"/>
      <c r="AN242" s="75"/>
      <c r="AO242" s="75"/>
      <c r="AP242" s="75"/>
      <c r="AQ242" s="75"/>
      <c r="AR242" s="75"/>
      <c r="AS242" s="75"/>
      <c r="AT242" s="75"/>
    </row>
    <row r="243" ht="22.5" customHeight="1">
      <c r="A243" s="7" t="s">
        <v>840</v>
      </c>
      <c r="B243" s="7" t="s">
        <v>841</v>
      </c>
      <c r="C243" s="7" t="s">
        <v>27</v>
      </c>
      <c r="D243" s="7" t="s">
        <v>842</v>
      </c>
      <c r="E243" s="7" t="s">
        <v>843</v>
      </c>
      <c r="F243" s="7" t="s">
        <v>213</v>
      </c>
      <c r="G243" s="112">
        <v>0.375</v>
      </c>
      <c r="H243" s="112">
        <v>0.7083333333333334</v>
      </c>
      <c r="I243" s="51">
        <f t="shared" si="104"/>
        <v>0.3333333333</v>
      </c>
      <c r="J243" s="108">
        <v>46254.0</v>
      </c>
      <c r="K243" s="7" t="s">
        <v>2</v>
      </c>
      <c r="L243" s="10">
        <v>40000.0</v>
      </c>
      <c r="M243" s="87" t="s">
        <v>68</v>
      </c>
      <c r="N243" s="87" t="s">
        <v>69</v>
      </c>
      <c r="O243" s="7"/>
      <c r="P243" s="10"/>
      <c r="Q243" s="7"/>
      <c r="R243" s="11"/>
      <c r="S243" s="7"/>
      <c r="T243" s="7"/>
      <c r="U243" s="7"/>
      <c r="V243" s="27"/>
      <c r="W243" s="13"/>
      <c r="X243" s="14"/>
      <c r="Y243" s="14"/>
      <c r="Z243" s="14"/>
      <c r="AA243" s="27">
        <f t="shared" si="108"/>
        <v>40000</v>
      </c>
      <c r="AB243" s="14">
        <f t="shared" si="114"/>
        <v>20000</v>
      </c>
      <c r="AC243" s="8">
        <f t="shared" si="115"/>
        <v>8000</v>
      </c>
      <c r="AD243" s="69">
        <f t="shared" si="116"/>
        <v>12000</v>
      </c>
      <c r="AE243" s="8">
        <v>0.0</v>
      </c>
      <c r="AF243" s="8"/>
      <c r="AG243" s="8"/>
      <c r="AH243" s="72"/>
      <c r="AI243" s="8"/>
      <c r="AJ243" s="21"/>
      <c r="AK243" s="110"/>
      <c r="AL243" s="75"/>
      <c r="AM243" s="75"/>
      <c r="AN243" s="75"/>
      <c r="AO243" s="75"/>
      <c r="AP243" s="75"/>
      <c r="AQ243" s="75"/>
      <c r="AR243" s="75"/>
      <c r="AS243" s="75"/>
      <c r="AT243" s="75"/>
    </row>
    <row r="244" ht="22.5" customHeight="1">
      <c r="A244" s="7" t="s">
        <v>844</v>
      </c>
      <c r="B244" s="7" t="s">
        <v>845</v>
      </c>
      <c r="C244" s="7" t="s">
        <v>27</v>
      </c>
      <c r="D244" s="7" t="s">
        <v>846</v>
      </c>
      <c r="E244" s="7" t="s">
        <v>847</v>
      </c>
      <c r="F244" s="7" t="s">
        <v>202</v>
      </c>
      <c r="G244" s="112">
        <v>0.3958333333333333</v>
      </c>
      <c r="H244" s="112">
        <v>0.7916666666666666</v>
      </c>
      <c r="I244" s="89">
        <f t="shared" si="104"/>
        <v>0.3958333333</v>
      </c>
      <c r="J244" s="108">
        <v>46054.0</v>
      </c>
      <c r="K244" s="7" t="s">
        <v>2</v>
      </c>
      <c r="L244" s="10">
        <v>21000.0</v>
      </c>
      <c r="M244" s="7" t="s">
        <v>3</v>
      </c>
      <c r="N244" s="7" t="s">
        <v>69</v>
      </c>
      <c r="O244" s="7"/>
      <c r="P244" s="10">
        <v>21000.0</v>
      </c>
      <c r="Q244" s="7"/>
      <c r="R244" s="11"/>
      <c r="S244" s="7" t="s">
        <v>217</v>
      </c>
      <c r="T244" s="7" t="s">
        <v>71</v>
      </c>
      <c r="U244" s="7"/>
      <c r="V244" s="27"/>
      <c r="W244" s="13"/>
      <c r="X244" s="14"/>
      <c r="Y244" s="14"/>
      <c r="Z244" s="14"/>
      <c r="AA244" s="14">
        <v>21000.0</v>
      </c>
      <c r="AB244" s="14">
        <f t="shared" si="114"/>
        <v>15500</v>
      </c>
      <c r="AC244" s="8">
        <f t="shared" si="115"/>
        <v>2200</v>
      </c>
      <c r="AD244" s="8">
        <f t="shared" si="116"/>
        <v>3300</v>
      </c>
      <c r="AE244" s="8">
        <v>0.0</v>
      </c>
      <c r="AF244" s="8" t="str">
        <f t="shared" ref="AF244:AF247" si="121">IF(SUM(AB244:AE244)=AA244,"OK","NO")</f>
        <v>OK</v>
      </c>
      <c r="AG244" s="8"/>
      <c r="AH244" s="72"/>
      <c r="AI244" s="8"/>
      <c r="AJ244" s="21"/>
      <c r="AK244" s="110" t="s">
        <v>71</v>
      </c>
      <c r="AL244" s="75"/>
      <c r="AM244" s="75">
        <f t="shared" ref="AM244:AM247" si="122">if(J244="","",datedif(J244,$AM$2,"M"))</f>
        <v>7</v>
      </c>
      <c r="AN244" s="75"/>
      <c r="AO244" s="75"/>
      <c r="AP244" s="75"/>
      <c r="AQ244" s="75"/>
      <c r="AR244" s="75"/>
      <c r="AS244" s="75"/>
      <c r="AT244" s="75"/>
    </row>
    <row r="245" ht="22.5" customHeight="1">
      <c r="A245" s="7" t="s">
        <v>848</v>
      </c>
      <c r="B245" s="7" t="s">
        <v>849</v>
      </c>
      <c r="C245" s="7" t="s">
        <v>27</v>
      </c>
      <c r="D245" s="7" t="s">
        <v>324</v>
      </c>
      <c r="E245" s="7" t="s">
        <v>223</v>
      </c>
      <c r="F245" s="7" t="s">
        <v>202</v>
      </c>
      <c r="G245" s="49">
        <v>0.375</v>
      </c>
      <c r="H245" s="49">
        <v>0.7916666666666666</v>
      </c>
      <c r="I245" s="51">
        <f t="shared" si="104"/>
        <v>0.4166666667</v>
      </c>
      <c r="J245" s="82">
        <v>42172.0</v>
      </c>
      <c r="K245" s="7" t="s">
        <v>2</v>
      </c>
      <c r="L245" s="10">
        <f>Y245</f>
        <v>38310</v>
      </c>
      <c r="M245" s="7" t="s">
        <v>68</v>
      </c>
      <c r="N245" s="83" t="s">
        <v>69</v>
      </c>
      <c r="O245" s="84">
        <v>45536.0</v>
      </c>
      <c r="P245" s="57">
        <v>38310.0</v>
      </c>
      <c r="Q245" s="7"/>
      <c r="R245" s="11"/>
      <c r="S245" s="85"/>
      <c r="T245" s="7" t="s">
        <v>71</v>
      </c>
      <c r="U245" s="7" t="s">
        <v>207</v>
      </c>
      <c r="V245" s="27">
        <f>P245</f>
        <v>38310</v>
      </c>
      <c r="W245" s="59">
        <v>0.0</v>
      </c>
      <c r="X245" s="14"/>
      <c r="Y245" s="14">
        <f>if(W245="",V245,round(V245*(1+W245),-1))</f>
        <v>38310</v>
      </c>
      <c r="Z245" s="43" t="s">
        <v>208</v>
      </c>
      <c r="AA245" s="27">
        <f t="shared" ref="AA245:AA247" si="123">L245</f>
        <v>38310</v>
      </c>
      <c r="AB245" s="14">
        <f t="shared" si="114"/>
        <v>19155</v>
      </c>
      <c r="AC245" s="8">
        <f t="shared" si="115"/>
        <v>7660</v>
      </c>
      <c r="AD245" s="69">
        <f t="shared" si="116"/>
        <v>11495</v>
      </c>
      <c r="AE245" s="8">
        <v>0.0</v>
      </c>
      <c r="AF245" s="8" t="str">
        <f t="shared" si="121"/>
        <v>OK</v>
      </c>
      <c r="AG245" s="8" t="str">
        <f t="shared" ref="AG245:AG247" si="124">IF(U245="US",IF(AA245&lt;9750,"Under","US OK"),IF(U245="S",IF(AA245&lt;12000,"Under","S OK"),"Skill Missing"))</f>
        <v>S OK</v>
      </c>
      <c r="AH245" s="72" t="str">
        <f>VLOOKUP(A245,'Advance Sheet'!$A$4:$A$165,1,FALSE)</f>
        <v>#REF!</v>
      </c>
      <c r="AI245" s="8" t="str">
        <f t="shared" ref="AI245:AI247" si="125">IF(ISERROR(VLOOKUP(A245,'SNP Sal Main'!$A$3:$A1516,1,false))=FALSE,"SNP SAL",IF(ISERROR(VLOOKUP(A245,'Rest Sal Main org'!$A$3:$A1516,1,false))=FALSE,"Rest Sal","Not Found"))</f>
        <v>Not Found</v>
      </c>
      <c r="AJ245" s="21"/>
      <c r="AK245" s="86"/>
      <c r="AL245" s="75"/>
      <c r="AM245" s="75">
        <f t="shared" si="122"/>
        <v>135</v>
      </c>
      <c r="AN245" s="75"/>
      <c r="AO245" s="75"/>
      <c r="AP245" s="75"/>
      <c r="AQ245" s="75"/>
      <c r="AR245" s="75"/>
      <c r="AS245" s="75"/>
      <c r="AT245" s="75"/>
    </row>
    <row r="246" ht="22.5" customHeight="1">
      <c r="A246" s="7" t="s">
        <v>850</v>
      </c>
      <c r="B246" s="7" t="s">
        <v>851</v>
      </c>
      <c r="C246" s="7" t="s">
        <v>27</v>
      </c>
      <c r="D246" s="7" t="s">
        <v>321</v>
      </c>
      <c r="E246" s="7" t="s">
        <v>440</v>
      </c>
      <c r="F246" s="7" t="s">
        <v>202</v>
      </c>
      <c r="G246" s="49">
        <v>0.375</v>
      </c>
      <c r="H246" s="49">
        <v>0.75</v>
      </c>
      <c r="I246" s="51">
        <v>0.375</v>
      </c>
      <c r="J246" s="108">
        <v>46113.0</v>
      </c>
      <c r="K246" s="7" t="s">
        <v>852</v>
      </c>
      <c r="L246" s="10">
        <v>60000.0</v>
      </c>
      <c r="M246" s="7" t="s">
        <v>68</v>
      </c>
      <c r="N246" s="7" t="s">
        <v>69</v>
      </c>
      <c r="O246" s="7"/>
      <c r="P246" s="10"/>
      <c r="Q246" s="7"/>
      <c r="R246" s="11"/>
      <c r="S246" s="7"/>
      <c r="T246" s="7"/>
      <c r="U246" s="7"/>
      <c r="V246" s="27"/>
      <c r="W246" s="13"/>
      <c r="X246" s="14"/>
      <c r="Y246" s="14"/>
      <c r="Z246" s="14"/>
      <c r="AA246" s="27">
        <f t="shared" si="123"/>
        <v>60000</v>
      </c>
      <c r="AB246" s="27">
        <v>60000.0</v>
      </c>
      <c r="AC246" s="8">
        <v>0.0</v>
      </c>
      <c r="AD246" s="8">
        <v>0.0</v>
      </c>
      <c r="AE246" s="8">
        <v>0.0</v>
      </c>
      <c r="AF246" s="8" t="str">
        <f t="shared" si="121"/>
        <v>OK</v>
      </c>
      <c r="AG246" s="8" t="str">
        <f t="shared" si="124"/>
        <v>Skill Missing</v>
      </c>
      <c r="AH246" s="72"/>
      <c r="AI246" s="8" t="str">
        <f t="shared" si="125"/>
        <v>Not Found</v>
      </c>
      <c r="AJ246" s="21"/>
      <c r="AK246" s="110"/>
      <c r="AL246" s="75"/>
      <c r="AM246" s="75">
        <f t="shared" si="122"/>
        <v>5</v>
      </c>
      <c r="AN246" s="75"/>
      <c r="AO246" s="75"/>
      <c r="AP246" s="75"/>
      <c r="AQ246" s="75"/>
      <c r="AR246" s="75"/>
      <c r="AS246" s="75"/>
      <c r="AT246" s="75"/>
    </row>
    <row r="247" ht="22.5" customHeight="1">
      <c r="A247" s="7" t="s">
        <v>853</v>
      </c>
      <c r="B247" s="7" t="s">
        <v>854</v>
      </c>
      <c r="C247" s="7" t="s">
        <v>27</v>
      </c>
      <c r="D247" s="7" t="s">
        <v>321</v>
      </c>
      <c r="E247" s="7" t="s">
        <v>440</v>
      </c>
      <c r="F247" s="7" t="s">
        <v>202</v>
      </c>
      <c r="G247" s="49">
        <v>0.375</v>
      </c>
      <c r="H247" s="49">
        <v>0.75</v>
      </c>
      <c r="I247" s="51">
        <v>0.375</v>
      </c>
      <c r="J247" s="108">
        <v>46113.0</v>
      </c>
      <c r="K247" s="7" t="s">
        <v>852</v>
      </c>
      <c r="L247" s="10">
        <v>150000.0</v>
      </c>
      <c r="M247" s="7" t="s">
        <v>68</v>
      </c>
      <c r="N247" s="7" t="s">
        <v>69</v>
      </c>
      <c r="O247" s="7"/>
      <c r="P247" s="10"/>
      <c r="Q247" s="7">
        <v>12570.0</v>
      </c>
      <c r="R247" s="11"/>
      <c r="S247" s="7"/>
      <c r="T247" s="7"/>
      <c r="U247" s="7"/>
      <c r="V247" s="27"/>
      <c r="W247" s="13"/>
      <c r="X247" s="14"/>
      <c r="Y247" s="14"/>
      <c r="Z247" s="14"/>
      <c r="AA247" s="27">
        <f t="shared" si="123"/>
        <v>150000</v>
      </c>
      <c r="AB247" s="27">
        <v>150000.0</v>
      </c>
      <c r="AC247" s="8">
        <v>0.0</v>
      </c>
      <c r="AD247" s="8">
        <v>0.0</v>
      </c>
      <c r="AE247" s="8">
        <v>0.0</v>
      </c>
      <c r="AF247" s="8" t="str">
        <f t="shared" si="121"/>
        <v>OK</v>
      </c>
      <c r="AG247" s="8" t="str">
        <f t="shared" si="124"/>
        <v>Skill Missing</v>
      </c>
      <c r="AH247" s="72"/>
      <c r="AI247" s="8" t="str">
        <f t="shared" si="125"/>
        <v>Not Found</v>
      </c>
      <c r="AJ247" s="21"/>
      <c r="AK247" s="110"/>
      <c r="AL247" s="75"/>
      <c r="AM247" s="75">
        <f t="shared" si="122"/>
        <v>5</v>
      </c>
      <c r="AN247" s="75"/>
      <c r="AO247" s="75"/>
      <c r="AP247" s="75"/>
      <c r="AQ247" s="75"/>
      <c r="AR247" s="75"/>
      <c r="AS247" s="75"/>
      <c r="AT247" s="75"/>
    </row>
    <row r="248" ht="22.5" customHeight="1">
      <c r="A248" s="7" t="s">
        <v>855</v>
      </c>
      <c r="B248" s="7" t="s">
        <v>856</v>
      </c>
      <c r="C248" s="7" t="s">
        <v>27</v>
      </c>
      <c r="D248" s="7" t="s">
        <v>846</v>
      </c>
      <c r="E248" s="7" t="s">
        <v>206</v>
      </c>
      <c r="F248" s="7" t="s">
        <v>202</v>
      </c>
      <c r="G248" s="49">
        <v>0.375</v>
      </c>
      <c r="H248" s="49">
        <v>0.75</v>
      </c>
      <c r="I248" s="51">
        <v>0.375</v>
      </c>
      <c r="J248" s="108">
        <v>46254.0</v>
      </c>
      <c r="K248" s="7" t="s">
        <v>857</v>
      </c>
      <c r="L248" s="10">
        <v>20000.0</v>
      </c>
      <c r="M248" s="7" t="s">
        <v>68</v>
      </c>
      <c r="N248" s="7" t="s">
        <v>69</v>
      </c>
      <c r="O248" s="84"/>
      <c r="P248" s="57"/>
      <c r="Q248" s="7"/>
      <c r="R248" s="11"/>
      <c r="S248" s="7"/>
      <c r="T248" s="7"/>
      <c r="U248" s="7"/>
      <c r="V248" s="27"/>
      <c r="W248" s="13"/>
      <c r="X248" s="14"/>
      <c r="Y248" s="14"/>
      <c r="Z248" s="14"/>
      <c r="AA248" s="14"/>
      <c r="AB248" s="27"/>
      <c r="AC248" s="8"/>
      <c r="AD248" s="8"/>
      <c r="AE248" s="8"/>
      <c r="AF248" s="8"/>
      <c r="AG248" s="8"/>
      <c r="AH248" s="72"/>
      <c r="AI248" s="8"/>
      <c r="AJ248" s="21"/>
      <c r="AK248" s="110"/>
      <c r="AL248" s="75"/>
      <c r="AM248" s="75"/>
      <c r="AN248" s="75"/>
      <c r="AO248" s="75"/>
      <c r="AP248" s="75"/>
      <c r="AQ248" s="75"/>
      <c r="AR248" s="75"/>
      <c r="AS248" s="75"/>
      <c r="AT248" s="75"/>
    </row>
    <row r="249" ht="22.5" customHeight="1">
      <c r="A249" s="7" t="s">
        <v>858</v>
      </c>
      <c r="B249" s="7" t="s">
        <v>439</v>
      </c>
      <c r="C249" s="7" t="s">
        <v>27</v>
      </c>
      <c r="D249" s="7" t="s">
        <v>321</v>
      </c>
      <c r="E249" s="7" t="s">
        <v>440</v>
      </c>
      <c r="F249" s="7" t="s">
        <v>202</v>
      </c>
      <c r="G249" s="49">
        <v>0.375</v>
      </c>
      <c r="H249" s="49">
        <v>0.75</v>
      </c>
      <c r="I249" s="51">
        <v>0.375</v>
      </c>
      <c r="J249" s="108">
        <v>46113.0</v>
      </c>
      <c r="K249" s="7" t="s">
        <v>857</v>
      </c>
      <c r="L249" s="10">
        <v>50000.0</v>
      </c>
      <c r="M249" s="7" t="s">
        <v>68</v>
      </c>
      <c r="N249" s="7" t="s">
        <v>69</v>
      </c>
      <c r="O249" s="7"/>
      <c r="P249" s="10"/>
      <c r="Q249" s="7">
        <v>5000.0</v>
      </c>
      <c r="R249" s="11"/>
      <c r="S249" s="7"/>
      <c r="T249" s="7"/>
      <c r="U249" s="7"/>
      <c r="V249" s="27"/>
      <c r="W249" s="13"/>
      <c r="X249" s="14"/>
      <c r="Y249" s="14"/>
      <c r="Z249" s="14"/>
      <c r="AA249" s="27">
        <f t="shared" ref="AA249:AA256" si="126">L249</f>
        <v>50000</v>
      </c>
      <c r="AB249" s="27">
        <v>50000.0</v>
      </c>
      <c r="AC249" s="8">
        <v>0.0</v>
      </c>
      <c r="AD249" s="8">
        <v>0.0</v>
      </c>
      <c r="AE249" s="8">
        <v>0.0</v>
      </c>
      <c r="AF249" s="8" t="str">
        <f t="shared" ref="AF249:AF258" si="127">IF(SUM(AB249:AE249)=AA249,"OK","NO")</f>
        <v>OK</v>
      </c>
      <c r="AG249" s="8" t="str">
        <f t="shared" ref="AG249:AG258" si="128">IF(U249="US",IF(AA249&lt;9750,"Under","US OK"),IF(U249="S",IF(AA249&lt;12000,"Under","S OK"),"Skill Missing"))</f>
        <v>Skill Missing</v>
      </c>
      <c r="AH249" s="72"/>
      <c r="AI249" s="8" t="str">
        <f t="shared" ref="AI249:AI258" si="129">IF(ISERROR(VLOOKUP(A249,'SNP Sal Main'!$A$3:$A1516,1,false))=FALSE,"SNP SAL",IF(ISERROR(VLOOKUP(A249,'Rest Sal Main org'!$A$3:$A1516,1,false))=FALSE,"Rest Sal","Not Found"))</f>
        <v>Not Found</v>
      </c>
      <c r="AJ249" s="21"/>
      <c r="AK249" s="110"/>
      <c r="AL249" s="75"/>
      <c r="AM249" s="75">
        <f t="shared" ref="AM249:AM258" si="130">if(J249="","",datedif(J249,$AM$2,"M"))</f>
        <v>5</v>
      </c>
      <c r="AN249" s="75"/>
      <c r="AO249" s="75"/>
      <c r="AP249" s="75"/>
      <c r="AQ249" s="75"/>
      <c r="AR249" s="75"/>
      <c r="AS249" s="75"/>
      <c r="AT249" s="75"/>
    </row>
    <row r="250" ht="22.5" customHeight="1">
      <c r="A250" s="7" t="s">
        <v>859</v>
      </c>
      <c r="B250" s="7" t="s">
        <v>444</v>
      </c>
      <c r="C250" s="7" t="s">
        <v>27</v>
      </c>
      <c r="D250" s="7" t="s">
        <v>321</v>
      </c>
      <c r="E250" s="7" t="s">
        <v>440</v>
      </c>
      <c r="F250" s="7" t="s">
        <v>202</v>
      </c>
      <c r="G250" s="49">
        <v>0.375</v>
      </c>
      <c r="H250" s="49">
        <v>0.75</v>
      </c>
      <c r="I250" s="51">
        <v>0.375</v>
      </c>
      <c r="J250" s="108">
        <v>46113.0</v>
      </c>
      <c r="K250" s="7" t="s">
        <v>857</v>
      </c>
      <c r="L250" s="10">
        <v>50000.0</v>
      </c>
      <c r="M250" s="7" t="s">
        <v>68</v>
      </c>
      <c r="N250" s="7" t="s">
        <v>69</v>
      </c>
      <c r="O250" s="7"/>
      <c r="P250" s="10"/>
      <c r="Q250" s="7">
        <v>5000.0</v>
      </c>
      <c r="R250" s="11"/>
      <c r="S250" s="7"/>
      <c r="T250" s="7"/>
      <c r="U250" s="7"/>
      <c r="V250" s="27"/>
      <c r="W250" s="13"/>
      <c r="X250" s="14"/>
      <c r="Y250" s="14"/>
      <c r="Z250" s="14"/>
      <c r="AA250" s="27">
        <f t="shared" si="126"/>
        <v>50000</v>
      </c>
      <c r="AB250" s="27">
        <v>50000.0</v>
      </c>
      <c r="AC250" s="8">
        <v>0.0</v>
      </c>
      <c r="AD250" s="8">
        <v>0.0</v>
      </c>
      <c r="AE250" s="8">
        <v>0.0</v>
      </c>
      <c r="AF250" s="8" t="str">
        <f t="shared" si="127"/>
        <v>OK</v>
      </c>
      <c r="AG250" s="8" t="str">
        <f t="shared" si="128"/>
        <v>Skill Missing</v>
      </c>
      <c r="AH250" s="72"/>
      <c r="AI250" s="8" t="str">
        <f t="shared" si="129"/>
        <v>Not Found</v>
      </c>
      <c r="AJ250" s="21"/>
      <c r="AK250" s="110"/>
      <c r="AL250" s="75"/>
      <c r="AM250" s="75">
        <f t="shared" si="130"/>
        <v>5</v>
      </c>
      <c r="AN250" s="75"/>
      <c r="AO250" s="75"/>
      <c r="AP250" s="75"/>
      <c r="AQ250" s="75"/>
      <c r="AR250" s="75"/>
      <c r="AS250" s="75"/>
      <c r="AT250" s="75"/>
    </row>
    <row r="251" ht="22.5" customHeight="1">
      <c r="A251" s="7" t="s">
        <v>860</v>
      </c>
      <c r="B251" s="7" t="s">
        <v>861</v>
      </c>
      <c r="C251" s="7" t="s">
        <v>27</v>
      </c>
      <c r="D251" s="7" t="s">
        <v>321</v>
      </c>
      <c r="E251" s="7" t="s">
        <v>64</v>
      </c>
      <c r="F251" s="7" t="s">
        <v>202</v>
      </c>
      <c r="G251" s="49">
        <v>0.375</v>
      </c>
      <c r="H251" s="49">
        <v>0.75</v>
      </c>
      <c r="I251" s="51">
        <v>0.375</v>
      </c>
      <c r="J251" s="108">
        <v>46143.0</v>
      </c>
      <c r="K251" s="7" t="s">
        <v>857</v>
      </c>
      <c r="L251" s="10">
        <v>40000.0</v>
      </c>
      <c r="M251" s="7" t="s">
        <v>68</v>
      </c>
      <c r="N251" s="7" t="s">
        <v>69</v>
      </c>
      <c r="O251" s="7"/>
      <c r="P251" s="10"/>
      <c r="Q251" s="7"/>
      <c r="R251" s="11"/>
      <c r="S251" s="7"/>
      <c r="T251" s="7"/>
      <c r="U251" s="7"/>
      <c r="V251" s="27"/>
      <c r="W251" s="13"/>
      <c r="X251" s="14"/>
      <c r="Y251" s="14"/>
      <c r="Z251" s="14"/>
      <c r="AA251" s="27">
        <f t="shared" si="126"/>
        <v>40000</v>
      </c>
      <c r="AB251" s="14">
        <v>40000.0</v>
      </c>
      <c r="AC251" s="8">
        <v>0.0</v>
      </c>
      <c r="AD251" s="8">
        <v>0.0</v>
      </c>
      <c r="AE251" s="8">
        <v>0.0</v>
      </c>
      <c r="AF251" s="8" t="str">
        <f t="shared" si="127"/>
        <v>OK</v>
      </c>
      <c r="AG251" s="8" t="str">
        <f t="shared" si="128"/>
        <v>Skill Missing</v>
      </c>
      <c r="AH251" s="72"/>
      <c r="AI251" s="8" t="str">
        <f t="shared" si="129"/>
        <v>Not Found</v>
      </c>
      <c r="AJ251" s="21"/>
      <c r="AK251" s="110"/>
      <c r="AL251" s="75"/>
      <c r="AM251" s="75">
        <f t="shared" si="130"/>
        <v>4</v>
      </c>
      <c r="AN251" s="75"/>
      <c r="AO251" s="75"/>
      <c r="AP251" s="75"/>
      <c r="AQ251" s="75"/>
      <c r="AR251" s="75"/>
      <c r="AS251" s="75"/>
      <c r="AT251" s="75"/>
    </row>
    <row r="252" ht="22.5" customHeight="1">
      <c r="A252" s="7" t="s">
        <v>862</v>
      </c>
      <c r="B252" s="7" t="s">
        <v>863</v>
      </c>
      <c r="C252" s="7" t="s">
        <v>27</v>
      </c>
      <c r="D252" s="7" t="s">
        <v>205</v>
      </c>
      <c r="E252" s="7" t="s">
        <v>344</v>
      </c>
      <c r="F252" s="7" t="s">
        <v>202</v>
      </c>
      <c r="G252" s="49">
        <v>0.3958333333333333</v>
      </c>
      <c r="H252" s="49">
        <v>0.7916666666666666</v>
      </c>
      <c r="I252" s="51">
        <f t="shared" ref="I252:I258" si="131">IF(ISBLANK(H252),,H252-G252)</f>
        <v>0.3958333333</v>
      </c>
      <c r="J252" s="108">
        <v>39873.0</v>
      </c>
      <c r="K252" s="7" t="s">
        <v>864</v>
      </c>
      <c r="L252" s="10">
        <f t="shared" ref="L252:L254" si="132">Y252</f>
        <v>27630</v>
      </c>
      <c r="M252" s="7" t="s">
        <v>68</v>
      </c>
      <c r="N252" s="83" t="s">
        <v>69</v>
      </c>
      <c r="O252" s="84">
        <v>45901.0</v>
      </c>
      <c r="P252" s="57">
        <v>25120.0</v>
      </c>
      <c r="Q252" s="7"/>
      <c r="R252" s="11"/>
      <c r="S252" s="85"/>
      <c r="T252" s="7" t="s">
        <v>71</v>
      </c>
      <c r="U252" s="7" t="s">
        <v>247</v>
      </c>
      <c r="V252" s="27">
        <f t="shared" ref="V252:V258" si="133">P252</f>
        <v>25120</v>
      </c>
      <c r="W252" s="13">
        <v>0.1</v>
      </c>
      <c r="X252" s="14"/>
      <c r="Y252" s="14">
        <f t="shared" ref="Y252:Y258" si="134">if(W252="",V252,round(V252*(1+W252),-1))</f>
        <v>27630</v>
      </c>
      <c r="Z252" s="43" t="s">
        <v>208</v>
      </c>
      <c r="AA252" s="27">
        <f t="shared" si="126"/>
        <v>27630</v>
      </c>
      <c r="AB252" s="14">
        <f t="shared" ref="AB252:AB253" si="135">IFS(AA252&lt;=12000,AA252,AND(AA252&gt;12000,AA252&lt;=15200),15200,AND(AA252&gt;15200,AA252&lt;15500),AA252,AND(AA252&gt;=15500,AA252&lt;30000),15500,AA252&gt;=30000,AA252*$AB$2)</f>
        <v>15500</v>
      </c>
      <c r="AC252" s="8">
        <f t="shared" ref="AC252:AC253" si="136">IF($AA252&lt;=$Z$1,($AA252-$AB252)*AC$1,$AA252*AC$2)</f>
        <v>4852</v>
      </c>
      <c r="AD252" s="69">
        <f t="shared" ref="AD252:AD258" si="137">round(IF($AA252&lt;=$Z$1,($AA252-$AB252)*AD$1,$AA252*AD$2),-1)+AA252-AB252-AC252-round(IF($AA252&lt;=$Z$1,($AA252-$AB252)*AD$1,$AA252*AD$2),-1)</f>
        <v>7278</v>
      </c>
      <c r="AE252" s="8">
        <v>0.0</v>
      </c>
      <c r="AF252" s="8" t="str">
        <f t="shared" si="127"/>
        <v>OK</v>
      </c>
      <c r="AG252" s="8" t="str">
        <f t="shared" si="128"/>
        <v>US OK</v>
      </c>
      <c r="AH252" s="72" t="str">
        <f t="shared" ref="AH252:AH258" si="138">VLOOKUP(A252,'Advance Sheet'!$A$4:$A$165,1,FALSE)</f>
        <v>#REF!</v>
      </c>
      <c r="AI252" s="8" t="str">
        <f t="shared" si="129"/>
        <v>Not Found</v>
      </c>
      <c r="AJ252" s="21" t="s">
        <v>193</v>
      </c>
      <c r="AK252" s="86"/>
      <c r="AL252" s="75"/>
      <c r="AM252" s="75">
        <f t="shared" si="130"/>
        <v>210</v>
      </c>
      <c r="AN252" s="75"/>
      <c r="AO252" s="75"/>
      <c r="AP252" s="75"/>
      <c r="AQ252" s="75"/>
      <c r="AR252" s="75"/>
      <c r="AS252" s="75"/>
      <c r="AT252" s="75"/>
    </row>
    <row r="253" ht="22.5" customHeight="1">
      <c r="A253" s="7" t="s">
        <v>865</v>
      </c>
      <c r="B253" s="7" t="s">
        <v>229</v>
      </c>
      <c r="C253" s="7" t="s">
        <v>27</v>
      </c>
      <c r="D253" s="7" t="s">
        <v>205</v>
      </c>
      <c r="E253" s="7" t="s">
        <v>344</v>
      </c>
      <c r="F253" s="7" t="s">
        <v>202</v>
      </c>
      <c r="G253" s="49">
        <v>0.3958333333333333</v>
      </c>
      <c r="H253" s="49">
        <v>0.7916666666666666</v>
      </c>
      <c r="I253" s="51">
        <f t="shared" si="131"/>
        <v>0.3958333333</v>
      </c>
      <c r="J253" s="108">
        <v>42682.0</v>
      </c>
      <c r="K253" s="7" t="s">
        <v>864</v>
      </c>
      <c r="L253" s="10">
        <f t="shared" si="132"/>
        <v>23550</v>
      </c>
      <c r="M253" s="7" t="s">
        <v>867</v>
      </c>
      <c r="N253" s="83" t="s">
        <v>69</v>
      </c>
      <c r="O253" s="84">
        <v>45901.0</v>
      </c>
      <c r="P253" s="57">
        <v>21220.0</v>
      </c>
      <c r="Q253" s="7"/>
      <c r="R253" s="11"/>
      <c r="S253" s="85"/>
      <c r="T253" s="7" t="s">
        <v>71</v>
      </c>
      <c r="U253" s="7" t="s">
        <v>247</v>
      </c>
      <c r="V253" s="27">
        <f t="shared" si="133"/>
        <v>21220</v>
      </c>
      <c r="W253" s="13">
        <v>0.11</v>
      </c>
      <c r="X253" s="14"/>
      <c r="Y253" s="14">
        <f t="shared" si="134"/>
        <v>23550</v>
      </c>
      <c r="Z253" s="43" t="s">
        <v>208</v>
      </c>
      <c r="AA253" s="27">
        <f t="shared" si="126"/>
        <v>23550</v>
      </c>
      <c r="AB253" s="14">
        <f t="shared" si="135"/>
        <v>15500</v>
      </c>
      <c r="AC253" s="8">
        <f t="shared" si="136"/>
        <v>3220</v>
      </c>
      <c r="AD253" s="69">
        <f t="shared" si="137"/>
        <v>4830</v>
      </c>
      <c r="AE253" s="8">
        <v>0.0</v>
      </c>
      <c r="AF253" s="8" t="str">
        <f t="shared" si="127"/>
        <v>OK</v>
      </c>
      <c r="AG253" s="8" t="str">
        <f t="shared" si="128"/>
        <v>US OK</v>
      </c>
      <c r="AH253" s="72" t="str">
        <f t="shared" si="138"/>
        <v>#REF!</v>
      </c>
      <c r="AI253" s="8" t="str">
        <f t="shared" si="129"/>
        <v>Not Found</v>
      </c>
      <c r="AJ253" s="21"/>
      <c r="AK253" s="86"/>
      <c r="AL253" s="75"/>
      <c r="AM253" s="75">
        <f t="shared" si="130"/>
        <v>118</v>
      </c>
      <c r="AN253" s="75"/>
      <c r="AO253" s="75"/>
      <c r="AP253" s="75"/>
      <c r="AQ253" s="75"/>
      <c r="AR253" s="75"/>
      <c r="AS253" s="75"/>
      <c r="AT253" s="75"/>
    </row>
    <row r="254" ht="22.5" customHeight="1">
      <c r="A254" s="7" t="s">
        <v>868</v>
      </c>
      <c r="B254" s="7" t="s">
        <v>869</v>
      </c>
      <c r="C254" s="7" t="s">
        <v>27</v>
      </c>
      <c r="D254" s="7" t="s">
        <v>244</v>
      </c>
      <c r="E254" s="7" t="s">
        <v>292</v>
      </c>
      <c r="F254" s="7" t="s">
        <v>199</v>
      </c>
      <c r="G254" s="49">
        <v>0.375</v>
      </c>
      <c r="H254" s="49">
        <v>0.7916666666666666</v>
      </c>
      <c r="I254" s="51">
        <f t="shared" si="131"/>
        <v>0.4166666667</v>
      </c>
      <c r="J254" s="82">
        <v>42095.0</v>
      </c>
      <c r="K254" s="7" t="s">
        <v>864</v>
      </c>
      <c r="L254" s="10">
        <f t="shared" si="132"/>
        <v>38080</v>
      </c>
      <c r="M254" s="7" t="s">
        <v>68</v>
      </c>
      <c r="N254" s="83" t="s">
        <v>69</v>
      </c>
      <c r="O254" s="84">
        <v>45901.0</v>
      </c>
      <c r="P254" s="57">
        <v>34620.0</v>
      </c>
      <c r="Q254" s="7"/>
      <c r="R254" s="11"/>
      <c r="S254" s="85"/>
      <c r="T254" s="7" t="s">
        <v>71</v>
      </c>
      <c r="U254" s="7" t="s">
        <v>207</v>
      </c>
      <c r="V254" s="27">
        <f t="shared" si="133"/>
        <v>34620</v>
      </c>
      <c r="W254" s="13">
        <v>0.1</v>
      </c>
      <c r="X254" s="14"/>
      <c r="Y254" s="14">
        <f t="shared" si="134"/>
        <v>38080</v>
      </c>
      <c r="Z254" s="43" t="s">
        <v>208</v>
      </c>
      <c r="AA254" s="27">
        <f t="shared" si="126"/>
        <v>38080</v>
      </c>
      <c r="AB254" s="14">
        <f t="shared" ref="AB254:AB258" si="139">IFS(AND(AA254&lt;=15000),15300,AND(AA254&gt;15000,AA254&lt;15500),AA254,AND(AA254&gt;=15500,AA254&lt;$Z$1),15500,AA254&gt;=$Z$1,AA254*$AB$2)</f>
        <v>19040</v>
      </c>
      <c r="AC254" s="8">
        <f t="shared" ref="AC254:AC258" si="140">round(IF($AA254&lt;=$Z$1,($AA254-$AB254)*AC$1,$AA254*AC$2),-1)</f>
        <v>7620</v>
      </c>
      <c r="AD254" s="69">
        <f t="shared" si="137"/>
        <v>11420</v>
      </c>
      <c r="AE254" s="8">
        <v>0.0</v>
      </c>
      <c r="AF254" s="8" t="str">
        <f t="shared" si="127"/>
        <v>OK</v>
      </c>
      <c r="AG254" s="8" t="str">
        <f t="shared" si="128"/>
        <v>S OK</v>
      </c>
      <c r="AH254" s="72" t="str">
        <f t="shared" si="138"/>
        <v>#REF!</v>
      </c>
      <c r="AI254" s="8" t="str">
        <f t="shared" si="129"/>
        <v>Not Found</v>
      </c>
      <c r="AJ254" s="21"/>
      <c r="AK254" s="86"/>
      <c r="AL254" s="75"/>
      <c r="AM254" s="75">
        <f t="shared" si="130"/>
        <v>137</v>
      </c>
      <c r="AN254" s="75"/>
      <c r="AO254" s="75"/>
      <c r="AP254" s="75"/>
      <c r="AQ254" s="75"/>
      <c r="AR254" s="75"/>
      <c r="AS254" s="75"/>
      <c r="AT254" s="75"/>
    </row>
    <row r="255" ht="22.5" customHeight="1">
      <c r="A255" s="7" t="s">
        <v>870</v>
      </c>
      <c r="B255" s="7" t="s">
        <v>871</v>
      </c>
      <c r="C255" s="7" t="s">
        <v>27</v>
      </c>
      <c r="D255" s="7" t="s">
        <v>244</v>
      </c>
      <c r="E255" s="7" t="s">
        <v>252</v>
      </c>
      <c r="F255" s="7" t="s">
        <v>199</v>
      </c>
      <c r="G255" s="49">
        <v>0.375</v>
      </c>
      <c r="H255" s="49">
        <v>0.7916666666666666</v>
      </c>
      <c r="I255" s="51">
        <f t="shared" si="131"/>
        <v>0.4166666667</v>
      </c>
      <c r="J255" s="82">
        <v>44075.0</v>
      </c>
      <c r="K255" s="7" t="s">
        <v>864</v>
      </c>
      <c r="L255" s="10">
        <v>25022.0</v>
      </c>
      <c r="M255" s="7" t="s">
        <v>68</v>
      </c>
      <c r="N255" s="83" t="s">
        <v>69</v>
      </c>
      <c r="O255" s="84">
        <v>45901.0</v>
      </c>
      <c r="P255" s="57">
        <v>21470.0</v>
      </c>
      <c r="Q255" s="7"/>
      <c r="R255" s="11"/>
      <c r="S255" s="85"/>
      <c r="T255" s="7" t="s">
        <v>71</v>
      </c>
      <c r="U255" s="7" t="s">
        <v>207</v>
      </c>
      <c r="V255" s="27">
        <f t="shared" si="133"/>
        <v>21470</v>
      </c>
      <c r="W255" s="13">
        <v>0.11</v>
      </c>
      <c r="X255" s="14"/>
      <c r="Y255" s="14">
        <f t="shared" si="134"/>
        <v>23830</v>
      </c>
      <c r="Z255" s="43" t="s">
        <v>208</v>
      </c>
      <c r="AA255" s="27">
        <f t="shared" si="126"/>
        <v>25022</v>
      </c>
      <c r="AB255" s="14">
        <f t="shared" si="139"/>
        <v>15500</v>
      </c>
      <c r="AC255" s="8">
        <f t="shared" si="140"/>
        <v>3810</v>
      </c>
      <c r="AD255" s="69">
        <f t="shared" si="137"/>
        <v>5712</v>
      </c>
      <c r="AE255" s="8">
        <v>0.0</v>
      </c>
      <c r="AF255" s="8" t="str">
        <f t="shared" si="127"/>
        <v>OK</v>
      </c>
      <c r="AG255" s="8" t="str">
        <f t="shared" si="128"/>
        <v>S OK</v>
      </c>
      <c r="AH255" s="72" t="str">
        <f t="shared" si="138"/>
        <v>#REF!</v>
      </c>
      <c r="AI255" s="8" t="str">
        <f t="shared" si="129"/>
        <v>Not Found</v>
      </c>
      <c r="AJ255" s="21" t="s">
        <v>193</v>
      </c>
      <c r="AK255" s="86"/>
      <c r="AL255" s="75"/>
      <c r="AM255" s="75">
        <f t="shared" si="130"/>
        <v>72</v>
      </c>
      <c r="AN255" s="75"/>
      <c r="AO255" s="75"/>
      <c r="AP255" s="75"/>
      <c r="AQ255" s="75"/>
      <c r="AR255" s="75"/>
      <c r="AS255" s="75"/>
      <c r="AT255" s="75"/>
    </row>
    <row r="256" ht="22.5" customHeight="1">
      <c r="A256" s="7" t="s">
        <v>872</v>
      </c>
      <c r="B256" s="7" t="s">
        <v>873</v>
      </c>
      <c r="C256" s="7" t="s">
        <v>27</v>
      </c>
      <c r="D256" s="7" t="s">
        <v>244</v>
      </c>
      <c r="E256" s="7" t="s">
        <v>252</v>
      </c>
      <c r="F256" s="7" t="s">
        <v>199</v>
      </c>
      <c r="G256" s="49">
        <v>0.3333333333333333</v>
      </c>
      <c r="H256" s="49">
        <v>0.75</v>
      </c>
      <c r="I256" s="51">
        <f t="shared" si="131"/>
        <v>0.4166666667</v>
      </c>
      <c r="J256" s="9">
        <v>45352.0</v>
      </c>
      <c r="K256" s="7" t="s">
        <v>864</v>
      </c>
      <c r="L256" s="10">
        <v>20979.0</v>
      </c>
      <c r="M256" s="7" t="s">
        <v>68</v>
      </c>
      <c r="N256" s="7" t="s">
        <v>69</v>
      </c>
      <c r="O256" s="84">
        <v>45901.0</v>
      </c>
      <c r="P256" s="57">
        <v>18000.0</v>
      </c>
      <c r="Q256" s="7"/>
      <c r="R256" s="11"/>
      <c r="S256" s="85"/>
      <c r="T256" s="7" t="s">
        <v>71</v>
      </c>
      <c r="U256" s="7"/>
      <c r="V256" s="27">
        <f t="shared" si="133"/>
        <v>18000</v>
      </c>
      <c r="W256" s="13">
        <v>0.11</v>
      </c>
      <c r="X256" s="14"/>
      <c r="Y256" s="14">
        <f t="shared" si="134"/>
        <v>19980</v>
      </c>
      <c r="Z256" s="43"/>
      <c r="AA256" s="27">
        <f t="shared" si="126"/>
        <v>20979</v>
      </c>
      <c r="AB256" s="14">
        <f t="shared" si="139"/>
        <v>15500</v>
      </c>
      <c r="AC256" s="8">
        <f t="shared" si="140"/>
        <v>2190</v>
      </c>
      <c r="AD256" s="69">
        <f t="shared" si="137"/>
        <v>3289</v>
      </c>
      <c r="AE256" s="8">
        <v>0.0</v>
      </c>
      <c r="AF256" s="8" t="str">
        <f t="shared" si="127"/>
        <v>OK</v>
      </c>
      <c r="AG256" s="8" t="str">
        <f t="shared" si="128"/>
        <v>Skill Missing</v>
      </c>
      <c r="AH256" s="72" t="str">
        <f t="shared" si="138"/>
        <v>#REF!</v>
      </c>
      <c r="AI256" s="8" t="str">
        <f t="shared" si="129"/>
        <v>Not Found</v>
      </c>
      <c r="AJ256" s="21"/>
      <c r="AK256" s="21"/>
      <c r="AL256" s="75"/>
      <c r="AM256" s="75">
        <f t="shared" si="130"/>
        <v>30</v>
      </c>
      <c r="AN256" s="75"/>
      <c r="AO256" s="75"/>
      <c r="AP256" s="75"/>
      <c r="AQ256" s="75"/>
      <c r="AR256" s="75"/>
      <c r="AS256" s="75"/>
      <c r="AT256" s="75"/>
    </row>
    <row r="257" ht="22.5" customHeight="1">
      <c r="A257" s="7" t="s">
        <v>874</v>
      </c>
      <c r="B257" s="7" t="s">
        <v>607</v>
      </c>
      <c r="C257" s="7" t="s">
        <v>27</v>
      </c>
      <c r="D257" s="7" t="s">
        <v>244</v>
      </c>
      <c r="E257" s="7" t="s">
        <v>252</v>
      </c>
      <c r="F257" s="7" t="s">
        <v>199</v>
      </c>
      <c r="G257" s="49">
        <v>0.3333333333333333</v>
      </c>
      <c r="H257" s="49">
        <v>0.75</v>
      </c>
      <c r="I257" s="51">
        <f t="shared" si="131"/>
        <v>0.4166666667</v>
      </c>
      <c r="J257" s="9">
        <v>45439.0</v>
      </c>
      <c r="K257" s="7" t="s">
        <v>864</v>
      </c>
      <c r="L257" s="10">
        <v>17945.0</v>
      </c>
      <c r="M257" s="7" t="s">
        <v>68</v>
      </c>
      <c r="N257" s="7" t="s">
        <v>69</v>
      </c>
      <c r="O257" s="84">
        <v>45901.0</v>
      </c>
      <c r="P257" s="57">
        <v>15400.0</v>
      </c>
      <c r="Q257" s="7"/>
      <c r="R257" s="11"/>
      <c r="S257" s="85"/>
      <c r="T257" s="7" t="s">
        <v>71</v>
      </c>
      <c r="U257" s="7"/>
      <c r="V257" s="27">
        <f t="shared" si="133"/>
        <v>15400</v>
      </c>
      <c r="W257" s="13">
        <v>0.11</v>
      </c>
      <c r="X257" s="14"/>
      <c r="Y257" s="14">
        <f t="shared" si="134"/>
        <v>17090</v>
      </c>
      <c r="Z257" s="43"/>
      <c r="AA257" s="14">
        <v>17945.0</v>
      </c>
      <c r="AB257" s="14">
        <f t="shared" si="139"/>
        <v>15500</v>
      </c>
      <c r="AC257" s="8">
        <f t="shared" si="140"/>
        <v>980</v>
      </c>
      <c r="AD257" s="8">
        <f t="shared" si="137"/>
        <v>1465</v>
      </c>
      <c r="AE257" s="8">
        <v>0.0</v>
      </c>
      <c r="AF257" s="8" t="str">
        <f t="shared" si="127"/>
        <v>OK</v>
      </c>
      <c r="AG257" s="8" t="str">
        <f t="shared" si="128"/>
        <v>Skill Missing</v>
      </c>
      <c r="AH257" s="72" t="str">
        <f t="shared" si="138"/>
        <v>#REF!</v>
      </c>
      <c r="AI257" s="8" t="str">
        <f t="shared" si="129"/>
        <v>Not Found</v>
      </c>
      <c r="AJ257" s="21"/>
      <c r="AK257" s="21"/>
      <c r="AL257" s="75"/>
      <c r="AM257" s="75">
        <f t="shared" si="130"/>
        <v>28</v>
      </c>
      <c r="AN257" s="75"/>
      <c r="AO257" s="75"/>
      <c r="AP257" s="75"/>
      <c r="AQ257" s="75"/>
      <c r="AR257" s="75"/>
      <c r="AS257" s="75"/>
      <c r="AT257" s="75"/>
    </row>
    <row r="258" ht="22.5" customHeight="1">
      <c r="A258" s="7" t="s">
        <v>875</v>
      </c>
      <c r="B258" s="7" t="s">
        <v>876</v>
      </c>
      <c r="C258" s="7" t="s">
        <v>27</v>
      </c>
      <c r="D258" s="7" t="s">
        <v>205</v>
      </c>
      <c r="E258" s="7" t="s">
        <v>877</v>
      </c>
      <c r="F258" s="7" t="s">
        <v>202</v>
      </c>
      <c r="G258" s="112">
        <v>0.3958333333333333</v>
      </c>
      <c r="H258" s="49">
        <v>0.7916666666666666</v>
      </c>
      <c r="I258" s="111">
        <f t="shared" si="131"/>
        <v>0.3958333333</v>
      </c>
      <c r="J258" s="9">
        <v>45658.0</v>
      </c>
      <c r="K258" s="7" t="s">
        <v>864</v>
      </c>
      <c r="L258" s="10">
        <f>Y258</f>
        <v>22200</v>
      </c>
      <c r="M258" s="7" t="s">
        <v>68</v>
      </c>
      <c r="N258" s="7" t="s">
        <v>69</v>
      </c>
      <c r="O258" s="84">
        <v>45901.0</v>
      </c>
      <c r="P258" s="57">
        <v>20000.0</v>
      </c>
      <c r="Q258" s="7"/>
      <c r="R258" s="11"/>
      <c r="S258" s="85"/>
      <c r="T258" s="7" t="s">
        <v>71</v>
      </c>
      <c r="U258" s="7"/>
      <c r="V258" s="27">
        <f t="shared" si="133"/>
        <v>20000</v>
      </c>
      <c r="W258" s="13">
        <v>0.11</v>
      </c>
      <c r="X258" s="14"/>
      <c r="Y258" s="14">
        <f t="shared" si="134"/>
        <v>22200</v>
      </c>
      <c r="Z258" s="43"/>
      <c r="AA258" s="27">
        <f>L258</f>
        <v>22200</v>
      </c>
      <c r="AB258" s="14">
        <f t="shared" si="139"/>
        <v>15500</v>
      </c>
      <c r="AC258" s="8">
        <f t="shared" si="140"/>
        <v>2680</v>
      </c>
      <c r="AD258" s="69">
        <f t="shared" si="137"/>
        <v>4020</v>
      </c>
      <c r="AE258" s="8">
        <v>0.0</v>
      </c>
      <c r="AF258" s="8" t="str">
        <f t="shared" si="127"/>
        <v>OK</v>
      </c>
      <c r="AG258" s="8" t="str">
        <f t="shared" si="128"/>
        <v>Skill Missing</v>
      </c>
      <c r="AH258" s="72" t="str">
        <f t="shared" si="138"/>
        <v>#REF!</v>
      </c>
      <c r="AI258" s="8" t="str">
        <f t="shared" si="129"/>
        <v>Not Found</v>
      </c>
      <c r="AJ258" s="21" t="s">
        <v>193</v>
      </c>
      <c r="AK258" s="124"/>
      <c r="AL258" s="75"/>
      <c r="AM258" s="75">
        <f t="shared" si="130"/>
        <v>20</v>
      </c>
      <c r="AN258" s="75"/>
      <c r="AO258" s="75"/>
      <c r="AP258" s="75"/>
      <c r="AQ258" s="75"/>
      <c r="AR258" s="75"/>
      <c r="AS258" s="75"/>
      <c r="AT258" s="75"/>
    </row>
    <row r="259" ht="22.5" customHeight="1">
      <c r="A259" s="209"/>
      <c r="B259" s="7"/>
      <c r="C259" s="7"/>
      <c r="D259" s="7"/>
      <c r="E259" s="7"/>
      <c r="F259" s="7"/>
      <c r="G259" s="49"/>
      <c r="H259" s="49"/>
      <c r="I259" s="165"/>
      <c r="J259" s="108"/>
      <c r="K259" s="7"/>
      <c r="L259" s="10"/>
      <c r="M259" s="7"/>
      <c r="N259" s="83"/>
      <c r="O259" s="210"/>
      <c r="P259" s="7"/>
      <c r="Q259" s="7"/>
      <c r="R259" s="11"/>
      <c r="S259" s="7"/>
      <c r="T259" s="211"/>
      <c r="U259" s="7"/>
      <c r="V259" s="14"/>
      <c r="W259" s="212"/>
      <c r="X259" s="7"/>
      <c r="Y259" s="14"/>
      <c r="Z259" s="213"/>
      <c r="AA259" s="7"/>
      <c r="AB259" s="7"/>
      <c r="AC259" s="21"/>
      <c r="AD259" s="21"/>
      <c r="AE259" s="21"/>
      <c r="AF259" s="8"/>
      <c r="AG259" s="8"/>
      <c r="AH259" s="72"/>
      <c r="AI259" s="8"/>
      <c r="AJ259" s="21"/>
      <c r="AK259" s="21"/>
      <c r="AL259" s="81"/>
      <c r="AM259" s="81"/>
      <c r="AN259" s="81"/>
      <c r="AO259" s="81"/>
      <c r="AP259" s="81"/>
      <c r="AQ259" s="81"/>
      <c r="AR259" s="81"/>
      <c r="AS259" s="81"/>
      <c r="AT259" s="81"/>
    </row>
    <row r="260" ht="22.5" customHeight="1">
      <c r="A260" s="7"/>
      <c r="B260" s="7"/>
      <c r="C260" s="7"/>
      <c r="D260" s="7"/>
      <c r="E260" s="7"/>
      <c r="F260" s="7"/>
      <c r="G260" s="7"/>
      <c r="H260" s="7"/>
      <c r="I260" s="8"/>
      <c r="J260" s="53"/>
      <c r="K260" s="7"/>
      <c r="L260" s="10"/>
      <c r="M260" s="7"/>
      <c r="N260" s="7"/>
      <c r="O260" s="214"/>
      <c r="P260" s="14"/>
      <c r="Q260" s="7"/>
      <c r="R260" s="11"/>
      <c r="S260" s="7"/>
      <c r="T260" s="7"/>
      <c r="U260" s="7"/>
      <c r="V260" s="14"/>
      <c r="W260" s="13"/>
      <c r="X260" s="14"/>
      <c r="Y260" s="14"/>
      <c r="Z260" s="7"/>
      <c r="AA260" s="14"/>
      <c r="AB260" s="109"/>
      <c r="AC260" s="21"/>
      <c r="AD260" s="21"/>
      <c r="AE260" s="21"/>
      <c r="AF260" s="8"/>
      <c r="AG260" s="8"/>
      <c r="AH260" s="72"/>
      <c r="AI260" s="8"/>
      <c r="AJ260" s="21"/>
      <c r="AK260" s="110"/>
      <c r="AL260" s="81"/>
      <c r="AM260" s="81"/>
      <c r="AN260" s="81"/>
      <c r="AO260" s="81"/>
      <c r="AP260" s="81"/>
      <c r="AQ260" s="81"/>
      <c r="AR260" s="81"/>
      <c r="AS260" s="81"/>
      <c r="AT260" s="81"/>
    </row>
    <row r="261" ht="22.5" customHeight="1">
      <c r="A261" s="1"/>
      <c r="B261" s="1"/>
      <c r="C261" s="7"/>
      <c r="D261" s="7"/>
      <c r="E261" s="7"/>
      <c r="F261" s="7"/>
      <c r="G261" s="49"/>
      <c r="H261" s="49"/>
      <c r="I261" s="51"/>
      <c r="J261" s="215"/>
      <c r="K261" s="7"/>
      <c r="L261" s="10"/>
      <c r="M261" s="7"/>
      <c r="N261" s="7"/>
      <c r="O261" s="216"/>
      <c r="P261" s="14"/>
      <c r="Q261" s="7"/>
      <c r="R261" s="11"/>
      <c r="S261" s="7"/>
      <c r="T261" s="7"/>
      <c r="U261" s="7"/>
      <c r="V261" s="14"/>
      <c r="W261" s="29"/>
      <c r="X261" s="14"/>
      <c r="Y261" s="14"/>
      <c r="Z261" s="7"/>
      <c r="AA261" s="14"/>
      <c r="AB261" s="109"/>
      <c r="AC261" s="21"/>
      <c r="AD261" s="21"/>
      <c r="AE261" s="21"/>
      <c r="AF261" s="8"/>
      <c r="AG261" s="8"/>
      <c r="AH261" s="72"/>
      <c r="AI261" s="8"/>
      <c r="AJ261" s="21"/>
      <c r="AK261" s="110"/>
      <c r="AL261" s="81"/>
      <c r="AM261" s="81"/>
      <c r="AN261" s="81"/>
      <c r="AO261" s="81"/>
      <c r="AP261" s="81"/>
      <c r="AQ261" s="81"/>
      <c r="AR261" s="81"/>
      <c r="AS261" s="81"/>
      <c r="AT261" s="81"/>
    </row>
    <row r="262" ht="22.5" customHeight="1">
      <c r="A262" s="7"/>
      <c r="B262" s="7"/>
      <c r="C262" s="7"/>
      <c r="D262" s="7"/>
      <c r="E262" s="7"/>
      <c r="F262" s="7"/>
      <c r="G262" s="49"/>
      <c r="H262" s="49"/>
      <c r="I262" s="165"/>
      <c r="J262" s="108"/>
      <c r="K262" s="7"/>
      <c r="L262" s="10"/>
      <c r="M262" s="7"/>
      <c r="N262" s="83"/>
      <c r="O262" s="210"/>
      <c r="P262" s="7"/>
      <c r="Q262" s="1"/>
      <c r="R262" s="11"/>
      <c r="S262" s="7"/>
      <c r="T262" s="7"/>
      <c r="U262" s="7"/>
      <c r="V262" s="14"/>
      <c r="W262" s="212"/>
      <c r="X262" s="7"/>
      <c r="Y262" s="14"/>
      <c r="Z262" s="213"/>
      <c r="AA262" s="7"/>
      <c r="AB262" s="7"/>
      <c r="AC262" s="21"/>
      <c r="AD262" s="21"/>
      <c r="AE262" s="21"/>
      <c r="AF262" s="8"/>
      <c r="AG262" s="8"/>
      <c r="AH262" s="72"/>
      <c r="AI262" s="8"/>
      <c r="AJ262" s="21"/>
      <c r="AK262" s="21"/>
      <c r="AL262" s="81"/>
      <c r="AM262" s="81"/>
      <c r="AN262" s="81"/>
      <c r="AO262" s="81"/>
      <c r="AP262" s="81"/>
      <c r="AQ262" s="81"/>
      <c r="AR262" s="81"/>
      <c r="AS262" s="81"/>
      <c r="AT262" s="81"/>
    </row>
    <row r="263" ht="22.5" customHeight="1">
      <c r="A263" s="7"/>
      <c r="B263" s="7"/>
      <c r="C263" s="7"/>
      <c r="D263" s="7"/>
      <c r="E263" s="7"/>
      <c r="F263" s="7"/>
      <c r="G263" s="49"/>
      <c r="H263" s="49"/>
      <c r="I263" s="165"/>
      <c r="J263" s="108"/>
      <c r="K263" s="7"/>
      <c r="L263" s="10"/>
      <c r="M263" s="7"/>
      <c r="N263" s="83"/>
      <c r="O263" s="210"/>
      <c r="P263" s="7"/>
      <c r="Q263" s="1"/>
      <c r="R263" s="11"/>
      <c r="S263" s="7"/>
      <c r="T263" s="7"/>
      <c r="U263" s="7"/>
      <c r="V263" s="14"/>
      <c r="W263" s="212"/>
      <c r="X263" s="7"/>
      <c r="Y263" s="14"/>
      <c r="Z263" s="213"/>
      <c r="AA263" s="7"/>
      <c r="AB263" s="7"/>
      <c r="AC263" s="21"/>
      <c r="AD263" s="21"/>
      <c r="AE263" s="21"/>
      <c r="AF263" s="8"/>
      <c r="AG263" s="8"/>
      <c r="AH263" s="72"/>
      <c r="AI263" s="8"/>
      <c r="AJ263" s="21"/>
      <c r="AK263" s="21"/>
      <c r="AL263" s="81"/>
      <c r="AM263" s="81"/>
      <c r="AN263" s="81"/>
      <c r="AO263" s="81"/>
      <c r="AP263" s="81"/>
      <c r="AQ263" s="81"/>
      <c r="AR263" s="81"/>
      <c r="AS263" s="81"/>
      <c r="AT263" s="81"/>
    </row>
    <row r="264" ht="22.5" customHeight="1">
      <c r="A264" s="7"/>
      <c r="B264" s="7"/>
      <c r="C264" s="7"/>
      <c r="D264" s="7"/>
      <c r="E264" s="7"/>
      <c r="F264" s="7"/>
      <c r="G264" s="49"/>
      <c r="H264" s="49"/>
      <c r="I264" s="165"/>
      <c r="J264" s="108"/>
      <c r="K264" s="7"/>
      <c r="L264" s="10"/>
      <c r="M264" s="7"/>
      <c r="N264" s="83"/>
      <c r="O264" s="210"/>
      <c r="P264" s="7"/>
      <c r="Q264" s="7"/>
      <c r="R264" s="11"/>
      <c r="S264" s="7"/>
      <c r="T264" s="58"/>
      <c r="U264" s="7"/>
      <c r="V264" s="14"/>
      <c r="W264" s="212"/>
      <c r="X264" s="7"/>
      <c r="Y264" s="14"/>
      <c r="Z264" s="213"/>
      <c r="AA264" s="7"/>
      <c r="AB264" s="7"/>
      <c r="AC264" s="21"/>
      <c r="AD264" s="21"/>
      <c r="AE264" s="21"/>
      <c r="AF264" s="8"/>
      <c r="AG264" s="8"/>
      <c r="AH264" s="72"/>
      <c r="AI264" s="8"/>
      <c r="AJ264" s="21"/>
      <c r="AK264" s="21"/>
      <c r="AL264" s="81"/>
      <c r="AM264" s="81"/>
      <c r="AN264" s="81"/>
      <c r="AO264" s="81"/>
      <c r="AP264" s="81"/>
      <c r="AQ264" s="81"/>
      <c r="AR264" s="81"/>
      <c r="AS264" s="81"/>
      <c r="AT264" s="81"/>
    </row>
    <row r="265" ht="22.5" customHeight="1">
      <c r="A265" s="7"/>
      <c r="B265" s="7"/>
      <c r="C265" s="7"/>
      <c r="D265" s="7"/>
      <c r="E265" s="7"/>
      <c r="F265" s="7"/>
      <c r="G265" s="49"/>
      <c r="H265" s="49"/>
      <c r="I265" s="165"/>
      <c r="J265" s="108"/>
      <c r="K265" s="7"/>
      <c r="L265" s="10"/>
      <c r="M265" s="7"/>
      <c r="N265" s="83"/>
      <c r="O265" s="210"/>
      <c r="P265" s="7"/>
      <c r="Q265" s="7"/>
      <c r="R265" s="11"/>
      <c r="S265" s="7"/>
      <c r="T265" s="7"/>
      <c r="U265" s="7"/>
      <c r="V265" s="14"/>
      <c r="W265" s="217"/>
      <c r="X265" s="7"/>
      <c r="Y265" s="14"/>
      <c r="Z265" s="213"/>
      <c r="AA265" s="7"/>
      <c r="AB265" s="109"/>
      <c r="AC265" s="21"/>
      <c r="AD265" s="21"/>
      <c r="AE265" s="21"/>
      <c r="AF265" s="8"/>
      <c r="AG265" s="8"/>
      <c r="AH265" s="72"/>
      <c r="AI265" s="8"/>
      <c r="AJ265" s="21"/>
      <c r="AK265" s="21"/>
      <c r="AL265" s="81"/>
      <c r="AM265" s="81"/>
      <c r="AN265" s="81"/>
      <c r="AO265" s="81"/>
      <c r="AP265" s="81"/>
      <c r="AQ265" s="81"/>
      <c r="AR265" s="81"/>
      <c r="AS265" s="81"/>
      <c r="AT265" s="81"/>
    </row>
    <row r="266" ht="22.5" customHeight="1">
      <c r="A266" s="7"/>
      <c r="B266" s="7"/>
      <c r="C266" s="7"/>
      <c r="D266" s="7"/>
      <c r="E266" s="7"/>
      <c r="F266" s="7"/>
      <c r="G266" s="49"/>
      <c r="H266" s="49"/>
      <c r="I266" s="165"/>
      <c r="J266" s="108"/>
      <c r="K266" s="7"/>
      <c r="L266" s="10"/>
      <c r="M266" s="7"/>
      <c r="N266" s="83"/>
      <c r="O266" s="210"/>
      <c r="P266" s="7"/>
      <c r="Q266" s="7"/>
      <c r="R266" s="11"/>
      <c r="S266" s="7"/>
      <c r="T266" s="7"/>
      <c r="U266" s="7"/>
      <c r="V266" s="14"/>
      <c r="W266" s="212"/>
      <c r="X266" s="7"/>
      <c r="Y266" s="14"/>
      <c r="Z266" s="213"/>
      <c r="AA266" s="7"/>
      <c r="AB266" s="7"/>
      <c r="AC266" s="21"/>
      <c r="AD266" s="21"/>
      <c r="AE266" s="21"/>
      <c r="AF266" s="8"/>
      <c r="AG266" s="8"/>
      <c r="AH266" s="72"/>
      <c r="AI266" s="8"/>
      <c r="AJ266" s="21"/>
      <c r="AK266" s="21"/>
      <c r="AL266" s="81"/>
      <c r="AM266" s="81"/>
      <c r="AN266" s="81"/>
      <c r="AO266" s="81"/>
      <c r="AP266" s="81"/>
      <c r="AQ266" s="81"/>
      <c r="AR266" s="81"/>
      <c r="AS266" s="81"/>
      <c r="AT266" s="81"/>
    </row>
    <row r="267" ht="22.5" customHeight="1">
      <c r="A267" s="7"/>
      <c r="B267" s="7"/>
      <c r="C267" s="7"/>
      <c r="D267" s="7"/>
      <c r="E267" s="7"/>
      <c r="F267" s="7"/>
      <c r="G267" s="49"/>
      <c r="H267" s="49"/>
      <c r="I267" s="165"/>
      <c r="J267" s="108"/>
      <c r="K267" s="7"/>
      <c r="L267" s="10"/>
      <c r="M267" s="7"/>
      <c r="N267" s="83"/>
      <c r="O267" s="210"/>
      <c r="P267" s="7"/>
      <c r="Q267" s="7"/>
      <c r="R267" s="11"/>
      <c r="S267" s="7"/>
      <c r="T267" s="7"/>
      <c r="U267" s="7"/>
      <c r="V267" s="14"/>
      <c r="W267" s="212"/>
      <c r="X267" s="7"/>
      <c r="Y267" s="14"/>
      <c r="Z267" s="213"/>
      <c r="AA267" s="7"/>
      <c r="AB267" s="7"/>
      <c r="AC267" s="21"/>
      <c r="AD267" s="21"/>
      <c r="AE267" s="21"/>
      <c r="AF267" s="8"/>
      <c r="AG267" s="8"/>
      <c r="AH267" s="72"/>
      <c r="AI267" s="8"/>
      <c r="AJ267" s="21"/>
      <c r="AK267" s="21"/>
      <c r="AL267" s="81"/>
      <c r="AM267" s="81"/>
      <c r="AN267" s="81"/>
      <c r="AO267" s="81"/>
      <c r="AP267" s="81"/>
      <c r="AQ267" s="81"/>
      <c r="AR267" s="81"/>
      <c r="AS267" s="81"/>
      <c r="AT267" s="81"/>
    </row>
    <row r="268" ht="22.5" customHeight="1">
      <c r="A268" s="7"/>
      <c r="B268" s="7"/>
      <c r="C268" s="7"/>
      <c r="D268" s="7"/>
      <c r="E268" s="7"/>
      <c r="F268" s="7"/>
      <c r="G268" s="49"/>
      <c r="H268" s="49"/>
      <c r="I268" s="165"/>
      <c r="J268" s="108"/>
      <c r="K268" s="7"/>
      <c r="L268" s="10"/>
      <c r="M268" s="7"/>
      <c r="N268" s="83"/>
      <c r="O268" s="210"/>
      <c r="P268" s="7"/>
      <c r="Q268" s="7"/>
      <c r="R268" s="11"/>
      <c r="S268" s="7"/>
      <c r="T268" s="7"/>
      <c r="U268" s="7"/>
      <c r="V268" s="14"/>
      <c r="W268" s="212"/>
      <c r="X268" s="7"/>
      <c r="Y268" s="14"/>
      <c r="Z268" s="213"/>
      <c r="AA268" s="7"/>
      <c r="AB268" s="7"/>
      <c r="AC268" s="21"/>
      <c r="AD268" s="21"/>
      <c r="AE268" s="21"/>
      <c r="AF268" s="8"/>
      <c r="AG268" s="8"/>
      <c r="AH268" s="72"/>
      <c r="AI268" s="8"/>
      <c r="AJ268" s="21"/>
      <c r="AK268" s="21"/>
      <c r="AL268" s="81"/>
      <c r="AM268" s="81"/>
      <c r="AN268" s="81"/>
      <c r="AO268" s="81"/>
      <c r="AP268" s="81"/>
      <c r="AQ268" s="81"/>
      <c r="AR268" s="81"/>
      <c r="AS268" s="81"/>
      <c r="AT268" s="81"/>
    </row>
    <row r="269" ht="22.5" customHeight="1">
      <c r="A269" s="7"/>
      <c r="B269" s="7"/>
      <c r="C269" s="7"/>
      <c r="D269" s="7"/>
      <c r="E269" s="7"/>
      <c r="F269" s="7"/>
      <c r="G269" s="49"/>
      <c r="H269" s="49"/>
      <c r="I269" s="165"/>
      <c r="J269" s="108"/>
      <c r="K269" s="7"/>
      <c r="L269" s="10"/>
      <c r="M269" s="7"/>
      <c r="N269" s="83"/>
      <c r="O269" s="210"/>
      <c r="P269" s="7"/>
      <c r="Q269" s="7"/>
      <c r="R269" s="11"/>
      <c r="S269" s="7"/>
      <c r="T269" s="211"/>
      <c r="U269" s="7"/>
      <c r="V269" s="14"/>
      <c r="W269" s="212"/>
      <c r="X269" s="7"/>
      <c r="Y269" s="14"/>
      <c r="Z269" s="213"/>
      <c r="AA269" s="7"/>
      <c r="AB269" s="7"/>
      <c r="AC269" s="21"/>
      <c r="AD269" s="21"/>
      <c r="AE269" s="21"/>
      <c r="AF269" s="8"/>
      <c r="AG269" s="8"/>
      <c r="AH269" s="72"/>
      <c r="AI269" s="8"/>
      <c r="AJ269" s="21"/>
      <c r="AK269" s="21"/>
      <c r="AL269" s="81"/>
      <c r="AM269" s="81"/>
      <c r="AN269" s="81"/>
      <c r="AO269" s="81"/>
      <c r="AP269" s="81"/>
      <c r="AQ269" s="81"/>
      <c r="AR269" s="81"/>
      <c r="AS269" s="81"/>
      <c r="AT269" s="81"/>
    </row>
    <row r="270" ht="22.5" customHeight="1">
      <c r="A270" s="7"/>
      <c r="B270" s="7"/>
      <c r="C270" s="7"/>
      <c r="D270" s="7"/>
      <c r="E270" s="7"/>
      <c r="F270" s="7"/>
      <c r="G270" s="49"/>
      <c r="H270" s="49"/>
      <c r="I270" s="165"/>
      <c r="J270" s="108"/>
      <c r="K270" s="7"/>
      <c r="L270" s="10"/>
      <c r="M270" s="7"/>
      <c r="N270" s="83"/>
      <c r="O270" s="210"/>
      <c r="P270" s="7"/>
      <c r="Q270" s="7"/>
      <c r="R270" s="11"/>
      <c r="S270" s="7"/>
      <c r="T270" s="218"/>
      <c r="U270" s="7"/>
      <c r="V270" s="14"/>
      <c r="W270" s="212"/>
      <c r="X270" s="7"/>
      <c r="Y270" s="14"/>
      <c r="Z270" s="213"/>
      <c r="AA270" s="7"/>
      <c r="AB270" s="7"/>
      <c r="AC270" s="21"/>
      <c r="AD270" s="21"/>
      <c r="AE270" s="21"/>
      <c r="AF270" s="8"/>
      <c r="AG270" s="8"/>
      <c r="AH270" s="72"/>
      <c r="AI270" s="8"/>
      <c r="AJ270" s="21"/>
      <c r="AK270" s="21"/>
      <c r="AL270" s="81"/>
      <c r="AM270" s="81"/>
      <c r="AN270" s="81"/>
      <c r="AO270" s="81"/>
      <c r="AP270" s="81"/>
      <c r="AQ270" s="81"/>
      <c r="AR270" s="81"/>
      <c r="AS270" s="81"/>
      <c r="AT270" s="81"/>
    </row>
    <row r="271" ht="22.5" customHeight="1">
      <c r="A271" s="7"/>
      <c r="B271" s="7"/>
      <c r="C271" s="7"/>
      <c r="D271" s="7"/>
      <c r="E271" s="7"/>
      <c r="F271" s="7"/>
      <c r="G271" s="49"/>
      <c r="H271" s="49"/>
      <c r="I271" s="165"/>
      <c r="J271" s="108"/>
      <c r="K271" s="7"/>
      <c r="L271" s="10"/>
      <c r="M271" s="7"/>
      <c r="N271" s="83"/>
      <c r="O271" s="210"/>
      <c r="P271" s="7"/>
      <c r="Q271" s="7"/>
      <c r="R271" s="11"/>
      <c r="S271" s="7"/>
      <c r="T271" s="7"/>
      <c r="U271" s="7"/>
      <c r="V271" s="14"/>
      <c r="W271" s="217"/>
      <c r="X271" s="7"/>
      <c r="Y271" s="14"/>
      <c r="Z271" s="213"/>
      <c r="AA271" s="7"/>
      <c r="AB271" s="109"/>
      <c r="AC271" s="21"/>
      <c r="AD271" s="21"/>
      <c r="AE271" s="21"/>
      <c r="AF271" s="8"/>
      <c r="AG271" s="8"/>
      <c r="AH271" s="72"/>
      <c r="AI271" s="8"/>
      <c r="AJ271" s="21"/>
      <c r="AK271" s="21"/>
      <c r="AL271" s="81"/>
      <c r="AM271" s="81"/>
      <c r="AN271" s="81"/>
      <c r="AO271" s="81"/>
      <c r="AP271" s="81"/>
      <c r="AQ271" s="81"/>
      <c r="AR271" s="81"/>
      <c r="AS271" s="81"/>
      <c r="AT271" s="81"/>
    </row>
    <row r="272" ht="22.5" customHeight="1">
      <c r="A272" s="7"/>
      <c r="B272" s="7"/>
      <c r="C272" s="7"/>
      <c r="D272" s="7"/>
      <c r="E272" s="7"/>
      <c r="F272" s="7"/>
      <c r="G272" s="49"/>
      <c r="H272" s="49"/>
      <c r="I272" s="165"/>
      <c r="J272" s="108"/>
      <c r="K272" s="7"/>
      <c r="L272" s="10"/>
      <c r="M272" s="7"/>
      <c r="N272" s="83"/>
      <c r="O272" s="210"/>
      <c r="P272" s="7"/>
      <c r="Q272" s="7"/>
      <c r="R272" s="11"/>
      <c r="S272" s="7"/>
      <c r="T272" s="7"/>
      <c r="U272" s="7"/>
      <c r="V272" s="14"/>
      <c r="W272" s="212"/>
      <c r="X272" s="7"/>
      <c r="Y272" s="14"/>
      <c r="Z272" s="213"/>
      <c r="AA272" s="7"/>
      <c r="AB272" s="109"/>
      <c r="AC272" s="21"/>
      <c r="AD272" s="21"/>
      <c r="AE272" s="21"/>
      <c r="AF272" s="8"/>
      <c r="AG272" s="8"/>
      <c r="AH272" s="72"/>
      <c r="AI272" s="8"/>
      <c r="AJ272" s="21"/>
      <c r="AK272" s="21"/>
      <c r="AL272" s="81"/>
      <c r="AM272" s="81"/>
      <c r="AN272" s="81"/>
      <c r="AO272" s="81"/>
      <c r="AP272" s="81"/>
      <c r="AQ272" s="81"/>
      <c r="AR272" s="81"/>
      <c r="AS272" s="81"/>
      <c r="AT272" s="81"/>
    </row>
    <row r="273" ht="22.5" customHeight="1">
      <c r="A273" s="7"/>
      <c r="B273" s="7"/>
      <c r="C273" s="7"/>
      <c r="D273" s="7"/>
      <c r="E273" s="7"/>
      <c r="F273" s="7"/>
      <c r="G273" s="49"/>
      <c r="H273" s="49"/>
      <c r="I273" s="165"/>
      <c r="J273" s="108"/>
      <c r="K273" s="7"/>
      <c r="L273" s="10"/>
      <c r="M273" s="7"/>
      <c r="N273" s="83"/>
      <c r="O273" s="210"/>
      <c r="P273" s="7"/>
      <c r="Q273" s="7"/>
      <c r="R273" s="11"/>
      <c r="S273" s="7"/>
      <c r="T273" s="211"/>
      <c r="U273" s="7"/>
      <c r="V273" s="14"/>
      <c r="W273" s="212"/>
      <c r="X273" s="7"/>
      <c r="Y273" s="14"/>
      <c r="Z273" s="213"/>
      <c r="AA273" s="7"/>
      <c r="AB273" s="7"/>
      <c r="AC273" s="21"/>
      <c r="AD273" s="21"/>
      <c r="AE273" s="21"/>
      <c r="AF273" s="8"/>
      <c r="AG273" s="8"/>
      <c r="AH273" s="72"/>
      <c r="AI273" s="8"/>
      <c r="AJ273" s="21"/>
      <c r="AK273" s="21"/>
      <c r="AL273" s="81"/>
      <c r="AM273" s="81"/>
      <c r="AN273" s="81"/>
      <c r="AO273" s="81"/>
      <c r="AP273" s="81"/>
      <c r="AQ273" s="81"/>
      <c r="AR273" s="81"/>
      <c r="AS273" s="81"/>
      <c r="AT273" s="81"/>
    </row>
    <row r="274" ht="22.5" customHeight="1">
      <c r="A274" s="7"/>
      <c r="B274" s="7"/>
      <c r="C274" s="7"/>
      <c r="D274" s="7"/>
      <c r="E274" s="7"/>
      <c r="F274" s="7"/>
      <c r="G274" s="49"/>
      <c r="H274" s="49"/>
      <c r="I274" s="165"/>
      <c r="J274" s="108"/>
      <c r="K274" s="7"/>
      <c r="L274" s="10"/>
      <c r="M274" s="7"/>
      <c r="N274" s="83"/>
      <c r="O274" s="210"/>
      <c r="P274" s="7"/>
      <c r="Q274" s="7"/>
      <c r="R274" s="11"/>
      <c r="S274" s="7"/>
      <c r="T274" s="7"/>
      <c r="U274" s="7"/>
      <c r="V274" s="14"/>
      <c r="W274" s="212"/>
      <c r="X274" s="7"/>
      <c r="Y274" s="14"/>
      <c r="Z274" s="213"/>
      <c r="AA274" s="7"/>
      <c r="AB274" s="109"/>
      <c r="AC274" s="21"/>
      <c r="AD274" s="21"/>
      <c r="AE274" s="21"/>
      <c r="AF274" s="8"/>
      <c r="AG274" s="8"/>
      <c r="AH274" s="72"/>
      <c r="AI274" s="8"/>
      <c r="AJ274" s="21"/>
      <c r="AK274" s="21"/>
      <c r="AL274" s="81"/>
      <c r="AM274" s="81"/>
      <c r="AN274" s="81"/>
      <c r="AO274" s="81"/>
      <c r="AP274" s="81"/>
      <c r="AQ274" s="81"/>
      <c r="AR274" s="81"/>
      <c r="AS274" s="81"/>
      <c r="AT274" s="81"/>
    </row>
    <row r="275" ht="22.5" customHeight="1">
      <c r="A275" s="7"/>
      <c r="B275" s="7"/>
      <c r="C275" s="7"/>
      <c r="D275" s="7"/>
      <c r="E275" s="7"/>
      <c r="F275" s="7"/>
      <c r="G275" s="49"/>
      <c r="H275" s="49"/>
      <c r="I275" s="165"/>
      <c r="J275" s="108"/>
      <c r="K275" s="7"/>
      <c r="L275" s="10"/>
      <c r="M275" s="7"/>
      <c r="N275" s="83"/>
      <c r="O275" s="210"/>
      <c r="P275" s="7"/>
      <c r="Q275" s="7"/>
      <c r="R275" s="11"/>
      <c r="S275" s="7"/>
      <c r="T275" s="7"/>
      <c r="U275" s="7"/>
      <c r="V275" s="14"/>
      <c r="W275" s="217"/>
      <c r="X275" s="7"/>
      <c r="Y275" s="14"/>
      <c r="Z275" s="213"/>
      <c r="AA275" s="7"/>
      <c r="AB275" s="109"/>
      <c r="AC275" s="21"/>
      <c r="AD275" s="21"/>
      <c r="AE275" s="21"/>
      <c r="AF275" s="8"/>
      <c r="AG275" s="8"/>
      <c r="AH275" s="72"/>
      <c r="AI275" s="8"/>
      <c r="AJ275" s="21"/>
      <c r="AK275" s="21"/>
      <c r="AL275" s="81"/>
      <c r="AM275" s="81"/>
      <c r="AN275" s="81"/>
      <c r="AO275" s="81"/>
      <c r="AP275" s="81"/>
      <c r="AQ275" s="81"/>
      <c r="AR275" s="81"/>
      <c r="AS275" s="81"/>
      <c r="AT275" s="81"/>
    </row>
    <row r="276" ht="22.5" customHeight="1">
      <c r="A276" s="7"/>
      <c r="B276" s="7"/>
      <c r="C276" s="7"/>
      <c r="D276" s="7"/>
      <c r="E276" s="7"/>
      <c r="F276" s="7"/>
      <c r="G276" s="49"/>
      <c r="H276" s="49"/>
      <c r="I276" s="165"/>
      <c r="J276" s="108"/>
      <c r="K276" s="7"/>
      <c r="L276" s="10"/>
      <c r="M276" s="7"/>
      <c r="N276" s="83"/>
      <c r="O276" s="210"/>
      <c r="P276" s="7"/>
      <c r="Q276" s="7"/>
      <c r="R276" s="11"/>
      <c r="S276" s="7"/>
      <c r="T276" s="211"/>
      <c r="U276" s="7"/>
      <c r="V276" s="14"/>
      <c r="W276" s="212"/>
      <c r="X276" s="7"/>
      <c r="Y276" s="14"/>
      <c r="Z276" s="213"/>
      <c r="AA276" s="7"/>
      <c r="AB276" s="7"/>
      <c r="AC276" s="21"/>
      <c r="AD276" s="21"/>
      <c r="AE276" s="21"/>
      <c r="AF276" s="8"/>
      <c r="AG276" s="8"/>
      <c r="AH276" s="72"/>
      <c r="AI276" s="8"/>
      <c r="AJ276" s="21"/>
      <c r="AK276" s="21"/>
      <c r="AL276" s="81"/>
      <c r="AM276" s="81"/>
      <c r="AN276" s="81"/>
      <c r="AO276" s="81"/>
      <c r="AP276" s="81"/>
      <c r="AQ276" s="81"/>
      <c r="AR276" s="81"/>
      <c r="AS276" s="81"/>
      <c r="AT276" s="81"/>
    </row>
    <row r="277" ht="22.5" customHeight="1">
      <c r="A277" s="7"/>
      <c r="B277" s="7"/>
      <c r="C277" s="7"/>
      <c r="D277" s="7"/>
      <c r="E277" s="7"/>
      <c r="F277" s="7"/>
      <c r="G277" s="49"/>
      <c r="H277" s="49"/>
      <c r="I277" s="165"/>
      <c r="J277" s="108"/>
      <c r="K277" s="7"/>
      <c r="L277" s="10"/>
      <c r="M277" s="7"/>
      <c r="N277" s="83"/>
      <c r="O277" s="210"/>
      <c r="P277" s="7"/>
      <c r="Q277" s="7"/>
      <c r="R277" s="11"/>
      <c r="S277" s="7"/>
      <c r="T277" s="211"/>
      <c r="U277" s="7"/>
      <c r="V277" s="14"/>
      <c r="W277" s="212"/>
      <c r="X277" s="7"/>
      <c r="Y277" s="14"/>
      <c r="Z277" s="213"/>
      <c r="AA277" s="7"/>
      <c r="AB277" s="7"/>
      <c r="AC277" s="21"/>
      <c r="AD277" s="21"/>
      <c r="AE277" s="21"/>
      <c r="AF277" s="8"/>
      <c r="AG277" s="8"/>
      <c r="AH277" s="72"/>
      <c r="AI277" s="8"/>
      <c r="AJ277" s="21"/>
      <c r="AK277" s="21"/>
      <c r="AL277" s="81"/>
      <c r="AM277" s="81"/>
      <c r="AN277" s="81"/>
      <c r="AO277" s="81"/>
      <c r="AP277" s="81"/>
      <c r="AQ277" s="81"/>
      <c r="AR277" s="81"/>
      <c r="AS277" s="81"/>
      <c r="AT277" s="81"/>
    </row>
    <row r="278" ht="22.5" customHeight="1">
      <c r="A278" s="7"/>
      <c r="B278" s="7"/>
      <c r="C278" s="7"/>
      <c r="D278" s="7"/>
      <c r="E278" s="7"/>
      <c r="F278" s="7"/>
      <c r="G278" s="49"/>
      <c r="H278" s="49"/>
      <c r="I278" s="165"/>
      <c r="J278" s="108"/>
      <c r="K278" s="7"/>
      <c r="L278" s="10"/>
      <c r="M278" s="7"/>
      <c r="N278" s="83"/>
      <c r="O278" s="210"/>
      <c r="P278" s="7"/>
      <c r="Q278" s="7"/>
      <c r="R278" s="11"/>
      <c r="S278" s="7"/>
      <c r="T278" s="7"/>
      <c r="U278" s="7"/>
      <c r="V278" s="14"/>
      <c r="W278" s="212"/>
      <c r="X278" s="7"/>
      <c r="Y278" s="14"/>
      <c r="Z278" s="213"/>
      <c r="AA278" s="7"/>
      <c r="AB278" s="7"/>
      <c r="AC278" s="21"/>
      <c r="AD278" s="21"/>
      <c r="AE278" s="21"/>
      <c r="AF278" s="8"/>
      <c r="AG278" s="8"/>
      <c r="AH278" s="72"/>
      <c r="AI278" s="8"/>
      <c r="AJ278" s="21"/>
      <c r="AK278" s="21"/>
      <c r="AL278" s="81"/>
      <c r="AM278" s="81"/>
      <c r="AN278" s="81"/>
      <c r="AO278" s="81"/>
      <c r="AP278" s="81"/>
      <c r="AQ278" s="81"/>
      <c r="AR278" s="81"/>
      <c r="AS278" s="81"/>
      <c r="AT278" s="81"/>
    </row>
    <row r="279" ht="22.5" customHeight="1">
      <c r="A279" s="7"/>
      <c r="B279" s="7"/>
      <c r="C279" s="7"/>
      <c r="D279" s="7"/>
      <c r="E279" s="7"/>
      <c r="F279" s="7"/>
      <c r="G279" s="49"/>
      <c r="H279" s="49"/>
      <c r="I279" s="165"/>
      <c r="J279" s="108"/>
      <c r="K279" s="7"/>
      <c r="L279" s="10"/>
      <c r="M279" s="7"/>
      <c r="N279" s="83"/>
      <c r="O279" s="210"/>
      <c r="P279" s="7"/>
      <c r="Q279" s="7"/>
      <c r="R279" s="11"/>
      <c r="S279" s="7"/>
      <c r="T279" s="211"/>
      <c r="U279" s="7"/>
      <c r="V279" s="14"/>
      <c r="W279" s="212"/>
      <c r="X279" s="7"/>
      <c r="Y279" s="14"/>
      <c r="Z279" s="213"/>
      <c r="AA279" s="7"/>
      <c r="AB279" s="7"/>
      <c r="AC279" s="21"/>
      <c r="AD279" s="21"/>
      <c r="AE279" s="21"/>
      <c r="AF279" s="8"/>
      <c r="AG279" s="8"/>
      <c r="AH279" s="72"/>
      <c r="AI279" s="8"/>
      <c r="AJ279" s="21"/>
      <c r="AK279" s="21"/>
      <c r="AL279" s="81"/>
      <c r="AM279" s="81"/>
      <c r="AN279" s="81"/>
      <c r="AO279" s="81"/>
      <c r="AP279" s="81"/>
      <c r="AQ279" s="81"/>
      <c r="AR279" s="81"/>
      <c r="AS279" s="81"/>
      <c r="AT279" s="81"/>
    </row>
    <row r="280" ht="22.5" customHeight="1">
      <c r="A280" s="7"/>
      <c r="B280" s="7"/>
      <c r="C280" s="7"/>
      <c r="D280" s="7"/>
      <c r="E280" s="7"/>
      <c r="F280" s="7"/>
      <c r="G280" s="49"/>
      <c r="H280" s="49"/>
      <c r="I280" s="165"/>
      <c r="J280" s="108"/>
      <c r="K280" s="7"/>
      <c r="L280" s="10"/>
      <c r="M280" s="7"/>
      <c r="N280" s="83"/>
      <c r="O280" s="210"/>
      <c r="P280" s="7"/>
      <c r="Q280" s="7"/>
      <c r="R280" s="11"/>
      <c r="S280" s="7"/>
      <c r="T280" s="211"/>
      <c r="U280" s="7"/>
      <c r="V280" s="14"/>
      <c r="W280" s="212"/>
      <c r="X280" s="7"/>
      <c r="Y280" s="14"/>
      <c r="Z280" s="213"/>
      <c r="AA280" s="7"/>
      <c r="AB280" s="7"/>
      <c r="AC280" s="21"/>
      <c r="AD280" s="21"/>
      <c r="AE280" s="21"/>
      <c r="AF280" s="8"/>
      <c r="AG280" s="8"/>
      <c r="AH280" s="72"/>
      <c r="AI280" s="8"/>
      <c r="AJ280" s="21"/>
      <c r="AK280" s="21"/>
      <c r="AL280" s="81"/>
      <c r="AM280" s="81"/>
      <c r="AN280" s="81"/>
      <c r="AO280" s="81"/>
      <c r="AP280" s="81"/>
      <c r="AQ280" s="81"/>
      <c r="AR280" s="81"/>
      <c r="AS280" s="81"/>
      <c r="AT280" s="81"/>
    </row>
    <row r="281" ht="22.5" customHeight="1">
      <c r="A281" s="7"/>
      <c r="B281" s="7"/>
      <c r="C281" s="7"/>
      <c r="D281" s="7"/>
      <c r="E281" s="7"/>
      <c r="F281" s="7"/>
      <c r="G281" s="49"/>
      <c r="H281" s="49"/>
      <c r="I281" s="165"/>
      <c r="J281" s="108"/>
      <c r="K281" s="7"/>
      <c r="L281" s="10"/>
      <c r="M281" s="7"/>
      <c r="N281" s="83"/>
      <c r="O281" s="210"/>
      <c r="P281" s="7"/>
      <c r="Q281" s="7"/>
      <c r="R281" s="11"/>
      <c r="S281" s="7"/>
      <c r="T281" s="7"/>
      <c r="U281" s="7"/>
      <c r="V281" s="14"/>
      <c r="W281" s="217"/>
      <c r="X281" s="7"/>
      <c r="Y281" s="14"/>
      <c r="Z281" s="213"/>
      <c r="AA281" s="7"/>
      <c r="AB281" s="109"/>
      <c r="AC281" s="21"/>
      <c r="AD281" s="21"/>
      <c r="AE281" s="21"/>
      <c r="AF281" s="8"/>
      <c r="AG281" s="8"/>
      <c r="AH281" s="72"/>
      <c r="AI281" s="8"/>
      <c r="AJ281" s="21"/>
      <c r="AK281" s="21"/>
      <c r="AL281" s="81"/>
      <c r="AM281" s="81"/>
      <c r="AN281" s="81"/>
      <c r="AO281" s="81"/>
      <c r="AP281" s="81"/>
      <c r="AQ281" s="81"/>
      <c r="AR281" s="81"/>
      <c r="AS281" s="81"/>
      <c r="AT281" s="81"/>
    </row>
    <row r="282" ht="22.5" customHeight="1">
      <c r="A282" s="7"/>
      <c r="B282" s="7"/>
      <c r="C282" s="7"/>
      <c r="D282" s="7"/>
      <c r="E282" s="7"/>
      <c r="F282" s="7"/>
      <c r="G282" s="49"/>
      <c r="H282" s="49"/>
      <c r="I282" s="51"/>
      <c r="J282" s="82"/>
      <c r="K282" s="7"/>
      <c r="L282" s="10"/>
      <c r="M282" s="7"/>
      <c r="N282" s="83"/>
      <c r="O282" s="84"/>
      <c r="P282" s="7"/>
      <c r="Q282" s="7"/>
      <c r="R282" s="78"/>
      <c r="S282" s="85"/>
      <c r="T282" s="7"/>
      <c r="U282" s="7"/>
      <c r="V282" s="14"/>
      <c r="W282" s="13"/>
      <c r="X282" s="14"/>
      <c r="Y282" s="14"/>
      <c r="Z282" s="43"/>
      <c r="AA282" s="14"/>
      <c r="AB282" s="14"/>
      <c r="AC282" s="8"/>
      <c r="AD282" s="8"/>
      <c r="AE282" s="8"/>
      <c r="AF282" s="8"/>
      <c r="AG282" s="8"/>
      <c r="AH282" s="72"/>
      <c r="AI282" s="8"/>
      <c r="AJ282" s="123"/>
      <c r="AK282" s="86"/>
      <c r="AL282" s="81"/>
      <c r="AM282" s="81"/>
      <c r="AN282" s="81"/>
      <c r="AO282" s="81"/>
      <c r="AP282" s="81"/>
      <c r="AQ282" s="81"/>
      <c r="AR282" s="81"/>
      <c r="AS282" s="81"/>
      <c r="AT282" s="81"/>
    </row>
    <row r="283" ht="22.5" customHeight="1">
      <c r="A283" s="7"/>
      <c r="B283" s="7"/>
      <c r="C283" s="7"/>
      <c r="D283" s="7"/>
      <c r="E283" s="7"/>
      <c r="F283" s="7"/>
      <c r="G283" s="49"/>
      <c r="H283" s="49"/>
      <c r="I283" s="165"/>
      <c r="J283" s="108"/>
      <c r="K283" s="7"/>
      <c r="L283" s="10"/>
      <c r="M283" s="7"/>
      <c r="N283" s="83"/>
      <c r="O283" s="210"/>
      <c r="P283" s="7"/>
      <c r="Q283" s="7"/>
      <c r="R283" s="11"/>
      <c r="S283" s="7"/>
      <c r="T283" s="211"/>
      <c r="U283" s="7"/>
      <c r="V283" s="14"/>
      <c r="W283" s="212"/>
      <c r="X283" s="7"/>
      <c r="Y283" s="14"/>
      <c r="Z283" s="213"/>
      <c r="AA283" s="7"/>
      <c r="AB283" s="7"/>
      <c r="AC283" s="21"/>
      <c r="AD283" s="21"/>
      <c r="AE283" s="21"/>
      <c r="AF283" s="8"/>
      <c r="AG283" s="8"/>
      <c r="AH283" s="72"/>
      <c r="AI283" s="8"/>
      <c r="AJ283" s="21"/>
      <c r="AK283" s="21"/>
      <c r="AL283" s="81"/>
      <c r="AM283" s="81"/>
      <c r="AN283" s="81"/>
      <c r="AO283" s="81"/>
      <c r="AP283" s="81"/>
      <c r="AQ283" s="81"/>
      <c r="AR283" s="81"/>
      <c r="AS283" s="81"/>
      <c r="AT283" s="81"/>
    </row>
    <row r="284" ht="22.5" customHeight="1">
      <c r="A284" s="7"/>
      <c r="B284" s="7"/>
      <c r="C284" s="7"/>
      <c r="D284" s="7"/>
      <c r="E284" s="7"/>
      <c r="F284" s="7"/>
      <c r="G284" s="49"/>
      <c r="H284" s="49"/>
      <c r="I284" s="165"/>
      <c r="J284" s="108"/>
      <c r="K284" s="7"/>
      <c r="L284" s="10"/>
      <c r="M284" s="7"/>
      <c r="N284" s="83"/>
      <c r="O284" s="210"/>
      <c r="P284" s="7"/>
      <c r="Q284" s="7"/>
      <c r="R284" s="11"/>
      <c r="S284" s="7"/>
      <c r="T284" s="7"/>
      <c r="U284" s="7"/>
      <c r="V284" s="14"/>
      <c r="W284" s="217"/>
      <c r="X284" s="7"/>
      <c r="Y284" s="14"/>
      <c r="Z284" s="213"/>
      <c r="AA284" s="7"/>
      <c r="AB284" s="109"/>
      <c r="AC284" s="21"/>
      <c r="AD284" s="21"/>
      <c r="AE284" s="21"/>
      <c r="AF284" s="8"/>
      <c r="AG284" s="8"/>
      <c r="AH284" s="72"/>
      <c r="AI284" s="8"/>
      <c r="AJ284" s="21"/>
      <c r="AK284" s="21"/>
      <c r="AL284" s="81"/>
      <c r="AM284" s="81"/>
      <c r="AN284" s="81"/>
      <c r="AO284" s="81"/>
      <c r="AP284" s="81"/>
      <c r="AQ284" s="81"/>
      <c r="AR284" s="81"/>
      <c r="AS284" s="81"/>
      <c r="AT284" s="81"/>
    </row>
    <row r="285" ht="22.5" customHeight="1">
      <c r="A285" s="7"/>
      <c r="B285" s="7"/>
      <c r="C285" s="7"/>
      <c r="D285" s="7"/>
      <c r="E285" s="7"/>
      <c r="F285" s="7"/>
      <c r="G285" s="49"/>
      <c r="H285" s="49"/>
      <c r="I285" s="165"/>
      <c r="J285" s="108"/>
      <c r="K285" s="7"/>
      <c r="L285" s="10"/>
      <c r="M285" s="7"/>
      <c r="N285" s="83"/>
      <c r="O285" s="210"/>
      <c r="P285" s="7"/>
      <c r="Q285" s="7"/>
      <c r="R285" s="11"/>
      <c r="S285" s="7"/>
      <c r="T285" s="7"/>
      <c r="U285" s="7"/>
      <c r="V285" s="14"/>
      <c r="W285" s="212"/>
      <c r="X285" s="7"/>
      <c r="Y285" s="14"/>
      <c r="Z285" s="213"/>
      <c r="AA285" s="7"/>
      <c r="AB285" s="7"/>
      <c r="AC285" s="21"/>
      <c r="AD285" s="21"/>
      <c r="AE285" s="21"/>
      <c r="AF285" s="8"/>
      <c r="AG285" s="8"/>
      <c r="AH285" s="72"/>
      <c r="AI285" s="8"/>
      <c r="AJ285" s="21"/>
      <c r="AK285" s="21"/>
      <c r="AL285" s="81"/>
      <c r="AM285" s="81"/>
      <c r="AN285" s="81"/>
      <c r="AO285" s="81"/>
      <c r="AP285" s="81"/>
      <c r="AQ285" s="81"/>
      <c r="AR285" s="81"/>
      <c r="AS285" s="81"/>
      <c r="AT285" s="81"/>
    </row>
    <row r="286" ht="22.5" customHeight="1">
      <c r="A286" s="7"/>
      <c r="B286" s="7"/>
      <c r="C286" s="7"/>
      <c r="D286" s="7"/>
      <c r="E286" s="7"/>
      <c r="F286" s="7"/>
      <c r="G286" s="49"/>
      <c r="H286" s="49"/>
      <c r="I286" s="165"/>
      <c r="J286" s="108"/>
      <c r="K286" s="7"/>
      <c r="L286" s="10"/>
      <c r="M286" s="7"/>
      <c r="N286" s="83"/>
      <c r="O286" s="210"/>
      <c r="P286" s="7"/>
      <c r="Q286" s="7"/>
      <c r="R286" s="11"/>
      <c r="S286" s="7"/>
      <c r="T286" s="211"/>
      <c r="U286" s="7"/>
      <c r="V286" s="14"/>
      <c r="W286" s="212"/>
      <c r="X286" s="7"/>
      <c r="Y286" s="14"/>
      <c r="Z286" s="213"/>
      <c r="AA286" s="7"/>
      <c r="AB286" s="7"/>
      <c r="AC286" s="21"/>
      <c r="AD286" s="21"/>
      <c r="AE286" s="21"/>
      <c r="AF286" s="8"/>
      <c r="AG286" s="8"/>
      <c r="AH286" s="72"/>
      <c r="AI286" s="8"/>
      <c r="AJ286" s="21"/>
      <c r="AK286" s="21"/>
      <c r="AL286" s="81"/>
      <c r="AM286" s="81"/>
      <c r="AN286" s="81"/>
      <c r="AO286" s="81"/>
      <c r="AP286" s="81"/>
      <c r="AQ286" s="81"/>
      <c r="AR286" s="81"/>
      <c r="AS286" s="81"/>
      <c r="AT286" s="81"/>
    </row>
    <row r="287" ht="22.5" customHeight="1">
      <c r="A287" s="7"/>
      <c r="B287" s="7"/>
      <c r="C287" s="7"/>
      <c r="D287" s="7"/>
      <c r="E287" s="7"/>
      <c r="F287" s="7"/>
      <c r="G287" s="49"/>
      <c r="H287" s="49"/>
      <c r="I287" s="165"/>
      <c r="J287" s="108"/>
      <c r="K287" s="7"/>
      <c r="L287" s="10"/>
      <c r="M287" s="7"/>
      <c r="N287" s="83"/>
      <c r="O287" s="210"/>
      <c r="P287" s="7"/>
      <c r="Q287" s="7"/>
      <c r="R287" s="11"/>
      <c r="S287" s="7"/>
      <c r="T287" s="7"/>
      <c r="U287" s="7"/>
      <c r="V287" s="14"/>
      <c r="W287" s="59"/>
      <c r="X287" s="7"/>
      <c r="Y287" s="14"/>
      <c r="Z287" s="213"/>
      <c r="AA287" s="7"/>
      <c r="AB287" s="109"/>
      <c r="AC287" s="21"/>
      <c r="AD287" s="21"/>
      <c r="AE287" s="21"/>
      <c r="AF287" s="8"/>
      <c r="AG287" s="8"/>
      <c r="AH287" s="72"/>
      <c r="AI287" s="8"/>
      <c r="AJ287" s="21"/>
      <c r="AK287" s="21"/>
      <c r="AL287" s="81"/>
      <c r="AM287" s="81"/>
      <c r="AN287" s="81"/>
      <c r="AO287" s="81"/>
      <c r="AP287" s="81"/>
      <c r="AQ287" s="81"/>
      <c r="AR287" s="81"/>
      <c r="AS287" s="81"/>
      <c r="AT287" s="81"/>
    </row>
    <row r="288" ht="22.5" customHeight="1">
      <c r="A288" s="7"/>
      <c r="B288" s="7"/>
      <c r="C288" s="7"/>
      <c r="D288" s="7"/>
      <c r="E288" s="7"/>
      <c r="F288" s="7"/>
      <c r="G288" s="49"/>
      <c r="H288" s="49"/>
      <c r="I288" s="165"/>
      <c r="J288" s="108"/>
      <c r="K288" s="7"/>
      <c r="L288" s="10"/>
      <c r="M288" s="7"/>
      <c r="N288" s="83"/>
      <c r="O288" s="210"/>
      <c r="P288" s="7"/>
      <c r="Q288" s="219"/>
      <c r="R288" s="11"/>
      <c r="S288" s="7"/>
      <c r="T288" s="7"/>
      <c r="U288" s="7"/>
      <c r="V288" s="14"/>
      <c r="W288" s="212"/>
      <c r="X288" s="7"/>
      <c r="Y288" s="14"/>
      <c r="Z288" s="213"/>
      <c r="AA288" s="7"/>
      <c r="AB288" s="7"/>
      <c r="AC288" s="21"/>
      <c r="AD288" s="21"/>
      <c r="AE288" s="21"/>
      <c r="AF288" s="8"/>
      <c r="AG288" s="8"/>
      <c r="AH288" s="72"/>
      <c r="AI288" s="8"/>
      <c r="AJ288" s="21"/>
      <c r="AK288" s="21"/>
      <c r="AL288" s="81"/>
      <c r="AM288" s="81"/>
      <c r="AN288" s="81"/>
      <c r="AO288" s="81"/>
      <c r="AP288" s="81"/>
      <c r="AQ288" s="81"/>
      <c r="AR288" s="81"/>
      <c r="AS288" s="81"/>
      <c r="AT288" s="81"/>
    </row>
    <row r="289" ht="22.5" customHeight="1">
      <c r="A289" s="7"/>
      <c r="B289" s="7"/>
      <c r="C289" s="7"/>
      <c r="D289" s="7"/>
      <c r="E289" s="7"/>
      <c r="F289" s="7"/>
      <c r="G289" s="49"/>
      <c r="H289" s="49"/>
      <c r="I289" s="165"/>
      <c r="J289" s="108"/>
      <c r="K289" s="7"/>
      <c r="L289" s="10"/>
      <c r="M289" s="7"/>
      <c r="N289" s="83"/>
      <c r="O289" s="210"/>
      <c r="P289" s="7"/>
      <c r="Q289" s="7"/>
      <c r="R289" s="11"/>
      <c r="S289" s="7"/>
      <c r="T289" s="7"/>
      <c r="U289" s="7"/>
      <c r="V289" s="14"/>
      <c r="W289" s="212"/>
      <c r="X289" s="7"/>
      <c r="Y289" s="14"/>
      <c r="Z289" s="213"/>
      <c r="AA289" s="7"/>
      <c r="AB289" s="7"/>
      <c r="AC289" s="21"/>
      <c r="AD289" s="21"/>
      <c r="AE289" s="21"/>
      <c r="AF289" s="8"/>
      <c r="AG289" s="8"/>
      <c r="AH289" s="72"/>
      <c r="AI289" s="8"/>
      <c r="AJ289" s="21"/>
      <c r="AK289" s="21"/>
      <c r="AL289" s="81"/>
      <c r="AM289" s="81"/>
      <c r="AN289" s="81"/>
      <c r="AO289" s="81"/>
      <c r="AP289" s="81"/>
      <c r="AQ289" s="81"/>
      <c r="AR289" s="81"/>
      <c r="AS289" s="81"/>
      <c r="AT289" s="81"/>
    </row>
    <row r="290" ht="22.5" customHeight="1">
      <c r="A290" s="7"/>
      <c r="B290" s="7"/>
      <c r="C290" s="7"/>
      <c r="D290" s="7"/>
      <c r="E290" s="7"/>
      <c r="F290" s="7"/>
      <c r="G290" s="49"/>
      <c r="H290" s="49"/>
      <c r="I290" s="165"/>
      <c r="J290" s="108"/>
      <c r="K290" s="7"/>
      <c r="L290" s="10"/>
      <c r="M290" s="7"/>
      <c r="N290" s="83"/>
      <c r="O290" s="210"/>
      <c r="P290" s="7"/>
      <c r="Q290" s="7"/>
      <c r="R290" s="11"/>
      <c r="S290" s="7"/>
      <c r="T290" s="211"/>
      <c r="U290" s="7"/>
      <c r="V290" s="14"/>
      <c r="W290" s="212"/>
      <c r="X290" s="7"/>
      <c r="Y290" s="14"/>
      <c r="Z290" s="213"/>
      <c r="AA290" s="7"/>
      <c r="AB290" s="7"/>
      <c r="AC290" s="21"/>
      <c r="AD290" s="21"/>
      <c r="AE290" s="21"/>
      <c r="AF290" s="8"/>
      <c r="AG290" s="8"/>
      <c r="AH290" s="72"/>
      <c r="AI290" s="8"/>
      <c r="AJ290" s="21"/>
      <c r="AK290" s="21"/>
      <c r="AL290" s="81"/>
      <c r="AM290" s="81"/>
      <c r="AN290" s="81"/>
      <c r="AO290" s="81"/>
      <c r="AP290" s="81"/>
      <c r="AQ290" s="81"/>
      <c r="AR290" s="81"/>
      <c r="AS290" s="81"/>
      <c r="AT290" s="81"/>
    </row>
    <row r="291" ht="22.5" customHeight="1">
      <c r="A291" s="7"/>
      <c r="B291" s="7"/>
      <c r="C291" s="7"/>
      <c r="D291" s="7"/>
      <c r="E291" s="7"/>
      <c r="F291" s="7"/>
      <c r="G291" s="49"/>
      <c r="H291" s="49"/>
      <c r="I291" s="165"/>
      <c r="J291" s="108"/>
      <c r="K291" s="7"/>
      <c r="L291" s="10"/>
      <c r="M291" s="7"/>
      <c r="N291" s="83"/>
      <c r="O291" s="210"/>
      <c r="P291" s="7"/>
      <c r="Q291" s="7"/>
      <c r="R291" s="11"/>
      <c r="S291" s="7"/>
      <c r="T291" s="211"/>
      <c r="U291" s="7"/>
      <c r="V291" s="14"/>
      <c r="W291" s="212"/>
      <c r="X291" s="7"/>
      <c r="Y291" s="14"/>
      <c r="Z291" s="213"/>
      <c r="AA291" s="7"/>
      <c r="AB291" s="7"/>
      <c r="AC291" s="21"/>
      <c r="AD291" s="21"/>
      <c r="AE291" s="21"/>
      <c r="AF291" s="8"/>
      <c r="AG291" s="8"/>
      <c r="AH291" s="72"/>
      <c r="AI291" s="8"/>
      <c r="AJ291" s="21"/>
      <c r="AK291" s="21"/>
      <c r="AL291" s="81"/>
      <c r="AM291" s="81"/>
      <c r="AN291" s="81"/>
      <c r="AO291" s="81"/>
      <c r="AP291" s="81"/>
      <c r="AQ291" s="81"/>
      <c r="AR291" s="81"/>
      <c r="AS291" s="81"/>
      <c r="AT291" s="81"/>
    </row>
    <row r="292" ht="22.5" customHeight="1">
      <c r="A292" s="7"/>
      <c r="B292" s="7"/>
      <c r="C292" s="7"/>
      <c r="D292" s="7"/>
      <c r="E292" s="7"/>
      <c r="F292" s="7"/>
      <c r="G292" s="49"/>
      <c r="H292" s="49"/>
      <c r="I292" s="165"/>
      <c r="J292" s="108"/>
      <c r="K292" s="7"/>
      <c r="L292" s="10"/>
      <c r="M292" s="7"/>
      <c r="N292" s="83"/>
      <c r="O292" s="210"/>
      <c r="P292" s="7"/>
      <c r="Q292" s="7"/>
      <c r="R292" s="11"/>
      <c r="S292" s="7"/>
      <c r="T292" s="211"/>
      <c r="U292" s="7"/>
      <c r="V292" s="14"/>
      <c r="W292" s="212"/>
      <c r="X292" s="7"/>
      <c r="Y292" s="14"/>
      <c r="Z292" s="213"/>
      <c r="AA292" s="7"/>
      <c r="AB292" s="7"/>
      <c r="AC292" s="21"/>
      <c r="AD292" s="21"/>
      <c r="AE292" s="21"/>
      <c r="AF292" s="8"/>
      <c r="AG292" s="8"/>
      <c r="AH292" s="72"/>
      <c r="AI292" s="8"/>
      <c r="AJ292" s="21"/>
      <c r="AK292" s="21"/>
      <c r="AL292" s="81"/>
      <c r="AM292" s="81"/>
      <c r="AN292" s="81"/>
      <c r="AO292" s="81"/>
      <c r="AP292" s="81"/>
      <c r="AQ292" s="81"/>
      <c r="AR292" s="81"/>
      <c r="AS292" s="81"/>
      <c r="AT292" s="81"/>
    </row>
    <row r="293" ht="22.5" customHeight="1">
      <c r="A293" s="7"/>
      <c r="B293" s="7"/>
      <c r="C293" s="7"/>
      <c r="D293" s="7"/>
      <c r="E293" s="7"/>
      <c r="F293" s="7"/>
      <c r="G293" s="49"/>
      <c r="H293" s="49"/>
      <c r="I293" s="165"/>
      <c r="J293" s="108"/>
      <c r="K293" s="7"/>
      <c r="L293" s="10"/>
      <c r="M293" s="7"/>
      <c r="N293" s="83"/>
      <c r="O293" s="210"/>
      <c r="P293" s="7"/>
      <c r="Q293" s="7"/>
      <c r="R293" s="11"/>
      <c r="S293" s="7"/>
      <c r="T293" s="7"/>
      <c r="U293" s="7"/>
      <c r="V293" s="14"/>
      <c r="W293" s="212"/>
      <c r="X293" s="7"/>
      <c r="Y293" s="14"/>
      <c r="Z293" s="213"/>
      <c r="AA293" s="7"/>
      <c r="AB293" s="109"/>
      <c r="AC293" s="21"/>
      <c r="AD293" s="21"/>
      <c r="AE293" s="21"/>
      <c r="AF293" s="8"/>
      <c r="AG293" s="8"/>
      <c r="AH293" s="72"/>
      <c r="AI293" s="8"/>
      <c r="AJ293" s="21"/>
      <c r="AK293" s="21"/>
      <c r="AL293" s="81"/>
      <c r="AM293" s="81"/>
      <c r="AN293" s="81"/>
      <c r="AO293" s="81"/>
      <c r="AP293" s="81"/>
      <c r="AQ293" s="81"/>
      <c r="AR293" s="81"/>
      <c r="AS293" s="81"/>
      <c r="AT293" s="81"/>
    </row>
    <row r="294" ht="22.5" customHeight="1">
      <c r="A294" s="7"/>
      <c r="B294" s="7"/>
      <c r="C294" s="7"/>
      <c r="D294" s="7"/>
      <c r="E294" s="7"/>
      <c r="F294" s="7"/>
      <c r="G294" s="49"/>
      <c r="H294" s="49"/>
      <c r="I294" s="165"/>
      <c r="J294" s="108"/>
      <c r="K294" s="7"/>
      <c r="L294" s="10"/>
      <c r="M294" s="7"/>
      <c r="N294" s="83"/>
      <c r="O294" s="210"/>
      <c r="P294" s="7"/>
      <c r="Q294" s="7"/>
      <c r="R294" s="11"/>
      <c r="S294" s="7"/>
      <c r="T294" s="211"/>
      <c r="U294" s="7"/>
      <c r="V294" s="14"/>
      <c r="W294" s="212"/>
      <c r="X294" s="7"/>
      <c r="Y294" s="14"/>
      <c r="Z294" s="213"/>
      <c r="AA294" s="7"/>
      <c r="AB294" s="7"/>
      <c r="AC294" s="21"/>
      <c r="AD294" s="21"/>
      <c r="AE294" s="21"/>
      <c r="AF294" s="8"/>
      <c r="AG294" s="8"/>
      <c r="AH294" s="72"/>
      <c r="AI294" s="8"/>
      <c r="AJ294" s="21"/>
      <c r="AK294" s="21"/>
      <c r="AL294" s="81"/>
      <c r="AM294" s="81"/>
      <c r="AN294" s="81"/>
      <c r="AO294" s="81"/>
      <c r="AP294" s="81"/>
      <c r="AQ294" s="81"/>
      <c r="AR294" s="81"/>
      <c r="AS294" s="81"/>
      <c r="AT294" s="81"/>
    </row>
    <row r="295" ht="22.5" customHeight="1">
      <c r="A295" s="7"/>
      <c r="B295" s="7"/>
      <c r="C295" s="7"/>
      <c r="D295" s="7"/>
      <c r="E295" s="7"/>
      <c r="F295" s="7"/>
      <c r="G295" s="49"/>
      <c r="H295" s="49"/>
      <c r="I295" s="165"/>
      <c r="J295" s="108"/>
      <c r="K295" s="7"/>
      <c r="L295" s="10"/>
      <c r="M295" s="7"/>
      <c r="N295" s="83"/>
      <c r="O295" s="210"/>
      <c r="P295" s="7"/>
      <c r="Q295" s="7"/>
      <c r="R295" s="11"/>
      <c r="S295" s="7"/>
      <c r="T295" s="7"/>
      <c r="U295" s="7"/>
      <c r="V295" s="14"/>
      <c r="W295" s="59"/>
      <c r="X295" s="7"/>
      <c r="Y295" s="14"/>
      <c r="Z295" s="213"/>
      <c r="AA295" s="7"/>
      <c r="AB295" s="109"/>
      <c r="AC295" s="21"/>
      <c r="AD295" s="21"/>
      <c r="AE295" s="21"/>
      <c r="AF295" s="8"/>
      <c r="AG295" s="8"/>
      <c r="AH295" s="72"/>
      <c r="AI295" s="8"/>
      <c r="AJ295" s="21"/>
      <c r="AK295" s="21"/>
      <c r="AL295" s="81"/>
      <c r="AM295" s="81"/>
      <c r="AN295" s="81"/>
      <c r="AO295" s="81"/>
      <c r="AP295" s="81"/>
      <c r="AQ295" s="81"/>
      <c r="AR295" s="81"/>
      <c r="AS295" s="81"/>
      <c r="AT295" s="81"/>
    </row>
    <row r="296" ht="22.5" customHeight="1">
      <c r="A296" s="7"/>
      <c r="B296" s="7"/>
      <c r="C296" s="7"/>
      <c r="D296" s="7"/>
      <c r="E296" s="7"/>
      <c r="F296" s="7"/>
      <c r="G296" s="49"/>
      <c r="H296" s="49"/>
      <c r="I296" s="165"/>
      <c r="J296" s="108"/>
      <c r="K296" s="7"/>
      <c r="L296" s="10"/>
      <c r="M296" s="7"/>
      <c r="N296" s="83"/>
      <c r="O296" s="210"/>
      <c r="P296" s="7"/>
      <c r="Q296" s="7"/>
      <c r="R296" s="11"/>
      <c r="S296" s="7"/>
      <c r="T296" s="7"/>
      <c r="U296" s="7"/>
      <c r="V296" s="14"/>
      <c r="W296" s="212"/>
      <c r="X296" s="7"/>
      <c r="Y296" s="14"/>
      <c r="Z296" s="213"/>
      <c r="AA296" s="7"/>
      <c r="AB296" s="7"/>
      <c r="AC296" s="21"/>
      <c r="AD296" s="21"/>
      <c r="AE296" s="21"/>
      <c r="AF296" s="8"/>
      <c r="AG296" s="8"/>
      <c r="AH296" s="72"/>
      <c r="AI296" s="8"/>
      <c r="AJ296" s="21"/>
      <c r="AK296" s="21"/>
      <c r="AL296" s="81"/>
      <c r="AM296" s="81"/>
      <c r="AN296" s="81"/>
      <c r="AO296" s="81"/>
      <c r="AP296" s="81"/>
      <c r="AQ296" s="81"/>
      <c r="AR296" s="81"/>
      <c r="AS296" s="81"/>
      <c r="AT296" s="81"/>
    </row>
    <row r="297" ht="22.5" customHeight="1">
      <c r="A297" s="7"/>
      <c r="B297" s="7"/>
      <c r="C297" s="7"/>
      <c r="D297" s="7"/>
      <c r="E297" s="7"/>
      <c r="F297" s="7"/>
      <c r="G297" s="49"/>
      <c r="H297" s="49"/>
      <c r="I297" s="165"/>
      <c r="J297" s="108"/>
      <c r="K297" s="7"/>
      <c r="L297" s="10"/>
      <c r="M297" s="7"/>
      <c r="N297" s="83"/>
      <c r="O297" s="210"/>
      <c r="P297" s="7"/>
      <c r="Q297" s="7"/>
      <c r="R297" s="11"/>
      <c r="S297" s="7"/>
      <c r="T297" s="7"/>
      <c r="U297" s="7"/>
      <c r="V297" s="14"/>
      <c r="W297" s="212"/>
      <c r="X297" s="7"/>
      <c r="Y297" s="14"/>
      <c r="Z297" s="213"/>
      <c r="AA297" s="7"/>
      <c r="AB297" s="109"/>
      <c r="AC297" s="21"/>
      <c r="AD297" s="21"/>
      <c r="AE297" s="21"/>
      <c r="AF297" s="8"/>
      <c r="AG297" s="8"/>
      <c r="AH297" s="72"/>
      <c r="AI297" s="8"/>
      <c r="AJ297" s="21"/>
      <c r="AK297" s="21"/>
      <c r="AL297" s="81"/>
      <c r="AM297" s="81"/>
      <c r="AN297" s="81"/>
      <c r="AO297" s="81"/>
      <c r="AP297" s="81"/>
      <c r="AQ297" s="81"/>
      <c r="AR297" s="81"/>
      <c r="AS297" s="81"/>
      <c r="AT297" s="81"/>
    </row>
    <row r="298" ht="22.5" customHeight="1">
      <c r="A298" s="7"/>
      <c r="B298" s="7"/>
      <c r="C298" s="7"/>
      <c r="D298" s="7"/>
      <c r="E298" s="7"/>
      <c r="F298" s="7"/>
      <c r="G298" s="49"/>
      <c r="H298" s="49"/>
      <c r="I298" s="165"/>
      <c r="J298" s="108"/>
      <c r="K298" s="7"/>
      <c r="L298" s="10"/>
      <c r="M298" s="7"/>
      <c r="N298" s="83"/>
      <c r="O298" s="210"/>
      <c r="P298" s="7"/>
      <c r="Q298" s="7"/>
      <c r="R298" s="11"/>
      <c r="S298" s="7"/>
      <c r="T298" s="7"/>
      <c r="U298" s="7"/>
      <c r="V298" s="14"/>
      <c r="W298" s="217"/>
      <c r="X298" s="7"/>
      <c r="Y298" s="14"/>
      <c r="Z298" s="213"/>
      <c r="AA298" s="7"/>
      <c r="AB298" s="109"/>
      <c r="AC298" s="21"/>
      <c r="AD298" s="21"/>
      <c r="AE298" s="21"/>
      <c r="AF298" s="8"/>
      <c r="AG298" s="8"/>
      <c r="AH298" s="72"/>
      <c r="AI298" s="8"/>
      <c r="AJ298" s="21"/>
      <c r="AK298" s="21"/>
      <c r="AL298" s="81"/>
      <c r="AM298" s="81"/>
      <c r="AN298" s="81"/>
      <c r="AO298" s="81"/>
      <c r="AP298" s="81"/>
      <c r="AQ298" s="81"/>
      <c r="AR298" s="81"/>
      <c r="AS298" s="81"/>
      <c r="AT298" s="81"/>
    </row>
    <row r="299" ht="22.5" customHeight="1">
      <c r="A299" s="7"/>
      <c r="B299" s="7"/>
      <c r="C299" s="7"/>
      <c r="D299" s="7"/>
      <c r="E299" s="7"/>
      <c r="F299" s="7"/>
      <c r="G299" s="49"/>
      <c r="H299" s="49"/>
      <c r="I299" s="165"/>
      <c r="J299" s="108"/>
      <c r="K299" s="7"/>
      <c r="L299" s="10"/>
      <c r="M299" s="7"/>
      <c r="N299" s="83"/>
      <c r="O299" s="210"/>
      <c r="P299" s="7"/>
      <c r="Q299" s="7"/>
      <c r="R299" s="11"/>
      <c r="S299" s="7"/>
      <c r="T299" s="7"/>
      <c r="U299" s="7"/>
      <c r="V299" s="14"/>
      <c r="W299" s="212"/>
      <c r="X299" s="7"/>
      <c r="Y299" s="14"/>
      <c r="Z299" s="213"/>
      <c r="AA299" s="7"/>
      <c r="AB299" s="7"/>
      <c r="AC299" s="21"/>
      <c r="AD299" s="21"/>
      <c r="AE299" s="21"/>
      <c r="AF299" s="8"/>
      <c r="AG299" s="8"/>
      <c r="AH299" s="72"/>
      <c r="AI299" s="8"/>
      <c r="AJ299" s="21"/>
      <c r="AK299" s="21"/>
      <c r="AL299" s="81"/>
      <c r="AM299" s="81"/>
      <c r="AN299" s="81"/>
      <c r="AO299" s="81"/>
      <c r="AP299" s="81"/>
      <c r="AQ299" s="81"/>
      <c r="AR299" s="81"/>
      <c r="AS299" s="81"/>
      <c r="AT299" s="81"/>
    </row>
    <row r="300" ht="22.5" customHeight="1">
      <c r="A300" s="7"/>
      <c r="B300" s="7"/>
      <c r="C300" s="7"/>
      <c r="D300" s="7"/>
      <c r="E300" s="7"/>
      <c r="F300" s="7"/>
      <c r="G300" s="49"/>
      <c r="H300" s="49"/>
      <c r="I300" s="165"/>
      <c r="J300" s="108"/>
      <c r="K300" s="7"/>
      <c r="L300" s="10"/>
      <c r="M300" s="7"/>
      <c r="N300" s="83"/>
      <c r="O300" s="210"/>
      <c r="P300" s="7"/>
      <c r="Q300" s="7"/>
      <c r="R300" s="11"/>
      <c r="S300" s="7"/>
      <c r="T300" s="7"/>
      <c r="U300" s="7"/>
      <c r="V300" s="14"/>
      <c r="W300" s="212"/>
      <c r="X300" s="7"/>
      <c r="Y300" s="14"/>
      <c r="Z300" s="213"/>
      <c r="AA300" s="7"/>
      <c r="AB300" s="109"/>
      <c r="AC300" s="21"/>
      <c r="AD300" s="21"/>
      <c r="AE300" s="21"/>
      <c r="AF300" s="8"/>
      <c r="AG300" s="8"/>
      <c r="AH300" s="72"/>
      <c r="AI300" s="8"/>
      <c r="AJ300" s="21"/>
      <c r="AK300" s="21"/>
      <c r="AL300" s="81"/>
      <c r="AM300" s="81"/>
      <c r="AN300" s="81"/>
      <c r="AO300" s="81"/>
      <c r="AP300" s="81"/>
      <c r="AQ300" s="81"/>
      <c r="AR300" s="81"/>
      <c r="AS300" s="81"/>
      <c r="AT300" s="81"/>
    </row>
    <row r="301" ht="22.5" customHeight="1">
      <c r="A301" s="7"/>
      <c r="B301" s="7"/>
      <c r="C301" s="7"/>
      <c r="D301" s="7"/>
      <c r="E301" s="7"/>
      <c r="F301" s="7"/>
      <c r="G301" s="49"/>
      <c r="H301" s="49"/>
      <c r="I301" s="165"/>
      <c r="J301" s="108"/>
      <c r="K301" s="7"/>
      <c r="L301" s="10"/>
      <c r="M301" s="7"/>
      <c r="N301" s="83"/>
      <c r="O301" s="210"/>
      <c r="P301" s="7"/>
      <c r="Q301" s="7"/>
      <c r="R301" s="11"/>
      <c r="S301" s="7"/>
      <c r="T301" s="7"/>
      <c r="U301" s="7"/>
      <c r="V301" s="14"/>
      <c r="W301" s="212"/>
      <c r="X301" s="7"/>
      <c r="Y301" s="14"/>
      <c r="Z301" s="213"/>
      <c r="AA301" s="7"/>
      <c r="AB301" s="7"/>
      <c r="AC301" s="21"/>
      <c r="AD301" s="21"/>
      <c r="AE301" s="21"/>
      <c r="AF301" s="8"/>
      <c r="AG301" s="8"/>
      <c r="AH301" s="72"/>
      <c r="AI301" s="8"/>
      <c r="AJ301" s="21"/>
      <c r="AK301" s="21"/>
      <c r="AL301" s="81"/>
      <c r="AM301" s="81"/>
      <c r="AN301" s="81"/>
      <c r="AO301" s="81"/>
      <c r="AP301" s="81"/>
      <c r="AQ301" s="81"/>
      <c r="AR301" s="81"/>
      <c r="AS301" s="81"/>
      <c r="AT301" s="81"/>
    </row>
    <row r="302" ht="22.5" customHeight="1">
      <c r="A302" s="7"/>
      <c r="B302" s="7"/>
      <c r="C302" s="7"/>
      <c r="D302" s="7"/>
      <c r="E302" s="7"/>
      <c r="F302" s="7"/>
      <c r="G302" s="49"/>
      <c r="H302" s="49"/>
      <c r="I302" s="165"/>
      <c r="J302" s="108"/>
      <c r="K302" s="7"/>
      <c r="L302" s="10"/>
      <c r="M302" s="7"/>
      <c r="N302" s="83"/>
      <c r="O302" s="210"/>
      <c r="P302" s="7"/>
      <c r="Q302" s="7"/>
      <c r="R302" s="11"/>
      <c r="S302" s="7"/>
      <c r="T302" s="211"/>
      <c r="U302" s="7"/>
      <c r="V302" s="14"/>
      <c r="W302" s="212"/>
      <c r="X302" s="7"/>
      <c r="Y302" s="14"/>
      <c r="Z302" s="213"/>
      <c r="AA302" s="7"/>
      <c r="AB302" s="7"/>
      <c r="AC302" s="21"/>
      <c r="AD302" s="21"/>
      <c r="AE302" s="21"/>
      <c r="AF302" s="8"/>
      <c r="AG302" s="8"/>
      <c r="AH302" s="72"/>
      <c r="AI302" s="8"/>
      <c r="AJ302" s="21"/>
      <c r="AK302" s="21"/>
      <c r="AL302" s="81"/>
      <c r="AM302" s="81"/>
      <c r="AN302" s="81"/>
      <c r="AO302" s="81"/>
      <c r="AP302" s="81"/>
      <c r="AQ302" s="81"/>
      <c r="AR302" s="81"/>
      <c r="AS302" s="81"/>
      <c r="AT302" s="81"/>
    </row>
    <row r="303" ht="22.5" customHeight="1">
      <c r="A303" s="7"/>
      <c r="B303" s="7"/>
      <c r="C303" s="7"/>
      <c r="D303" s="7"/>
      <c r="E303" s="7"/>
      <c r="F303" s="7"/>
      <c r="G303" s="49"/>
      <c r="H303" s="49"/>
      <c r="I303" s="165"/>
      <c r="J303" s="108"/>
      <c r="K303" s="7"/>
      <c r="L303" s="10"/>
      <c r="M303" s="7"/>
      <c r="N303" s="83"/>
      <c r="O303" s="210"/>
      <c r="P303" s="7"/>
      <c r="Q303" s="7"/>
      <c r="R303" s="11"/>
      <c r="S303" s="7"/>
      <c r="T303" s="211"/>
      <c r="U303" s="7"/>
      <c r="V303" s="14"/>
      <c r="W303" s="212"/>
      <c r="X303" s="7"/>
      <c r="Y303" s="14"/>
      <c r="Z303" s="213"/>
      <c r="AA303" s="7"/>
      <c r="AB303" s="7"/>
      <c r="AC303" s="21"/>
      <c r="AD303" s="21"/>
      <c r="AE303" s="21"/>
      <c r="AF303" s="8"/>
      <c r="AG303" s="8"/>
      <c r="AH303" s="72"/>
      <c r="AI303" s="8"/>
      <c r="AJ303" s="21"/>
      <c r="AK303" s="21"/>
      <c r="AL303" s="81"/>
      <c r="AM303" s="81"/>
      <c r="AN303" s="81"/>
      <c r="AO303" s="81"/>
      <c r="AP303" s="81"/>
      <c r="AQ303" s="81"/>
      <c r="AR303" s="81"/>
      <c r="AS303" s="81"/>
      <c r="AT303" s="81"/>
    </row>
    <row r="304" ht="22.5" customHeight="1">
      <c r="A304" s="7"/>
      <c r="B304" s="7"/>
      <c r="C304" s="7"/>
      <c r="D304" s="7"/>
      <c r="E304" s="7"/>
      <c r="F304" s="7"/>
      <c r="G304" s="49"/>
      <c r="H304" s="49"/>
      <c r="I304" s="165"/>
      <c r="J304" s="108"/>
      <c r="K304" s="7"/>
      <c r="L304" s="10"/>
      <c r="M304" s="7"/>
      <c r="N304" s="7"/>
      <c r="O304" s="210"/>
      <c r="P304" s="7"/>
      <c r="Q304" s="7"/>
      <c r="R304" s="11"/>
      <c r="S304" s="7"/>
      <c r="T304" s="7"/>
      <c r="U304" s="7"/>
      <c r="V304" s="14"/>
      <c r="W304" s="212"/>
      <c r="X304" s="7"/>
      <c r="Y304" s="14"/>
      <c r="Z304" s="213"/>
      <c r="AA304" s="7"/>
      <c r="AB304" s="109"/>
      <c r="AC304" s="21"/>
      <c r="AD304" s="21"/>
      <c r="AE304" s="21"/>
      <c r="AF304" s="8"/>
      <c r="AG304" s="8"/>
      <c r="AH304" s="72"/>
      <c r="AI304" s="8"/>
      <c r="AJ304" s="21"/>
      <c r="AK304" s="21"/>
      <c r="AL304" s="81"/>
      <c r="AM304" s="81"/>
      <c r="AN304" s="81"/>
      <c r="AO304" s="81"/>
      <c r="AP304" s="81"/>
      <c r="AQ304" s="81"/>
      <c r="AR304" s="81"/>
      <c r="AS304" s="81"/>
      <c r="AT304" s="81"/>
    </row>
    <row r="305" ht="22.5" customHeight="1">
      <c r="A305" s="7"/>
      <c r="B305" s="7"/>
      <c r="C305" s="7"/>
      <c r="D305" s="7"/>
      <c r="E305" s="7"/>
      <c r="F305" s="7"/>
      <c r="G305" s="49"/>
      <c r="H305" s="49"/>
      <c r="I305" s="165"/>
      <c r="J305" s="108"/>
      <c r="K305" s="7"/>
      <c r="L305" s="10"/>
      <c r="M305" s="7"/>
      <c r="N305" s="7"/>
      <c r="O305" s="210"/>
      <c r="P305" s="7"/>
      <c r="Q305" s="7"/>
      <c r="R305" s="11"/>
      <c r="S305" s="7"/>
      <c r="T305" s="7"/>
      <c r="U305" s="7"/>
      <c r="V305" s="14"/>
      <c r="W305" s="212"/>
      <c r="X305" s="7"/>
      <c r="Y305" s="14"/>
      <c r="Z305" s="213"/>
      <c r="AA305" s="7"/>
      <c r="AB305" s="7"/>
      <c r="AC305" s="21"/>
      <c r="AD305" s="21"/>
      <c r="AE305" s="21"/>
      <c r="AF305" s="8"/>
      <c r="AG305" s="8"/>
      <c r="AH305" s="72"/>
      <c r="AI305" s="8"/>
      <c r="AJ305" s="21"/>
      <c r="AK305" s="21"/>
      <c r="AL305" s="81"/>
      <c r="AM305" s="81"/>
      <c r="AN305" s="81"/>
      <c r="AO305" s="81"/>
      <c r="AP305" s="81"/>
      <c r="AQ305" s="81"/>
      <c r="AR305" s="81"/>
      <c r="AS305" s="81"/>
      <c r="AT305" s="81"/>
    </row>
    <row r="306" ht="22.5" customHeight="1">
      <c r="A306" s="7"/>
      <c r="B306" s="7"/>
      <c r="C306" s="7"/>
      <c r="D306" s="7"/>
      <c r="E306" s="7"/>
      <c r="F306" s="7"/>
      <c r="G306" s="49"/>
      <c r="H306" s="49"/>
      <c r="I306" s="165"/>
      <c r="J306" s="108"/>
      <c r="K306" s="7"/>
      <c r="L306" s="10"/>
      <c r="M306" s="7"/>
      <c r="N306" s="7"/>
      <c r="O306" s="210"/>
      <c r="P306" s="7"/>
      <c r="Q306" s="7"/>
      <c r="R306" s="11"/>
      <c r="S306" s="7"/>
      <c r="T306" s="7"/>
      <c r="U306" s="7"/>
      <c r="V306" s="14"/>
      <c r="W306" s="217"/>
      <c r="X306" s="7"/>
      <c r="Y306" s="14"/>
      <c r="Z306" s="213"/>
      <c r="AA306" s="7"/>
      <c r="AB306" s="109"/>
      <c r="AC306" s="21"/>
      <c r="AD306" s="21"/>
      <c r="AE306" s="21"/>
      <c r="AF306" s="8"/>
      <c r="AG306" s="8"/>
      <c r="AH306" s="72"/>
      <c r="AI306" s="8"/>
      <c r="AJ306" s="21"/>
      <c r="AK306" s="21"/>
      <c r="AL306" s="81"/>
      <c r="AM306" s="81"/>
      <c r="AN306" s="81"/>
      <c r="AO306" s="81"/>
      <c r="AP306" s="81"/>
      <c r="AQ306" s="81"/>
      <c r="AR306" s="81"/>
      <c r="AS306" s="81"/>
      <c r="AT306" s="81"/>
    </row>
    <row r="307" ht="22.5" customHeight="1">
      <c r="A307" s="7"/>
      <c r="B307" s="7"/>
      <c r="C307" s="7"/>
      <c r="D307" s="7"/>
      <c r="E307" s="7"/>
      <c r="F307" s="7"/>
      <c r="G307" s="49"/>
      <c r="H307" s="49"/>
      <c r="I307" s="165"/>
      <c r="J307" s="108"/>
      <c r="K307" s="7"/>
      <c r="L307" s="10"/>
      <c r="M307" s="7"/>
      <c r="N307" s="7"/>
      <c r="O307" s="210"/>
      <c r="P307" s="7"/>
      <c r="Q307" s="7"/>
      <c r="R307" s="11"/>
      <c r="S307" s="7"/>
      <c r="T307" s="7"/>
      <c r="U307" s="7"/>
      <c r="V307" s="14"/>
      <c r="W307" s="212"/>
      <c r="X307" s="7"/>
      <c r="Y307" s="14"/>
      <c r="Z307" s="213"/>
      <c r="AA307" s="7"/>
      <c r="AB307" s="7"/>
      <c r="AC307" s="21"/>
      <c r="AD307" s="21"/>
      <c r="AE307" s="21"/>
      <c r="AF307" s="8"/>
      <c r="AG307" s="8"/>
      <c r="AH307" s="72"/>
      <c r="AI307" s="8"/>
      <c r="AJ307" s="21"/>
      <c r="AK307" s="21"/>
      <c r="AL307" s="81"/>
      <c r="AM307" s="81"/>
      <c r="AN307" s="81"/>
      <c r="AO307" s="81"/>
      <c r="AP307" s="81"/>
      <c r="AQ307" s="81"/>
      <c r="AR307" s="81"/>
      <c r="AS307" s="81"/>
      <c r="AT307" s="81"/>
    </row>
    <row r="308" ht="22.5" customHeight="1">
      <c r="A308" s="7"/>
      <c r="B308" s="7"/>
      <c r="C308" s="7"/>
      <c r="D308" s="7"/>
      <c r="E308" s="7"/>
      <c r="F308" s="7"/>
      <c r="G308" s="49"/>
      <c r="H308" s="49"/>
      <c r="I308" s="165"/>
      <c r="J308" s="108"/>
      <c r="K308" s="7"/>
      <c r="L308" s="10"/>
      <c r="M308" s="7"/>
      <c r="N308" s="7"/>
      <c r="O308" s="210"/>
      <c r="P308" s="7"/>
      <c r="Q308" s="7"/>
      <c r="R308" s="11"/>
      <c r="S308" s="7"/>
      <c r="T308" s="7"/>
      <c r="U308" s="7"/>
      <c r="V308" s="14"/>
      <c r="W308" s="217"/>
      <c r="X308" s="7"/>
      <c r="Y308" s="14"/>
      <c r="Z308" s="213"/>
      <c r="AA308" s="7"/>
      <c r="AB308" s="109"/>
      <c r="AC308" s="21"/>
      <c r="AD308" s="21"/>
      <c r="AE308" s="21"/>
      <c r="AF308" s="8"/>
      <c r="AG308" s="8"/>
      <c r="AH308" s="72"/>
      <c r="AI308" s="8"/>
      <c r="AJ308" s="21"/>
      <c r="AK308" s="21"/>
      <c r="AL308" s="81"/>
      <c r="AM308" s="81"/>
      <c r="AN308" s="81"/>
      <c r="AO308" s="81"/>
      <c r="AP308" s="81"/>
      <c r="AQ308" s="81"/>
      <c r="AR308" s="81"/>
      <c r="AS308" s="81"/>
      <c r="AT308" s="81"/>
    </row>
    <row r="309" ht="22.5" customHeight="1">
      <c r="A309" s="7"/>
      <c r="B309" s="7"/>
      <c r="C309" s="7"/>
      <c r="D309" s="7"/>
      <c r="E309" s="7"/>
      <c r="F309" s="7"/>
      <c r="G309" s="49"/>
      <c r="H309" s="49"/>
      <c r="I309" s="165"/>
      <c r="J309" s="108"/>
      <c r="K309" s="7"/>
      <c r="L309" s="10"/>
      <c r="M309" s="7"/>
      <c r="N309" s="7"/>
      <c r="O309" s="210"/>
      <c r="P309" s="7"/>
      <c r="Q309" s="7"/>
      <c r="R309" s="11"/>
      <c r="S309" s="7"/>
      <c r="T309" s="7"/>
      <c r="U309" s="7"/>
      <c r="V309" s="14"/>
      <c r="W309" s="212"/>
      <c r="X309" s="7"/>
      <c r="Y309" s="14"/>
      <c r="Z309" s="213"/>
      <c r="AA309" s="7"/>
      <c r="AB309" s="7"/>
      <c r="AC309" s="21"/>
      <c r="AD309" s="21"/>
      <c r="AE309" s="21"/>
      <c r="AF309" s="8"/>
      <c r="AG309" s="8"/>
      <c r="AH309" s="72"/>
      <c r="AI309" s="8"/>
      <c r="AJ309" s="21"/>
      <c r="AK309" s="21"/>
      <c r="AL309" s="81"/>
      <c r="AM309" s="81"/>
      <c r="AN309" s="81"/>
      <c r="AO309" s="81"/>
      <c r="AP309" s="81"/>
      <c r="AQ309" s="81"/>
      <c r="AR309" s="81"/>
      <c r="AS309" s="81"/>
      <c r="AT309" s="81"/>
    </row>
    <row r="310" ht="22.5" customHeight="1">
      <c r="A310" s="7"/>
      <c r="B310" s="7"/>
      <c r="C310" s="7"/>
      <c r="D310" s="7"/>
      <c r="E310" s="7"/>
      <c r="F310" s="7"/>
      <c r="G310" s="49"/>
      <c r="H310" s="49"/>
      <c r="I310" s="165"/>
      <c r="J310" s="108"/>
      <c r="K310" s="7"/>
      <c r="L310" s="10"/>
      <c r="M310" s="7"/>
      <c r="N310" s="7"/>
      <c r="O310" s="210"/>
      <c r="P310" s="7"/>
      <c r="Q310" s="7"/>
      <c r="R310" s="11"/>
      <c r="S310" s="7"/>
      <c r="T310" s="7"/>
      <c r="U310" s="7"/>
      <c r="V310" s="14"/>
      <c r="W310" s="212"/>
      <c r="X310" s="7"/>
      <c r="Y310" s="14"/>
      <c r="Z310" s="213"/>
      <c r="AA310" s="7"/>
      <c r="AB310" s="7"/>
      <c r="AC310" s="21"/>
      <c r="AD310" s="21"/>
      <c r="AE310" s="21"/>
      <c r="AF310" s="8"/>
      <c r="AG310" s="8"/>
      <c r="AH310" s="72"/>
      <c r="AI310" s="8"/>
      <c r="AJ310" s="21"/>
      <c r="AK310" s="21"/>
      <c r="AL310" s="81"/>
      <c r="AM310" s="81"/>
      <c r="AN310" s="81"/>
      <c r="AO310" s="81"/>
      <c r="AP310" s="81"/>
      <c r="AQ310" s="81"/>
      <c r="AR310" s="81"/>
      <c r="AS310" s="81"/>
      <c r="AT310" s="81"/>
    </row>
    <row r="311" ht="22.5" customHeight="1">
      <c r="A311" s="7"/>
      <c r="B311" s="7"/>
      <c r="C311" s="7"/>
      <c r="D311" s="7"/>
      <c r="E311" s="7"/>
      <c r="F311" s="7"/>
      <c r="G311" s="49"/>
      <c r="H311" s="49"/>
      <c r="I311" s="165"/>
      <c r="J311" s="108"/>
      <c r="K311" s="7"/>
      <c r="L311" s="10"/>
      <c r="M311" s="7"/>
      <c r="N311" s="7"/>
      <c r="O311" s="210"/>
      <c r="P311" s="7"/>
      <c r="Q311" s="7"/>
      <c r="R311" s="11"/>
      <c r="S311" s="7"/>
      <c r="T311" s="7"/>
      <c r="U311" s="7"/>
      <c r="V311" s="14"/>
      <c r="W311" s="212"/>
      <c r="X311" s="7"/>
      <c r="Y311" s="14"/>
      <c r="Z311" s="213"/>
      <c r="AA311" s="7"/>
      <c r="AB311" s="109"/>
      <c r="AC311" s="21"/>
      <c r="AD311" s="21"/>
      <c r="AE311" s="21"/>
      <c r="AF311" s="8"/>
      <c r="AG311" s="8"/>
      <c r="AH311" s="72"/>
      <c r="AI311" s="8"/>
      <c r="AJ311" s="21"/>
      <c r="AK311" s="21"/>
      <c r="AL311" s="81"/>
      <c r="AM311" s="81"/>
      <c r="AN311" s="81"/>
      <c r="AO311" s="81"/>
      <c r="AP311" s="81"/>
      <c r="AQ311" s="81"/>
      <c r="AR311" s="81"/>
      <c r="AS311" s="81"/>
      <c r="AT311" s="81"/>
    </row>
    <row r="312" ht="22.5" customHeight="1">
      <c r="A312" s="7"/>
      <c r="B312" s="7"/>
      <c r="C312" s="7"/>
      <c r="D312" s="7"/>
      <c r="E312" s="7"/>
      <c r="F312" s="7"/>
      <c r="G312" s="49"/>
      <c r="H312" s="49"/>
      <c r="I312" s="165"/>
      <c r="J312" s="108"/>
      <c r="K312" s="7"/>
      <c r="L312" s="10"/>
      <c r="M312" s="7"/>
      <c r="N312" s="7"/>
      <c r="O312" s="210"/>
      <c r="P312" s="7"/>
      <c r="Q312" s="7"/>
      <c r="R312" s="11"/>
      <c r="S312" s="7"/>
      <c r="T312" s="7"/>
      <c r="U312" s="7"/>
      <c r="V312" s="14"/>
      <c r="W312" s="212"/>
      <c r="X312" s="7"/>
      <c r="Y312" s="14"/>
      <c r="Z312" s="213"/>
      <c r="AA312" s="7"/>
      <c r="AB312" s="109"/>
      <c r="AC312" s="21"/>
      <c r="AD312" s="21"/>
      <c r="AE312" s="21"/>
      <c r="AF312" s="8"/>
      <c r="AG312" s="8"/>
      <c r="AH312" s="72"/>
      <c r="AI312" s="8"/>
      <c r="AJ312" s="21"/>
      <c r="AK312" s="21"/>
      <c r="AL312" s="81"/>
      <c r="AM312" s="81"/>
      <c r="AN312" s="81"/>
      <c r="AO312" s="81"/>
      <c r="AP312" s="81"/>
      <c r="AQ312" s="81"/>
      <c r="AR312" s="81"/>
      <c r="AS312" s="81"/>
      <c r="AT312" s="81"/>
    </row>
    <row r="313" ht="22.5" customHeight="1">
      <c r="A313" s="7"/>
      <c r="B313" s="7"/>
      <c r="C313" s="7"/>
      <c r="D313" s="7"/>
      <c r="E313" s="7"/>
      <c r="F313" s="7"/>
      <c r="G313" s="49"/>
      <c r="H313" s="49"/>
      <c r="I313" s="165"/>
      <c r="J313" s="108"/>
      <c r="K313" s="7"/>
      <c r="L313" s="10"/>
      <c r="M313" s="7"/>
      <c r="N313" s="7"/>
      <c r="O313" s="210"/>
      <c r="P313" s="7"/>
      <c r="Q313" s="7"/>
      <c r="R313" s="11"/>
      <c r="S313" s="7"/>
      <c r="T313" s="7"/>
      <c r="U313" s="7"/>
      <c r="V313" s="14"/>
      <c r="W313" s="212"/>
      <c r="X313" s="7"/>
      <c r="Y313" s="14"/>
      <c r="Z313" s="213"/>
      <c r="AA313" s="7"/>
      <c r="AB313" s="109"/>
      <c r="AC313" s="21"/>
      <c r="AD313" s="21"/>
      <c r="AE313" s="21"/>
      <c r="AF313" s="8"/>
      <c r="AG313" s="8"/>
      <c r="AH313" s="72"/>
      <c r="AI313" s="8"/>
      <c r="AJ313" s="21"/>
      <c r="AK313" s="21"/>
      <c r="AL313" s="81"/>
      <c r="AM313" s="81"/>
      <c r="AN313" s="81"/>
      <c r="AO313" s="81"/>
      <c r="AP313" s="81"/>
      <c r="AQ313" s="81"/>
      <c r="AR313" s="81"/>
      <c r="AS313" s="81"/>
      <c r="AT313" s="81"/>
    </row>
    <row r="314" ht="22.5" customHeight="1">
      <c r="A314" s="7"/>
      <c r="B314" s="7"/>
      <c r="C314" s="7"/>
      <c r="D314" s="7"/>
      <c r="E314" s="7"/>
      <c r="F314" s="7"/>
      <c r="G314" s="49"/>
      <c r="H314" s="49"/>
      <c r="I314" s="165"/>
      <c r="J314" s="108"/>
      <c r="K314" s="7"/>
      <c r="L314" s="10"/>
      <c r="M314" s="7"/>
      <c r="N314" s="7"/>
      <c r="O314" s="210"/>
      <c r="P314" s="7"/>
      <c r="Q314" s="7"/>
      <c r="R314" s="11"/>
      <c r="S314" s="7"/>
      <c r="T314" s="7"/>
      <c r="U314" s="7"/>
      <c r="V314" s="14"/>
      <c r="W314" s="212"/>
      <c r="X314" s="7"/>
      <c r="Y314" s="14"/>
      <c r="Z314" s="213"/>
      <c r="AA314" s="7"/>
      <c r="AB314" s="109"/>
      <c r="AC314" s="21"/>
      <c r="AD314" s="21"/>
      <c r="AE314" s="21"/>
      <c r="AF314" s="8"/>
      <c r="AG314" s="8"/>
      <c r="AH314" s="72"/>
      <c r="AI314" s="8"/>
      <c r="AJ314" s="21"/>
      <c r="AK314" s="21"/>
      <c r="AL314" s="81"/>
      <c r="AM314" s="81"/>
      <c r="AN314" s="81"/>
      <c r="AO314" s="81"/>
      <c r="AP314" s="81"/>
      <c r="AQ314" s="81"/>
      <c r="AR314" s="81"/>
      <c r="AS314" s="81"/>
      <c r="AT314" s="81"/>
    </row>
    <row r="315" ht="22.5" customHeight="1">
      <c r="A315" s="7"/>
      <c r="B315" s="7"/>
      <c r="C315" s="7"/>
      <c r="D315" s="7"/>
      <c r="E315" s="7"/>
      <c r="F315" s="7"/>
      <c r="G315" s="49"/>
      <c r="H315" s="49"/>
      <c r="I315" s="165"/>
      <c r="J315" s="108"/>
      <c r="K315" s="7"/>
      <c r="L315" s="10"/>
      <c r="M315" s="7"/>
      <c r="N315" s="7"/>
      <c r="O315" s="210"/>
      <c r="P315" s="7"/>
      <c r="Q315" s="7"/>
      <c r="R315" s="11"/>
      <c r="S315" s="7"/>
      <c r="T315" s="7"/>
      <c r="U315" s="7"/>
      <c r="V315" s="14"/>
      <c r="W315" s="212"/>
      <c r="X315" s="7"/>
      <c r="Y315" s="14"/>
      <c r="Z315" s="213"/>
      <c r="AA315" s="7"/>
      <c r="AB315" s="7"/>
      <c r="AC315" s="21"/>
      <c r="AD315" s="21"/>
      <c r="AE315" s="21"/>
      <c r="AF315" s="8"/>
      <c r="AG315" s="8"/>
      <c r="AH315" s="72"/>
      <c r="AI315" s="8"/>
      <c r="AJ315" s="21"/>
      <c r="AK315" s="21"/>
      <c r="AL315" s="81"/>
      <c r="AM315" s="81"/>
      <c r="AN315" s="81"/>
      <c r="AO315" s="81"/>
      <c r="AP315" s="81"/>
      <c r="AQ315" s="81"/>
      <c r="AR315" s="81"/>
      <c r="AS315" s="81"/>
      <c r="AT315" s="81"/>
    </row>
    <row r="316" ht="22.5" customHeight="1">
      <c r="A316" s="7"/>
      <c r="B316" s="7"/>
      <c r="C316" s="7"/>
      <c r="D316" s="7"/>
      <c r="E316" s="7"/>
      <c r="F316" s="7"/>
      <c r="G316" s="49"/>
      <c r="H316" s="49"/>
      <c r="I316" s="165"/>
      <c r="J316" s="108"/>
      <c r="K316" s="7"/>
      <c r="L316" s="10"/>
      <c r="M316" s="7"/>
      <c r="N316" s="7"/>
      <c r="O316" s="210"/>
      <c r="P316" s="7"/>
      <c r="Q316" s="7"/>
      <c r="R316" s="11"/>
      <c r="S316" s="7"/>
      <c r="T316" s="7"/>
      <c r="U316" s="7"/>
      <c r="V316" s="14"/>
      <c r="W316" s="212"/>
      <c r="X316" s="7"/>
      <c r="Y316" s="14"/>
      <c r="Z316" s="213"/>
      <c r="AA316" s="7"/>
      <c r="AB316" s="7"/>
      <c r="AC316" s="21"/>
      <c r="AD316" s="21"/>
      <c r="AE316" s="21"/>
      <c r="AF316" s="8"/>
      <c r="AG316" s="8"/>
      <c r="AH316" s="72"/>
      <c r="AI316" s="8"/>
      <c r="AJ316" s="21"/>
      <c r="AK316" s="21"/>
      <c r="AL316" s="81"/>
      <c r="AM316" s="81"/>
      <c r="AN316" s="81"/>
      <c r="AO316" s="81"/>
      <c r="AP316" s="81"/>
      <c r="AQ316" s="81"/>
      <c r="AR316" s="81"/>
      <c r="AS316" s="81"/>
      <c r="AT316" s="81"/>
    </row>
    <row r="317" ht="22.5" customHeight="1">
      <c r="A317" s="106"/>
      <c r="B317" s="106"/>
      <c r="C317" s="106"/>
      <c r="D317" s="106"/>
      <c r="E317" s="106"/>
      <c r="F317" s="106"/>
      <c r="G317" s="49"/>
      <c r="H317" s="49"/>
      <c r="I317" s="165"/>
      <c r="J317" s="215"/>
      <c r="K317" s="106"/>
      <c r="L317" s="10"/>
      <c r="M317" s="7"/>
      <c r="N317" s="7"/>
      <c r="O317" s="210"/>
      <c r="P317" s="7"/>
      <c r="Q317" s="7"/>
      <c r="R317" s="11"/>
      <c r="S317" s="7"/>
      <c r="T317" s="7"/>
      <c r="U317" s="7"/>
      <c r="V317" s="14"/>
      <c r="W317" s="212"/>
      <c r="X317" s="7"/>
      <c r="Y317" s="14"/>
      <c r="Z317" s="213"/>
      <c r="AA317" s="7"/>
      <c r="AB317" s="109"/>
      <c r="AC317" s="21"/>
      <c r="AD317" s="21"/>
      <c r="AE317" s="21"/>
      <c r="AF317" s="8"/>
      <c r="AG317" s="8"/>
      <c r="AH317" s="72"/>
      <c r="AI317" s="8"/>
      <c r="AJ317" s="21"/>
      <c r="AK317" s="21"/>
      <c r="AL317" s="81"/>
      <c r="AM317" s="81"/>
      <c r="AN317" s="81"/>
      <c r="AO317" s="81"/>
      <c r="AP317" s="81"/>
      <c r="AQ317" s="81"/>
      <c r="AR317" s="81"/>
      <c r="AS317" s="81"/>
      <c r="AT317" s="81"/>
    </row>
    <row r="318" ht="22.5" customHeight="1">
      <c r="A318" s="106"/>
      <c r="B318" s="106"/>
      <c r="C318" s="106"/>
      <c r="D318" s="106"/>
      <c r="E318" s="1"/>
      <c r="F318" s="106"/>
      <c r="G318" s="49"/>
      <c r="H318" s="49"/>
      <c r="I318" s="165"/>
      <c r="J318" s="108"/>
      <c r="K318" s="106"/>
      <c r="L318" s="10"/>
      <c r="M318" s="7"/>
      <c r="N318" s="7"/>
      <c r="O318" s="210"/>
      <c r="P318" s="106"/>
      <c r="Q318" s="7"/>
      <c r="R318" s="11"/>
      <c r="S318" s="7"/>
      <c r="T318" s="7"/>
      <c r="U318" s="7"/>
      <c r="V318" s="14"/>
      <c r="W318" s="212"/>
      <c r="X318" s="7"/>
      <c r="Y318" s="14"/>
      <c r="Z318" s="213"/>
      <c r="AA318" s="7"/>
      <c r="AB318" s="7"/>
      <c r="AC318" s="21"/>
      <c r="AD318" s="21"/>
      <c r="AE318" s="21"/>
      <c r="AF318" s="8"/>
      <c r="AG318" s="8"/>
      <c r="AH318" s="72"/>
      <c r="AI318" s="8"/>
      <c r="AJ318" s="21"/>
      <c r="AK318" s="21"/>
      <c r="AL318" s="81"/>
      <c r="AM318" s="81"/>
      <c r="AN318" s="81"/>
      <c r="AO318" s="81"/>
      <c r="AP318" s="81"/>
      <c r="AQ318" s="81"/>
      <c r="AR318" s="81"/>
      <c r="AS318" s="81"/>
      <c r="AT318" s="81"/>
    </row>
    <row r="319" ht="22.5" customHeight="1">
      <c r="A319" s="7"/>
      <c r="B319" s="7"/>
      <c r="C319" s="7"/>
      <c r="D319" s="7"/>
      <c r="E319" s="7"/>
      <c r="F319" s="7"/>
      <c r="G319" s="49"/>
      <c r="H319" s="49"/>
      <c r="I319" s="165"/>
      <c r="J319" s="108"/>
      <c r="K319" s="7"/>
      <c r="L319" s="10"/>
      <c r="M319" s="7"/>
      <c r="N319" s="7"/>
      <c r="O319" s="210"/>
      <c r="P319" s="7"/>
      <c r="Q319" s="7"/>
      <c r="R319" s="11"/>
      <c r="S319" s="7"/>
      <c r="T319" s="7"/>
      <c r="U319" s="7"/>
      <c r="V319" s="14"/>
      <c r="W319" s="212"/>
      <c r="X319" s="7"/>
      <c r="Y319" s="14"/>
      <c r="Z319" s="213"/>
      <c r="AA319" s="7"/>
      <c r="AB319" s="109"/>
      <c r="AC319" s="21"/>
      <c r="AD319" s="21"/>
      <c r="AE319" s="21"/>
      <c r="AF319" s="8"/>
      <c r="AG319" s="8"/>
      <c r="AH319" s="72"/>
      <c r="AI319" s="8"/>
      <c r="AJ319" s="21"/>
      <c r="AK319" s="21"/>
      <c r="AL319" s="81"/>
      <c r="AM319" s="81"/>
      <c r="AN319" s="81"/>
      <c r="AO319" s="81"/>
      <c r="AP319" s="81"/>
      <c r="AQ319" s="81"/>
      <c r="AR319" s="81"/>
      <c r="AS319" s="81"/>
      <c r="AT319" s="81"/>
    </row>
    <row r="320" ht="22.5" customHeight="1">
      <c r="A320" s="7"/>
      <c r="B320" s="7"/>
      <c r="C320" s="7"/>
      <c r="D320" s="7"/>
      <c r="E320" s="7"/>
      <c r="F320" s="7"/>
      <c r="G320" s="49"/>
      <c r="H320" s="49"/>
      <c r="I320" s="165"/>
      <c r="J320" s="108"/>
      <c r="K320" s="7"/>
      <c r="L320" s="10"/>
      <c r="M320" s="7"/>
      <c r="N320" s="7"/>
      <c r="O320" s="210"/>
      <c r="P320" s="7"/>
      <c r="Q320" s="7"/>
      <c r="R320" s="11"/>
      <c r="S320" s="7"/>
      <c r="T320" s="7"/>
      <c r="U320" s="7"/>
      <c r="V320" s="14"/>
      <c r="W320" s="212"/>
      <c r="X320" s="7"/>
      <c r="Y320" s="14"/>
      <c r="Z320" s="213"/>
      <c r="AA320" s="7"/>
      <c r="AB320" s="7"/>
      <c r="AC320" s="21"/>
      <c r="AD320" s="21"/>
      <c r="AE320" s="21"/>
      <c r="AF320" s="8"/>
      <c r="AG320" s="8"/>
      <c r="AH320" s="72"/>
      <c r="AI320" s="8"/>
      <c r="AJ320" s="21"/>
      <c r="AK320" s="21"/>
      <c r="AL320" s="81"/>
      <c r="AM320" s="81"/>
      <c r="AN320" s="81"/>
      <c r="AO320" s="81"/>
      <c r="AP320" s="81"/>
      <c r="AQ320" s="81"/>
      <c r="AR320" s="81"/>
      <c r="AS320" s="81"/>
      <c r="AT320" s="81"/>
    </row>
    <row r="321" ht="22.5" customHeight="1">
      <c r="A321" s="7"/>
      <c r="B321" s="7"/>
      <c r="C321" s="7"/>
      <c r="D321" s="7"/>
      <c r="E321" s="7"/>
      <c r="F321" s="7"/>
      <c r="G321" s="49"/>
      <c r="H321" s="49"/>
      <c r="I321" s="165"/>
      <c r="J321" s="82"/>
      <c r="K321" s="7"/>
      <c r="L321" s="10"/>
      <c r="M321" s="7"/>
      <c r="N321" s="7"/>
      <c r="O321" s="84"/>
      <c r="P321" s="7"/>
      <c r="Q321" s="7"/>
      <c r="R321" s="11"/>
      <c r="S321" s="7"/>
      <c r="T321" s="7"/>
      <c r="U321" s="7"/>
      <c r="V321" s="14"/>
      <c r="W321" s="212"/>
      <c r="X321" s="7"/>
      <c r="Y321" s="14"/>
      <c r="Z321" s="213"/>
      <c r="AA321" s="7"/>
      <c r="AB321" s="109"/>
      <c r="AC321" s="21"/>
      <c r="AD321" s="21"/>
      <c r="AE321" s="21"/>
      <c r="AF321" s="8"/>
      <c r="AG321" s="8"/>
      <c r="AH321" s="72"/>
      <c r="AI321" s="8"/>
      <c r="AJ321" s="21"/>
      <c r="AK321" s="86"/>
      <c r="AL321" s="81"/>
      <c r="AM321" s="81"/>
      <c r="AN321" s="81"/>
      <c r="AO321" s="81"/>
      <c r="AP321" s="81"/>
      <c r="AQ321" s="81"/>
      <c r="AR321" s="81"/>
      <c r="AS321" s="81"/>
      <c r="AT321" s="81"/>
    </row>
    <row r="322" ht="22.5" customHeight="1">
      <c r="A322" s="7"/>
      <c r="B322" s="7"/>
      <c r="C322" s="7"/>
      <c r="D322" s="7"/>
      <c r="E322" s="7"/>
      <c r="F322" s="7"/>
      <c r="G322" s="49"/>
      <c r="H322" s="49"/>
      <c r="I322" s="165"/>
      <c r="J322" s="108"/>
      <c r="K322" s="7"/>
      <c r="L322" s="10"/>
      <c r="M322" s="7"/>
      <c r="N322" s="7"/>
      <c r="O322" s="210"/>
      <c r="P322" s="7"/>
      <c r="Q322" s="7"/>
      <c r="R322" s="11"/>
      <c r="S322" s="7"/>
      <c r="T322" s="7"/>
      <c r="U322" s="7"/>
      <c r="V322" s="14"/>
      <c r="W322" s="212"/>
      <c r="X322" s="7"/>
      <c r="Y322" s="14"/>
      <c r="Z322" s="213"/>
      <c r="AA322" s="7"/>
      <c r="AB322" s="109"/>
      <c r="AC322" s="21"/>
      <c r="AD322" s="21"/>
      <c r="AE322" s="21"/>
      <c r="AF322" s="8"/>
      <c r="AG322" s="8"/>
      <c r="AH322" s="72"/>
      <c r="AI322" s="8"/>
      <c r="AJ322" s="21"/>
      <c r="AK322" s="21"/>
      <c r="AL322" s="81"/>
      <c r="AM322" s="81"/>
      <c r="AN322" s="81"/>
      <c r="AO322" s="81"/>
      <c r="AP322" s="81"/>
      <c r="AQ322" s="81"/>
      <c r="AR322" s="81"/>
      <c r="AS322" s="81"/>
      <c r="AT322" s="81"/>
    </row>
    <row r="323" ht="22.5" customHeight="1">
      <c r="A323" s="7"/>
      <c r="B323" s="83"/>
      <c r="C323" s="7"/>
      <c r="D323" s="7"/>
      <c r="E323" s="7"/>
      <c r="F323" s="7"/>
      <c r="G323" s="7"/>
      <c r="H323" s="7"/>
      <c r="I323" s="21"/>
      <c r="J323" s="108"/>
      <c r="K323" s="7"/>
      <c r="L323" s="10"/>
      <c r="M323" s="7"/>
      <c r="N323" s="7"/>
      <c r="O323" s="210"/>
      <c r="P323" s="7"/>
      <c r="Q323" s="7"/>
      <c r="R323" s="11"/>
      <c r="S323" s="7"/>
      <c r="T323" s="7"/>
      <c r="U323" s="7"/>
      <c r="V323" s="14"/>
      <c r="W323" s="212"/>
      <c r="X323" s="7"/>
      <c r="Y323" s="14"/>
      <c r="Z323" s="213"/>
      <c r="AA323" s="7"/>
      <c r="AB323" s="109"/>
      <c r="AC323" s="21"/>
      <c r="AD323" s="21"/>
      <c r="AE323" s="21"/>
      <c r="AF323" s="8"/>
      <c r="AG323" s="8"/>
      <c r="AH323" s="72"/>
      <c r="AI323" s="8"/>
      <c r="AJ323" s="21"/>
      <c r="AK323" s="21"/>
      <c r="AL323" s="81"/>
      <c r="AM323" s="81"/>
      <c r="AN323" s="81"/>
      <c r="AO323" s="81"/>
      <c r="AP323" s="81"/>
      <c r="AQ323" s="81"/>
      <c r="AR323" s="81"/>
      <c r="AS323" s="81"/>
      <c r="AT323" s="81"/>
    </row>
    <row r="324" ht="22.5" customHeight="1">
      <c r="A324" s="7"/>
      <c r="B324" s="83"/>
      <c r="C324" s="7"/>
      <c r="D324" s="7"/>
      <c r="E324" s="7"/>
      <c r="F324" s="7"/>
      <c r="G324" s="7"/>
      <c r="H324" s="7"/>
      <c r="I324" s="21"/>
      <c r="J324" s="108"/>
      <c r="K324" s="7"/>
      <c r="L324" s="10"/>
      <c r="M324" s="7"/>
      <c r="N324" s="7"/>
      <c r="O324" s="210"/>
      <c r="P324" s="7"/>
      <c r="Q324" s="7"/>
      <c r="R324" s="11"/>
      <c r="S324" s="7"/>
      <c r="T324" s="7"/>
      <c r="U324" s="7"/>
      <c r="V324" s="14"/>
      <c r="W324" s="217"/>
      <c r="X324" s="7"/>
      <c r="Y324" s="14"/>
      <c r="Z324" s="213"/>
      <c r="AA324" s="7"/>
      <c r="AB324" s="109"/>
      <c r="AC324" s="21"/>
      <c r="AD324" s="21"/>
      <c r="AE324" s="21"/>
      <c r="AF324" s="8"/>
      <c r="AG324" s="8"/>
      <c r="AH324" s="72"/>
      <c r="AI324" s="8"/>
      <c r="AJ324" s="21"/>
      <c r="AK324" s="21"/>
      <c r="AL324" s="81"/>
      <c r="AM324" s="81"/>
      <c r="AN324" s="81"/>
      <c r="AO324" s="81"/>
      <c r="AP324" s="81"/>
      <c r="AQ324" s="81"/>
      <c r="AR324" s="81"/>
      <c r="AS324" s="81"/>
      <c r="AT324" s="81"/>
    </row>
    <row r="325" ht="22.5" customHeight="1">
      <c r="A325" s="7"/>
      <c r="B325" s="7"/>
      <c r="C325" s="7"/>
      <c r="D325" s="7"/>
      <c r="E325" s="7"/>
      <c r="F325" s="7"/>
      <c r="G325" s="49"/>
      <c r="H325" s="49"/>
      <c r="I325" s="165"/>
      <c r="J325" s="108"/>
      <c r="K325" s="7"/>
      <c r="L325" s="10"/>
      <c r="M325" s="7"/>
      <c r="N325" s="7"/>
      <c r="O325" s="210"/>
      <c r="P325" s="7"/>
      <c r="Q325" s="7"/>
      <c r="R325" s="11"/>
      <c r="S325" s="7"/>
      <c r="T325" s="7"/>
      <c r="U325" s="7"/>
      <c r="V325" s="14"/>
      <c r="W325" s="212"/>
      <c r="X325" s="7"/>
      <c r="Y325" s="14"/>
      <c r="Z325" s="213"/>
      <c r="AA325" s="7"/>
      <c r="AB325" s="109"/>
      <c r="AC325" s="21"/>
      <c r="AD325" s="21"/>
      <c r="AE325" s="21"/>
      <c r="AF325" s="8"/>
      <c r="AG325" s="8"/>
      <c r="AH325" s="72"/>
      <c r="AI325" s="8"/>
      <c r="AJ325" s="21"/>
      <c r="AK325" s="21"/>
      <c r="AL325" s="81"/>
      <c r="AM325" s="81"/>
      <c r="AN325" s="81"/>
      <c r="AO325" s="81"/>
      <c r="AP325" s="81"/>
      <c r="AQ325" s="81"/>
      <c r="AR325" s="81"/>
      <c r="AS325" s="81"/>
      <c r="AT325" s="81"/>
    </row>
    <row r="326" ht="22.5" customHeight="1">
      <c r="A326" s="7"/>
      <c r="B326" s="7"/>
      <c r="C326" s="7"/>
      <c r="D326" s="7"/>
      <c r="E326" s="7"/>
      <c r="F326" s="7"/>
      <c r="G326" s="49"/>
      <c r="H326" s="49"/>
      <c r="I326" s="165"/>
      <c r="J326" s="108"/>
      <c r="K326" s="7"/>
      <c r="L326" s="10"/>
      <c r="M326" s="7"/>
      <c r="N326" s="7"/>
      <c r="O326" s="210"/>
      <c r="P326" s="7"/>
      <c r="Q326" s="7"/>
      <c r="R326" s="11"/>
      <c r="S326" s="7"/>
      <c r="T326" s="7"/>
      <c r="U326" s="7"/>
      <c r="V326" s="14"/>
      <c r="W326" s="212"/>
      <c r="X326" s="7"/>
      <c r="Y326" s="14"/>
      <c r="Z326" s="213"/>
      <c r="AA326" s="7"/>
      <c r="AB326" s="109"/>
      <c r="AC326" s="21"/>
      <c r="AD326" s="21"/>
      <c r="AE326" s="21"/>
      <c r="AF326" s="8"/>
      <c r="AG326" s="8"/>
      <c r="AH326" s="72"/>
      <c r="AI326" s="8"/>
      <c r="AJ326" s="21"/>
      <c r="AK326" s="21"/>
      <c r="AL326" s="81"/>
      <c r="AM326" s="81"/>
      <c r="AN326" s="81"/>
      <c r="AO326" s="81"/>
      <c r="AP326" s="81"/>
      <c r="AQ326" s="81"/>
      <c r="AR326" s="81"/>
      <c r="AS326" s="81"/>
      <c r="AT326" s="81"/>
    </row>
    <row r="327" ht="22.5" customHeight="1">
      <c r="A327" s="7"/>
      <c r="B327" s="7"/>
      <c r="C327" s="7"/>
      <c r="D327" s="7"/>
      <c r="E327" s="7"/>
      <c r="F327" s="7"/>
      <c r="G327" s="49"/>
      <c r="H327" s="49"/>
      <c r="I327" s="21"/>
      <c r="J327" s="108"/>
      <c r="K327" s="7"/>
      <c r="L327" s="10"/>
      <c r="M327" s="7"/>
      <c r="N327" s="7"/>
      <c r="O327" s="210"/>
      <c r="P327" s="7"/>
      <c r="Q327" s="7"/>
      <c r="R327" s="11"/>
      <c r="S327" s="7"/>
      <c r="T327" s="7"/>
      <c r="U327" s="7"/>
      <c r="V327" s="14"/>
      <c r="W327" s="212"/>
      <c r="X327" s="7"/>
      <c r="Y327" s="14"/>
      <c r="Z327" s="213"/>
      <c r="AA327" s="7"/>
      <c r="AB327" s="109"/>
      <c r="AC327" s="21"/>
      <c r="AD327" s="21"/>
      <c r="AE327" s="21"/>
      <c r="AF327" s="8"/>
      <c r="AG327" s="8"/>
      <c r="AH327" s="72"/>
      <c r="AI327" s="8"/>
      <c r="AJ327" s="21"/>
      <c r="AK327" s="21"/>
      <c r="AL327" s="81"/>
      <c r="AM327" s="81"/>
      <c r="AN327" s="81"/>
      <c r="AO327" s="81"/>
      <c r="AP327" s="81"/>
      <c r="AQ327" s="81"/>
      <c r="AR327" s="81"/>
      <c r="AS327" s="81"/>
      <c r="AT327" s="81"/>
    </row>
    <row r="328" ht="22.5" customHeight="1">
      <c r="A328" s="1"/>
      <c r="B328" s="1"/>
      <c r="C328" s="7"/>
      <c r="D328" s="7"/>
      <c r="E328" s="7"/>
      <c r="F328" s="7"/>
      <c r="G328" s="49"/>
      <c r="H328" s="49"/>
      <c r="I328" s="21"/>
      <c r="J328" s="108"/>
      <c r="K328" s="7"/>
      <c r="L328" s="10"/>
      <c r="M328" s="7"/>
      <c r="N328" s="7"/>
      <c r="O328" s="210"/>
      <c r="P328" s="7"/>
      <c r="Q328" s="7"/>
      <c r="R328" s="11"/>
      <c r="S328" s="7"/>
      <c r="T328" s="7"/>
      <c r="U328" s="7"/>
      <c r="V328" s="14"/>
      <c r="W328" s="212"/>
      <c r="X328" s="7"/>
      <c r="Y328" s="14"/>
      <c r="Z328" s="213"/>
      <c r="AA328" s="7"/>
      <c r="AB328" s="7"/>
      <c r="AC328" s="21"/>
      <c r="AD328" s="21"/>
      <c r="AE328" s="21"/>
      <c r="AF328" s="8"/>
      <c r="AG328" s="8"/>
      <c r="AH328" s="72"/>
      <c r="AI328" s="8"/>
      <c r="AJ328" s="21"/>
      <c r="AK328" s="21"/>
      <c r="AL328" s="81"/>
      <c r="AM328" s="81"/>
      <c r="AN328" s="81"/>
      <c r="AO328" s="81"/>
      <c r="AP328" s="81"/>
      <c r="AQ328" s="81"/>
      <c r="AR328" s="81"/>
      <c r="AS328" s="81"/>
      <c r="AT328" s="81"/>
    </row>
    <row r="329" ht="22.5" customHeight="1">
      <c r="A329" s="1"/>
      <c r="B329" s="1"/>
      <c r="C329" s="7"/>
      <c r="D329" s="7"/>
      <c r="E329" s="7"/>
      <c r="F329" s="7"/>
      <c r="G329" s="49"/>
      <c r="H329" s="49"/>
      <c r="I329" s="51"/>
      <c r="J329" s="82"/>
      <c r="K329" s="7"/>
      <c r="L329" s="10"/>
      <c r="M329" s="7"/>
      <c r="N329" s="7"/>
      <c r="O329" s="84"/>
      <c r="P329" s="14"/>
      <c r="Q329" s="7"/>
      <c r="R329" s="78"/>
      <c r="S329" s="7"/>
      <c r="T329" s="7"/>
      <c r="U329" s="7"/>
      <c r="V329" s="14"/>
      <c r="W329" s="13"/>
      <c r="X329" s="14"/>
      <c r="Y329" s="14"/>
      <c r="Z329" s="43"/>
      <c r="AA329" s="14"/>
      <c r="AB329" s="14"/>
      <c r="AC329" s="8"/>
      <c r="AD329" s="8"/>
      <c r="AE329" s="8"/>
      <c r="AF329" s="8"/>
      <c r="AG329" s="8"/>
      <c r="AH329" s="72"/>
      <c r="AI329" s="8"/>
      <c r="AJ329" s="21"/>
      <c r="AK329" s="124"/>
      <c r="AL329" s="81"/>
      <c r="AM329" s="81"/>
      <c r="AN329" s="81"/>
      <c r="AO329" s="81"/>
      <c r="AP329" s="81"/>
      <c r="AQ329" s="81"/>
      <c r="AR329" s="81"/>
      <c r="AS329" s="81"/>
      <c r="AT329" s="81"/>
    </row>
    <row r="330" ht="22.5" customHeight="1">
      <c r="A330" s="7"/>
      <c r="B330" s="7"/>
      <c r="C330" s="7"/>
      <c r="D330" s="7"/>
      <c r="E330" s="7"/>
      <c r="F330" s="7"/>
      <c r="G330" s="49"/>
      <c r="H330" s="49"/>
      <c r="I330" s="165"/>
      <c r="J330" s="82"/>
      <c r="K330" s="7"/>
      <c r="L330" s="10"/>
      <c r="M330" s="7"/>
      <c r="N330" s="7"/>
      <c r="O330" s="84"/>
      <c r="P330" s="7"/>
      <c r="Q330" s="7"/>
      <c r="R330" s="11"/>
      <c r="S330" s="7"/>
      <c r="T330" s="7"/>
      <c r="U330" s="7"/>
      <c r="V330" s="14"/>
      <c r="W330" s="212"/>
      <c r="X330" s="7"/>
      <c r="Y330" s="14"/>
      <c r="Z330" s="213"/>
      <c r="AA330" s="7"/>
      <c r="AB330" s="7"/>
      <c r="AC330" s="21"/>
      <c r="AD330" s="21"/>
      <c r="AE330" s="21"/>
      <c r="AF330" s="8"/>
      <c r="AG330" s="8"/>
      <c r="AH330" s="72"/>
      <c r="AI330" s="8"/>
      <c r="AJ330" s="21"/>
      <c r="AK330" s="86"/>
      <c r="AL330" s="81"/>
      <c r="AM330" s="81"/>
      <c r="AN330" s="81"/>
      <c r="AO330" s="81"/>
      <c r="AP330" s="81"/>
      <c r="AQ330" s="81"/>
      <c r="AR330" s="81"/>
      <c r="AS330" s="81"/>
      <c r="AT330" s="81"/>
    </row>
    <row r="331" ht="22.5" customHeight="1">
      <c r="A331" s="7"/>
      <c r="B331" s="7"/>
      <c r="C331" s="7"/>
      <c r="D331" s="7"/>
      <c r="E331" s="7"/>
      <c r="F331" s="7"/>
      <c r="G331" s="49"/>
      <c r="H331" s="49"/>
      <c r="I331" s="165"/>
      <c r="J331" s="108"/>
      <c r="K331" s="7"/>
      <c r="L331" s="10"/>
      <c r="M331" s="7"/>
      <c r="N331" s="7"/>
      <c r="O331" s="210"/>
      <c r="P331" s="7"/>
      <c r="Q331" s="7"/>
      <c r="R331" s="11"/>
      <c r="S331" s="7"/>
      <c r="T331" s="7"/>
      <c r="U331" s="7"/>
      <c r="V331" s="14"/>
      <c r="W331" s="212"/>
      <c r="X331" s="7"/>
      <c r="Y331" s="14"/>
      <c r="Z331" s="213"/>
      <c r="AA331" s="7"/>
      <c r="AB331" s="109"/>
      <c r="AC331" s="21"/>
      <c r="AD331" s="21"/>
      <c r="AE331" s="21"/>
      <c r="AF331" s="8"/>
      <c r="AG331" s="8"/>
      <c r="AH331" s="72"/>
      <c r="AI331" s="8"/>
      <c r="AJ331" s="21"/>
      <c r="AK331" s="21"/>
      <c r="AL331" s="81"/>
      <c r="AM331" s="81"/>
      <c r="AN331" s="81"/>
      <c r="AO331" s="81"/>
      <c r="AP331" s="81"/>
      <c r="AQ331" s="81"/>
      <c r="AR331" s="81"/>
      <c r="AS331" s="81"/>
      <c r="AT331" s="81"/>
    </row>
    <row r="332" ht="22.5" customHeight="1">
      <c r="A332" s="7"/>
      <c r="B332" s="7"/>
      <c r="C332" s="7"/>
      <c r="D332" s="7"/>
      <c r="E332" s="7"/>
      <c r="F332" s="7"/>
      <c r="G332" s="49"/>
      <c r="H332" s="49"/>
      <c r="I332" s="165"/>
      <c r="J332" s="108"/>
      <c r="K332" s="7"/>
      <c r="L332" s="10"/>
      <c r="M332" s="7"/>
      <c r="N332" s="7"/>
      <c r="O332" s="210"/>
      <c r="P332" s="7"/>
      <c r="Q332" s="7"/>
      <c r="R332" s="11"/>
      <c r="S332" s="7"/>
      <c r="T332" s="7"/>
      <c r="U332" s="7"/>
      <c r="V332" s="14"/>
      <c r="W332" s="212"/>
      <c r="X332" s="7"/>
      <c r="Y332" s="14"/>
      <c r="Z332" s="213"/>
      <c r="AA332" s="7"/>
      <c r="AB332" s="109"/>
      <c r="AC332" s="21"/>
      <c r="AD332" s="21"/>
      <c r="AE332" s="21"/>
      <c r="AF332" s="8"/>
      <c r="AG332" s="8"/>
      <c r="AH332" s="72"/>
      <c r="AI332" s="8"/>
      <c r="AJ332" s="21"/>
      <c r="AK332" s="21"/>
      <c r="AL332" s="81"/>
      <c r="AM332" s="81"/>
      <c r="AN332" s="81"/>
      <c r="AO332" s="81"/>
      <c r="AP332" s="81"/>
      <c r="AQ332" s="81"/>
      <c r="AR332" s="81"/>
      <c r="AS332" s="81"/>
      <c r="AT332" s="81"/>
    </row>
    <row r="333" ht="22.5" customHeight="1">
      <c r="A333" s="7"/>
      <c r="B333" s="7"/>
      <c r="C333" s="7"/>
      <c r="D333" s="7"/>
      <c r="E333" s="7"/>
      <c r="F333" s="7"/>
      <c r="G333" s="49"/>
      <c r="H333" s="49"/>
      <c r="I333" s="165"/>
      <c r="J333" s="108"/>
      <c r="K333" s="7"/>
      <c r="L333" s="10"/>
      <c r="M333" s="7"/>
      <c r="N333" s="83"/>
      <c r="O333" s="210"/>
      <c r="P333" s="7"/>
      <c r="Q333" s="7"/>
      <c r="R333" s="11"/>
      <c r="S333" s="7"/>
      <c r="T333" s="7"/>
      <c r="U333" s="7"/>
      <c r="V333" s="14"/>
      <c r="W333" s="212"/>
      <c r="X333" s="7"/>
      <c r="Y333" s="14"/>
      <c r="Z333" s="213"/>
      <c r="AA333" s="7"/>
      <c r="AB333" s="139"/>
      <c r="AC333" s="21"/>
      <c r="AD333" s="21"/>
      <c r="AE333" s="21"/>
      <c r="AF333" s="8"/>
      <c r="AG333" s="8"/>
      <c r="AH333" s="72"/>
      <c r="AI333" s="8"/>
      <c r="AJ333" s="21"/>
      <c r="AK333" s="21"/>
      <c r="AL333" s="81"/>
      <c r="AM333" s="81"/>
      <c r="AN333" s="81"/>
      <c r="AO333" s="81"/>
      <c r="AP333" s="81"/>
      <c r="AQ333" s="81"/>
      <c r="AR333" s="81"/>
      <c r="AS333" s="81"/>
      <c r="AT333" s="81"/>
    </row>
    <row r="334" ht="22.5" customHeight="1">
      <c r="A334" s="7"/>
      <c r="B334" s="7"/>
      <c r="C334" s="7"/>
      <c r="D334" s="7"/>
      <c r="E334" s="7"/>
      <c r="F334" s="7"/>
      <c r="G334" s="49"/>
      <c r="H334" s="49"/>
      <c r="I334" s="165"/>
      <c r="J334" s="82"/>
      <c r="K334" s="7"/>
      <c r="L334" s="10"/>
      <c r="M334" s="7"/>
      <c r="N334" s="83"/>
      <c r="O334" s="84"/>
      <c r="P334" s="7"/>
      <c r="Q334" s="7"/>
      <c r="R334" s="11"/>
      <c r="S334" s="7"/>
      <c r="T334" s="7"/>
      <c r="U334" s="7"/>
      <c r="V334" s="14"/>
      <c r="W334" s="212"/>
      <c r="X334" s="7"/>
      <c r="Y334" s="14"/>
      <c r="Z334" s="213"/>
      <c r="AA334" s="7"/>
      <c r="AB334" s="139"/>
      <c r="AC334" s="21"/>
      <c r="AD334" s="21"/>
      <c r="AE334" s="21"/>
      <c r="AF334" s="8"/>
      <c r="AG334" s="8"/>
      <c r="AH334" s="72"/>
      <c r="AI334" s="8"/>
      <c r="AJ334" s="21"/>
      <c r="AK334" s="86"/>
      <c r="AL334" s="81"/>
      <c r="AM334" s="81"/>
      <c r="AN334" s="81"/>
      <c r="AO334" s="81"/>
      <c r="AP334" s="81"/>
      <c r="AQ334" s="81"/>
      <c r="AR334" s="81"/>
      <c r="AS334" s="81"/>
      <c r="AT334" s="81"/>
    </row>
    <row r="335" ht="22.5" customHeight="1">
      <c r="A335" s="7"/>
      <c r="B335" s="7"/>
      <c r="C335" s="7"/>
      <c r="D335" s="7"/>
      <c r="E335" s="7"/>
      <c r="F335" s="7"/>
      <c r="G335" s="49"/>
      <c r="H335" s="49"/>
      <c r="I335" s="165"/>
      <c r="J335" s="108"/>
      <c r="K335" s="7"/>
      <c r="L335" s="10"/>
      <c r="M335" s="7"/>
      <c r="N335" s="7"/>
      <c r="O335" s="210"/>
      <c r="P335" s="7"/>
      <c r="Q335" s="7"/>
      <c r="R335" s="11"/>
      <c r="S335" s="7"/>
      <c r="T335" s="7"/>
      <c r="U335" s="7"/>
      <c r="V335" s="14"/>
      <c r="W335" s="212"/>
      <c r="X335" s="7"/>
      <c r="Y335" s="14"/>
      <c r="Z335" s="213"/>
      <c r="AA335" s="7"/>
      <c r="AB335" s="7"/>
      <c r="AC335" s="21"/>
      <c r="AD335" s="21"/>
      <c r="AE335" s="21"/>
      <c r="AF335" s="8"/>
      <c r="AG335" s="8"/>
      <c r="AH335" s="72"/>
      <c r="AI335" s="8"/>
      <c r="AJ335" s="21"/>
      <c r="AK335" s="21"/>
      <c r="AL335" s="81"/>
      <c r="AM335" s="81"/>
      <c r="AN335" s="81"/>
      <c r="AO335" s="81"/>
      <c r="AP335" s="81"/>
      <c r="AQ335" s="81"/>
      <c r="AR335" s="81"/>
      <c r="AS335" s="81"/>
      <c r="AT335" s="81"/>
    </row>
    <row r="336" ht="22.5" customHeight="1">
      <c r="A336" s="7"/>
      <c r="B336" s="7"/>
      <c r="C336" s="7"/>
      <c r="D336" s="7"/>
      <c r="E336" s="7"/>
      <c r="F336" s="7"/>
      <c r="G336" s="49"/>
      <c r="H336" s="49"/>
      <c r="I336" s="165"/>
      <c r="J336" s="108"/>
      <c r="K336" s="7"/>
      <c r="L336" s="10"/>
      <c r="M336" s="7"/>
      <c r="N336" s="7"/>
      <c r="O336" s="210"/>
      <c r="P336" s="220"/>
      <c r="Q336" s="7"/>
      <c r="R336" s="11"/>
      <c r="S336" s="7"/>
      <c r="T336" s="7"/>
      <c r="U336" s="7"/>
      <c r="V336" s="14"/>
      <c r="W336" s="212"/>
      <c r="X336" s="7"/>
      <c r="Y336" s="14"/>
      <c r="Z336" s="7"/>
      <c r="AA336" s="7"/>
      <c r="AB336" s="109"/>
      <c r="AC336" s="21"/>
      <c r="AD336" s="21"/>
      <c r="AE336" s="21"/>
      <c r="AF336" s="8"/>
      <c r="AG336" s="8"/>
      <c r="AH336" s="72"/>
      <c r="AI336" s="8"/>
      <c r="AJ336" s="21"/>
      <c r="AK336" s="21"/>
      <c r="AL336" s="81"/>
      <c r="AM336" s="81"/>
      <c r="AN336" s="81"/>
      <c r="AO336" s="81"/>
      <c r="AP336" s="81"/>
      <c r="AQ336" s="81"/>
      <c r="AR336" s="81"/>
      <c r="AS336" s="81"/>
      <c r="AT336" s="81"/>
    </row>
    <row r="337" ht="22.5" customHeight="1">
      <c r="A337" s="7"/>
      <c r="B337" s="7"/>
      <c r="C337" s="7"/>
      <c r="D337" s="7"/>
      <c r="E337" s="7"/>
      <c r="F337" s="7"/>
      <c r="G337" s="49"/>
      <c r="H337" s="49"/>
      <c r="I337" s="165"/>
      <c r="J337" s="108"/>
      <c r="K337" s="7"/>
      <c r="L337" s="10"/>
      <c r="M337" s="7"/>
      <c r="N337" s="83"/>
      <c r="O337" s="210"/>
      <c r="P337" s="7"/>
      <c r="Q337" s="7"/>
      <c r="R337" s="11"/>
      <c r="S337" s="7"/>
      <c r="T337" s="7"/>
      <c r="U337" s="7"/>
      <c r="V337" s="14"/>
      <c r="W337" s="212"/>
      <c r="X337" s="7"/>
      <c r="Y337" s="14"/>
      <c r="Z337" s="213"/>
      <c r="AA337" s="7"/>
      <c r="AB337" s="139"/>
      <c r="AC337" s="21"/>
      <c r="AD337" s="21"/>
      <c r="AE337" s="21"/>
      <c r="AF337" s="8"/>
      <c r="AG337" s="8"/>
      <c r="AH337" s="72"/>
      <c r="AI337" s="8"/>
      <c r="AJ337" s="21"/>
      <c r="AK337" s="21"/>
      <c r="AL337" s="81"/>
      <c r="AM337" s="81"/>
      <c r="AN337" s="81"/>
      <c r="AO337" s="81"/>
      <c r="AP337" s="81"/>
      <c r="AQ337" s="81"/>
      <c r="AR337" s="81"/>
      <c r="AS337" s="81"/>
      <c r="AT337" s="81"/>
    </row>
    <row r="338" ht="22.5" customHeight="1">
      <c r="A338" s="7"/>
      <c r="B338" s="7"/>
      <c r="C338" s="7"/>
      <c r="D338" s="7"/>
      <c r="E338" s="7"/>
      <c r="F338" s="7"/>
      <c r="G338" s="49"/>
      <c r="H338" s="49"/>
      <c r="I338" s="165"/>
      <c r="J338" s="108"/>
      <c r="K338" s="7"/>
      <c r="L338" s="10"/>
      <c r="M338" s="7"/>
      <c r="N338" s="7"/>
      <c r="O338" s="210"/>
      <c r="P338" s="7"/>
      <c r="Q338" s="7"/>
      <c r="R338" s="11"/>
      <c r="S338" s="7"/>
      <c r="T338" s="7"/>
      <c r="U338" s="7"/>
      <c r="V338" s="14"/>
      <c r="W338" s="212"/>
      <c r="X338" s="7"/>
      <c r="Y338" s="14"/>
      <c r="Z338" s="213"/>
      <c r="AA338" s="7"/>
      <c r="AB338" s="7"/>
      <c r="AC338" s="21"/>
      <c r="AD338" s="21"/>
      <c r="AE338" s="21"/>
      <c r="AF338" s="8"/>
      <c r="AG338" s="8"/>
      <c r="AH338" s="72"/>
      <c r="AI338" s="8"/>
      <c r="AJ338" s="21"/>
      <c r="AK338" s="21"/>
      <c r="AL338" s="81"/>
      <c r="AM338" s="81"/>
      <c r="AN338" s="81"/>
      <c r="AO338" s="81"/>
      <c r="AP338" s="81"/>
      <c r="AQ338" s="81"/>
      <c r="AR338" s="81"/>
      <c r="AS338" s="81"/>
      <c r="AT338" s="81"/>
    </row>
    <row r="339" ht="22.5" customHeight="1">
      <c r="A339" s="7"/>
      <c r="B339" s="7"/>
      <c r="C339" s="7"/>
      <c r="D339" s="7"/>
      <c r="E339" s="7"/>
      <c r="F339" s="7"/>
      <c r="G339" s="49"/>
      <c r="H339" s="49"/>
      <c r="I339" s="165"/>
      <c r="J339" s="108"/>
      <c r="K339" s="7"/>
      <c r="L339" s="10"/>
      <c r="M339" s="7"/>
      <c r="N339" s="7"/>
      <c r="O339" s="210"/>
      <c r="P339" s="7"/>
      <c r="Q339" s="7"/>
      <c r="R339" s="11"/>
      <c r="S339" s="7"/>
      <c r="T339" s="7"/>
      <c r="U339" s="7"/>
      <c r="V339" s="14"/>
      <c r="W339" s="212"/>
      <c r="X339" s="7"/>
      <c r="Y339" s="14"/>
      <c r="Z339" s="213"/>
      <c r="AA339" s="7"/>
      <c r="AB339" s="7"/>
      <c r="AC339" s="21"/>
      <c r="AD339" s="21"/>
      <c r="AE339" s="21"/>
      <c r="AF339" s="8"/>
      <c r="AG339" s="8"/>
      <c r="AH339" s="72"/>
      <c r="AI339" s="8"/>
      <c r="AJ339" s="21"/>
      <c r="AK339" s="21"/>
      <c r="AL339" s="81"/>
      <c r="AM339" s="81"/>
      <c r="AN339" s="81"/>
      <c r="AO339" s="81"/>
      <c r="AP339" s="81"/>
      <c r="AQ339" s="81"/>
      <c r="AR339" s="81"/>
      <c r="AS339" s="81"/>
      <c r="AT339" s="81"/>
    </row>
    <row r="340" ht="22.5" customHeight="1">
      <c r="A340" s="7"/>
      <c r="B340" s="7"/>
      <c r="C340" s="7"/>
      <c r="D340" s="7"/>
      <c r="E340" s="7"/>
      <c r="F340" s="7"/>
      <c r="G340" s="49"/>
      <c r="H340" s="49"/>
      <c r="I340" s="165"/>
      <c r="J340" s="108"/>
      <c r="K340" s="7"/>
      <c r="L340" s="10"/>
      <c r="M340" s="7"/>
      <c r="N340" s="7"/>
      <c r="O340" s="210"/>
      <c r="P340" s="7"/>
      <c r="Q340" s="7"/>
      <c r="R340" s="11"/>
      <c r="S340" s="7"/>
      <c r="T340" s="7"/>
      <c r="U340" s="7"/>
      <c r="V340" s="14"/>
      <c r="W340" s="212"/>
      <c r="X340" s="7"/>
      <c r="Y340" s="14"/>
      <c r="Z340" s="213"/>
      <c r="AA340" s="7"/>
      <c r="AB340" s="7"/>
      <c r="AC340" s="21"/>
      <c r="AD340" s="21"/>
      <c r="AE340" s="21"/>
      <c r="AF340" s="8"/>
      <c r="AG340" s="8"/>
      <c r="AH340" s="72"/>
      <c r="AI340" s="8"/>
      <c r="AJ340" s="21"/>
      <c r="AK340" s="21"/>
      <c r="AL340" s="81"/>
      <c r="AM340" s="81"/>
      <c r="AN340" s="81"/>
      <c r="AO340" s="81"/>
      <c r="AP340" s="81"/>
      <c r="AQ340" s="81"/>
      <c r="AR340" s="81"/>
      <c r="AS340" s="81"/>
      <c r="AT340" s="81"/>
    </row>
    <row r="341" ht="22.5" customHeight="1">
      <c r="A341" s="7"/>
      <c r="B341" s="7"/>
      <c r="C341" s="7"/>
      <c r="D341" s="7"/>
      <c r="E341" s="7"/>
      <c r="F341" s="7"/>
      <c r="G341" s="49"/>
      <c r="H341" s="49"/>
      <c r="I341" s="165"/>
      <c r="J341" s="108"/>
      <c r="K341" s="7"/>
      <c r="L341" s="10"/>
      <c r="M341" s="7"/>
      <c r="N341" s="7"/>
      <c r="O341" s="210"/>
      <c r="P341" s="7"/>
      <c r="Q341" s="7"/>
      <c r="R341" s="11"/>
      <c r="S341" s="7"/>
      <c r="T341" s="7"/>
      <c r="U341" s="7"/>
      <c r="V341" s="14"/>
      <c r="W341" s="212"/>
      <c r="X341" s="7"/>
      <c r="Y341" s="14"/>
      <c r="Z341" s="213"/>
      <c r="AA341" s="7"/>
      <c r="AB341" s="7"/>
      <c r="AC341" s="21"/>
      <c r="AD341" s="21"/>
      <c r="AE341" s="21"/>
      <c r="AF341" s="8"/>
      <c r="AG341" s="8"/>
      <c r="AH341" s="72"/>
      <c r="AI341" s="8"/>
      <c r="AJ341" s="21"/>
      <c r="AK341" s="21"/>
      <c r="AL341" s="81"/>
      <c r="AM341" s="81"/>
      <c r="AN341" s="81"/>
      <c r="AO341" s="81"/>
      <c r="AP341" s="81"/>
      <c r="AQ341" s="81"/>
      <c r="AR341" s="81"/>
      <c r="AS341" s="81"/>
      <c r="AT341" s="81"/>
    </row>
    <row r="342" ht="22.5" customHeight="1">
      <c r="A342" s="7"/>
      <c r="B342" s="7"/>
      <c r="C342" s="7"/>
      <c r="D342" s="7"/>
      <c r="E342" s="7"/>
      <c r="F342" s="7"/>
      <c r="G342" s="49"/>
      <c r="H342" s="49"/>
      <c r="I342" s="165"/>
      <c r="J342" s="108"/>
      <c r="K342" s="7"/>
      <c r="L342" s="10"/>
      <c r="M342" s="7"/>
      <c r="N342" s="7"/>
      <c r="O342" s="210"/>
      <c r="P342" s="7"/>
      <c r="Q342" s="7"/>
      <c r="R342" s="11"/>
      <c r="S342" s="7"/>
      <c r="T342" s="7"/>
      <c r="U342" s="7"/>
      <c r="V342" s="14"/>
      <c r="W342" s="212"/>
      <c r="X342" s="7"/>
      <c r="Y342" s="14"/>
      <c r="Z342" s="213"/>
      <c r="AA342" s="7"/>
      <c r="AB342" s="7"/>
      <c r="AC342" s="21"/>
      <c r="AD342" s="21"/>
      <c r="AE342" s="21"/>
      <c r="AF342" s="8"/>
      <c r="AG342" s="8"/>
      <c r="AH342" s="72"/>
      <c r="AI342" s="8"/>
      <c r="AJ342" s="21"/>
      <c r="AK342" s="21"/>
      <c r="AL342" s="81"/>
      <c r="AM342" s="81"/>
      <c r="AN342" s="81"/>
      <c r="AO342" s="81"/>
      <c r="AP342" s="81"/>
      <c r="AQ342" s="81"/>
      <c r="AR342" s="81"/>
      <c r="AS342" s="81"/>
      <c r="AT342" s="81"/>
    </row>
    <row r="343" ht="22.5" customHeight="1">
      <c r="A343" s="7"/>
      <c r="B343" s="7"/>
      <c r="C343" s="7"/>
      <c r="D343" s="7"/>
      <c r="E343" s="7"/>
      <c r="F343" s="7"/>
      <c r="G343" s="49"/>
      <c r="H343" s="49"/>
      <c r="I343" s="165"/>
      <c r="J343" s="108"/>
      <c r="K343" s="7"/>
      <c r="L343" s="10"/>
      <c r="M343" s="7"/>
      <c r="N343" s="7"/>
      <c r="O343" s="210"/>
      <c r="P343" s="7"/>
      <c r="Q343" s="7"/>
      <c r="R343" s="11"/>
      <c r="S343" s="7"/>
      <c r="T343" s="7"/>
      <c r="U343" s="7"/>
      <c r="V343" s="14"/>
      <c r="W343" s="212"/>
      <c r="X343" s="7"/>
      <c r="Y343" s="14"/>
      <c r="Z343" s="213"/>
      <c r="AA343" s="7"/>
      <c r="AB343" s="7"/>
      <c r="AC343" s="21"/>
      <c r="AD343" s="21"/>
      <c r="AE343" s="21"/>
      <c r="AF343" s="8"/>
      <c r="AG343" s="8"/>
      <c r="AH343" s="72"/>
      <c r="AI343" s="8"/>
      <c r="AJ343" s="21"/>
      <c r="AK343" s="21"/>
      <c r="AL343" s="81"/>
      <c r="AM343" s="81"/>
      <c r="AN343" s="81"/>
      <c r="AO343" s="81"/>
      <c r="AP343" s="81"/>
      <c r="AQ343" s="81"/>
      <c r="AR343" s="81"/>
      <c r="AS343" s="81"/>
      <c r="AT343" s="81"/>
    </row>
    <row r="344" ht="22.5" customHeight="1">
      <c r="A344" s="7"/>
      <c r="B344" s="7"/>
      <c r="C344" s="7"/>
      <c r="D344" s="7"/>
      <c r="E344" s="7"/>
      <c r="F344" s="7"/>
      <c r="G344" s="49"/>
      <c r="H344" s="49"/>
      <c r="I344" s="165"/>
      <c r="J344" s="108"/>
      <c r="K344" s="7"/>
      <c r="L344" s="10"/>
      <c r="M344" s="7"/>
      <c r="N344" s="7"/>
      <c r="O344" s="210"/>
      <c r="P344" s="7"/>
      <c r="Q344" s="7"/>
      <c r="R344" s="11"/>
      <c r="S344" s="7"/>
      <c r="T344" s="7"/>
      <c r="U344" s="7"/>
      <c r="V344" s="14"/>
      <c r="W344" s="212"/>
      <c r="X344" s="7"/>
      <c r="Y344" s="14"/>
      <c r="Z344" s="213"/>
      <c r="AA344" s="7"/>
      <c r="AB344" s="7"/>
      <c r="AC344" s="21"/>
      <c r="AD344" s="21"/>
      <c r="AE344" s="21"/>
      <c r="AF344" s="8"/>
      <c r="AG344" s="8"/>
      <c r="AH344" s="72"/>
      <c r="AI344" s="8"/>
      <c r="AJ344" s="21"/>
      <c r="AK344" s="21"/>
      <c r="AL344" s="81"/>
      <c r="AM344" s="81"/>
      <c r="AN344" s="81"/>
      <c r="AO344" s="81"/>
      <c r="AP344" s="81"/>
      <c r="AQ344" s="81"/>
      <c r="AR344" s="81"/>
      <c r="AS344" s="81"/>
      <c r="AT344" s="81"/>
    </row>
    <row r="345" ht="22.5" customHeight="1">
      <c r="A345" s="7"/>
      <c r="B345" s="7"/>
      <c r="C345" s="7"/>
      <c r="D345" s="7"/>
      <c r="E345" s="7"/>
      <c r="F345" s="7"/>
      <c r="G345" s="49"/>
      <c r="H345" s="49"/>
      <c r="I345" s="165"/>
      <c r="J345" s="108"/>
      <c r="K345" s="7"/>
      <c r="L345" s="10"/>
      <c r="M345" s="7"/>
      <c r="N345" s="83"/>
      <c r="O345" s="210"/>
      <c r="P345" s="7"/>
      <c r="Q345" s="7"/>
      <c r="R345" s="11"/>
      <c r="S345" s="7"/>
      <c r="T345" s="7"/>
      <c r="U345" s="7"/>
      <c r="V345" s="14"/>
      <c r="W345" s="212"/>
      <c r="X345" s="7"/>
      <c r="Y345" s="14"/>
      <c r="Z345" s="213"/>
      <c r="AA345" s="7"/>
      <c r="AB345" s="109"/>
      <c r="AC345" s="21"/>
      <c r="AD345" s="21"/>
      <c r="AE345" s="21"/>
      <c r="AF345" s="8"/>
      <c r="AG345" s="8"/>
      <c r="AH345" s="72"/>
      <c r="AI345" s="8"/>
      <c r="AJ345" s="21"/>
      <c r="AK345" s="21"/>
      <c r="AL345" s="81"/>
      <c r="AM345" s="81"/>
      <c r="AN345" s="81"/>
      <c r="AO345" s="81"/>
      <c r="AP345" s="81"/>
      <c r="AQ345" s="81"/>
      <c r="AR345" s="81"/>
      <c r="AS345" s="81"/>
      <c r="AT345" s="81"/>
    </row>
    <row r="346" ht="22.5" customHeight="1">
      <c r="A346" s="7"/>
      <c r="B346" s="7"/>
      <c r="C346" s="7"/>
      <c r="D346" s="7"/>
      <c r="E346" s="7"/>
      <c r="F346" s="7"/>
      <c r="G346" s="49"/>
      <c r="H346" s="49"/>
      <c r="I346" s="165"/>
      <c r="J346" s="108"/>
      <c r="K346" s="7"/>
      <c r="L346" s="10"/>
      <c r="M346" s="7"/>
      <c r="N346" s="7"/>
      <c r="O346" s="210"/>
      <c r="P346" s="7"/>
      <c r="Q346" s="7"/>
      <c r="R346" s="11"/>
      <c r="S346" s="7"/>
      <c r="T346" s="7"/>
      <c r="U346" s="7"/>
      <c r="V346" s="14"/>
      <c r="W346" s="212"/>
      <c r="X346" s="7"/>
      <c r="Y346" s="14"/>
      <c r="Z346" s="213"/>
      <c r="AA346" s="7"/>
      <c r="AB346" s="109"/>
      <c r="AC346" s="21"/>
      <c r="AD346" s="21"/>
      <c r="AE346" s="21"/>
      <c r="AF346" s="8"/>
      <c r="AG346" s="8"/>
      <c r="AH346" s="72"/>
      <c r="AI346" s="8"/>
      <c r="AJ346" s="21"/>
      <c r="AK346" s="21"/>
      <c r="AL346" s="81"/>
      <c r="AM346" s="81"/>
      <c r="AN346" s="81"/>
      <c r="AO346" s="81"/>
      <c r="AP346" s="81"/>
      <c r="AQ346" s="81"/>
      <c r="AR346" s="81"/>
      <c r="AS346" s="81"/>
      <c r="AT346" s="81"/>
    </row>
    <row r="347" ht="22.5" customHeight="1">
      <c r="A347" s="7"/>
      <c r="B347" s="7"/>
      <c r="C347" s="7"/>
      <c r="D347" s="7"/>
      <c r="E347" s="7"/>
      <c r="F347" s="7"/>
      <c r="G347" s="49"/>
      <c r="H347" s="49"/>
      <c r="I347" s="165"/>
      <c r="J347" s="108"/>
      <c r="K347" s="7"/>
      <c r="L347" s="10"/>
      <c r="M347" s="7"/>
      <c r="N347" s="83"/>
      <c r="O347" s="210"/>
      <c r="P347" s="7"/>
      <c r="Q347" s="7"/>
      <c r="R347" s="11"/>
      <c r="S347" s="7"/>
      <c r="T347" s="7"/>
      <c r="U347" s="7"/>
      <c r="V347" s="14"/>
      <c r="W347" s="212"/>
      <c r="X347" s="7"/>
      <c r="Y347" s="14"/>
      <c r="Z347" s="213"/>
      <c r="AA347" s="7"/>
      <c r="AB347" s="109"/>
      <c r="AC347" s="21"/>
      <c r="AD347" s="21"/>
      <c r="AE347" s="21"/>
      <c r="AF347" s="8"/>
      <c r="AG347" s="8"/>
      <c r="AH347" s="72"/>
      <c r="AI347" s="8"/>
      <c r="AJ347" s="21"/>
      <c r="AK347" s="21"/>
      <c r="AL347" s="81"/>
      <c r="AM347" s="81"/>
      <c r="AN347" s="81"/>
      <c r="AO347" s="81"/>
      <c r="AP347" s="81"/>
      <c r="AQ347" s="81"/>
      <c r="AR347" s="81"/>
      <c r="AS347" s="81"/>
      <c r="AT347" s="81"/>
    </row>
    <row r="348" ht="22.5" customHeight="1">
      <c r="A348" s="7"/>
      <c r="B348" s="7"/>
      <c r="C348" s="7"/>
      <c r="D348" s="7"/>
      <c r="E348" s="7"/>
      <c r="F348" s="7"/>
      <c r="G348" s="49"/>
      <c r="H348" s="49"/>
      <c r="I348" s="165"/>
      <c r="J348" s="108"/>
      <c r="K348" s="7"/>
      <c r="L348" s="10"/>
      <c r="M348" s="7"/>
      <c r="N348" s="7"/>
      <c r="O348" s="7"/>
      <c r="P348" s="7"/>
      <c r="Q348" s="7"/>
      <c r="R348" s="11"/>
      <c r="S348" s="7"/>
      <c r="T348" s="7"/>
      <c r="U348" s="7"/>
      <c r="V348" s="14"/>
      <c r="W348" s="217"/>
      <c r="X348" s="7"/>
      <c r="Y348" s="14"/>
      <c r="Z348" s="7"/>
      <c r="AA348" s="7"/>
      <c r="AB348" s="109"/>
      <c r="AC348" s="21"/>
      <c r="AD348" s="21"/>
      <c r="AE348" s="21"/>
      <c r="AF348" s="8"/>
      <c r="AG348" s="8"/>
      <c r="AH348" s="72"/>
      <c r="AI348" s="8"/>
      <c r="AJ348" s="21"/>
      <c r="AK348" s="21"/>
      <c r="AL348" s="81"/>
      <c r="AM348" s="81"/>
      <c r="AN348" s="81"/>
      <c r="AO348" s="81"/>
      <c r="AP348" s="81"/>
      <c r="AQ348" s="81"/>
      <c r="AR348" s="81"/>
      <c r="AS348" s="81"/>
      <c r="AT348" s="81"/>
    </row>
    <row r="349" ht="22.5" customHeight="1">
      <c r="A349" s="7"/>
      <c r="B349" s="7"/>
      <c r="C349" s="7"/>
      <c r="D349" s="7"/>
      <c r="E349" s="7"/>
      <c r="F349" s="7"/>
      <c r="G349" s="49"/>
      <c r="H349" s="49"/>
      <c r="I349" s="165"/>
      <c r="J349" s="108"/>
      <c r="K349" s="7"/>
      <c r="L349" s="10"/>
      <c r="M349" s="7"/>
      <c r="N349" s="7"/>
      <c r="O349" s="7"/>
      <c r="P349" s="7"/>
      <c r="Q349" s="7"/>
      <c r="R349" s="11"/>
      <c r="S349" s="7"/>
      <c r="T349" s="7"/>
      <c r="U349" s="7"/>
      <c r="V349" s="14"/>
      <c r="W349" s="217"/>
      <c r="X349" s="7"/>
      <c r="Y349" s="14"/>
      <c r="Z349" s="7"/>
      <c r="AA349" s="7"/>
      <c r="AB349" s="109"/>
      <c r="AC349" s="21"/>
      <c r="AD349" s="21"/>
      <c r="AE349" s="21"/>
      <c r="AF349" s="8"/>
      <c r="AG349" s="8"/>
      <c r="AH349" s="72"/>
      <c r="AI349" s="8"/>
      <c r="AJ349" s="21"/>
      <c r="AK349" s="21"/>
      <c r="AL349" s="81"/>
      <c r="AM349" s="81"/>
      <c r="AN349" s="81"/>
      <c r="AO349" s="81"/>
      <c r="AP349" s="81"/>
      <c r="AQ349" s="81"/>
      <c r="AR349" s="81"/>
      <c r="AS349" s="81"/>
      <c r="AT349" s="81"/>
    </row>
    <row r="350" ht="22.5" customHeight="1">
      <c r="A350" s="7"/>
      <c r="B350" s="7"/>
      <c r="C350" s="7"/>
      <c r="D350" s="7"/>
      <c r="E350" s="7"/>
      <c r="F350" s="7"/>
      <c r="G350" s="49"/>
      <c r="H350" s="49"/>
      <c r="I350" s="165"/>
      <c r="J350" s="108"/>
      <c r="K350" s="7"/>
      <c r="L350" s="10"/>
      <c r="M350" s="7"/>
      <c r="N350" s="7"/>
      <c r="O350" s="7"/>
      <c r="P350" s="7"/>
      <c r="Q350" s="7"/>
      <c r="R350" s="11"/>
      <c r="S350" s="7"/>
      <c r="T350" s="7"/>
      <c r="U350" s="7"/>
      <c r="V350" s="14"/>
      <c r="W350" s="217"/>
      <c r="X350" s="7"/>
      <c r="Y350" s="14"/>
      <c r="Z350" s="7"/>
      <c r="AA350" s="7"/>
      <c r="AB350" s="109"/>
      <c r="AC350" s="21"/>
      <c r="AD350" s="21"/>
      <c r="AE350" s="21"/>
      <c r="AF350" s="8"/>
      <c r="AG350" s="8"/>
      <c r="AH350" s="72"/>
      <c r="AI350" s="8"/>
      <c r="AJ350" s="21"/>
      <c r="AK350" s="21"/>
      <c r="AL350" s="81"/>
      <c r="AM350" s="81"/>
      <c r="AN350" s="81"/>
      <c r="AO350" s="81"/>
      <c r="AP350" s="81"/>
      <c r="AQ350" s="81"/>
      <c r="AR350" s="81"/>
      <c r="AS350" s="81"/>
      <c r="AT350" s="81"/>
    </row>
    <row r="351" ht="22.5" customHeight="1">
      <c r="A351" s="7"/>
      <c r="B351" s="7"/>
      <c r="C351" s="7"/>
      <c r="D351" s="7"/>
      <c r="E351" s="106"/>
      <c r="F351" s="7"/>
      <c r="G351" s="49"/>
      <c r="H351" s="49"/>
      <c r="I351" s="165"/>
      <c r="J351" s="108"/>
      <c r="K351" s="7"/>
      <c r="L351" s="10"/>
      <c r="M351" s="7"/>
      <c r="N351" s="7"/>
      <c r="O351" s="7"/>
      <c r="P351" s="7"/>
      <c r="Q351" s="7"/>
      <c r="R351" s="11"/>
      <c r="S351" s="7"/>
      <c r="T351" s="7"/>
      <c r="U351" s="7"/>
      <c r="V351" s="14"/>
      <c r="W351" s="217"/>
      <c r="X351" s="7"/>
      <c r="Y351" s="14"/>
      <c r="Z351" s="7"/>
      <c r="AA351" s="7"/>
      <c r="AB351" s="109"/>
      <c r="AC351" s="21"/>
      <c r="AD351" s="21"/>
      <c r="AE351" s="21"/>
      <c r="AF351" s="8"/>
      <c r="AG351" s="8"/>
      <c r="AH351" s="72"/>
      <c r="AI351" s="8"/>
      <c r="AJ351" s="21"/>
      <c r="AK351" s="21"/>
      <c r="AL351" s="81"/>
      <c r="AM351" s="81"/>
      <c r="AN351" s="81"/>
      <c r="AO351" s="81"/>
      <c r="AP351" s="81"/>
      <c r="AQ351" s="81"/>
      <c r="AR351" s="81"/>
      <c r="AS351" s="81"/>
      <c r="AT351" s="81"/>
    </row>
    <row r="352" ht="22.5" customHeight="1">
      <c r="A352" s="7"/>
      <c r="B352" s="106"/>
      <c r="C352" s="7"/>
      <c r="D352" s="7"/>
      <c r="E352" s="7"/>
      <c r="F352" s="7"/>
      <c r="G352" s="49"/>
      <c r="H352" s="49"/>
      <c r="I352" s="165"/>
      <c r="J352" s="108"/>
      <c r="K352" s="7"/>
      <c r="L352" s="10"/>
      <c r="M352" s="7"/>
      <c r="N352" s="83"/>
      <c r="O352" s="210"/>
      <c r="P352" s="7"/>
      <c r="Q352" s="7"/>
      <c r="R352" s="11"/>
      <c r="S352" s="7"/>
      <c r="T352" s="7"/>
      <c r="U352" s="7"/>
      <c r="V352" s="14"/>
      <c r="W352" s="217"/>
      <c r="X352" s="7"/>
      <c r="Y352" s="14"/>
      <c r="Z352" s="213"/>
      <c r="AA352" s="7"/>
      <c r="AB352" s="109"/>
      <c r="AC352" s="21"/>
      <c r="AD352" s="21"/>
      <c r="AE352" s="21"/>
      <c r="AF352" s="8"/>
      <c r="AG352" s="8"/>
      <c r="AH352" s="72"/>
      <c r="AI352" s="8"/>
      <c r="AJ352" s="21"/>
      <c r="AK352" s="21"/>
      <c r="AL352" s="81"/>
      <c r="AM352" s="81"/>
      <c r="AN352" s="81"/>
      <c r="AO352" s="81"/>
      <c r="AP352" s="81"/>
      <c r="AQ352" s="81"/>
      <c r="AR352" s="81"/>
      <c r="AS352" s="81"/>
      <c r="AT352" s="81"/>
    </row>
    <row r="353" ht="22.5" customHeight="1">
      <c r="A353" s="7"/>
      <c r="B353" s="106"/>
      <c r="C353" s="7"/>
      <c r="D353" s="7"/>
      <c r="E353" s="7"/>
      <c r="F353" s="7"/>
      <c r="G353" s="49"/>
      <c r="H353" s="49"/>
      <c r="I353" s="165"/>
      <c r="J353" s="108"/>
      <c r="K353" s="7"/>
      <c r="L353" s="10"/>
      <c r="M353" s="7"/>
      <c r="N353" s="83"/>
      <c r="O353" s="210"/>
      <c r="P353" s="7"/>
      <c r="Q353" s="7"/>
      <c r="R353" s="11"/>
      <c r="S353" s="7"/>
      <c r="T353" s="7"/>
      <c r="U353" s="7"/>
      <c r="V353" s="14"/>
      <c r="W353" s="217"/>
      <c r="X353" s="7"/>
      <c r="Y353" s="14"/>
      <c r="Z353" s="213"/>
      <c r="AA353" s="7"/>
      <c r="AB353" s="109"/>
      <c r="AC353" s="21"/>
      <c r="AD353" s="21"/>
      <c r="AE353" s="21"/>
      <c r="AF353" s="8"/>
      <c r="AG353" s="8"/>
      <c r="AH353" s="72"/>
      <c r="AI353" s="8"/>
      <c r="AJ353" s="21"/>
      <c r="AK353" s="21"/>
      <c r="AL353" s="81"/>
      <c r="AM353" s="81"/>
      <c r="AN353" s="81"/>
      <c r="AO353" s="81"/>
      <c r="AP353" s="81"/>
      <c r="AQ353" s="81"/>
      <c r="AR353" s="81"/>
      <c r="AS353" s="81"/>
      <c r="AT353" s="81"/>
    </row>
    <row r="354" ht="22.5" customHeight="1">
      <c r="A354" s="7"/>
      <c r="B354" s="7"/>
      <c r="C354" s="7"/>
      <c r="D354" s="7"/>
      <c r="E354" s="7"/>
      <c r="F354" s="7"/>
      <c r="G354" s="49"/>
      <c r="H354" s="49"/>
      <c r="I354" s="165"/>
      <c r="J354" s="108"/>
      <c r="K354" s="7"/>
      <c r="L354" s="10"/>
      <c r="M354" s="7"/>
      <c r="N354" s="7"/>
      <c r="O354" s="210"/>
      <c r="P354" s="7"/>
      <c r="Q354" s="7"/>
      <c r="R354" s="11"/>
      <c r="S354" s="7"/>
      <c r="T354" s="7"/>
      <c r="U354" s="7"/>
      <c r="V354" s="14"/>
      <c r="W354" s="217"/>
      <c r="X354" s="7"/>
      <c r="Y354" s="14"/>
      <c r="Z354" s="213"/>
      <c r="AA354" s="7"/>
      <c r="AB354" s="109"/>
      <c r="AC354" s="21"/>
      <c r="AD354" s="21"/>
      <c r="AE354" s="21"/>
      <c r="AF354" s="8"/>
      <c r="AG354" s="8"/>
      <c r="AH354" s="72"/>
      <c r="AI354" s="8"/>
      <c r="AJ354" s="21"/>
      <c r="AK354" s="21"/>
      <c r="AL354" s="81"/>
      <c r="AM354" s="81"/>
      <c r="AN354" s="81"/>
      <c r="AO354" s="81"/>
      <c r="AP354" s="81"/>
      <c r="AQ354" s="81"/>
      <c r="AR354" s="81"/>
      <c r="AS354" s="81"/>
      <c r="AT354" s="81"/>
    </row>
    <row r="355" ht="22.5" customHeight="1">
      <c r="A355" s="7"/>
      <c r="B355" s="7"/>
      <c r="C355" s="7"/>
      <c r="D355" s="7"/>
      <c r="E355" s="7"/>
      <c r="F355" s="7"/>
      <c r="G355" s="49"/>
      <c r="H355" s="49"/>
      <c r="I355" s="165"/>
      <c r="J355" s="108"/>
      <c r="K355" s="7"/>
      <c r="L355" s="10"/>
      <c r="M355" s="7"/>
      <c r="N355" s="7"/>
      <c r="O355" s="7"/>
      <c r="P355" s="7"/>
      <c r="Q355" s="7"/>
      <c r="R355" s="11"/>
      <c r="S355" s="7"/>
      <c r="T355" s="7"/>
      <c r="U355" s="7"/>
      <c r="V355" s="14"/>
      <c r="W355" s="217"/>
      <c r="X355" s="7"/>
      <c r="Y355" s="14"/>
      <c r="Z355" s="7"/>
      <c r="AA355" s="7"/>
      <c r="AB355" s="109"/>
      <c r="AC355" s="21"/>
      <c r="AD355" s="21"/>
      <c r="AE355" s="21"/>
      <c r="AF355" s="8"/>
      <c r="AG355" s="8"/>
      <c r="AH355" s="72"/>
      <c r="AI355" s="8"/>
      <c r="AJ355" s="21"/>
      <c r="AK355" s="21"/>
      <c r="AL355" s="81"/>
      <c r="AM355" s="81"/>
      <c r="AN355" s="81"/>
      <c r="AO355" s="81"/>
      <c r="AP355" s="81"/>
      <c r="AQ355" s="81"/>
      <c r="AR355" s="81"/>
      <c r="AS355" s="81"/>
      <c r="AT355" s="81"/>
    </row>
    <row r="356" ht="22.5" customHeight="1">
      <c r="A356" s="7"/>
      <c r="B356" s="7"/>
      <c r="C356" s="7"/>
      <c r="D356" s="7"/>
      <c r="E356" s="7"/>
      <c r="F356" s="7"/>
      <c r="G356" s="49"/>
      <c r="H356" s="49"/>
      <c r="I356" s="165"/>
      <c r="J356" s="108"/>
      <c r="K356" s="7"/>
      <c r="L356" s="10"/>
      <c r="M356" s="7"/>
      <c r="N356" s="7"/>
      <c r="O356" s="210"/>
      <c r="P356" s="7"/>
      <c r="Q356" s="7"/>
      <c r="R356" s="11"/>
      <c r="S356" s="7"/>
      <c r="T356" s="7"/>
      <c r="U356" s="7"/>
      <c r="V356" s="14"/>
      <c r="W356" s="212"/>
      <c r="X356" s="7"/>
      <c r="Y356" s="14"/>
      <c r="Z356" s="213"/>
      <c r="AA356" s="7"/>
      <c r="AB356" s="109"/>
      <c r="AC356" s="21"/>
      <c r="AD356" s="21"/>
      <c r="AE356" s="21"/>
      <c r="AF356" s="8"/>
      <c r="AG356" s="8"/>
      <c r="AH356" s="72"/>
      <c r="AI356" s="8"/>
      <c r="AJ356" s="21"/>
      <c r="AK356" s="21"/>
      <c r="AL356" s="81"/>
      <c r="AM356" s="81"/>
      <c r="AN356" s="81"/>
      <c r="AO356" s="81"/>
      <c r="AP356" s="81"/>
      <c r="AQ356" s="81"/>
      <c r="AR356" s="81"/>
      <c r="AS356" s="81"/>
      <c r="AT356" s="81"/>
    </row>
    <row r="357" ht="22.5" customHeight="1">
      <c r="A357" s="7"/>
      <c r="B357" s="7"/>
      <c r="C357" s="7"/>
      <c r="D357" s="7"/>
      <c r="E357" s="7"/>
      <c r="F357" s="7"/>
      <c r="G357" s="49"/>
      <c r="H357" s="49"/>
      <c r="I357" s="165"/>
      <c r="J357" s="108"/>
      <c r="K357" s="7"/>
      <c r="L357" s="10"/>
      <c r="M357" s="7"/>
      <c r="N357" s="7"/>
      <c r="O357" s="7"/>
      <c r="P357" s="7"/>
      <c r="Q357" s="7"/>
      <c r="R357" s="11"/>
      <c r="S357" s="7"/>
      <c r="T357" s="7"/>
      <c r="U357" s="7"/>
      <c r="V357" s="14"/>
      <c r="W357" s="217"/>
      <c r="X357" s="7"/>
      <c r="Y357" s="14"/>
      <c r="Z357" s="7"/>
      <c r="AA357" s="7"/>
      <c r="AB357" s="109"/>
      <c r="AC357" s="21"/>
      <c r="AD357" s="21"/>
      <c r="AE357" s="21"/>
      <c r="AF357" s="8"/>
      <c r="AG357" s="8"/>
      <c r="AH357" s="72"/>
      <c r="AI357" s="8"/>
      <c r="AJ357" s="21"/>
      <c r="AK357" s="21"/>
      <c r="AL357" s="81"/>
      <c r="AM357" s="81"/>
      <c r="AN357" s="81"/>
      <c r="AO357" s="81"/>
      <c r="AP357" s="81"/>
      <c r="AQ357" s="81"/>
      <c r="AR357" s="81"/>
      <c r="AS357" s="81"/>
      <c r="AT357" s="81"/>
    </row>
    <row r="358" ht="22.5" customHeight="1">
      <c r="A358" s="7"/>
      <c r="B358" s="7"/>
      <c r="C358" s="7"/>
      <c r="D358" s="7"/>
      <c r="E358" s="7"/>
      <c r="F358" s="7"/>
      <c r="G358" s="49"/>
      <c r="H358" s="49"/>
      <c r="I358" s="165"/>
      <c r="J358" s="108"/>
      <c r="K358" s="7"/>
      <c r="L358" s="10"/>
      <c r="M358" s="7"/>
      <c r="N358" s="7"/>
      <c r="O358" s="7"/>
      <c r="P358" s="7"/>
      <c r="Q358" s="7"/>
      <c r="R358" s="11"/>
      <c r="S358" s="7"/>
      <c r="T358" s="7"/>
      <c r="U358" s="7"/>
      <c r="V358" s="14"/>
      <c r="W358" s="217"/>
      <c r="X358" s="7"/>
      <c r="Y358" s="14"/>
      <c r="Z358" s="7"/>
      <c r="AA358" s="7"/>
      <c r="AB358" s="109"/>
      <c r="AC358" s="21"/>
      <c r="AD358" s="21"/>
      <c r="AE358" s="21"/>
      <c r="AF358" s="8"/>
      <c r="AG358" s="8"/>
      <c r="AH358" s="72"/>
      <c r="AI358" s="8"/>
      <c r="AJ358" s="21"/>
      <c r="AK358" s="21"/>
      <c r="AL358" s="81"/>
      <c r="AM358" s="81"/>
      <c r="AN358" s="81"/>
      <c r="AO358" s="81"/>
      <c r="AP358" s="81"/>
      <c r="AQ358" s="81"/>
      <c r="AR358" s="81"/>
      <c r="AS358" s="81"/>
      <c r="AT358" s="81"/>
    </row>
    <row r="359" ht="22.5" customHeight="1">
      <c r="A359" s="7"/>
      <c r="B359" s="106"/>
      <c r="C359" s="7"/>
      <c r="D359" s="7"/>
      <c r="E359" s="7"/>
      <c r="F359" s="7"/>
      <c r="G359" s="49"/>
      <c r="H359" s="49"/>
      <c r="I359" s="165"/>
      <c r="J359" s="82"/>
      <c r="K359" s="7"/>
      <c r="L359" s="10"/>
      <c r="M359" s="7"/>
      <c r="N359" s="83"/>
      <c r="O359" s="84"/>
      <c r="P359" s="7"/>
      <c r="Q359" s="7"/>
      <c r="R359" s="11"/>
      <c r="S359" s="7"/>
      <c r="T359" s="7"/>
      <c r="U359" s="7"/>
      <c r="V359" s="14"/>
      <c r="W359" s="212"/>
      <c r="X359" s="7"/>
      <c r="Y359" s="14"/>
      <c r="Z359" s="213"/>
      <c r="AA359" s="7"/>
      <c r="AB359" s="109"/>
      <c r="AC359" s="21"/>
      <c r="AD359" s="21"/>
      <c r="AE359" s="21"/>
      <c r="AF359" s="8"/>
      <c r="AG359" s="8"/>
      <c r="AH359" s="72"/>
      <c r="AI359" s="8"/>
      <c r="AJ359" s="21"/>
      <c r="AK359" s="86"/>
      <c r="AL359" s="81"/>
      <c r="AM359" s="81"/>
      <c r="AN359" s="81"/>
      <c r="AO359" s="81"/>
      <c r="AP359" s="81"/>
      <c r="AQ359" s="81"/>
      <c r="AR359" s="81"/>
      <c r="AS359" s="81"/>
      <c r="AT359" s="81"/>
    </row>
    <row r="360" ht="22.5" customHeight="1">
      <c r="A360" s="87"/>
      <c r="B360" s="224"/>
      <c r="C360" s="87"/>
      <c r="D360" s="87"/>
      <c r="E360" s="87"/>
      <c r="F360" s="87"/>
      <c r="G360" s="116"/>
      <c r="H360" s="116"/>
      <c r="I360" s="89"/>
      <c r="J360" s="90"/>
      <c r="K360" s="87"/>
      <c r="L360" s="94"/>
      <c r="M360" s="87"/>
      <c r="N360" s="225"/>
      <c r="O360" s="135"/>
      <c r="P360" s="136"/>
      <c r="Q360" s="87"/>
      <c r="R360" s="95"/>
      <c r="S360" s="141"/>
      <c r="T360" s="87"/>
      <c r="U360" s="87"/>
      <c r="V360" s="97"/>
      <c r="W360" s="98"/>
      <c r="X360" s="99"/>
      <c r="Y360" s="99"/>
      <c r="Z360" s="119"/>
      <c r="AA360" s="99"/>
      <c r="AB360" s="99"/>
      <c r="AC360" s="101"/>
      <c r="AD360" s="101"/>
      <c r="AE360" s="101"/>
      <c r="AF360" s="101"/>
      <c r="AG360" s="101"/>
      <c r="AH360" s="102"/>
      <c r="AI360" s="101"/>
      <c r="AJ360" s="103"/>
      <c r="AK360" s="137"/>
      <c r="AL360" s="105"/>
      <c r="AM360" s="105"/>
      <c r="AN360" s="75"/>
      <c r="AO360" s="75"/>
      <c r="AP360" s="75"/>
      <c r="AQ360" s="75"/>
      <c r="AR360" s="75"/>
      <c r="AS360" s="75"/>
      <c r="AT360" s="75"/>
    </row>
    <row r="361" ht="22.5" customHeight="1">
      <c r="A361" s="7"/>
      <c r="B361" s="7"/>
      <c r="C361" s="7"/>
      <c r="D361" s="7"/>
      <c r="E361" s="7"/>
      <c r="F361" s="7"/>
      <c r="G361" s="49"/>
      <c r="H361" s="49"/>
      <c r="I361" s="165"/>
      <c r="J361" s="108"/>
      <c r="K361" s="7"/>
      <c r="L361" s="10"/>
      <c r="M361" s="7"/>
      <c r="N361" s="7"/>
      <c r="O361" s="7"/>
      <c r="P361" s="7"/>
      <c r="Q361" s="7"/>
      <c r="R361" s="11"/>
      <c r="S361" s="7"/>
      <c r="T361" s="7"/>
      <c r="U361" s="7"/>
      <c r="V361" s="14"/>
      <c r="W361" s="217"/>
      <c r="X361" s="7"/>
      <c r="Y361" s="14"/>
      <c r="Z361" s="7"/>
      <c r="AA361" s="7"/>
      <c r="AB361" s="109"/>
      <c r="AC361" s="21"/>
      <c r="AD361" s="21"/>
      <c r="AE361" s="21"/>
      <c r="AF361" s="8"/>
      <c r="AG361" s="8"/>
      <c r="AH361" s="72"/>
      <c r="AI361" s="8"/>
      <c r="AJ361" s="21"/>
      <c r="AK361" s="21"/>
      <c r="AL361" s="81"/>
      <c r="AM361" s="81"/>
      <c r="AN361" s="81"/>
      <c r="AO361" s="81"/>
      <c r="AP361" s="81"/>
      <c r="AQ361" s="81"/>
      <c r="AR361" s="81"/>
      <c r="AS361" s="81"/>
      <c r="AT361" s="81"/>
    </row>
    <row r="362" ht="22.5" customHeight="1">
      <c r="A362" s="7"/>
      <c r="B362" s="7"/>
      <c r="C362" s="7"/>
      <c r="D362" s="7"/>
      <c r="E362" s="7"/>
      <c r="F362" s="7"/>
      <c r="G362" s="49"/>
      <c r="H362" s="49"/>
      <c r="I362" s="165"/>
      <c r="J362" s="108"/>
      <c r="K362" s="7"/>
      <c r="L362" s="10"/>
      <c r="M362" s="7"/>
      <c r="N362" s="7"/>
      <c r="O362" s="7"/>
      <c r="P362" s="7"/>
      <c r="Q362" s="7"/>
      <c r="R362" s="11"/>
      <c r="S362" s="7"/>
      <c r="T362" s="7"/>
      <c r="U362" s="7"/>
      <c r="V362" s="14"/>
      <c r="W362" s="217"/>
      <c r="X362" s="7"/>
      <c r="Y362" s="14"/>
      <c r="Z362" s="7"/>
      <c r="AA362" s="7"/>
      <c r="AB362" s="7"/>
      <c r="AC362" s="21"/>
      <c r="AD362" s="21"/>
      <c r="AE362" s="21"/>
      <c r="AF362" s="8"/>
      <c r="AG362" s="8"/>
      <c r="AH362" s="72"/>
      <c r="AI362" s="8"/>
      <c r="AJ362" s="21"/>
      <c r="AK362" s="21"/>
      <c r="AL362" s="81"/>
      <c r="AM362" s="81"/>
      <c r="AN362" s="81"/>
      <c r="AO362" s="81"/>
      <c r="AP362" s="81"/>
      <c r="AQ362" s="81"/>
      <c r="AR362" s="81"/>
      <c r="AS362" s="81"/>
      <c r="AT362" s="81"/>
    </row>
    <row r="363" ht="22.5" customHeight="1">
      <c r="A363" s="7"/>
      <c r="B363" s="7"/>
      <c r="C363" s="7"/>
      <c r="D363" s="7"/>
      <c r="E363" s="7"/>
      <c r="F363" s="7"/>
      <c r="G363" s="49"/>
      <c r="H363" s="49"/>
      <c r="I363" s="165"/>
      <c r="J363" s="108"/>
      <c r="K363" s="7"/>
      <c r="L363" s="10"/>
      <c r="M363" s="7"/>
      <c r="N363" s="7"/>
      <c r="O363" s="7"/>
      <c r="P363" s="7"/>
      <c r="Q363" s="7"/>
      <c r="R363" s="11"/>
      <c r="S363" s="7"/>
      <c r="T363" s="7"/>
      <c r="U363" s="7"/>
      <c r="V363" s="14"/>
      <c r="W363" s="217"/>
      <c r="X363" s="7"/>
      <c r="Y363" s="14"/>
      <c r="Z363" s="7"/>
      <c r="AA363" s="7"/>
      <c r="AB363" s="109"/>
      <c r="AC363" s="21"/>
      <c r="AD363" s="21"/>
      <c r="AE363" s="21"/>
      <c r="AF363" s="8"/>
      <c r="AG363" s="8"/>
      <c r="AH363" s="72"/>
      <c r="AI363" s="8"/>
      <c r="AJ363" s="21"/>
      <c r="AK363" s="21"/>
      <c r="AL363" s="81"/>
      <c r="AM363" s="81"/>
      <c r="AN363" s="81"/>
      <c r="AO363" s="81"/>
      <c r="AP363" s="81"/>
      <c r="AQ363" s="81"/>
      <c r="AR363" s="81"/>
      <c r="AS363" s="81"/>
      <c r="AT363" s="81"/>
    </row>
    <row r="364" ht="22.5" customHeight="1">
      <c r="A364" s="7"/>
      <c r="B364" s="7"/>
      <c r="C364" s="7"/>
      <c r="D364" s="7"/>
      <c r="E364" s="7"/>
      <c r="F364" s="7"/>
      <c r="G364" s="49"/>
      <c r="H364" s="49"/>
      <c r="I364" s="165"/>
      <c r="J364" s="108"/>
      <c r="K364" s="7"/>
      <c r="L364" s="10"/>
      <c r="M364" s="7"/>
      <c r="N364" s="7"/>
      <c r="O364" s="7"/>
      <c r="P364" s="7"/>
      <c r="Q364" s="7"/>
      <c r="R364" s="11"/>
      <c r="S364" s="7"/>
      <c r="T364" s="7"/>
      <c r="U364" s="7"/>
      <c r="V364" s="14"/>
      <c r="W364" s="217"/>
      <c r="X364" s="7"/>
      <c r="Y364" s="14"/>
      <c r="Z364" s="7"/>
      <c r="AA364" s="7"/>
      <c r="AB364" s="109"/>
      <c r="AC364" s="21"/>
      <c r="AD364" s="21"/>
      <c r="AE364" s="21"/>
      <c r="AF364" s="8"/>
      <c r="AG364" s="8"/>
      <c r="AH364" s="72"/>
      <c r="AI364" s="8"/>
      <c r="AJ364" s="21"/>
      <c r="AK364" s="21"/>
      <c r="AL364" s="81"/>
      <c r="AM364" s="81"/>
      <c r="AN364" s="81"/>
      <c r="AO364" s="81"/>
      <c r="AP364" s="81"/>
      <c r="AQ364" s="81"/>
      <c r="AR364" s="81"/>
      <c r="AS364" s="81"/>
      <c r="AT364" s="81"/>
    </row>
    <row r="365" ht="22.5" customHeight="1">
      <c r="A365" s="7"/>
      <c r="B365" s="7"/>
      <c r="C365" s="7"/>
      <c r="D365" s="7"/>
      <c r="E365" s="7"/>
      <c r="F365" s="7"/>
      <c r="G365" s="7"/>
      <c r="H365" s="7"/>
      <c r="I365" s="21"/>
      <c r="J365" s="108"/>
      <c r="K365" s="7"/>
      <c r="L365" s="10"/>
      <c r="M365" s="7"/>
      <c r="N365" s="7"/>
      <c r="O365" s="7"/>
      <c r="P365" s="7"/>
      <c r="Q365" s="7"/>
      <c r="R365" s="11"/>
      <c r="S365" s="7"/>
      <c r="T365" s="7"/>
      <c r="U365" s="7"/>
      <c r="V365" s="14"/>
      <c r="W365" s="217"/>
      <c r="X365" s="7"/>
      <c r="Y365" s="14"/>
      <c r="Z365" s="7"/>
      <c r="AA365" s="7"/>
      <c r="AB365" s="109"/>
      <c r="AC365" s="21"/>
      <c r="AD365" s="21"/>
      <c r="AE365" s="21"/>
      <c r="AF365" s="8"/>
      <c r="AG365" s="8"/>
      <c r="AH365" s="72"/>
      <c r="AI365" s="8"/>
      <c r="AJ365" s="21"/>
      <c r="AK365" s="21"/>
      <c r="AL365" s="81"/>
      <c r="AM365" s="81"/>
      <c r="AN365" s="81"/>
      <c r="AO365" s="81"/>
      <c r="AP365" s="81"/>
      <c r="AQ365" s="81"/>
      <c r="AR365" s="81"/>
      <c r="AS365" s="81"/>
      <c r="AT365" s="81"/>
    </row>
    <row r="366" ht="22.5" customHeight="1">
      <c r="A366" s="7"/>
      <c r="B366" s="7"/>
      <c r="C366" s="7"/>
      <c r="D366" s="7"/>
      <c r="E366" s="7"/>
      <c r="F366" s="7"/>
      <c r="G366" s="49"/>
      <c r="H366" s="49"/>
      <c r="I366" s="165"/>
      <c r="J366" s="82"/>
      <c r="K366" s="7"/>
      <c r="L366" s="10"/>
      <c r="M366" s="7"/>
      <c r="N366" s="7"/>
      <c r="O366" s="7"/>
      <c r="P366" s="7"/>
      <c r="Q366" s="7"/>
      <c r="R366" s="11"/>
      <c r="S366" s="7"/>
      <c r="T366" s="7"/>
      <c r="U366" s="7"/>
      <c r="V366" s="14"/>
      <c r="W366" s="212"/>
      <c r="X366" s="7"/>
      <c r="Y366" s="14"/>
      <c r="Z366" s="7"/>
      <c r="AA366" s="7"/>
      <c r="AB366" s="109"/>
      <c r="AC366" s="21"/>
      <c r="AD366" s="21"/>
      <c r="AE366" s="21"/>
      <c r="AF366" s="8"/>
      <c r="AG366" s="8"/>
      <c r="AH366" s="72"/>
      <c r="AI366" s="8"/>
      <c r="AJ366" s="21"/>
      <c r="AK366" s="21"/>
      <c r="AL366" s="81"/>
      <c r="AM366" s="81"/>
      <c r="AN366" s="81"/>
      <c r="AO366" s="81"/>
      <c r="AP366" s="81"/>
      <c r="AQ366" s="81"/>
      <c r="AR366" s="81"/>
      <c r="AS366" s="81"/>
      <c r="AT366" s="81"/>
    </row>
    <row r="367" ht="22.5" customHeight="1">
      <c r="A367" s="7"/>
      <c r="B367" s="7"/>
      <c r="C367" s="7"/>
      <c r="D367" s="7"/>
      <c r="E367" s="7"/>
      <c r="F367" s="7"/>
      <c r="G367" s="49"/>
      <c r="H367" s="49"/>
      <c r="I367" s="165"/>
      <c r="J367" s="108"/>
      <c r="K367" s="7"/>
      <c r="L367" s="10"/>
      <c r="M367" s="7"/>
      <c r="N367" s="7"/>
      <c r="O367" s="7"/>
      <c r="P367" s="7"/>
      <c r="Q367" s="7"/>
      <c r="R367" s="11"/>
      <c r="S367" s="7"/>
      <c r="T367" s="7"/>
      <c r="U367" s="7"/>
      <c r="V367" s="14"/>
      <c r="W367" s="217"/>
      <c r="X367" s="7"/>
      <c r="Y367" s="14"/>
      <c r="Z367" s="7"/>
      <c r="AA367" s="7"/>
      <c r="AB367" s="109"/>
      <c r="AC367" s="21"/>
      <c r="AD367" s="21"/>
      <c r="AE367" s="21"/>
      <c r="AF367" s="8"/>
      <c r="AG367" s="8"/>
      <c r="AH367" s="72"/>
      <c r="AI367" s="8"/>
      <c r="AJ367" s="21"/>
      <c r="AK367" s="21"/>
      <c r="AL367" s="81"/>
      <c r="AM367" s="81"/>
      <c r="AN367" s="81"/>
      <c r="AO367" s="81"/>
      <c r="AP367" s="81"/>
      <c r="AQ367" s="81"/>
      <c r="AR367" s="81"/>
      <c r="AS367" s="81"/>
      <c r="AT367" s="81"/>
    </row>
    <row r="368" ht="22.5" customHeight="1">
      <c r="A368" s="7"/>
      <c r="B368" s="7"/>
      <c r="C368" s="7"/>
      <c r="D368" s="7"/>
      <c r="E368" s="7"/>
      <c r="F368" s="7"/>
      <c r="G368" s="7"/>
      <c r="H368" s="7"/>
      <c r="I368" s="21"/>
      <c r="J368" s="108"/>
      <c r="K368" s="7"/>
      <c r="L368" s="10"/>
      <c r="M368" s="7"/>
      <c r="N368" s="7"/>
      <c r="O368" s="7"/>
      <c r="P368" s="7"/>
      <c r="Q368" s="7"/>
      <c r="R368" s="11"/>
      <c r="S368" s="7"/>
      <c r="T368" s="7"/>
      <c r="U368" s="7"/>
      <c r="V368" s="14"/>
      <c r="W368" s="217"/>
      <c r="X368" s="7"/>
      <c r="Y368" s="14"/>
      <c r="Z368" s="7"/>
      <c r="AA368" s="7"/>
      <c r="AB368" s="109"/>
      <c r="AC368" s="21"/>
      <c r="AD368" s="21"/>
      <c r="AE368" s="21"/>
      <c r="AF368" s="8"/>
      <c r="AG368" s="8"/>
      <c r="AH368" s="72"/>
      <c r="AI368" s="8"/>
      <c r="AJ368" s="21"/>
      <c r="AK368" s="21"/>
      <c r="AL368" s="81"/>
      <c r="AM368" s="81"/>
      <c r="AN368" s="81"/>
      <c r="AO368" s="81"/>
      <c r="AP368" s="81"/>
      <c r="AQ368" s="81"/>
      <c r="AR368" s="81"/>
      <c r="AS368" s="81"/>
      <c r="AT368" s="81"/>
    </row>
    <row r="369" ht="22.5" customHeight="1">
      <c r="A369" s="7"/>
      <c r="B369" s="7"/>
      <c r="C369" s="7"/>
      <c r="D369" s="7"/>
      <c r="E369" s="7"/>
      <c r="F369" s="7"/>
      <c r="G369" s="49"/>
      <c r="H369" s="49"/>
      <c r="I369" s="165"/>
      <c r="J369" s="108"/>
      <c r="K369" s="7"/>
      <c r="L369" s="10"/>
      <c r="M369" s="7"/>
      <c r="N369" s="7"/>
      <c r="O369" s="84"/>
      <c r="P369" s="7"/>
      <c r="Q369" s="7"/>
      <c r="R369" s="11"/>
      <c r="S369" s="7"/>
      <c r="T369" s="7"/>
      <c r="U369" s="7"/>
      <c r="V369" s="14"/>
      <c r="W369" s="212"/>
      <c r="X369" s="7"/>
      <c r="Y369" s="14"/>
      <c r="Z369" s="7"/>
      <c r="AA369" s="7"/>
      <c r="AB369" s="109"/>
      <c r="AC369" s="21"/>
      <c r="AD369" s="21"/>
      <c r="AE369" s="21"/>
      <c r="AF369" s="8"/>
      <c r="AG369" s="8"/>
      <c r="AH369" s="72"/>
      <c r="AI369" s="8"/>
      <c r="AJ369" s="21"/>
      <c r="AK369" s="21"/>
      <c r="AL369" s="81"/>
      <c r="AM369" s="81"/>
      <c r="AN369" s="81"/>
      <c r="AO369" s="81"/>
      <c r="AP369" s="81"/>
      <c r="AQ369" s="81"/>
      <c r="AR369" s="81"/>
      <c r="AS369" s="81"/>
      <c r="AT369" s="81"/>
    </row>
    <row r="370" ht="22.5" customHeight="1">
      <c r="A370" s="7"/>
      <c r="B370" s="7"/>
      <c r="C370" s="7"/>
      <c r="D370" s="7"/>
      <c r="E370" s="7"/>
      <c r="F370" s="7"/>
      <c r="G370" s="49"/>
      <c r="H370" s="49"/>
      <c r="I370" s="51"/>
      <c r="J370" s="226"/>
      <c r="K370" s="7"/>
      <c r="L370" s="10"/>
      <c r="M370" s="7"/>
      <c r="N370" s="7"/>
      <c r="O370" s="227"/>
      <c r="P370" s="14"/>
      <c r="Q370" s="7"/>
      <c r="R370" s="11"/>
      <c r="S370" s="7"/>
      <c r="T370" s="7"/>
      <c r="U370" s="7"/>
      <c r="V370" s="14"/>
      <c r="W370" s="13"/>
      <c r="X370" s="14"/>
      <c r="Y370" s="14"/>
      <c r="Z370" s="7"/>
      <c r="AA370" s="132"/>
      <c r="AB370" s="228"/>
      <c r="AC370" s="123"/>
      <c r="AD370" s="123"/>
      <c r="AE370" s="21"/>
      <c r="AF370" s="8"/>
      <c r="AG370" s="8"/>
      <c r="AH370" s="72"/>
      <c r="AI370" s="8"/>
      <c r="AJ370" s="21"/>
      <c r="AK370" s="110"/>
      <c r="AL370" s="81"/>
      <c r="AM370" s="81"/>
      <c r="AN370" s="81"/>
      <c r="AO370" s="81"/>
      <c r="AP370" s="81"/>
      <c r="AQ370" s="81"/>
      <c r="AR370" s="81"/>
      <c r="AS370" s="81"/>
      <c r="AT370" s="81"/>
    </row>
    <row r="371" ht="22.5" customHeight="1">
      <c r="A371" s="7"/>
      <c r="B371" s="7"/>
      <c r="C371" s="7"/>
      <c r="D371" s="7"/>
      <c r="E371" s="7"/>
      <c r="F371" s="7"/>
      <c r="G371" s="49"/>
      <c r="H371" s="49"/>
      <c r="I371" s="165"/>
      <c r="J371" s="108"/>
      <c r="K371" s="7"/>
      <c r="L371" s="10"/>
      <c r="M371" s="7"/>
      <c r="N371" s="7"/>
      <c r="O371" s="7"/>
      <c r="P371" s="7"/>
      <c r="Q371" s="7"/>
      <c r="R371" s="11"/>
      <c r="S371" s="7"/>
      <c r="T371" s="7"/>
      <c r="U371" s="7"/>
      <c r="V371" s="14"/>
      <c r="W371" s="217"/>
      <c r="X371" s="7"/>
      <c r="Y371" s="14"/>
      <c r="Z371" s="7"/>
      <c r="AA371" s="7"/>
      <c r="AB371" s="109"/>
      <c r="AC371" s="21"/>
      <c r="AD371" s="21"/>
      <c r="AE371" s="21"/>
      <c r="AF371" s="8"/>
      <c r="AG371" s="8"/>
      <c r="AH371" s="72"/>
      <c r="AI371" s="8"/>
      <c r="AJ371" s="21"/>
      <c r="AK371" s="21"/>
      <c r="AL371" s="81"/>
      <c r="AM371" s="81"/>
      <c r="AN371" s="81"/>
      <c r="AO371" s="81"/>
      <c r="AP371" s="81"/>
      <c r="AQ371" s="81"/>
      <c r="AR371" s="81"/>
      <c r="AS371" s="81"/>
      <c r="AT371" s="81"/>
    </row>
    <row r="372" ht="22.5" customHeight="1">
      <c r="A372" s="7"/>
      <c r="B372" s="7"/>
      <c r="C372" s="7"/>
      <c r="D372" s="7"/>
      <c r="E372" s="7"/>
      <c r="F372" s="7"/>
      <c r="G372" s="49"/>
      <c r="H372" s="49"/>
      <c r="I372" s="51"/>
      <c r="J372" s="108"/>
      <c r="K372" s="7"/>
      <c r="L372" s="10"/>
      <c r="M372" s="7"/>
      <c r="N372" s="7"/>
      <c r="O372" s="84"/>
      <c r="P372" s="14"/>
      <c r="Q372" s="7"/>
      <c r="R372" s="78"/>
      <c r="S372" s="7"/>
      <c r="T372" s="7"/>
      <c r="U372" s="7"/>
      <c r="V372" s="14"/>
      <c r="W372" s="13"/>
      <c r="X372" s="14"/>
      <c r="Y372" s="14"/>
      <c r="Z372" s="43"/>
      <c r="AA372" s="14"/>
      <c r="AB372" s="14"/>
      <c r="AC372" s="8"/>
      <c r="AD372" s="8"/>
      <c r="AE372" s="8"/>
      <c r="AF372" s="8"/>
      <c r="AG372" s="8"/>
      <c r="AH372" s="72"/>
      <c r="AI372" s="8"/>
      <c r="AJ372" s="21"/>
      <c r="AK372" s="110"/>
      <c r="AL372" s="81"/>
      <c r="AM372" s="81"/>
      <c r="AN372" s="81"/>
      <c r="AO372" s="81"/>
      <c r="AP372" s="81"/>
      <c r="AQ372" s="81"/>
      <c r="AR372" s="81"/>
      <c r="AS372" s="81"/>
      <c r="AT372" s="81"/>
    </row>
    <row r="373" ht="22.5" customHeight="1">
      <c r="A373" s="7"/>
      <c r="B373" s="7"/>
      <c r="C373" s="7"/>
      <c r="D373" s="7"/>
      <c r="E373" s="7"/>
      <c r="F373" s="7"/>
      <c r="G373" s="49"/>
      <c r="H373" s="49"/>
      <c r="I373" s="165"/>
      <c r="J373" s="108"/>
      <c r="K373" s="7"/>
      <c r="L373" s="10"/>
      <c r="M373" s="7"/>
      <c r="N373" s="7"/>
      <c r="O373" s="7"/>
      <c r="P373" s="7"/>
      <c r="Q373" s="7"/>
      <c r="R373" s="11"/>
      <c r="S373" s="7"/>
      <c r="T373" s="7"/>
      <c r="U373" s="7"/>
      <c r="V373" s="14"/>
      <c r="W373" s="217"/>
      <c r="X373" s="7"/>
      <c r="Y373" s="14"/>
      <c r="Z373" s="7"/>
      <c r="AA373" s="7"/>
      <c r="AB373" s="109"/>
      <c r="AC373" s="21"/>
      <c r="AD373" s="21"/>
      <c r="AE373" s="21"/>
      <c r="AF373" s="8"/>
      <c r="AG373" s="8"/>
      <c r="AH373" s="72"/>
      <c r="AI373" s="8"/>
      <c r="AJ373" s="21"/>
      <c r="AK373" s="21"/>
      <c r="AL373" s="81"/>
      <c r="AM373" s="81"/>
      <c r="AN373" s="81"/>
      <c r="AO373" s="81"/>
      <c r="AP373" s="81"/>
      <c r="AQ373" s="81"/>
      <c r="AR373" s="81"/>
      <c r="AS373" s="81"/>
      <c r="AT373" s="81"/>
    </row>
    <row r="374" ht="22.5" customHeight="1">
      <c r="A374" s="7"/>
      <c r="B374" s="7"/>
      <c r="C374" s="7"/>
      <c r="D374" s="7"/>
      <c r="E374" s="7"/>
      <c r="F374" s="7"/>
      <c r="G374" s="49"/>
      <c r="H374" s="49"/>
      <c r="I374" s="165"/>
      <c r="J374" s="82"/>
      <c r="K374" s="7"/>
      <c r="L374" s="10"/>
      <c r="M374" s="7"/>
      <c r="N374" s="7"/>
      <c r="O374" s="227"/>
      <c r="P374" s="7"/>
      <c r="Q374" s="7"/>
      <c r="R374" s="11"/>
      <c r="S374" s="7"/>
      <c r="T374" s="7"/>
      <c r="U374" s="7"/>
      <c r="V374" s="14"/>
      <c r="W374" s="212"/>
      <c r="X374" s="7"/>
      <c r="Y374" s="14"/>
      <c r="Z374" s="7"/>
      <c r="AA374" s="7"/>
      <c r="AB374" s="109"/>
      <c r="AC374" s="21"/>
      <c r="AD374" s="21"/>
      <c r="AE374" s="21"/>
      <c r="AF374" s="8"/>
      <c r="AG374" s="8"/>
      <c r="AH374" s="72"/>
      <c r="AI374" s="8"/>
      <c r="AJ374" s="21"/>
      <c r="AK374" s="21"/>
      <c r="AL374" s="81"/>
      <c r="AM374" s="81"/>
      <c r="AN374" s="81"/>
      <c r="AO374" s="81"/>
      <c r="AP374" s="81"/>
      <c r="AQ374" s="81"/>
      <c r="AR374" s="81"/>
      <c r="AS374" s="81"/>
      <c r="AT374" s="81"/>
    </row>
    <row r="375" ht="22.5" customHeight="1">
      <c r="A375" s="7"/>
      <c r="B375" s="7"/>
      <c r="C375" s="7"/>
      <c r="D375" s="7"/>
      <c r="E375" s="7"/>
      <c r="F375" s="7"/>
      <c r="G375" s="49"/>
      <c r="H375" s="49"/>
      <c r="I375" s="165"/>
      <c r="J375" s="108"/>
      <c r="K375" s="7"/>
      <c r="L375" s="10"/>
      <c r="M375" s="7"/>
      <c r="N375" s="7"/>
      <c r="O375" s="84"/>
      <c r="P375" s="7"/>
      <c r="Q375" s="7"/>
      <c r="R375" s="11"/>
      <c r="S375" s="7"/>
      <c r="T375" s="7"/>
      <c r="U375" s="7"/>
      <c r="V375" s="14"/>
      <c r="W375" s="212"/>
      <c r="X375" s="7"/>
      <c r="Y375" s="14"/>
      <c r="Z375" s="7"/>
      <c r="AA375" s="7"/>
      <c r="AB375" s="109"/>
      <c r="AC375" s="21"/>
      <c r="AD375" s="21"/>
      <c r="AE375" s="21"/>
      <c r="AF375" s="8"/>
      <c r="AG375" s="8"/>
      <c r="AH375" s="72"/>
      <c r="AI375" s="8"/>
      <c r="AJ375" s="21"/>
      <c r="AK375" s="21"/>
      <c r="AL375" s="81"/>
      <c r="AM375" s="81"/>
      <c r="AN375" s="81"/>
      <c r="AO375" s="81"/>
      <c r="AP375" s="81"/>
      <c r="AQ375" s="81"/>
      <c r="AR375" s="81"/>
      <c r="AS375" s="81"/>
      <c r="AT375" s="81"/>
    </row>
    <row r="376" ht="22.5" customHeight="1">
      <c r="A376" s="7"/>
      <c r="B376" s="7"/>
      <c r="C376" s="7"/>
      <c r="D376" s="7"/>
      <c r="E376" s="7"/>
      <c r="F376" s="7"/>
      <c r="G376" s="49"/>
      <c r="H376" s="49"/>
      <c r="I376" s="165"/>
      <c r="J376" s="108"/>
      <c r="K376" s="7"/>
      <c r="L376" s="10"/>
      <c r="M376" s="7"/>
      <c r="N376" s="7"/>
      <c r="O376" s="7"/>
      <c r="P376" s="7"/>
      <c r="Q376" s="7"/>
      <c r="R376" s="11"/>
      <c r="S376" s="7"/>
      <c r="T376" s="7"/>
      <c r="U376" s="7"/>
      <c r="V376" s="14"/>
      <c r="W376" s="217"/>
      <c r="X376" s="7"/>
      <c r="Y376" s="14"/>
      <c r="Z376" s="7"/>
      <c r="AA376" s="14"/>
      <c r="AB376" s="14"/>
      <c r="AC376" s="8"/>
      <c r="AD376" s="8"/>
      <c r="AE376" s="8"/>
      <c r="AF376" s="8"/>
      <c r="AG376" s="8"/>
      <c r="AH376" s="72"/>
      <c r="AI376" s="8"/>
      <c r="AJ376" s="21"/>
      <c r="AK376" s="21"/>
      <c r="AL376" s="81"/>
      <c r="AM376" s="81"/>
      <c r="AN376" s="81"/>
      <c r="AO376" s="81"/>
      <c r="AP376" s="81"/>
      <c r="AQ376" s="81"/>
      <c r="AR376" s="81"/>
      <c r="AS376" s="81"/>
      <c r="AT376" s="81"/>
    </row>
    <row r="377" ht="22.5" customHeight="1">
      <c r="A377" s="7"/>
      <c r="B377" s="7"/>
      <c r="C377" s="7"/>
      <c r="D377" s="7"/>
      <c r="E377" s="7"/>
      <c r="F377" s="7"/>
      <c r="G377" s="49"/>
      <c r="H377" s="49"/>
      <c r="I377" s="165"/>
      <c r="J377" s="108"/>
      <c r="K377" s="7"/>
      <c r="L377" s="10"/>
      <c r="M377" s="7"/>
      <c r="N377" s="7"/>
      <c r="O377" s="84"/>
      <c r="P377" s="7"/>
      <c r="Q377" s="7"/>
      <c r="R377" s="11"/>
      <c r="S377" s="7"/>
      <c r="T377" s="7"/>
      <c r="U377" s="7"/>
      <c r="V377" s="14"/>
      <c r="W377" s="212"/>
      <c r="X377" s="7"/>
      <c r="Y377" s="14"/>
      <c r="Z377" s="7"/>
      <c r="AA377" s="7"/>
      <c r="AB377" s="109"/>
      <c r="AC377" s="21"/>
      <c r="AD377" s="21"/>
      <c r="AE377" s="21"/>
      <c r="AF377" s="8"/>
      <c r="AG377" s="8"/>
      <c r="AH377" s="72"/>
      <c r="AI377" s="8"/>
      <c r="AJ377" s="21"/>
      <c r="AK377" s="21"/>
      <c r="AL377" s="81"/>
      <c r="AM377" s="81"/>
      <c r="AN377" s="81"/>
      <c r="AO377" s="81"/>
      <c r="AP377" s="81"/>
      <c r="AQ377" s="81"/>
      <c r="AR377" s="81"/>
      <c r="AS377" s="81"/>
      <c r="AT377" s="81"/>
    </row>
    <row r="378" ht="22.5" customHeight="1">
      <c r="A378" s="7"/>
      <c r="B378" s="7"/>
      <c r="C378" s="7"/>
      <c r="D378" s="7"/>
      <c r="E378" s="7"/>
      <c r="F378" s="7"/>
      <c r="G378" s="49"/>
      <c r="H378" s="49"/>
      <c r="I378" s="165"/>
      <c r="J378" s="108"/>
      <c r="K378" s="7"/>
      <c r="L378" s="10"/>
      <c r="M378" s="7"/>
      <c r="N378" s="7"/>
      <c r="O378" s="7"/>
      <c r="P378" s="7"/>
      <c r="Q378" s="7"/>
      <c r="R378" s="11"/>
      <c r="S378" s="7"/>
      <c r="T378" s="7"/>
      <c r="U378" s="7"/>
      <c r="V378" s="14"/>
      <c r="W378" s="217"/>
      <c r="X378" s="7"/>
      <c r="Y378" s="14"/>
      <c r="Z378" s="7"/>
      <c r="AA378" s="7"/>
      <c r="AB378" s="109"/>
      <c r="AC378" s="21"/>
      <c r="AD378" s="21"/>
      <c r="AE378" s="21"/>
      <c r="AF378" s="8"/>
      <c r="AG378" s="8"/>
      <c r="AH378" s="72"/>
      <c r="AI378" s="8"/>
      <c r="AJ378" s="21"/>
      <c r="AK378" s="21"/>
      <c r="AL378" s="81"/>
      <c r="AM378" s="81"/>
      <c r="AN378" s="81"/>
      <c r="AO378" s="81"/>
      <c r="AP378" s="81"/>
      <c r="AQ378" s="81"/>
      <c r="AR378" s="81"/>
      <c r="AS378" s="81"/>
      <c r="AT378" s="81"/>
    </row>
    <row r="379" ht="22.5" customHeight="1">
      <c r="A379" s="7"/>
      <c r="B379" s="7"/>
      <c r="C379" s="7"/>
      <c r="D379" s="7"/>
      <c r="E379" s="7"/>
      <c r="F379" s="7"/>
      <c r="G379" s="49"/>
      <c r="H379" s="49"/>
      <c r="I379" s="165"/>
      <c r="J379" s="108"/>
      <c r="K379" s="7"/>
      <c r="L379" s="10"/>
      <c r="M379" s="7"/>
      <c r="N379" s="7"/>
      <c r="O379" s="7"/>
      <c r="P379" s="7"/>
      <c r="Q379" s="7"/>
      <c r="R379" s="11"/>
      <c r="S379" s="7"/>
      <c r="T379" s="7"/>
      <c r="U379" s="7"/>
      <c r="V379" s="14"/>
      <c r="W379" s="217"/>
      <c r="X379" s="7"/>
      <c r="Y379" s="14"/>
      <c r="Z379" s="7"/>
      <c r="AA379" s="7"/>
      <c r="AB379" s="109"/>
      <c r="AC379" s="21"/>
      <c r="AD379" s="21"/>
      <c r="AE379" s="21"/>
      <c r="AF379" s="8"/>
      <c r="AG379" s="8"/>
      <c r="AH379" s="72"/>
      <c r="AI379" s="8"/>
      <c r="AJ379" s="21"/>
      <c r="AK379" s="21"/>
      <c r="AL379" s="81"/>
      <c r="AM379" s="81"/>
      <c r="AN379" s="81"/>
      <c r="AO379" s="81"/>
      <c r="AP379" s="81"/>
      <c r="AQ379" s="81"/>
      <c r="AR379" s="81"/>
      <c r="AS379" s="81"/>
      <c r="AT379" s="81"/>
    </row>
    <row r="380" ht="22.5" customHeight="1">
      <c r="A380" s="7"/>
      <c r="B380" s="7"/>
      <c r="C380" s="7"/>
      <c r="D380" s="7"/>
      <c r="E380" s="7"/>
      <c r="F380" s="7"/>
      <c r="G380" s="49"/>
      <c r="H380" s="49"/>
      <c r="I380" s="165"/>
      <c r="J380" s="108"/>
      <c r="K380" s="7"/>
      <c r="L380" s="10"/>
      <c r="M380" s="7"/>
      <c r="N380" s="7"/>
      <c r="O380" s="7"/>
      <c r="P380" s="7"/>
      <c r="Q380" s="7"/>
      <c r="R380" s="11"/>
      <c r="S380" s="7"/>
      <c r="T380" s="7"/>
      <c r="U380" s="7"/>
      <c r="V380" s="14"/>
      <c r="W380" s="217"/>
      <c r="X380" s="7"/>
      <c r="Y380" s="14"/>
      <c r="Z380" s="7"/>
      <c r="AA380" s="7"/>
      <c r="AB380" s="109"/>
      <c r="AC380" s="21"/>
      <c r="AD380" s="21"/>
      <c r="AE380" s="21"/>
      <c r="AF380" s="8"/>
      <c r="AG380" s="8"/>
      <c r="AH380" s="72"/>
      <c r="AI380" s="8"/>
      <c r="AJ380" s="21"/>
      <c r="AK380" s="21"/>
      <c r="AL380" s="81"/>
      <c r="AM380" s="81"/>
      <c r="AN380" s="81"/>
      <c r="AO380" s="81"/>
      <c r="AP380" s="81"/>
      <c r="AQ380" s="81"/>
      <c r="AR380" s="81"/>
      <c r="AS380" s="81"/>
      <c r="AT380" s="81"/>
    </row>
    <row r="381" ht="22.5" customHeight="1">
      <c r="A381" s="7"/>
      <c r="B381" s="7"/>
      <c r="C381" s="7"/>
      <c r="D381" s="7"/>
      <c r="E381" s="7"/>
      <c r="F381" s="7"/>
      <c r="G381" s="49"/>
      <c r="H381" s="49"/>
      <c r="I381" s="165"/>
      <c r="J381" s="108"/>
      <c r="K381" s="7"/>
      <c r="L381" s="10"/>
      <c r="M381" s="7"/>
      <c r="N381" s="7"/>
      <c r="O381" s="7"/>
      <c r="P381" s="7"/>
      <c r="Q381" s="7"/>
      <c r="R381" s="11"/>
      <c r="S381" s="7"/>
      <c r="T381" s="7"/>
      <c r="U381" s="7"/>
      <c r="V381" s="14"/>
      <c r="W381" s="217"/>
      <c r="X381" s="7"/>
      <c r="Y381" s="14"/>
      <c r="Z381" s="7"/>
      <c r="AA381" s="7"/>
      <c r="AB381" s="109"/>
      <c r="AC381" s="21"/>
      <c r="AD381" s="21"/>
      <c r="AE381" s="21"/>
      <c r="AF381" s="8"/>
      <c r="AG381" s="8"/>
      <c r="AH381" s="72"/>
      <c r="AI381" s="8"/>
      <c r="AJ381" s="21"/>
      <c r="AK381" s="21"/>
      <c r="AL381" s="81"/>
      <c r="AM381" s="81"/>
      <c r="AN381" s="81"/>
      <c r="AO381" s="81"/>
      <c r="AP381" s="81"/>
      <c r="AQ381" s="81"/>
      <c r="AR381" s="81"/>
      <c r="AS381" s="81"/>
      <c r="AT381" s="81"/>
    </row>
    <row r="382" ht="22.5" customHeight="1">
      <c r="A382" s="7"/>
      <c r="B382" s="7"/>
      <c r="C382" s="7"/>
      <c r="D382" s="7"/>
      <c r="E382" s="7"/>
      <c r="F382" s="7"/>
      <c r="G382" s="49"/>
      <c r="H382" s="49"/>
      <c r="I382" s="165"/>
      <c r="J382" s="108"/>
      <c r="K382" s="7"/>
      <c r="L382" s="10"/>
      <c r="M382" s="7"/>
      <c r="N382" s="7"/>
      <c r="O382" s="7"/>
      <c r="P382" s="7"/>
      <c r="Q382" s="7"/>
      <c r="R382" s="11"/>
      <c r="S382" s="7"/>
      <c r="T382" s="7"/>
      <c r="U382" s="7"/>
      <c r="V382" s="14"/>
      <c r="W382" s="217"/>
      <c r="X382" s="7"/>
      <c r="Y382" s="14"/>
      <c r="Z382" s="7"/>
      <c r="AA382" s="7"/>
      <c r="AB382" s="109"/>
      <c r="AC382" s="21"/>
      <c r="AD382" s="21"/>
      <c r="AE382" s="21"/>
      <c r="AF382" s="8"/>
      <c r="AG382" s="8"/>
      <c r="AH382" s="72"/>
      <c r="AI382" s="8"/>
      <c r="AJ382" s="21"/>
      <c r="AK382" s="21"/>
      <c r="AL382" s="81"/>
      <c r="AM382" s="81"/>
      <c r="AN382" s="81"/>
      <c r="AO382" s="81"/>
      <c r="AP382" s="81"/>
      <c r="AQ382" s="81"/>
      <c r="AR382" s="81"/>
      <c r="AS382" s="81"/>
      <c r="AT382" s="81"/>
    </row>
    <row r="383" ht="22.5" customHeight="1">
      <c r="A383" s="7"/>
      <c r="B383" s="7"/>
      <c r="C383" s="7"/>
      <c r="D383" s="7"/>
      <c r="E383" s="7"/>
      <c r="F383" s="7"/>
      <c r="G383" s="49"/>
      <c r="H383" s="49"/>
      <c r="I383" s="165"/>
      <c r="J383" s="108"/>
      <c r="K383" s="7"/>
      <c r="L383" s="10"/>
      <c r="M383" s="7"/>
      <c r="N383" s="7"/>
      <c r="O383" s="7"/>
      <c r="P383" s="7"/>
      <c r="Q383" s="7"/>
      <c r="R383" s="11"/>
      <c r="S383" s="7"/>
      <c r="T383" s="7"/>
      <c r="U383" s="7"/>
      <c r="V383" s="14"/>
      <c r="W383" s="217"/>
      <c r="X383" s="7"/>
      <c r="Y383" s="14"/>
      <c r="Z383" s="7"/>
      <c r="AA383" s="7"/>
      <c r="AB383" s="109"/>
      <c r="AC383" s="21"/>
      <c r="AD383" s="21"/>
      <c r="AE383" s="21"/>
      <c r="AF383" s="8"/>
      <c r="AG383" s="8"/>
      <c r="AH383" s="72"/>
      <c r="AI383" s="8"/>
      <c r="AJ383" s="21"/>
      <c r="AK383" s="21"/>
      <c r="AL383" s="81"/>
      <c r="AM383" s="81"/>
      <c r="AN383" s="81"/>
      <c r="AO383" s="81"/>
      <c r="AP383" s="81"/>
      <c r="AQ383" s="81"/>
      <c r="AR383" s="81"/>
      <c r="AS383" s="81"/>
      <c r="AT383" s="81"/>
    </row>
    <row r="384" ht="22.5" customHeight="1">
      <c r="A384" s="7"/>
      <c r="B384" s="7"/>
      <c r="C384" s="7"/>
      <c r="D384" s="7"/>
      <c r="E384" s="7"/>
      <c r="F384" s="7"/>
      <c r="G384" s="49"/>
      <c r="H384" s="49"/>
      <c r="I384" s="165"/>
      <c r="J384" s="108"/>
      <c r="K384" s="7"/>
      <c r="L384" s="10"/>
      <c r="M384" s="7"/>
      <c r="N384" s="7"/>
      <c r="O384" s="7"/>
      <c r="P384" s="7"/>
      <c r="Q384" s="7"/>
      <c r="R384" s="11"/>
      <c r="S384" s="7"/>
      <c r="T384" s="7"/>
      <c r="U384" s="7"/>
      <c r="V384" s="14"/>
      <c r="W384" s="217"/>
      <c r="X384" s="7"/>
      <c r="Y384" s="14"/>
      <c r="Z384" s="7"/>
      <c r="AA384" s="7"/>
      <c r="AB384" s="109"/>
      <c r="AC384" s="21"/>
      <c r="AD384" s="21"/>
      <c r="AE384" s="21"/>
      <c r="AF384" s="8"/>
      <c r="AG384" s="8"/>
      <c r="AH384" s="72"/>
      <c r="AI384" s="8"/>
      <c r="AJ384" s="21"/>
      <c r="AK384" s="21"/>
      <c r="AL384" s="81"/>
      <c r="AM384" s="81"/>
      <c r="AN384" s="81"/>
      <c r="AO384" s="81"/>
      <c r="AP384" s="81"/>
      <c r="AQ384" s="81"/>
      <c r="AR384" s="81"/>
      <c r="AS384" s="81"/>
      <c r="AT384" s="81"/>
    </row>
    <row r="385" ht="22.5" customHeight="1">
      <c r="A385" s="7"/>
      <c r="B385" s="7"/>
      <c r="C385" s="7"/>
      <c r="D385" s="7"/>
      <c r="E385" s="7"/>
      <c r="F385" s="7"/>
      <c r="G385" s="49"/>
      <c r="H385" s="49"/>
      <c r="I385" s="165"/>
      <c r="J385" s="108"/>
      <c r="K385" s="7"/>
      <c r="L385" s="10"/>
      <c r="M385" s="7"/>
      <c r="N385" s="7"/>
      <c r="O385" s="7"/>
      <c r="P385" s="7"/>
      <c r="Q385" s="7"/>
      <c r="R385" s="11"/>
      <c r="S385" s="7"/>
      <c r="T385" s="7"/>
      <c r="U385" s="7"/>
      <c r="V385" s="14"/>
      <c r="W385" s="217"/>
      <c r="X385" s="7"/>
      <c r="Y385" s="14"/>
      <c r="Z385" s="7"/>
      <c r="AA385" s="7"/>
      <c r="AB385" s="109"/>
      <c r="AC385" s="21"/>
      <c r="AD385" s="21"/>
      <c r="AE385" s="21"/>
      <c r="AF385" s="8"/>
      <c r="AG385" s="8"/>
      <c r="AH385" s="72"/>
      <c r="AI385" s="8"/>
      <c r="AJ385" s="21"/>
      <c r="AK385" s="21"/>
      <c r="AL385" s="81"/>
      <c r="AM385" s="81"/>
      <c r="AN385" s="81"/>
      <c r="AO385" s="81"/>
      <c r="AP385" s="81"/>
      <c r="AQ385" s="81"/>
      <c r="AR385" s="81"/>
      <c r="AS385" s="81"/>
      <c r="AT385" s="81"/>
    </row>
    <row r="386" ht="22.5" customHeight="1">
      <c r="A386" s="7"/>
      <c r="B386" s="7"/>
      <c r="C386" s="7"/>
      <c r="D386" s="7"/>
      <c r="E386" s="7"/>
      <c r="F386" s="7"/>
      <c r="G386" s="49"/>
      <c r="H386" s="49"/>
      <c r="I386" s="165"/>
      <c r="J386" s="108"/>
      <c r="K386" s="7"/>
      <c r="L386" s="10"/>
      <c r="M386" s="7"/>
      <c r="N386" s="7"/>
      <c r="O386" s="7"/>
      <c r="P386" s="7"/>
      <c r="Q386" s="7"/>
      <c r="R386" s="11"/>
      <c r="S386" s="7"/>
      <c r="T386" s="7"/>
      <c r="U386" s="7"/>
      <c r="V386" s="14"/>
      <c r="W386" s="217"/>
      <c r="X386" s="7"/>
      <c r="Y386" s="14"/>
      <c r="Z386" s="7"/>
      <c r="AA386" s="7"/>
      <c r="AB386" s="109"/>
      <c r="AC386" s="21"/>
      <c r="AD386" s="21"/>
      <c r="AE386" s="21"/>
      <c r="AF386" s="8"/>
      <c r="AG386" s="8"/>
      <c r="AH386" s="72"/>
      <c r="AI386" s="8"/>
      <c r="AJ386" s="21"/>
      <c r="AK386" s="21"/>
      <c r="AL386" s="81"/>
      <c r="AM386" s="81"/>
      <c r="AN386" s="81"/>
      <c r="AO386" s="81"/>
      <c r="AP386" s="81"/>
      <c r="AQ386" s="81"/>
      <c r="AR386" s="81"/>
      <c r="AS386" s="81"/>
      <c r="AT386" s="81"/>
    </row>
    <row r="387" ht="22.5" customHeight="1">
      <c r="A387" s="7"/>
      <c r="B387" s="7"/>
      <c r="C387" s="7"/>
      <c r="D387" s="7"/>
      <c r="E387" s="7"/>
      <c r="F387" s="7"/>
      <c r="G387" s="49"/>
      <c r="H387" s="49"/>
      <c r="I387" s="165"/>
      <c r="J387" s="108"/>
      <c r="K387" s="7"/>
      <c r="L387" s="10"/>
      <c r="M387" s="7"/>
      <c r="N387" s="7"/>
      <c r="O387" s="84"/>
      <c r="P387" s="7"/>
      <c r="Q387" s="7"/>
      <c r="R387" s="11"/>
      <c r="S387" s="7"/>
      <c r="T387" s="7"/>
      <c r="U387" s="7"/>
      <c r="V387" s="14"/>
      <c r="W387" s="212"/>
      <c r="X387" s="7"/>
      <c r="Y387" s="14"/>
      <c r="Z387" s="7"/>
      <c r="AA387" s="7"/>
      <c r="AB387" s="109"/>
      <c r="AC387" s="21"/>
      <c r="AD387" s="21"/>
      <c r="AE387" s="21"/>
      <c r="AF387" s="8"/>
      <c r="AG387" s="8"/>
      <c r="AH387" s="72"/>
      <c r="AI387" s="8"/>
      <c r="AJ387" s="21"/>
      <c r="AK387" s="21"/>
      <c r="AL387" s="81"/>
      <c r="AM387" s="81"/>
      <c r="AN387" s="81"/>
      <c r="AO387" s="81"/>
      <c r="AP387" s="81"/>
      <c r="AQ387" s="81"/>
      <c r="AR387" s="81"/>
      <c r="AS387" s="81"/>
      <c r="AT387" s="81"/>
    </row>
    <row r="388" ht="22.5" customHeight="1">
      <c r="A388" s="7"/>
      <c r="B388" s="7"/>
      <c r="C388" s="7"/>
      <c r="D388" s="7"/>
      <c r="E388" s="7"/>
      <c r="F388" s="7"/>
      <c r="G388" s="49"/>
      <c r="H388" s="49"/>
      <c r="I388" s="51"/>
      <c r="J388" s="108"/>
      <c r="K388" s="7"/>
      <c r="L388" s="10"/>
      <c r="M388" s="7"/>
      <c r="N388" s="7"/>
      <c r="O388" s="84"/>
      <c r="P388" s="7"/>
      <c r="Q388" s="7"/>
      <c r="R388" s="78"/>
      <c r="S388" s="85"/>
      <c r="T388" s="7"/>
      <c r="U388" s="7"/>
      <c r="V388" s="14"/>
      <c r="W388" s="13"/>
      <c r="X388" s="14"/>
      <c r="Y388" s="14"/>
      <c r="Z388" s="43"/>
      <c r="AA388" s="14"/>
      <c r="AB388" s="14"/>
      <c r="AC388" s="8"/>
      <c r="AD388" s="8"/>
      <c r="AE388" s="8"/>
      <c r="AF388" s="8"/>
      <c r="AG388" s="8"/>
      <c r="AH388" s="72"/>
      <c r="AI388" s="8"/>
      <c r="AJ388" s="21"/>
      <c r="AK388" s="21"/>
      <c r="AL388" s="81"/>
      <c r="AM388" s="81"/>
      <c r="AN388" s="81"/>
      <c r="AO388" s="81"/>
      <c r="AP388" s="81"/>
      <c r="AQ388" s="81"/>
      <c r="AR388" s="81"/>
      <c r="AS388" s="81"/>
      <c r="AT388" s="81"/>
    </row>
    <row r="389" ht="22.5" customHeight="1">
      <c r="A389" s="7"/>
      <c r="B389" s="229"/>
      <c r="C389" s="7"/>
      <c r="D389" s="7"/>
      <c r="E389" s="7"/>
      <c r="F389" s="7"/>
      <c r="G389" s="49"/>
      <c r="H389" s="49"/>
      <c r="I389" s="165"/>
      <c r="J389" s="108"/>
      <c r="K389" s="7"/>
      <c r="L389" s="10"/>
      <c r="M389" s="7"/>
      <c r="N389" s="7"/>
      <c r="O389" s="84"/>
      <c r="P389" s="7"/>
      <c r="Q389" s="7"/>
      <c r="R389" s="11"/>
      <c r="S389" s="7"/>
      <c r="T389" s="7"/>
      <c r="U389" s="7"/>
      <c r="V389" s="14"/>
      <c r="W389" s="212"/>
      <c r="X389" s="7"/>
      <c r="Y389" s="14"/>
      <c r="Z389" s="7"/>
      <c r="AA389" s="7"/>
      <c r="AB389" s="7"/>
      <c r="AC389" s="21"/>
      <c r="AD389" s="21"/>
      <c r="AE389" s="21"/>
      <c r="AF389" s="8"/>
      <c r="AG389" s="8"/>
      <c r="AH389" s="72"/>
      <c r="AI389" s="8"/>
      <c r="AJ389" s="21"/>
      <c r="AK389" s="21"/>
      <c r="AL389" s="81"/>
      <c r="AM389" s="81"/>
      <c r="AN389" s="81"/>
      <c r="AO389" s="81"/>
      <c r="AP389" s="81"/>
      <c r="AQ389" s="81"/>
      <c r="AR389" s="81"/>
      <c r="AS389" s="81"/>
      <c r="AT389" s="81"/>
    </row>
    <row r="390" ht="22.5" customHeight="1">
      <c r="A390" s="7"/>
      <c r="B390" s="7"/>
      <c r="C390" s="7"/>
      <c r="D390" s="7"/>
      <c r="E390" s="7"/>
      <c r="F390" s="7"/>
      <c r="G390" s="49"/>
      <c r="H390" s="49"/>
      <c r="I390" s="165"/>
      <c r="J390" s="108"/>
      <c r="K390" s="7"/>
      <c r="L390" s="10"/>
      <c r="M390" s="7"/>
      <c r="N390" s="7"/>
      <c r="O390" s="227"/>
      <c r="P390" s="7"/>
      <c r="Q390" s="7"/>
      <c r="R390" s="11"/>
      <c r="S390" s="7"/>
      <c r="T390" s="7"/>
      <c r="U390" s="7"/>
      <c r="V390" s="14"/>
      <c r="W390" s="212"/>
      <c r="X390" s="7"/>
      <c r="Y390" s="14"/>
      <c r="Z390" s="7"/>
      <c r="AA390" s="7"/>
      <c r="AB390" s="7"/>
      <c r="AC390" s="21"/>
      <c r="AD390" s="21"/>
      <c r="AE390" s="21"/>
      <c r="AF390" s="8"/>
      <c r="AG390" s="8"/>
      <c r="AH390" s="72"/>
      <c r="AI390" s="8"/>
      <c r="AJ390" s="21"/>
      <c r="AK390" s="21"/>
      <c r="AL390" s="81"/>
      <c r="AM390" s="81"/>
      <c r="AN390" s="81"/>
      <c r="AO390" s="81"/>
      <c r="AP390" s="81"/>
      <c r="AQ390" s="81"/>
      <c r="AR390" s="81"/>
      <c r="AS390" s="81"/>
      <c r="AT390" s="81"/>
    </row>
    <row r="391" ht="22.5" customHeight="1">
      <c r="A391" s="7"/>
      <c r="B391" s="7"/>
      <c r="C391" s="7"/>
      <c r="D391" s="7"/>
      <c r="E391" s="7"/>
      <c r="F391" s="7"/>
      <c r="G391" s="49"/>
      <c r="H391" s="49"/>
      <c r="I391" s="165"/>
      <c r="J391" s="108"/>
      <c r="K391" s="7"/>
      <c r="L391" s="10"/>
      <c r="M391" s="7"/>
      <c r="N391" s="7"/>
      <c r="O391" s="7"/>
      <c r="P391" s="7"/>
      <c r="Q391" s="7"/>
      <c r="R391" s="11"/>
      <c r="S391" s="7"/>
      <c r="T391" s="7"/>
      <c r="U391" s="7"/>
      <c r="V391" s="14"/>
      <c r="W391" s="212"/>
      <c r="X391" s="7"/>
      <c r="Y391" s="14"/>
      <c r="Z391" s="7"/>
      <c r="AA391" s="7"/>
      <c r="AB391" s="7"/>
      <c r="AC391" s="21"/>
      <c r="AD391" s="21"/>
      <c r="AE391" s="21"/>
      <c r="AF391" s="8"/>
      <c r="AG391" s="8"/>
      <c r="AH391" s="72"/>
      <c r="AI391" s="8"/>
      <c r="AJ391" s="21"/>
      <c r="AK391" s="21"/>
      <c r="AL391" s="81"/>
      <c r="AM391" s="81"/>
      <c r="AN391" s="81"/>
      <c r="AO391" s="81"/>
      <c r="AP391" s="81"/>
      <c r="AQ391" s="81"/>
      <c r="AR391" s="81"/>
      <c r="AS391" s="81"/>
      <c r="AT391" s="81"/>
    </row>
    <row r="392" ht="22.5" customHeight="1">
      <c r="A392" s="7"/>
      <c r="B392" s="7"/>
      <c r="C392" s="7"/>
      <c r="D392" s="7"/>
      <c r="E392" s="7"/>
      <c r="F392" s="7"/>
      <c r="G392" s="49"/>
      <c r="H392" s="49"/>
      <c r="I392" s="165"/>
      <c r="J392" s="108"/>
      <c r="K392" s="7"/>
      <c r="L392" s="10"/>
      <c r="M392" s="7"/>
      <c r="N392" s="7"/>
      <c r="O392" s="7"/>
      <c r="P392" s="7"/>
      <c r="Q392" s="7"/>
      <c r="R392" s="11"/>
      <c r="S392" s="7"/>
      <c r="T392" s="7"/>
      <c r="U392" s="7"/>
      <c r="V392" s="14"/>
      <c r="W392" s="212"/>
      <c r="X392" s="7"/>
      <c r="Y392" s="14"/>
      <c r="Z392" s="7"/>
      <c r="AA392" s="7"/>
      <c r="AB392" s="7"/>
      <c r="AC392" s="21"/>
      <c r="AD392" s="21"/>
      <c r="AE392" s="21"/>
      <c r="AF392" s="8"/>
      <c r="AG392" s="8"/>
      <c r="AH392" s="72"/>
      <c r="AI392" s="8"/>
      <c r="AJ392" s="21"/>
      <c r="AK392" s="21"/>
      <c r="AL392" s="81"/>
      <c r="AM392" s="81"/>
      <c r="AN392" s="81"/>
      <c r="AO392" s="81"/>
      <c r="AP392" s="81"/>
      <c r="AQ392" s="81"/>
      <c r="AR392" s="81"/>
      <c r="AS392" s="81"/>
      <c r="AT392" s="81"/>
    </row>
    <row r="393" ht="22.5" customHeight="1">
      <c r="A393" s="7"/>
      <c r="B393" s="7"/>
      <c r="C393" s="7"/>
      <c r="D393" s="7"/>
      <c r="E393" s="7"/>
      <c r="F393" s="7"/>
      <c r="G393" s="49"/>
      <c r="H393" s="49"/>
      <c r="I393" s="165"/>
      <c r="J393" s="108"/>
      <c r="K393" s="7"/>
      <c r="L393" s="10"/>
      <c r="M393" s="7"/>
      <c r="N393" s="7"/>
      <c r="O393" s="7"/>
      <c r="P393" s="7"/>
      <c r="Q393" s="7"/>
      <c r="R393" s="11"/>
      <c r="S393" s="7"/>
      <c r="T393" s="7"/>
      <c r="U393" s="7"/>
      <c r="V393" s="14"/>
      <c r="W393" s="217"/>
      <c r="X393" s="7"/>
      <c r="Y393" s="14"/>
      <c r="Z393" s="7"/>
      <c r="AA393" s="7"/>
      <c r="AB393" s="109"/>
      <c r="AC393" s="21"/>
      <c r="AD393" s="21"/>
      <c r="AE393" s="21"/>
      <c r="AF393" s="8"/>
      <c r="AG393" s="8"/>
      <c r="AH393" s="72"/>
      <c r="AI393" s="8"/>
      <c r="AJ393" s="21"/>
      <c r="AK393" s="21"/>
      <c r="AL393" s="81"/>
      <c r="AM393" s="81"/>
      <c r="AN393" s="81"/>
      <c r="AO393" s="81"/>
      <c r="AP393" s="81"/>
      <c r="AQ393" s="81"/>
      <c r="AR393" s="81"/>
      <c r="AS393" s="81"/>
      <c r="AT393" s="81"/>
    </row>
    <row r="394" ht="22.5" customHeight="1">
      <c r="A394" s="7"/>
      <c r="B394" s="7"/>
      <c r="C394" s="7"/>
      <c r="D394" s="7"/>
      <c r="E394" s="7"/>
      <c r="F394" s="7"/>
      <c r="G394" s="49"/>
      <c r="H394" s="49"/>
      <c r="I394" s="165"/>
      <c r="J394" s="108"/>
      <c r="K394" s="7"/>
      <c r="L394" s="10"/>
      <c r="M394" s="7"/>
      <c r="N394" s="7"/>
      <c r="O394" s="7"/>
      <c r="P394" s="7"/>
      <c r="Q394" s="7"/>
      <c r="R394" s="11"/>
      <c r="S394" s="7"/>
      <c r="T394" s="7"/>
      <c r="U394" s="7"/>
      <c r="V394" s="14"/>
      <c r="W394" s="217"/>
      <c r="X394" s="7"/>
      <c r="Y394" s="14"/>
      <c r="Z394" s="7"/>
      <c r="AA394" s="7"/>
      <c r="AB394" s="109"/>
      <c r="AC394" s="21"/>
      <c r="AD394" s="21"/>
      <c r="AE394" s="21"/>
      <c r="AF394" s="8"/>
      <c r="AG394" s="8"/>
      <c r="AH394" s="72"/>
      <c r="AI394" s="8"/>
      <c r="AJ394" s="21"/>
      <c r="AK394" s="21"/>
      <c r="AL394" s="81"/>
      <c r="AM394" s="81"/>
      <c r="AN394" s="81"/>
      <c r="AO394" s="81"/>
      <c r="AP394" s="81"/>
      <c r="AQ394" s="81"/>
      <c r="AR394" s="81"/>
      <c r="AS394" s="81"/>
      <c r="AT394" s="81"/>
    </row>
    <row r="395" ht="22.5" customHeight="1">
      <c r="A395" s="7"/>
      <c r="B395" s="7"/>
      <c r="C395" s="7"/>
      <c r="D395" s="7"/>
      <c r="E395" s="7"/>
      <c r="F395" s="7"/>
      <c r="G395" s="49"/>
      <c r="H395" s="49"/>
      <c r="I395" s="165"/>
      <c r="J395" s="108"/>
      <c r="K395" s="7"/>
      <c r="L395" s="10"/>
      <c r="M395" s="7"/>
      <c r="N395" s="7"/>
      <c r="O395" s="7"/>
      <c r="P395" s="7"/>
      <c r="Q395" s="7"/>
      <c r="R395" s="11"/>
      <c r="S395" s="7"/>
      <c r="T395" s="7"/>
      <c r="U395" s="7"/>
      <c r="V395" s="14"/>
      <c r="W395" s="217"/>
      <c r="X395" s="7"/>
      <c r="Y395" s="14"/>
      <c r="Z395" s="7"/>
      <c r="AA395" s="7"/>
      <c r="AB395" s="109"/>
      <c r="AC395" s="21"/>
      <c r="AD395" s="21"/>
      <c r="AE395" s="21"/>
      <c r="AF395" s="8"/>
      <c r="AG395" s="8"/>
      <c r="AH395" s="72"/>
      <c r="AI395" s="8"/>
      <c r="AJ395" s="21"/>
      <c r="AK395" s="21"/>
      <c r="AL395" s="81"/>
      <c r="AM395" s="81"/>
      <c r="AN395" s="81"/>
      <c r="AO395" s="81"/>
      <c r="AP395" s="81"/>
      <c r="AQ395" s="81"/>
      <c r="AR395" s="81"/>
      <c r="AS395" s="81"/>
      <c r="AT395" s="81"/>
    </row>
    <row r="396" ht="22.5" customHeight="1">
      <c r="A396" s="7"/>
      <c r="B396" s="7"/>
      <c r="C396" s="7"/>
      <c r="D396" s="7"/>
      <c r="E396" s="7"/>
      <c r="F396" s="7"/>
      <c r="G396" s="149"/>
      <c r="H396" s="149"/>
      <c r="I396" s="230"/>
      <c r="J396" s="108"/>
      <c r="K396" s="7"/>
      <c r="L396" s="10"/>
      <c r="M396" s="7"/>
      <c r="N396" s="7"/>
      <c r="O396" s="227"/>
      <c r="P396" s="7"/>
      <c r="Q396" s="7"/>
      <c r="R396" s="11"/>
      <c r="S396" s="7"/>
      <c r="T396" s="7"/>
      <c r="U396" s="7"/>
      <c r="V396" s="14"/>
      <c r="W396" s="217"/>
      <c r="X396" s="7"/>
      <c r="Y396" s="14"/>
      <c r="Z396" s="7"/>
      <c r="AA396" s="7"/>
      <c r="AB396" s="109"/>
      <c r="AC396" s="21"/>
      <c r="AD396" s="21"/>
      <c r="AE396" s="21"/>
      <c r="AF396" s="8"/>
      <c r="AG396" s="8"/>
      <c r="AH396" s="72"/>
      <c r="AI396" s="8"/>
      <c r="AJ396" s="21"/>
      <c r="AK396" s="21"/>
      <c r="AL396" s="81"/>
      <c r="AM396" s="81"/>
      <c r="AN396" s="81"/>
      <c r="AO396" s="81"/>
      <c r="AP396" s="81"/>
      <c r="AQ396" s="81"/>
      <c r="AR396" s="81"/>
      <c r="AS396" s="81"/>
      <c r="AT396" s="81"/>
    </row>
    <row r="397" ht="22.5" customHeight="1">
      <c r="A397" s="7"/>
      <c r="B397" s="7"/>
      <c r="C397" s="7"/>
      <c r="D397" s="7"/>
      <c r="E397" s="7"/>
      <c r="F397" s="7"/>
      <c r="G397" s="149"/>
      <c r="H397" s="149"/>
      <c r="I397" s="230"/>
      <c r="J397" s="108"/>
      <c r="K397" s="7"/>
      <c r="L397" s="10"/>
      <c r="M397" s="7"/>
      <c r="N397" s="7"/>
      <c r="O397" s="227"/>
      <c r="P397" s="7"/>
      <c r="Q397" s="7"/>
      <c r="R397" s="11"/>
      <c r="S397" s="7"/>
      <c r="T397" s="7"/>
      <c r="U397" s="7"/>
      <c r="V397" s="14"/>
      <c r="W397" s="217"/>
      <c r="X397" s="7"/>
      <c r="Y397" s="14"/>
      <c r="Z397" s="7"/>
      <c r="AA397" s="7"/>
      <c r="AB397" s="109"/>
      <c r="AC397" s="21"/>
      <c r="AD397" s="21"/>
      <c r="AE397" s="21"/>
      <c r="AF397" s="8"/>
      <c r="AG397" s="8"/>
      <c r="AH397" s="72"/>
      <c r="AI397" s="8"/>
      <c r="AJ397" s="21"/>
      <c r="AK397" s="21"/>
      <c r="AL397" s="81"/>
      <c r="AM397" s="81"/>
      <c r="AN397" s="81"/>
      <c r="AO397" s="81"/>
      <c r="AP397" s="81"/>
      <c r="AQ397" s="81"/>
      <c r="AR397" s="81"/>
      <c r="AS397" s="81"/>
      <c r="AT397" s="81"/>
    </row>
    <row r="398" ht="22.5" customHeight="1">
      <c r="A398" s="7"/>
      <c r="B398" s="7"/>
      <c r="C398" s="7"/>
      <c r="D398" s="7"/>
      <c r="E398" s="7"/>
      <c r="F398" s="7"/>
      <c r="G398" s="149"/>
      <c r="H398" s="49"/>
      <c r="I398" s="230"/>
      <c r="J398" s="108"/>
      <c r="K398" s="7"/>
      <c r="L398" s="10"/>
      <c r="M398" s="7"/>
      <c r="N398" s="55"/>
      <c r="O398" s="227"/>
      <c r="P398" s="7"/>
      <c r="Q398" s="7"/>
      <c r="R398" s="11"/>
      <c r="S398" s="7"/>
      <c r="T398" s="7"/>
      <c r="U398" s="7"/>
      <c r="V398" s="14"/>
      <c r="W398" s="212"/>
      <c r="X398" s="7"/>
      <c r="Y398" s="14"/>
      <c r="Z398" s="7"/>
      <c r="AA398" s="7"/>
      <c r="AB398" s="109"/>
      <c r="AC398" s="21"/>
      <c r="AD398" s="21"/>
      <c r="AE398" s="21"/>
      <c r="AF398" s="8"/>
      <c r="AG398" s="8"/>
      <c r="AH398" s="72"/>
      <c r="AI398" s="8"/>
      <c r="AJ398" s="21"/>
      <c r="AK398" s="21"/>
      <c r="AL398" s="81"/>
      <c r="AM398" s="81"/>
      <c r="AN398" s="81"/>
      <c r="AO398" s="81"/>
      <c r="AP398" s="81"/>
      <c r="AQ398" s="81"/>
      <c r="AR398" s="81"/>
      <c r="AS398" s="81"/>
      <c r="AT398" s="81"/>
    </row>
    <row r="399" ht="22.5" customHeight="1">
      <c r="A399" s="7"/>
      <c r="B399" s="7"/>
      <c r="C399" s="7"/>
      <c r="D399" s="7"/>
      <c r="E399" s="7"/>
      <c r="F399" s="7"/>
      <c r="G399" s="149"/>
      <c r="H399" s="49"/>
      <c r="I399" s="111"/>
      <c r="J399" s="9"/>
      <c r="K399" s="7"/>
      <c r="L399" s="10"/>
      <c r="M399" s="7"/>
      <c r="N399" s="7"/>
      <c r="O399" s="227"/>
      <c r="P399" s="14"/>
      <c r="Q399" s="7"/>
      <c r="R399" s="78"/>
      <c r="S399" s="7"/>
      <c r="T399" s="7"/>
      <c r="U399" s="7"/>
      <c r="V399" s="14"/>
      <c r="W399" s="13"/>
      <c r="X399" s="14"/>
      <c r="Y399" s="14"/>
      <c r="Z399" s="43"/>
      <c r="AA399" s="14"/>
      <c r="AB399" s="14"/>
      <c r="AC399" s="8"/>
      <c r="AD399" s="8"/>
      <c r="AE399" s="8"/>
      <c r="AF399" s="8"/>
      <c r="AG399" s="8"/>
      <c r="AH399" s="72"/>
      <c r="AI399" s="8"/>
      <c r="AJ399" s="21"/>
      <c r="AK399" s="110"/>
      <c r="AL399" s="81"/>
      <c r="AM399" s="81"/>
      <c r="AN399" s="81"/>
      <c r="AO399" s="81"/>
      <c r="AP399" s="81"/>
      <c r="AQ399" s="81"/>
      <c r="AR399" s="81"/>
      <c r="AS399" s="81"/>
      <c r="AT399" s="81"/>
    </row>
    <row r="400" ht="22.5" customHeight="1">
      <c r="A400" s="7"/>
      <c r="B400" s="231"/>
      <c r="C400" s="7"/>
      <c r="D400" s="7"/>
      <c r="E400" s="7"/>
      <c r="F400" s="7"/>
      <c r="G400" s="49"/>
      <c r="H400" s="49"/>
      <c r="I400" s="165"/>
      <c r="J400" s="108"/>
      <c r="K400" s="7"/>
      <c r="L400" s="10"/>
      <c r="M400" s="7"/>
      <c r="N400" s="55"/>
      <c r="O400" s="56"/>
      <c r="P400" s="7"/>
      <c r="Q400" s="7"/>
      <c r="R400" s="11"/>
      <c r="S400" s="7"/>
      <c r="T400" s="7"/>
      <c r="U400" s="7"/>
      <c r="V400" s="14"/>
      <c r="W400" s="212"/>
      <c r="X400" s="7"/>
      <c r="Y400" s="14"/>
      <c r="Z400" s="232"/>
      <c r="AA400" s="7"/>
      <c r="AB400" s="109"/>
      <c r="AC400" s="21"/>
      <c r="AD400" s="21"/>
      <c r="AE400" s="21"/>
      <c r="AF400" s="8"/>
      <c r="AG400" s="8"/>
      <c r="AH400" s="72"/>
      <c r="AI400" s="8"/>
      <c r="AJ400" s="21"/>
      <c r="AK400" s="21"/>
      <c r="AL400" s="81"/>
      <c r="AM400" s="81"/>
      <c r="AN400" s="81"/>
      <c r="AO400" s="81"/>
      <c r="AP400" s="81"/>
      <c r="AQ400" s="81"/>
      <c r="AR400" s="81"/>
      <c r="AS400" s="81"/>
      <c r="AT400" s="81"/>
    </row>
    <row r="401" ht="22.5" customHeight="1">
      <c r="A401" s="77"/>
      <c r="B401" s="77"/>
      <c r="C401" s="77"/>
      <c r="D401" s="77"/>
      <c r="E401" s="77"/>
      <c r="F401" s="7"/>
      <c r="G401" s="49"/>
      <c r="H401" s="49"/>
      <c r="I401" s="165"/>
      <c r="J401" s="108"/>
      <c r="K401" s="7"/>
      <c r="L401" s="10"/>
      <c r="M401" s="7"/>
      <c r="N401" s="55"/>
      <c r="O401" s="56"/>
      <c r="P401" s="7"/>
      <c r="Q401" s="7"/>
      <c r="R401" s="11"/>
      <c r="S401" s="7"/>
      <c r="T401" s="7"/>
      <c r="U401" s="7"/>
      <c r="V401" s="14"/>
      <c r="W401" s="212"/>
      <c r="X401" s="7"/>
      <c r="Y401" s="14"/>
      <c r="Z401" s="232"/>
      <c r="AA401" s="7"/>
      <c r="AB401" s="109"/>
      <c r="AC401" s="21"/>
      <c r="AD401" s="21"/>
      <c r="AE401" s="21"/>
      <c r="AF401" s="8"/>
      <c r="AG401" s="8"/>
      <c r="AH401" s="72"/>
      <c r="AI401" s="8"/>
      <c r="AJ401" s="21"/>
      <c r="AK401" s="21"/>
      <c r="AL401" s="81"/>
      <c r="AM401" s="81"/>
      <c r="AN401" s="81"/>
      <c r="AO401" s="81"/>
      <c r="AP401" s="81"/>
      <c r="AQ401" s="81"/>
      <c r="AR401" s="81"/>
      <c r="AS401" s="81"/>
      <c r="AT401" s="81"/>
    </row>
    <row r="402" ht="22.5" customHeight="1">
      <c r="A402" s="7"/>
      <c r="B402" s="7"/>
      <c r="C402" s="7"/>
      <c r="D402" s="7"/>
      <c r="E402" s="7"/>
      <c r="F402" s="7"/>
      <c r="G402" s="149"/>
      <c r="H402" s="49"/>
      <c r="I402" s="111"/>
      <c r="J402" s="108"/>
      <c r="K402" s="7"/>
      <c r="L402" s="10"/>
      <c r="M402" s="7"/>
      <c r="N402" s="7"/>
      <c r="O402" s="7"/>
      <c r="P402" s="14"/>
      <c r="Q402" s="7"/>
      <c r="R402" s="11"/>
      <c r="S402" s="7"/>
      <c r="T402" s="7"/>
      <c r="U402" s="7"/>
      <c r="V402" s="14"/>
      <c r="W402" s="29"/>
      <c r="X402" s="14"/>
      <c r="Y402" s="14"/>
      <c r="Z402" s="7"/>
      <c r="AA402" s="14"/>
      <c r="AB402" s="109"/>
      <c r="AC402" s="21"/>
      <c r="AD402" s="21"/>
      <c r="AE402" s="21"/>
      <c r="AF402" s="8"/>
      <c r="AG402" s="8"/>
      <c r="AH402" s="72"/>
      <c r="AI402" s="8"/>
      <c r="AJ402" s="21"/>
      <c r="AK402" s="110"/>
      <c r="AL402" s="81"/>
      <c r="AM402" s="81"/>
      <c r="AN402" s="81"/>
      <c r="AO402" s="81"/>
      <c r="AP402" s="81"/>
      <c r="AQ402" s="81"/>
      <c r="AR402" s="81"/>
      <c r="AS402" s="81"/>
      <c r="AT402" s="81"/>
    </row>
    <row r="403" ht="22.5" customHeight="1">
      <c r="A403" s="106"/>
      <c r="B403" s="106"/>
      <c r="C403" s="7"/>
      <c r="D403" s="7"/>
      <c r="E403" s="7"/>
      <c r="F403" s="7"/>
      <c r="G403" s="149"/>
      <c r="H403" s="49"/>
      <c r="I403" s="230"/>
      <c r="J403" s="108"/>
      <c r="K403" s="106"/>
      <c r="L403" s="10"/>
      <c r="M403" s="7"/>
      <c r="N403" s="7"/>
      <c r="O403" s="7"/>
      <c r="P403" s="7"/>
      <c r="Q403" s="7"/>
      <c r="R403" s="11"/>
      <c r="S403" s="7"/>
      <c r="T403" s="7"/>
      <c r="U403" s="7"/>
      <c r="V403" s="14"/>
      <c r="W403" s="212"/>
      <c r="X403" s="7"/>
      <c r="Y403" s="14"/>
      <c r="Z403" s="7"/>
      <c r="AA403" s="7"/>
      <c r="AB403" s="109"/>
      <c r="AC403" s="21"/>
      <c r="AD403" s="21"/>
      <c r="AE403" s="21"/>
      <c r="AF403" s="8"/>
      <c r="AG403" s="8"/>
      <c r="AH403" s="72"/>
      <c r="AI403" s="8"/>
      <c r="AJ403" s="21"/>
      <c r="AK403" s="21"/>
      <c r="AL403" s="81"/>
      <c r="AM403" s="81"/>
      <c r="AN403" s="81"/>
      <c r="AO403" s="81"/>
      <c r="AP403" s="81"/>
      <c r="AQ403" s="81"/>
      <c r="AR403" s="81"/>
      <c r="AS403" s="81"/>
      <c r="AT403" s="81"/>
    </row>
    <row r="404" ht="22.5" customHeight="1">
      <c r="A404" s="7"/>
      <c r="B404" s="7"/>
      <c r="C404" s="7"/>
      <c r="D404" s="7"/>
      <c r="E404" s="7"/>
      <c r="F404" s="7"/>
      <c r="G404" s="149"/>
      <c r="H404" s="49"/>
      <c r="I404" s="230"/>
      <c r="J404" s="108"/>
      <c r="K404" s="7"/>
      <c r="L404" s="10"/>
      <c r="M404" s="7"/>
      <c r="N404" s="7"/>
      <c r="O404" s="7"/>
      <c r="P404" s="7"/>
      <c r="Q404" s="7"/>
      <c r="R404" s="11"/>
      <c r="S404" s="7"/>
      <c r="T404" s="7"/>
      <c r="U404" s="7"/>
      <c r="V404" s="14"/>
      <c r="W404" s="212"/>
      <c r="X404" s="7"/>
      <c r="Y404" s="14"/>
      <c r="Z404" s="7"/>
      <c r="AA404" s="7"/>
      <c r="AB404" s="109"/>
      <c r="AC404" s="21"/>
      <c r="AD404" s="21"/>
      <c r="AE404" s="21"/>
      <c r="AF404" s="8"/>
      <c r="AG404" s="8"/>
      <c r="AH404" s="72"/>
      <c r="AI404" s="8"/>
      <c r="AJ404" s="21"/>
      <c r="AK404" s="21"/>
      <c r="AL404" s="81"/>
      <c r="AM404" s="81"/>
      <c r="AN404" s="81"/>
      <c r="AO404" s="81"/>
      <c r="AP404" s="81"/>
      <c r="AQ404" s="81"/>
      <c r="AR404" s="81"/>
      <c r="AS404" s="81"/>
      <c r="AT404" s="81"/>
    </row>
    <row r="405" ht="22.5" customHeight="1">
      <c r="A405" s="7"/>
      <c r="B405" s="7"/>
      <c r="C405" s="7"/>
      <c r="D405" s="7"/>
      <c r="E405" s="7"/>
      <c r="F405" s="7"/>
      <c r="G405" s="149"/>
      <c r="H405" s="49"/>
      <c r="I405" s="111"/>
      <c r="J405" s="108"/>
      <c r="K405" s="7"/>
      <c r="L405" s="10"/>
      <c r="M405" s="7"/>
      <c r="N405" s="7"/>
      <c r="O405" s="233"/>
      <c r="P405" s="14"/>
      <c r="Q405" s="7"/>
      <c r="R405" s="11"/>
      <c r="S405" s="7"/>
      <c r="T405" s="7"/>
      <c r="U405" s="7"/>
      <c r="V405" s="14"/>
      <c r="W405" s="29"/>
      <c r="X405" s="14"/>
      <c r="Y405" s="14"/>
      <c r="Z405" s="7"/>
      <c r="AA405" s="14"/>
      <c r="AB405" s="109"/>
      <c r="AC405" s="21"/>
      <c r="AD405" s="21"/>
      <c r="AE405" s="21"/>
      <c r="AF405" s="8"/>
      <c r="AG405" s="8"/>
      <c r="AH405" s="72"/>
      <c r="AI405" s="8"/>
      <c r="AJ405" s="21"/>
      <c r="AK405" s="110"/>
      <c r="AL405" s="81"/>
      <c r="AM405" s="81"/>
      <c r="AN405" s="81"/>
      <c r="AO405" s="81"/>
      <c r="AP405" s="81"/>
      <c r="AQ405" s="81"/>
      <c r="AR405" s="81"/>
      <c r="AS405" s="81"/>
      <c r="AT405" s="81"/>
    </row>
    <row r="406" ht="22.5" customHeight="1">
      <c r="A406" s="7"/>
      <c r="B406" s="7"/>
      <c r="C406" s="7"/>
      <c r="D406" s="7"/>
      <c r="E406" s="7"/>
      <c r="F406" s="7"/>
      <c r="G406" s="149"/>
      <c r="H406" s="49"/>
      <c r="I406" s="111"/>
      <c r="J406" s="108"/>
      <c r="K406" s="7"/>
      <c r="L406" s="10"/>
      <c r="M406" s="7"/>
      <c r="N406" s="7"/>
      <c r="O406" s="84"/>
      <c r="P406" s="14"/>
      <c r="Q406" s="7"/>
      <c r="R406" s="11"/>
      <c r="S406" s="7"/>
      <c r="T406" s="7"/>
      <c r="U406" s="7"/>
      <c r="V406" s="14"/>
      <c r="W406" s="13"/>
      <c r="X406" s="14"/>
      <c r="Y406" s="14"/>
      <c r="Z406" s="7"/>
      <c r="AA406" s="14"/>
      <c r="AB406" s="109"/>
      <c r="AC406" s="21"/>
      <c r="AD406" s="21"/>
      <c r="AE406" s="21"/>
      <c r="AF406" s="8"/>
      <c r="AG406" s="8"/>
      <c r="AH406" s="72"/>
      <c r="AI406" s="8"/>
      <c r="AJ406" s="21"/>
      <c r="AK406" s="234"/>
      <c r="AL406" s="81"/>
      <c r="AM406" s="81"/>
      <c r="AN406" s="81"/>
      <c r="AO406" s="81"/>
      <c r="AP406" s="81"/>
      <c r="AQ406" s="81"/>
      <c r="AR406" s="81"/>
      <c r="AS406" s="81"/>
      <c r="AT406" s="81"/>
    </row>
    <row r="407" ht="22.5" customHeight="1">
      <c r="A407" s="7"/>
      <c r="B407" s="7"/>
      <c r="C407" s="7"/>
      <c r="D407" s="7"/>
      <c r="E407" s="7"/>
      <c r="F407" s="7"/>
      <c r="G407" s="149"/>
      <c r="H407" s="49"/>
      <c r="I407" s="111"/>
      <c r="J407" s="108"/>
      <c r="K407" s="7"/>
      <c r="L407" s="10"/>
      <c r="M407" s="7"/>
      <c r="N407" s="83"/>
      <c r="O407" s="210"/>
      <c r="P407" s="14"/>
      <c r="Q407" s="7"/>
      <c r="R407" s="11"/>
      <c r="S407" s="7"/>
      <c r="T407" s="7"/>
      <c r="U407" s="7"/>
      <c r="V407" s="14"/>
      <c r="W407" s="29"/>
      <c r="X407" s="14"/>
      <c r="Y407" s="14"/>
      <c r="Z407" s="7"/>
      <c r="AA407" s="14"/>
      <c r="AB407" s="109"/>
      <c r="AC407" s="21"/>
      <c r="AD407" s="21"/>
      <c r="AE407" s="21"/>
      <c r="AF407" s="8"/>
      <c r="AG407" s="8"/>
      <c r="AH407" s="72"/>
      <c r="AI407" s="8"/>
      <c r="AJ407" s="21"/>
      <c r="AK407" s="235"/>
      <c r="AL407" s="81"/>
      <c r="AM407" s="81"/>
      <c r="AN407" s="81"/>
      <c r="AO407" s="81"/>
      <c r="AP407" s="81"/>
      <c r="AQ407" s="81"/>
      <c r="AR407" s="81"/>
      <c r="AS407" s="81"/>
      <c r="AT407" s="81"/>
    </row>
    <row r="408" ht="22.5" customHeight="1">
      <c r="A408" s="139"/>
      <c r="B408" s="139"/>
      <c r="C408" s="7"/>
      <c r="D408" s="7"/>
      <c r="E408" s="7"/>
      <c r="F408" s="7"/>
      <c r="G408" s="149"/>
      <c r="H408" s="49"/>
      <c r="I408" s="111"/>
      <c r="J408" s="9"/>
      <c r="K408" s="7"/>
      <c r="L408" s="10"/>
      <c r="M408" s="7"/>
      <c r="N408" s="7"/>
      <c r="O408" s="7"/>
      <c r="P408" s="14"/>
      <c r="Q408" s="7"/>
      <c r="R408" s="78"/>
      <c r="S408" s="7"/>
      <c r="T408" s="7"/>
      <c r="U408" s="7"/>
      <c r="V408" s="14"/>
      <c r="W408" s="13"/>
      <c r="X408" s="14"/>
      <c r="Y408" s="14"/>
      <c r="Z408" s="43"/>
      <c r="AA408" s="14"/>
      <c r="AB408" s="14"/>
      <c r="AC408" s="8"/>
      <c r="AD408" s="8"/>
      <c r="AE408" s="8"/>
      <c r="AF408" s="8"/>
      <c r="AG408" s="8"/>
      <c r="AH408" s="72"/>
      <c r="AI408" s="8"/>
      <c r="AJ408" s="21"/>
      <c r="AK408" s="110"/>
      <c r="AL408" s="81"/>
      <c r="AM408" s="81"/>
      <c r="AN408" s="81"/>
      <c r="AO408" s="81"/>
      <c r="AP408" s="81"/>
      <c r="AQ408" s="81"/>
      <c r="AR408" s="81"/>
      <c r="AS408" s="81"/>
      <c r="AT408" s="81"/>
    </row>
    <row r="409" ht="22.5" customHeight="1">
      <c r="A409" s="7"/>
      <c r="B409" s="7"/>
      <c r="C409" s="7"/>
      <c r="D409" s="7"/>
      <c r="E409" s="7"/>
      <c r="F409" s="7"/>
      <c r="G409" s="149"/>
      <c r="H409" s="49"/>
      <c r="I409" s="111"/>
      <c r="J409" s="9"/>
      <c r="K409" s="7"/>
      <c r="L409" s="10"/>
      <c r="M409" s="7"/>
      <c r="N409" s="7"/>
      <c r="O409" s="7"/>
      <c r="P409" s="14"/>
      <c r="Q409" s="7"/>
      <c r="R409" s="78"/>
      <c r="S409" s="7"/>
      <c r="T409" s="7"/>
      <c r="U409" s="7"/>
      <c r="V409" s="14"/>
      <c r="W409" s="13"/>
      <c r="X409" s="14"/>
      <c r="Y409" s="14"/>
      <c r="Z409" s="43"/>
      <c r="AA409" s="14"/>
      <c r="AB409" s="14"/>
      <c r="AC409" s="8"/>
      <c r="AD409" s="8"/>
      <c r="AE409" s="8"/>
      <c r="AF409" s="8"/>
      <c r="AG409" s="8"/>
      <c r="AH409" s="72"/>
      <c r="AI409" s="8"/>
      <c r="AJ409" s="21"/>
      <c r="AK409" s="110"/>
      <c r="AL409" s="81"/>
      <c r="AM409" s="81"/>
      <c r="AN409" s="81"/>
      <c r="AO409" s="81"/>
      <c r="AP409" s="81"/>
      <c r="AQ409" s="81"/>
      <c r="AR409" s="81"/>
      <c r="AS409" s="81"/>
      <c r="AT409" s="81"/>
    </row>
    <row r="410" ht="22.5" customHeight="1">
      <c r="A410" s="7"/>
      <c r="B410" s="7"/>
      <c r="C410" s="7"/>
      <c r="D410" s="7"/>
      <c r="E410" s="7"/>
      <c r="F410" s="7"/>
      <c r="G410" s="149"/>
      <c r="H410" s="49"/>
      <c r="I410" s="111"/>
      <c r="J410" s="108"/>
      <c r="K410" s="7"/>
      <c r="L410" s="10"/>
      <c r="M410" s="7"/>
      <c r="N410" s="7"/>
      <c r="O410" s="7"/>
      <c r="P410" s="14"/>
      <c r="Q410" s="7"/>
      <c r="R410" s="11"/>
      <c r="S410" s="7"/>
      <c r="T410" s="7"/>
      <c r="U410" s="7"/>
      <c r="V410" s="14"/>
      <c r="W410" s="29"/>
      <c r="X410" s="14"/>
      <c r="Y410" s="14"/>
      <c r="Z410" s="7"/>
      <c r="AA410" s="14"/>
      <c r="AB410" s="109"/>
      <c r="AC410" s="21"/>
      <c r="AD410" s="21"/>
      <c r="AE410" s="21"/>
      <c r="AF410" s="8"/>
      <c r="AG410" s="8"/>
      <c r="AH410" s="72"/>
      <c r="AI410" s="8"/>
      <c r="AJ410" s="21"/>
      <c r="AK410" s="236"/>
      <c r="AL410" s="81"/>
      <c r="AM410" s="81"/>
      <c r="AN410" s="81"/>
      <c r="AO410" s="81"/>
      <c r="AP410" s="81"/>
      <c r="AQ410" s="81"/>
      <c r="AR410" s="81"/>
      <c r="AS410" s="81"/>
      <c r="AT410" s="81"/>
    </row>
    <row r="411" ht="22.5" customHeight="1">
      <c r="A411" s="7"/>
      <c r="B411" s="7"/>
      <c r="C411" s="7"/>
      <c r="D411" s="7"/>
      <c r="E411" s="7"/>
      <c r="F411" s="7"/>
      <c r="G411" s="149"/>
      <c r="H411" s="49"/>
      <c r="I411" s="111"/>
      <c r="J411" s="108"/>
      <c r="K411" s="7"/>
      <c r="L411" s="10"/>
      <c r="M411" s="7"/>
      <c r="N411" s="7"/>
      <c r="O411" s="7"/>
      <c r="P411" s="14"/>
      <c r="Q411" s="7"/>
      <c r="R411" s="11"/>
      <c r="S411" s="7"/>
      <c r="T411" s="7"/>
      <c r="U411" s="7"/>
      <c r="V411" s="14"/>
      <c r="W411" s="29"/>
      <c r="X411" s="14"/>
      <c r="Y411" s="14"/>
      <c r="Z411" s="7"/>
      <c r="AA411" s="14"/>
      <c r="AB411" s="109"/>
      <c r="AC411" s="21"/>
      <c r="AD411" s="21"/>
      <c r="AE411" s="21"/>
      <c r="AF411" s="8"/>
      <c r="AG411" s="8"/>
      <c r="AH411" s="72"/>
      <c r="AI411" s="8"/>
      <c r="AJ411" s="21"/>
      <c r="AK411" s="236"/>
      <c r="AL411" s="81"/>
      <c r="AM411" s="81"/>
      <c r="AN411" s="81"/>
      <c r="AO411" s="81"/>
      <c r="AP411" s="81"/>
      <c r="AQ411" s="81"/>
      <c r="AR411" s="81"/>
      <c r="AS411" s="81"/>
      <c r="AT411" s="81"/>
    </row>
    <row r="412" ht="22.5" customHeight="1">
      <c r="A412" s="139"/>
      <c r="B412" s="139"/>
      <c r="C412" s="7"/>
      <c r="D412" s="7"/>
      <c r="E412" s="7"/>
      <c r="F412" s="7"/>
      <c r="G412" s="149"/>
      <c r="H412" s="49"/>
      <c r="I412" s="111"/>
      <c r="J412" s="9"/>
      <c r="K412" s="7"/>
      <c r="L412" s="10"/>
      <c r="M412" s="7"/>
      <c r="N412" s="7"/>
      <c r="O412" s="7"/>
      <c r="P412" s="14"/>
      <c r="Q412" s="7"/>
      <c r="R412" s="78"/>
      <c r="S412" s="7"/>
      <c r="T412" s="7"/>
      <c r="U412" s="7"/>
      <c r="V412" s="14"/>
      <c r="W412" s="13"/>
      <c r="X412" s="14"/>
      <c r="Y412" s="14"/>
      <c r="Z412" s="43"/>
      <c r="AA412" s="14"/>
      <c r="AB412" s="14"/>
      <c r="AC412" s="8"/>
      <c r="AD412" s="8"/>
      <c r="AE412" s="8"/>
      <c r="AF412" s="8"/>
      <c r="AG412" s="8"/>
      <c r="AH412" s="72"/>
      <c r="AI412" s="8"/>
      <c r="AJ412" s="21"/>
      <c r="AK412" s="110"/>
      <c r="AL412" s="81"/>
      <c r="AM412" s="81"/>
      <c r="AN412" s="81"/>
      <c r="AO412" s="81"/>
      <c r="AP412" s="81"/>
      <c r="AQ412" s="81"/>
      <c r="AR412" s="81"/>
      <c r="AS412" s="81"/>
      <c r="AT412" s="81"/>
    </row>
    <row r="413" ht="22.5" customHeight="1">
      <c r="A413" s="7"/>
      <c r="B413" s="106"/>
      <c r="C413" s="7"/>
      <c r="D413" s="7"/>
      <c r="E413" s="7"/>
      <c r="F413" s="7"/>
      <c r="G413" s="149"/>
      <c r="H413" s="49"/>
      <c r="I413" s="111"/>
      <c r="J413" s="108"/>
      <c r="K413" s="7"/>
      <c r="L413" s="10"/>
      <c r="M413" s="7"/>
      <c r="N413" s="7"/>
      <c r="O413" s="7"/>
      <c r="P413" s="14"/>
      <c r="Q413" s="7"/>
      <c r="R413" s="11"/>
      <c r="S413" s="7"/>
      <c r="T413" s="7"/>
      <c r="U413" s="7"/>
      <c r="V413" s="14"/>
      <c r="W413" s="29"/>
      <c r="X413" s="14"/>
      <c r="Y413" s="14"/>
      <c r="Z413" s="7"/>
      <c r="AA413" s="14"/>
      <c r="AB413" s="7"/>
      <c r="AC413" s="21"/>
      <c r="AD413" s="21"/>
      <c r="AE413" s="21"/>
      <c r="AF413" s="8"/>
      <c r="AG413" s="8"/>
      <c r="AH413" s="72"/>
      <c r="AI413" s="8"/>
      <c r="AJ413" s="21"/>
      <c r="AK413" s="236"/>
      <c r="AL413" s="81"/>
      <c r="AM413" s="81"/>
      <c r="AN413" s="81"/>
      <c r="AO413" s="81"/>
      <c r="AP413" s="81"/>
      <c r="AQ413" s="81"/>
      <c r="AR413" s="81"/>
      <c r="AS413" s="81"/>
      <c r="AT413" s="81"/>
    </row>
    <row r="414" ht="22.5" customHeight="1">
      <c r="A414" s="7"/>
      <c r="B414" s="106"/>
      <c r="C414" s="7"/>
      <c r="D414" s="7"/>
      <c r="E414" s="7"/>
      <c r="F414" s="7"/>
      <c r="G414" s="112"/>
      <c r="H414" s="237"/>
      <c r="I414" s="111"/>
      <c r="J414" s="108"/>
      <c r="K414" s="7"/>
      <c r="L414" s="10"/>
      <c r="M414" s="7"/>
      <c r="N414" s="7"/>
      <c r="O414" s="7"/>
      <c r="P414" s="14"/>
      <c r="Q414" s="7"/>
      <c r="R414" s="11"/>
      <c r="S414" s="7"/>
      <c r="T414" s="7"/>
      <c r="U414" s="7"/>
      <c r="V414" s="14"/>
      <c r="W414" s="29"/>
      <c r="X414" s="14"/>
      <c r="Y414" s="14"/>
      <c r="Z414" s="7"/>
      <c r="AA414" s="14"/>
      <c r="AB414" s="7"/>
      <c r="AC414" s="21"/>
      <c r="AD414" s="21"/>
      <c r="AE414" s="21"/>
      <c r="AF414" s="8"/>
      <c r="AG414" s="8"/>
      <c r="AH414" s="72"/>
      <c r="AI414" s="8"/>
      <c r="AJ414" s="21"/>
      <c r="AK414" s="236"/>
      <c r="AL414" s="81"/>
      <c r="AM414" s="81"/>
      <c r="AN414" s="81"/>
      <c r="AO414" s="81"/>
      <c r="AP414" s="81"/>
      <c r="AQ414" s="81"/>
      <c r="AR414" s="81"/>
      <c r="AS414" s="81"/>
      <c r="AT414" s="81"/>
    </row>
    <row r="415" ht="22.5" customHeight="1">
      <c r="A415" s="7"/>
      <c r="B415" s="7"/>
      <c r="C415" s="7"/>
      <c r="D415" s="7"/>
      <c r="E415" s="7"/>
      <c r="F415" s="7"/>
      <c r="G415" s="112"/>
      <c r="H415" s="112"/>
      <c r="I415" s="111"/>
      <c r="J415" s="108"/>
      <c r="K415" s="7"/>
      <c r="L415" s="10"/>
      <c r="M415" s="7"/>
      <c r="N415" s="7"/>
      <c r="O415" s="7"/>
      <c r="P415" s="14"/>
      <c r="Q415" s="7"/>
      <c r="R415" s="11"/>
      <c r="S415" s="7"/>
      <c r="T415" s="7"/>
      <c r="U415" s="7"/>
      <c r="V415" s="14"/>
      <c r="W415" s="29"/>
      <c r="X415" s="14"/>
      <c r="Y415" s="14"/>
      <c r="Z415" s="7"/>
      <c r="AA415" s="14"/>
      <c r="AB415" s="7"/>
      <c r="AC415" s="21"/>
      <c r="AD415" s="21"/>
      <c r="AE415" s="21"/>
      <c r="AF415" s="8"/>
      <c r="AG415" s="8"/>
      <c r="AH415" s="72"/>
      <c r="AI415" s="8"/>
      <c r="AJ415" s="21"/>
      <c r="AK415" s="236"/>
      <c r="AL415" s="81"/>
      <c r="AM415" s="81"/>
      <c r="AN415" s="81"/>
      <c r="AO415" s="81"/>
      <c r="AP415" s="81"/>
      <c r="AQ415" s="81"/>
      <c r="AR415" s="81"/>
      <c r="AS415" s="81"/>
      <c r="AT415" s="81"/>
    </row>
    <row r="416" ht="22.5" customHeight="1">
      <c r="A416" s="7"/>
      <c r="B416" s="7"/>
      <c r="C416" s="7"/>
      <c r="D416" s="7"/>
      <c r="E416" s="7"/>
      <c r="F416" s="7"/>
      <c r="G416" s="112"/>
      <c r="H416" s="112"/>
      <c r="I416" s="111"/>
      <c r="J416" s="108"/>
      <c r="K416" s="7"/>
      <c r="L416" s="10"/>
      <c r="M416" s="7"/>
      <c r="N416" s="7"/>
      <c r="O416" s="7"/>
      <c r="P416" s="14"/>
      <c r="Q416" s="7"/>
      <c r="R416" s="11"/>
      <c r="S416" s="7"/>
      <c r="T416" s="7"/>
      <c r="U416" s="7"/>
      <c r="V416" s="14"/>
      <c r="W416" s="29"/>
      <c r="X416" s="14"/>
      <c r="Y416" s="14"/>
      <c r="Z416" s="7"/>
      <c r="AA416" s="14"/>
      <c r="AB416" s="7"/>
      <c r="AC416" s="21"/>
      <c r="AD416" s="21"/>
      <c r="AE416" s="21"/>
      <c r="AF416" s="8"/>
      <c r="AG416" s="8"/>
      <c r="AH416" s="72"/>
      <c r="AI416" s="8"/>
      <c r="AJ416" s="21"/>
      <c r="AK416" s="236"/>
      <c r="AL416" s="81"/>
      <c r="AM416" s="81"/>
      <c r="AN416" s="81"/>
      <c r="AO416" s="81"/>
      <c r="AP416" s="81"/>
      <c r="AQ416" s="81"/>
      <c r="AR416" s="81"/>
      <c r="AS416" s="81"/>
      <c r="AT416" s="81"/>
    </row>
    <row r="417" ht="22.5" customHeight="1">
      <c r="A417" s="7"/>
      <c r="B417" s="7"/>
      <c r="C417" s="7"/>
      <c r="D417" s="7"/>
      <c r="E417" s="7"/>
      <c r="F417" s="7"/>
      <c r="G417" s="112"/>
      <c r="H417" s="112"/>
      <c r="I417" s="111"/>
      <c r="J417" s="108"/>
      <c r="K417" s="7"/>
      <c r="L417" s="10"/>
      <c r="M417" s="7"/>
      <c r="N417" s="7"/>
      <c r="O417" s="7"/>
      <c r="P417" s="14"/>
      <c r="Q417" s="7"/>
      <c r="R417" s="11"/>
      <c r="S417" s="85"/>
      <c r="T417" s="7"/>
      <c r="U417" s="7"/>
      <c r="V417" s="14"/>
      <c r="W417" s="29"/>
      <c r="X417" s="14"/>
      <c r="Y417" s="14"/>
      <c r="Z417" s="7"/>
      <c r="AA417" s="14"/>
      <c r="AB417" s="7"/>
      <c r="AC417" s="21"/>
      <c r="AD417" s="21"/>
      <c r="AE417" s="21"/>
      <c r="AF417" s="8"/>
      <c r="AG417" s="8"/>
      <c r="AH417" s="72"/>
      <c r="AI417" s="8"/>
      <c r="AJ417" s="21"/>
      <c r="AK417" s="236"/>
      <c r="AL417" s="81"/>
      <c r="AM417" s="81"/>
      <c r="AN417" s="81"/>
      <c r="AO417" s="81"/>
      <c r="AP417" s="81"/>
      <c r="AQ417" s="81"/>
      <c r="AR417" s="81"/>
      <c r="AS417" s="81"/>
      <c r="AT417" s="81"/>
    </row>
    <row r="418" ht="22.5" customHeight="1">
      <c r="A418" s="7"/>
      <c r="B418" s="7"/>
      <c r="C418" s="7"/>
      <c r="D418" s="7"/>
      <c r="E418" s="7"/>
      <c r="F418" s="7"/>
      <c r="G418" s="112"/>
      <c r="H418" s="112"/>
      <c r="I418" s="111"/>
      <c r="J418" s="108"/>
      <c r="K418" s="7"/>
      <c r="L418" s="10"/>
      <c r="M418" s="7"/>
      <c r="N418" s="7"/>
      <c r="O418" s="7"/>
      <c r="P418" s="14"/>
      <c r="Q418" s="7"/>
      <c r="R418" s="11"/>
      <c r="S418" s="85"/>
      <c r="T418" s="7"/>
      <c r="U418" s="7"/>
      <c r="V418" s="14"/>
      <c r="W418" s="29"/>
      <c r="X418" s="14"/>
      <c r="Y418" s="14"/>
      <c r="Z418" s="7"/>
      <c r="AA418" s="14"/>
      <c r="AB418" s="7"/>
      <c r="AC418" s="21"/>
      <c r="AD418" s="21"/>
      <c r="AE418" s="21"/>
      <c r="AF418" s="8"/>
      <c r="AG418" s="8"/>
      <c r="AH418" s="72"/>
      <c r="AI418" s="8"/>
      <c r="AJ418" s="21"/>
      <c r="AK418" s="236"/>
      <c r="AL418" s="81"/>
      <c r="AM418" s="81"/>
      <c r="AN418" s="81"/>
      <c r="AO418" s="81"/>
      <c r="AP418" s="81"/>
      <c r="AQ418" s="81"/>
      <c r="AR418" s="81"/>
      <c r="AS418" s="81"/>
      <c r="AT418" s="81"/>
    </row>
    <row r="419" ht="22.5" customHeight="1">
      <c r="A419" s="227"/>
      <c r="B419" s="227"/>
      <c r="C419" s="7"/>
      <c r="D419" s="7"/>
      <c r="E419" s="7"/>
      <c r="F419" s="7"/>
      <c r="G419" s="112"/>
      <c r="H419" s="112"/>
      <c r="I419" s="111"/>
      <c r="J419" s="9"/>
      <c r="K419" s="7"/>
      <c r="L419" s="10"/>
      <c r="M419" s="7"/>
      <c r="N419" s="7"/>
      <c r="O419" s="7"/>
      <c r="P419" s="14"/>
      <c r="Q419" s="7"/>
      <c r="R419" s="78"/>
      <c r="S419" s="7"/>
      <c r="T419" s="7"/>
      <c r="U419" s="7"/>
      <c r="V419" s="14"/>
      <c r="W419" s="13"/>
      <c r="X419" s="14"/>
      <c r="Y419" s="14"/>
      <c r="Z419" s="43"/>
      <c r="AA419" s="14"/>
      <c r="AB419" s="14"/>
      <c r="AC419" s="8"/>
      <c r="AD419" s="8"/>
      <c r="AE419" s="8"/>
      <c r="AF419" s="8"/>
      <c r="AG419" s="8"/>
      <c r="AH419" s="72"/>
      <c r="AI419" s="8"/>
      <c r="AJ419" s="21"/>
      <c r="AK419" s="236"/>
      <c r="AL419" s="81"/>
      <c r="AM419" s="81"/>
      <c r="AN419" s="81"/>
      <c r="AO419" s="81"/>
      <c r="AP419" s="81"/>
      <c r="AQ419" s="81"/>
      <c r="AR419" s="81"/>
      <c r="AS419" s="81"/>
      <c r="AT419" s="81"/>
    </row>
    <row r="420" ht="22.5" customHeight="1">
      <c r="A420" s="7"/>
      <c r="B420" s="7"/>
      <c r="C420" s="7"/>
      <c r="D420" s="7"/>
      <c r="E420" s="7"/>
      <c r="F420" s="7"/>
      <c r="G420" s="112"/>
      <c r="H420" s="112"/>
      <c r="I420" s="111"/>
      <c r="J420" s="9"/>
      <c r="K420" s="7"/>
      <c r="L420" s="10"/>
      <c r="M420" s="7"/>
      <c r="N420" s="7"/>
      <c r="O420" s="7"/>
      <c r="P420" s="14"/>
      <c r="Q420" s="7"/>
      <c r="R420" s="78"/>
      <c r="S420" s="7"/>
      <c r="T420" s="7"/>
      <c r="U420" s="7"/>
      <c r="V420" s="14"/>
      <c r="W420" s="13"/>
      <c r="X420" s="14"/>
      <c r="Y420" s="14"/>
      <c r="Z420" s="43"/>
      <c r="AA420" s="14"/>
      <c r="AB420" s="14"/>
      <c r="AC420" s="8"/>
      <c r="AD420" s="8"/>
      <c r="AE420" s="8"/>
      <c r="AF420" s="8"/>
      <c r="AG420" s="8"/>
      <c r="AH420" s="72"/>
      <c r="AI420" s="8"/>
      <c r="AJ420" s="21"/>
      <c r="AK420" s="236"/>
      <c r="AL420" s="81"/>
      <c r="AM420" s="81"/>
      <c r="AN420" s="81"/>
      <c r="AO420" s="81"/>
      <c r="AP420" s="81"/>
      <c r="AQ420" s="81"/>
      <c r="AR420" s="81"/>
      <c r="AS420" s="81"/>
      <c r="AT420" s="81"/>
    </row>
    <row r="421" ht="22.5" customHeight="1">
      <c r="A421" s="7"/>
      <c r="B421" s="7"/>
      <c r="C421" s="7"/>
      <c r="D421" s="7"/>
      <c r="E421" s="7"/>
      <c r="F421" s="7"/>
      <c r="G421" s="149"/>
      <c r="H421" s="49"/>
      <c r="I421" s="111"/>
      <c r="J421" s="9"/>
      <c r="K421" s="7"/>
      <c r="L421" s="10"/>
      <c r="M421" s="7"/>
      <c r="N421" s="7"/>
      <c r="O421" s="7"/>
      <c r="P421" s="14"/>
      <c r="Q421" s="7"/>
      <c r="R421" s="78"/>
      <c r="S421" s="7"/>
      <c r="T421" s="7"/>
      <c r="U421" s="7"/>
      <c r="V421" s="14"/>
      <c r="W421" s="13"/>
      <c r="X421" s="14"/>
      <c r="Y421" s="14"/>
      <c r="Z421" s="43"/>
      <c r="AA421" s="14"/>
      <c r="AB421" s="14"/>
      <c r="AC421" s="8"/>
      <c r="AD421" s="8"/>
      <c r="AE421" s="8"/>
      <c r="AF421" s="8"/>
      <c r="AG421" s="8"/>
      <c r="AH421" s="72"/>
      <c r="AI421" s="8"/>
      <c r="AJ421" s="21"/>
      <c r="AK421" s="110"/>
      <c r="AL421" s="81"/>
      <c r="AM421" s="81"/>
      <c r="AN421" s="81"/>
      <c r="AO421" s="81"/>
      <c r="AP421" s="81"/>
      <c r="AQ421" s="81"/>
      <c r="AR421" s="81"/>
      <c r="AS421" s="81"/>
      <c r="AT421" s="81"/>
    </row>
    <row r="422" ht="22.5" customHeight="1">
      <c r="A422" s="227"/>
      <c r="B422" s="227"/>
      <c r="C422" s="7"/>
      <c r="D422" s="7"/>
      <c r="E422" s="7"/>
      <c r="F422" s="7"/>
      <c r="G422" s="112"/>
      <c r="H422" s="112"/>
      <c r="I422" s="111"/>
      <c r="J422" s="9"/>
      <c r="K422" s="7"/>
      <c r="L422" s="10"/>
      <c r="M422" s="7"/>
      <c r="N422" s="7"/>
      <c r="O422" s="7"/>
      <c r="P422" s="14"/>
      <c r="Q422" s="7"/>
      <c r="R422" s="78"/>
      <c r="S422" s="85"/>
      <c r="T422" s="7"/>
      <c r="U422" s="7"/>
      <c r="V422" s="14"/>
      <c r="W422" s="13"/>
      <c r="X422" s="14"/>
      <c r="Y422" s="14"/>
      <c r="Z422" s="43"/>
      <c r="AA422" s="14"/>
      <c r="AB422" s="14"/>
      <c r="AC422" s="8"/>
      <c r="AD422" s="8"/>
      <c r="AE422" s="8"/>
      <c r="AF422" s="8"/>
      <c r="AG422" s="8"/>
      <c r="AH422" s="72"/>
      <c r="AI422" s="8"/>
      <c r="AJ422" s="21"/>
      <c r="AK422" s="124"/>
      <c r="AL422" s="81"/>
      <c r="AM422" s="81"/>
      <c r="AN422" s="81"/>
      <c r="AO422" s="81"/>
      <c r="AP422" s="81"/>
      <c r="AQ422" s="81"/>
      <c r="AR422" s="81"/>
      <c r="AS422" s="81"/>
      <c r="AT422" s="81"/>
    </row>
    <row r="423" ht="22.5" customHeight="1">
      <c r="A423" s="227"/>
      <c r="B423" s="227"/>
      <c r="C423" s="7"/>
      <c r="D423" s="7"/>
      <c r="E423" s="7"/>
      <c r="F423" s="7"/>
      <c r="G423" s="112"/>
      <c r="H423" s="112"/>
      <c r="I423" s="111"/>
      <c r="J423" s="9"/>
      <c r="K423" s="7"/>
      <c r="L423" s="10"/>
      <c r="M423" s="7"/>
      <c r="N423" s="7"/>
      <c r="O423" s="7"/>
      <c r="P423" s="14"/>
      <c r="Q423" s="7"/>
      <c r="R423" s="78"/>
      <c r="S423" s="7"/>
      <c r="T423" s="7"/>
      <c r="U423" s="7"/>
      <c r="V423" s="14"/>
      <c r="W423" s="13"/>
      <c r="X423" s="14"/>
      <c r="Y423" s="14"/>
      <c r="Z423" s="43"/>
      <c r="AA423" s="14"/>
      <c r="AB423" s="14"/>
      <c r="AC423" s="8"/>
      <c r="AD423" s="8"/>
      <c r="AE423" s="8"/>
      <c r="AF423" s="8"/>
      <c r="AG423" s="8"/>
      <c r="AH423" s="72"/>
      <c r="AI423" s="8"/>
      <c r="AJ423" s="21"/>
      <c r="AK423" s="124"/>
      <c r="AL423" s="81"/>
      <c r="AM423" s="81"/>
      <c r="AN423" s="81"/>
      <c r="AO423" s="81"/>
      <c r="AP423" s="81"/>
      <c r="AQ423" s="81"/>
      <c r="AR423" s="81"/>
      <c r="AS423" s="81"/>
      <c r="AT423" s="81"/>
    </row>
    <row r="424" ht="22.5" customHeight="1">
      <c r="A424" s="7"/>
      <c r="B424" s="7"/>
      <c r="C424" s="7"/>
      <c r="D424" s="7"/>
      <c r="E424" s="7"/>
      <c r="F424" s="7"/>
      <c r="G424" s="112"/>
      <c r="H424" s="112"/>
      <c r="I424" s="111"/>
      <c r="J424" s="9"/>
      <c r="K424" s="7"/>
      <c r="L424" s="10"/>
      <c r="M424" s="7"/>
      <c r="N424" s="7"/>
      <c r="O424" s="7"/>
      <c r="P424" s="14"/>
      <c r="Q424" s="7"/>
      <c r="R424" s="78"/>
      <c r="S424" s="7"/>
      <c r="T424" s="7"/>
      <c r="U424" s="7"/>
      <c r="V424" s="14"/>
      <c r="W424" s="13"/>
      <c r="X424" s="14"/>
      <c r="Y424" s="14"/>
      <c r="Z424" s="43"/>
      <c r="AA424" s="14"/>
      <c r="AB424" s="14"/>
      <c r="AC424" s="8"/>
      <c r="AD424" s="8"/>
      <c r="AE424" s="8"/>
      <c r="AF424" s="8"/>
      <c r="AG424" s="8"/>
      <c r="AH424" s="72"/>
      <c r="AI424" s="8"/>
      <c r="AJ424" s="21"/>
      <c r="AK424" s="124"/>
      <c r="AL424" s="81"/>
      <c r="AM424" s="81"/>
      <c r="AN424" s="81"/>
      <c r="AO424" s="81"/>
      <c r="AP424" s="81"/>
      <c r="AQ424" s="81"/>
      <c r="AR424" s="81"/>
      <c r="AS424" s="81"/>
      <c r="AT424" s="81"/>
    </row>
    <row r="425" ht="22.5" customHeight="1">
      <c r="A425" s="7"/>
      <c r="B425" s="7"/>
      <c r="C425" s="7"/>
      <c r="D425" s="7"/>
      <c r="E425" s="7"/>
      <c r="F425" s="7"/>
      <c r="G425" s="112"/>
      <c r="H425" s="112"/>
      <c r="I425" s="111"/>
      <c r="J425" s="9"/>
      <c r="K425" s="7"/>
      <c r="L425" s="10"/>
      <c r="M425" s="7"/>
      <c r="N425" s="7"/>
      <c r="O425" s="7"/>
      <c r="P425" s="14"/>
      <c r="Q425" s="7"/>
      <c r="R425" s="78"/>
      <c r="S425" s="85"/>
      <c r="T425" s="7"/>
      <c r="U425" s="7"/>
      <c r="V425" s="14"/>
      <c r="W425" s="13"/>
      <c r="X425" s="14"/>
      <c r="Y425" s="14"/>
      <c r="Z425" s="43"/>
      <c r="AA425" s="14"/>
      <c r="AB425" s="14"/>
      <c r="AC425" s="8"/>
      <c r="AD425" s="8"/>
      <c r="AE425" s="8"/>
      <c r="AF425" s="8"/>
      <c r="AG425" s="8"/>
      <c r="AH425" s="72"/>
      <c r="AI425" s="8"/>
      <c r="AJ425" s="21"/>
      <c r="AK425" s="124"/>
      <c r="AL425" s="81"/>
      <c r="AM425" s="81"/>
      <c r="AN425" s="81"/>
      <c r="AO425" s="81"/>
      <c r="AP425" s="81"/>
      <c r="AQ425" s="81"/>
      <c r="AR425" s="81"/>
      <c r="AS425" s="81"/>
      <c r="AT425" s="81"/>
    </row>
    <row r="426" ht="22.5" customHeight="1">
      <c r="A426" s="7"/>
      <c r="B426" s="7"/>
      <c r="C426" s="7"/>
      <c r="D426" s="7"/>
      <c r="E426" s="7"/>
      <c r="F426" s="7"/>
      <c r="G426" s="112"/>
      <c r="H426" s="112"/>
      <c r="I426" s="111"/>
      <c r="J426" s="108"/>
      <c r="K426" s="7"/>
      <c r="L426" s="10"/>
      <c r="M426" s="7"/>
      <c r="N426" s="7"/>
      <c r="O426" s="84"/>
      <c r="P426" s="14"/>
      <c r="Q426" s="7"/>
      <c r="R426" s="11"/>
      <c r="S426" s="7"/>
      <c r="T426" s="7"/>
      <c r="U426" s="7"/>
      <c r="V426" s="14"/>
      <c r="W426" s="13"/>
      <c r="X426" s="14"/>
      <c r="Y426" s="14"/>
      <c r="Z426" s="7"/>
      <c r="AA426" s="14"/>
      <c r="AB426" s="109"/>
      <c r="AC426" s="21"/>
      <c r="AD426" s="21"/>
      <c r="AE426" s="21"/>
      <c r="AF426" s="8"/>
      <c r="AG426" s="8"/>
      <c r="AH426" s="72"/>
      <c r="AI426" s="8"/>
      <c r="AJ426" s="21"/>
      <c r="AK426" s="238"/>
      <c r="AL426" s="81"/>
      <c r="AM426" s="81"/>
      <c r="AN426" s="81"/>
      <c r="AO426" s="81"/>
      <c r="AP426" s="81"/>
      <c r="AQ426" s="81"/>
      <c r="AR426" s="81"/>
      <c r="AS426" s="81"/>
      <c r="AT426" s="81"/>
    </row>
    <row r="427" ht="22.5" customHeight="1">
      <c r="A427" s="7"/>
      <c r="B427" s="7"/>
      <c r="C427" s="7"/>
      <c r="D427" s="7"/>
      <c r="E427" s="7"/>
      <c r="F427" s="7"/>
      <c r="G427" s="49"/>
      <c r="H427" s="49"/>
      <c r="I427" s="51"/>
      <c r="J427" s="82"/>
      <c r="K427" s="7"/>
      <c r="L427" s="10"/>
      <c r="M427" s="7"/>
      <c r="N427" s="83"/>
      <c r="O427" s="84"/>
      <c r="P427" s="14"/>
      <c r="Q427" s="7"/>
      <c r="R427" s="11"/>
      <c r="S427" s="7"/>
      <c r="T427" s="7"/>
      <c r="U427" s="7"/>
      <c r="V427" s="14"/>
      <c r="W427" s="13"/>
      <c r="X427" s="14"/>
      <c r="Y427" s="14"/>
      <c r="Z427" s="7"/>
      <c r="AA427" s="14"/>
      <c r="AB427" s="109"/>
      <c r="AC427" s="21"/>
      <c r="AD427" s="21"/>
      <c r="AE427" s="21"/>
      <c r="AF427" s="8"/>
      <c r="AG427" s="8"/>
      <c r="AH427" s="72"/>
      <c r="AI427" s="8"/>
      <c r="AJ427" s="21"/>
      <c r="AK427" s="238"/>
      <c r="AL427" s="81"/>
      <c r="AM427" s="81"/>
      <c r="AN427" s="81"/>
      <c r="AO427" s="81"/>
      <c r="AP427" s="81"/>
      <c r="AQ427" s="81"/>
      <c r="AR427" s="81"/>
      <c r="AS427" s="81"/>
      <c r="AT427" s="81"/>
    </row>
    <row r="428" ht="22.5" customHeight="1">
      <c r="A428" s="7"/>
      <c r="B428" s="7"/>
      <c r="C428" s="7"/>
      <c r="D428" s="7"/>
      <c r="E428" s="7"/>
      <c r="F428" s="7"/>
      <c r="G428" s="239"/>
      <c r="H428" s="49"/>
      <c r="I428" s="111"/>
      <c r="J428" s="108"/>
      <c r="K428" s="7"/>
      <c r="L428" s="10"/>
      <c r="M428" s="7"/>
      <c r="N428" s="83"/>
      <c r="O428" s="84"/>
      <c r="P428" s="14"/>
      <c r="Q428" s="7"/>
      <c r="R428" s="11"/>
      <c r="S428" s="7"/>
      <c r="T428" s="7"/>
      <c r="U428" s="7"/>
      <c r="V428" s="14"/>
      <c r="W428" s="13"/>
      <c r="X428" s="14"/>
      <c r="Y428" s="14"/>
      <c r="Z428" s="7"/>
      <c r="AA428" s="14"/>
      <c r="AB428" s="109"/>
      <c r="AC428" s="21"/>
      <c r="AD428" s="21"/>
      <c r="AE428" s="21"/>
      <c r="AF428" s="8"/>
      <c r="AG428" s="8"/>
      <c r="AH428" s="72"/>
      <c r="AI428" s="8"/>
      <c r="AJ428" s="21"/>
      <c r="AK428" s="234"/>
      <c r="AL428" s="81"/>
      <c r="AM428" s="81"/>
      <c r="AN428" s="81"/>
      <c r="AO428" s="81"/>
      <c r="AP428" s="81"/>
      <c r="AQ428" s="81"/>
      <c r="AR428" s="81"/>
      <c r="AS428" s="81"/>
      <c r="AT428" s="81"/>
    </row>
    <row r="429" ht="22.5" customHeight="1">
      <c r="A429" s="139"/>
      <c r="B429" s="139"/>
      <c r="C429" s="7"/>
      <c r="D429" s="7"/>
      <c r="E429" s="7"/>
      <c r="F429" s="7"/>
      <c r="G429" s="49"/>
      <c r="H429" s="49"/>
      <c r="I429" s="51"/>
      <c r="J429" s="9"/>
      <c r="K429" s="7"/>
      <c r="L429" s="10"/>
      <c r="M429" s="7"/>
      <c r="N429" s="83"/>
      <c r="O429" s="7"/>
      <c r="P429" s="14"/>
      <c r="Q429" s="7"/>
      <c r="R429" s="78"/>
      <c r="S429" s="7"/>
      <c r="T429" s="7"/>
      <c r="U429" s="7"/>
      <c r="V429" s="14"/>
      <c r="W429" s="13"/>
      <c r="X429" s="14"/>
      <c r="Y429" s="14"/>
      <c r="Z429" s="43"/>
      <c r="AA429" s="14"/>
      <c r="AB429" s="14"/>
      <c r="AC429" s="8"/>
      <c r="AD429" s="8"/>
      <c r="AE429" s="8"/>
      <c r="AF429" s="8"/>
      <c r="AG429" s="8"/>
      <c r="AH429" s="72"/>
      <c r="AI429" s="8"/>
      <c r="AJ429" s="21"/>
      <c r="AK429" s="21"/>
      <c r="AL429" s="81"/>
      <c r="AM429" s="81"/>
      <c r="AN429" s="81"/>
      <c r="AO429" s="81"/>
      <c r="AP429" s="81"/>
      <c r="AQ429" s="81"/>
      <c r="AR429" s="81"/>
      <c r="AS429" s="81"/>
      <c r="AT429" s="81"/>
    </row>
    <row r="430" ht="22.5" customHeight="1">
      <c r="A430" s="7"/>
      <c r="B430" s="7"/>
      <c r="C430" s="7"/>
      <c r="D430" s="7"/>
      <c r="E430" s="7"/>
      <c r="F430" s="7"/>
      <c r="G430" s="49"/>
      <c r="H430" s="49"/>
      <c r="I430" s="51"/>
      <c r="J430" s="9"/>
      <c r="K430" s="7"/>
      <c r="L430" s="10"/>
      <c r="M430" s="7"/>
      <c r="N430" s="83"/>
      <c r="O430" s="7"/>
      <c r="P430" s="14"/>
      <c r="Q430" s="7"/>
      <c r="R430" s="78"/>
      <c r="S430" s="85"/>
      <c r="T430" s="7"/>
      <c r="U430" s="7"/>
      <c r="V430" s="14"/>
      <c r="W430" s="13"/>
      <c r="X430" s="14"/>
      <c r="Y430" s="14"/>
      <c r="Z430" s="43"/>
      <c r="AA430" s="14"/>
      <c r="AB430" s="14"/>
      <c r="AC430" s="8"/>
      <c r="AD430" s="8"/>
      <c r="AE430" s="8"/>
      <c r="AF430" s="8"/>
      <c r="AG430" s="8"/>
      <c r="AH430" s="72"/>
      <c r="AI430" s="8"/>
      <c r="AJ430" s="21"/>
      <c r="AK430" s="124"/>
      <c r="AL430" s="81"/>
      <c r="AM430" s="81"/>
      <c r="AN430" s="81"/>
      <c r="AO430" s="81"/>
      <c r="AP430" s="81"/>
      <c r="AQ430" s="81"/>
      <c r="AR430" s="81"/>
      <c r="AS430" s="81"/>
      <c r="AT430" s="81"/>
    </row>
    <row r="431" ht="22.5" customHeight="1">
      <c r="A431" s="7"/>
      <c r="B431" s="7"/>
      <c r="C431" s="7"/>
      <c r="D431" s="7"/>
      <c r="E431" s="7"/>
      <c r="F431" s="7"/>
      <c r="G431" s="49"/>
      <c r="H431" s="49"/>
      <c r="I431" s="111"/>
      <c r="J431" s="9"/>
      <c r="K431" s="7"/>
      <c r="L431" s="10"/>
      <c r="M431" s="7"/>
      <c r="N431" s="7"/>
      <c r="O431" s="7"/>
      <c r="P431" s="14"/>
      <c r="Q431" s="7"/>
      <c r="R431" s="78"/>
      <c r="S431" s="85"/>
      <c r="T431" s="7"/>
      <c r="U431" s="7"/>
      <c r="V431" s="14"/>
      <c r="W431" s="13"/>
      <c r="X431" s="14"/>
      <c r="Y431" s="14"/>
      <c r="Z431" s="43"/>
      <c r="AA431" s="14"/>
      <c r="AB431" s="14"/>
      <c r="AC431" s="8"/>
      <c r="AD431" s="8"/>
      <c r="AE431" s="8"/>
      <c r="AF431" s="8"/>
      <c r="AG431" s="8"/>
      <c r="AH431" s="72"/>
      <c r="AI431" s="8"/>
      <c r="AJ431" s="21"/>
      <c r="AK431" s="124"/>
      <c r="AL431" s="81"/>
      <c r="AM431" s="81"/>
      <c r="AN431" s="81"/>
      <c r="AO431" s="81"/>
      <c r="AP431" s="81"/>
      <c r="AQ431" s="81"/>
      <c r="AR431" s="81"/>
      <c r="AS431" s="81"/>
      <c r="AT431" s="81"/>
    </row>
    <row r="432" ht="22.5" customHeight="1">
      <c r="A432" s="7"/>
      <c r="B432" s="7"/>
      <c r="C432" s="7"/>
      <c r="D432" s="7"/>
      <c r="E432" s="7"/>
      <c r="F432" s="7"/>
      <c r="G432" s="49"/>
      <c r="H432" s="49"/>
      <c r="I432" s="111"/>
      <c r="J432" s="9"/>
      <c r="K432" s="7"/>
      <c r="L432" s="10"/>
      <c r="M432" s="7"/>
      <c r="N432" s="7"/>
      <c r="O432" s="7"/>
      <c r="P432" s="14"/>
      <c r="Q432" s="7"/>
      <c r="R432" s="78"/>
      <c r="S432" s="7"/>
      <c r="T432" s="7"/>
      <c r="U432" s="7"/>
      <c r="V432" s="14"/>
      <c r="W432" s="13"/>
      <c r="X432" s="14"/>
      <c r="Y432" s="14"/>
      <c r="Z432" s="43"/>
      <c r="AA432" s="14"/>
      <c r="AB432" s="14"/>
      <c r="AC432" s="8"/>
      <c r="AD432" s="8"/>
      <c r="AE432" s="8"/>
      <c r="AF432" s="8"/>
      <c r="AG432" s="8"/>
      <c r="AH432" s="72"/>
      <c r="AI432" s="8"/>
      <c r="AJ432" s="21"/>
      <c r="AK432" s="124"/>
      <c r="AL432" s="81"/>
      <c r="AM432" s="81"/>
      <c r="AN432" s="81"/>
      <c r="AO432" s="81"/>
      <c r="AP432" s="81"/>
      <c r="AQ432" s="81"/>
      <c r="AR432" s="81"/>
      <c r="AS432" s="81"/>
      <c r="AT432" s="81"/>
    </row>
    <row r="433" ht="22.5" customHeight="1">
      <c r="A433" s="7"/>
      <c r="B433" s="7"/>
      <c r="C433" s="7"/>
      <c r="D433" s="7"/>
      <c r="E433" s="7"/>
      <c r="F433" s="7"/>
      <c r="G433" s="49"/>
      <c r="H433" s="49"/>
      <c r="I433" s="111"/>
      <c r="J433" s="9"/>
      <c r="K433" s="7"/>
      <c r="L433" s="10"/>
      <c r="M433" s="7"/>
      <c r="N433" s="7"/>
      <c r="O433" s="7"/>
      <c r="P433" s="14"/>
      <c r="Q433" s="7"/>
      <c r="R433" s="78"/>
      <c r="S433" s="85"/>
      <c r="T433" s="7"/>
      <c r="U433" s="7"/>
      <c r="V433" s="14"/>
      <c r="W433" s="13"/>
      <c r="X433" s="14"/>
      <c r="Y433" s="14"/>
      <c r="Z433" s="43"/>
      <c r="AA433" s="14"/>
      <c r="AB433" s="14"/>
      <c r="AC433" s="8"/>
      <c r="AD433" s="8"/>
      <c r="AE433" s="8"/>
      <c r="AF433" s="8"/>
      <c r="AG433" s="8"/>
      <c r="AH433" s="72"/>
      <c r="AI433" s="8"/>
      <c r="AJ433" s="21"/>
      <c r="AK433" s="124"/>
      <c r="AL433" s="81"/>
      <c r="AM433" s="81"/>
      <c r="AN433" s="81"/>
      <c r="AO433" s="81"/>
      <c r="AP433" s="81"/>
      <c r="AQ433" s="81"/>
      <c r="AR433" s="81"/>
      <c r="AS433" s="81"/>
      <c r="AT433" s="81"/>
    </row>
    <row r="434" ht="22.5" customHeight="1">
      <c r="A434" s="7"/>
      <c r="B434" s="7"/>
      <c r="C434" s="7"/>
      <c r="D434" s="7"/>
      <c r="E434" s="7"/>
      <c r="F434" s="7"/>
      <c r="G434" s="49"/>
      <c r="H434" s="49"/>
      <c r="I434" s="111"/>
      <c r="J434" s="9"/>
      <c r="K434" s="7"/>
      <c r="L434" s="10"/>
      <c r="M434" s="7"/>
      <c r="N434" s="7"/>
      <c r="O434" s="7"/>
      <c r="P434" s="14"/>
      <c r="Q434" s="7"/>
      <c r="R434" s="78"/>
      <c r="S434" s="7"/>
      <c r="T434" s="7"/>
      <c r="U434" s="7"/>
      <c r="V434" s="14"/>
      <c r="W434" s="13"/>
      <c r="X434" s="14"/>
      <c r="Y434" s="14"/>
      <c r="Z434" s="43"/>
      <c r="AA434" s="14"/>
      <c r="AB434" s="14"/>
      <c r="AC434" s="8"/>
      <c r="AD434" s="8"/>
      <c r="AE434" s="8"/>
      <c r="AF434" s="8"/>
      <c r="AG434" s="8"/>
      <c r="AH434" s="72"/>
      <c r="AI434" s="8"/>
      <c r="AJ434" s="21"/>
      <c r="AK434" s="124"/>
      <c r="AL434" s="81"/>
      <c r="AM434" s="81"/>
      <c r="AN434" s="81"/>
      <c r="AO434" s="81"/>
      <c r="AP434" s="81"/>
      <c r="AQ434" s="81"/>
      <c r="AR434" s="81"/>
      <c r="AS434" s="81"/>
      <c r="AT434" s="81"/>
    </row>
    <row r="435" ht="22.5" customHeight="1">
      <c r="A435" s="7"/>
      <c r="B435" s="7"/>
      <c r="C435" s="7"/>
      <c r="D435" s="7"/>
      <c r="E435" s="7"/>
      <c r="F435" s="7"/>
      <c r="G435" s="49"/>
      <c r="H435" s="49"/>
      <c r="I435" s="111"/>
      <c r="J435" s="9"/>
      <c r="K435" s="7"/>
      <c r="L435" s="10"/>
      <c r="M435" s="7"/>
      <c r="N435" s="7"/>
      <c r="O435" s="7"/>
      <c r="P435" s="14"/>
      <c r="Q435" s="7"/>
      <c r="R435" s="78"/>
      <c r="S435" s="85"/>
      <c r="T435" s="7"/>
      <c r="U435" s="7"/>
      <c r="V435" s="14"/>
      <c r="W435" s="13"/>
      <c r="X435" s="14"/>
      <c r="Y435" s="14"/>
      <c r="Z435" s="43"/>
      <c r="AA435" s="14"/>
      <c r="AB435" s="14"/>
      <c r="AC435" s="8"/>
      <c r="AD435" s="8"/>
      <c r="AE435" s="8"/>
      <c r="AF435" s="8"/>
      <c r="AG435" s="8"/>
      <c r="AH435" s="72"/>
      <c r="AI435" s="8"/>
      <c r="AJ435" s="21"/>
      <c r="AK435" s="124"/>
      <c r="AL435" s="81"/>
      <c r="AM435" s="81"/>
      <c r="AN435" s="81"/>
      <c r="AO435" s="81"/>
      <c r="AP435" s="81"/>
      <c r="AQ435" s="81"/>
      <c r="AR435" s="81"/>
      <c r="AS435" s="81"/>
      <c r="AT435" s="81"/>
    </row>
    <row r="436" ht="22.5" customHeight="1">
      <c r="A436" s="240"/>
      <c r="B436" s="7"/>
      <c r="C436" s="7"/>
      <c r="D436" s="7"/>
      <c r="E436" s="7"/>
      <c r="F436" s="7"/>
      <c r="G436" s="107"/>
      <c r="H436" s="107"/>
      <c r="I436" s="51"/>
      <c r="J436" s="82"/>
      <c r="K436" s="7"/>
      <c r="L436" s="10"/>
      <c r="M436" s="7"/>
      <c r="N436" s="7"/>
      <c r="O436" s="84"/>
      <c r="P436" s="14"/>
      <c r="Q436" s="7"/>
      <c r="R436" s="78"/>
      <c r="S436" s="7"/>
      <c r="T436" s="7"/>
      <c r="U436" s="7"/>
      <c r="V436" s="14"/>
      <c r="W436" s="13"/>
      <c r="X436" s="14"/>
      <c r="Y436" s="14"/>
      <c r="Z436" s="43"/>
      <c r="AA436" s="14"/>
      <c r="AB436" s="14"/>
      <c r="AC436" s="8"/>
      <c r="AD436" s="8"/>
      <c r="AE436" s="8"/>
      <c r="AF436" s="8"/>
      <c r="AG436" s="8"/>
      <c r="AH436" s="72"/>
      <c r="AI436" s="8"/>
      <c r="AJ436" s="21"/>
      <c r="AK436" s="124"/>
      <c r="AL436" s="81"/>
      <c r="AM436" s="81"/>
      <c r="AN436" s="81"/>
      <c r="AO436" s="81"/>
      <c r="AP436" s="81"/>
      <c r="AQ436" s="81"/>
      <c r="AR436" s="81"/>
      <c r="AS436" s="81"/>
      <c r="AT436" s="81"/>
    </row>
    <row r="437" ht="22.5" customHeight="1">
      <c r="A437" s="7"/>
      <c r="B437" s="7"/>
      <c r="C437" s="7"/>
      <c r="D437" s="7"/>
      <c r="E437" s="7"/>
      <c r="F437" s="7"/>
      <c r="G437" s="107"/>
      <c r="H437" s="107"/>
      <c r="I437" s="51"/>
      <c r="J437" s="82"/>
      <c r="K437" s="7"/>
      <c r="L437" s="10"/>
      <c r="M437" s="7"/>
      <c r="N437" s="7"/>
      <c r="O437" s="84"/>
      <c r="P437" s="7"/>
      <c r="Q437" s="7"/>
      <c r="R437" s="78"/>
      <c r="S437" s="7"/>
      <c r="T437" s="7"/>
      <c r="U437" s="7"/>
      <c r="V437" s="14"/>
      <c r="W437" s="13"/>
      <c r="X437" s="14"/>
      <c r="Y437" s="14"/>
      <c r="Z437" s="43"/>
      <c r="AA437" s="14"/>
      <c r="AB437" s="14"/>
      <c r="AC437" s="8"/>
      <c r="AD437" s="8"/>
      <c r="AE437" s="8"/>
      <c r="AF437" s="8"/>
      <c r="AG437" s="8"/>
      <c r="AH437" s="72"/>
      <c r="AI437" s="8"/>
      <c r="AJ437" s="21"/>
      <c r="AK437" s="124"/>
      <c r="AL437" s="81"/>
      <c r="AM437" s="81"/>
      <c r="AN437" s="81"/>
      <c r="AO437" s="81"/>
      <c r="AP437" s="81"/>
      <c r="AQ437" s="81"/>
      <c r="AR437" s="81"/>
      <c r="AS437" s="81"/>
      <c r="AT437" s="81"/>
    </row>
    <row r="438" ht="22.5" customHeight="1">
      <c r="A438" s="7"/>
      <c r="B438" s="7"/>
      <c r="C438" s="7"/>
      <c r="D438" s="7"/>
      <c r="E438" s="7"/>
      <c r="F438" s="7"/>
      <c r="G438" s="107"/>
      <c r="H438" s="107"/>
      <c r="I438" s="51"/>
      <c r="J438" s="82"/>
      <c r="K438" s="7"/>
      <c r="L438" s="10"/>
      <c r="M438" s="7"/>
      <c r="N438" s="7"/>
      <c r="O438" s="84"/>
      <c r="P438" s="7"/>
      <c r="Q438" s="7"/>
      <c r="R438" s="78"/>
      <c r="S438" s="7"/>
      <c r="T438" s="7"/>
      <c r="U438" s="7"/>
      <c r="V438" s="14"/>
      <c r="W438" s="13"/>
      <c r="X438" s="14"/>
      <c r="Y438" s="14"/>
      <c r="Z438" s="43"/>
      <c r="AA438" s="14"/>
      <c r="AB438" s="14"/>
      <c r="AC438" s="8"/>
      <c r="AD438" s="8"/>
      <c r="AE438" s="8"/>
      <c r="AF438" s="8"/>
      <c r="AG438" s="8"/>
      <c r="AH438" s="72"/>
      <c r="AI438" s="8"/>
      <c r="AJ438" s="21"/>
      <c r="AK438" s="124"/>
      <c r="AL438" s="81"/>
      <c r="AM438" s="81"/>
      <c r="AN438" s="81"/>
      <c r="AO438" s="81"/>
      <c r="AP438" s="81"/>
      <c r="AQ438" s="81"/>
      <c r="AR438" s="81"/>
      <c r="AS438" s="81"/>
      <c r="AT438" s="81"/>
    </row>
    <row r="439" ht="22.5" customHeight="1">
      <c r="A439" s="7"/>
      <c r="B439" s="7"/>
      <c r="C439" s="7"/>
      <c r="D439" s="7"/>
      <c r="E439" s="7"/>
      <c r="F439" s="7"/>
      <c r="G439" s="107"/>
      <c r="H439" s="107"/>
      <c r="I439" s="51"/>
      <c r="J439" s="82"/>
      <c r="K439" s="7"/>
      <c r="L439" s="10"/>
      <c r="M439" s="7"/>
      <c r="N439" s="7"/>
      <c r="O439" s="84"/>
      <c r="P439" s="7"/>
      <c r="Q439" s="7"/>
      <c r="R439" s="78"/>
      <c r="S439" s="85"/>
      <c r="T439" s="7"/>
      <c r="U439" s="7"/>
      <c r="V439" s="14"/>
      <c r="W439" s="13"/>
      <c r="X439" s="14"/>
      <c r="Y439" s="14"/>
      <c r="Z439" s="43"/>
      <c r="AA439" s="14"/>
      <c r="AB439" s="14"/>
      <c r="AC439" s="8"/>
      <c r="AD439" s="8"/>
      <c r="AE439" s="8"/>
      <c r="AF439" s="8"/>
      <c r="AG439" s="8"/>
      <c r="AH439" s="72"/>
      <c r="AI439" s="8"/>
      <c r="AJ439" s="21"/>
      <c r="AK439" s="21"/>
      <c r="AL439" s="81"/>
      <c r="AM439" s="81"/>
      <c r="AN439" s="81"/>
      <c r="AO439" s="81"/>
      <c r="AP439" s="81"/>
      <c r="AQ439" s="81"/>
      <c r="AR439" s="81"/>
      <c r="AS439" s="81"/>
      <c r="AT439" s="81"/>
    </row>
    <row r="440" ht="22.5" customHeight="1">
      <c r="A440" s="7"/>
      <c r="B440" s="7"/>
      <c r="C440" s="7"/>
      <c r="D440" s="7"/>
      <c r="E440" s="7"/>
      <c r="F440" s="7"/>
      <c r="G440" s="49"/>
      <c r="H440" s="49"/>
      <c r="I440" s="51"/>
      <c r="J440" s="82"/>
      <c r="K440" s="7"/>
      <c r="L440" s="10"/>
      <c r="M440" s="7"/>
      <c r="N440" s="7"/>
      <c r="O440" s="7"/>
      <c r="P440" s="7"/>
      <c r="Q440" s="7"/>
      <c r="R440" s="78"/>
      <c r="S440" s="85"/>
      <c r="T440" s="7"/>
      <c r="U440" s="7"/>
      <c r="V440" s="14"/>
      <c r="W440" s="13"/>
      <c r="X440" s="14"/>
      <c r="Y440" s="14"/>
      <c r="Z440" s="43"/>
      <c r="AA440" s="14"/>
      <c r="AB440" s="14"/>
      <c r="AC440" s="8"/>
      <c r="AD440" s="8"/>
      <c r="AE440" s="8"/>
      <c r="AF440" s="8"/>
      <c r="AG440" s="8"/>
      <c r="AH440" s="72"/>
      <c r="AI440" s="8"/>
      <c r="AJ440" s="21"/>
      <c r="AK440" s="21"/>
      <c r="AL440" s="81"/>
      <c r="AM440" s="81"/>
      <c r="AN440" s="81"/>
      <c r="AO440" s="81"/>
      <c r="AP440" s="81"/>
      <c r="AQ440" s="81"/>
      <c r="AR440" s="81"/>
      <c r="AS440" s="81"/>
      <c r="AT440" s="81"/>
    </row>
    <row r="441" ht="22.5" customHeight="1">
      <c r="A441" s="7"/>
      <c r="B441" s="7"/>
      <c r="C441" s="7"/>
      <c r="D441" s="7"/>
      <c r="E441" s="7"/>
      <c r="F441" s="7"/>
      <c r="G441" s="107"/>
      <c r="H441" s="107"/>
      <c r="I441" s="51"/>
      <c r="J441" s="108"/>
      <c r="K441" s="7"/>
      <c r="L441" s="10"/>
      <c r="M441" s="7"/>
      <c r="N441" s="7"/>
      <c r="O441" s="7"/>
      <c r="P441" s="7"/>
      <c r="Q441" s="7"/>
      <c r="R441" s="78"/>
      <c r="S441" s="7"/>
      <c r="T441" s="7"/>
      <c r="U441" s="7"/>
      <c r="V441" s="14"/>
      <c r="W441" s="13"/>
      <c r="X441" s="14"/>
      <c r="Y441" s="14"/>
      <c r="Z441" s="14"/>
      <c r="AA441" s="14"/>
      <c r="AB441" s="14"/>
      <c r="AC441" s="8"/>
      <c r="AD441" s="8"/>
      <c r="AE441" s="8"/>
      <c r="AF441" s="8"/>
      <c r="AG441" s="8"/>
      <c r="AH441" s="72"/>
      <c r="AI441" s="8"/>
      <c r="AJ441" s="21"/>
      <c r="AK441" s="21"/>
      <c r="AL441" s="81"/>
      <c r="AM441" s="81"/>
      <c r="AN441" s="81"/>
      <c r="AO441" s="81"/>
      <c r="AP441" s="81"/>
      <c r="AQ441" s="81"/>
      <c r="AR441" s="81"/>
      <c r="AS441" s="81"/>
      <c r="AT441" s="81"/>
    </row>
    <row r="442" ht="22.5" customHeight="1">
      <c r="A442" s="7"/>
      <c r="B442" s="7"/>
      <c r="C442" s="7"/>
      <c r="D442" s="7"/>
      <c r="E442" s="7"/>
      <c r="F442" s="7"/>
      <c r="G442" s="107"/>
      <c r="H442" s="107"/>
      <c r="I442" s="51"/>
      <c r="J442" s="108"/>
      <c r="K442" s="7"/>
      <c r="L442" s="10"/>
      <c r="M442" s="7"/>
      <c r="N442" s="7"/>
      <c r="O442" s="7"/>
      <c r="P442" s="7"/>
      <c r="Q442" s="7"/>
      <c r="R442" s="78"/>
      <c r="S442" s="85"/>
      <c r="T442" s="7"/>
      <c r="U442" s="7"/>
      <c r="V442" s="14"/>
      <c r="W442" s="13"/>
      <c r="X442" s="14"/>
      <c r="Y442" s="14"/>
      <c r="Z442" s="14"/>
      <c r="AA442" s="14"/>
      <c r="AB442" s="14"/>
      <c r="AC442" s="8"/>
      <c r="AD442" s="8"/>
      <c r="AE442" s="8"/>
      <c r="AF442" s="8"/>
      <c r="AG442" s="8"/>
      <c r="AH442" s="72"/>
      <c r="AI442" s="8"/>
      <c r="AJ442" s="21"/>
      <c r="AK442" s="21"/>
      <c r="AL442" s="81"/>
      <c r="AM442" s="81"/>
      <c r="AN442" s="81"/>
      <c r="AO442" s="81"/>
      <c r="AP442" s="81"/>
      <c r="AQ442" s="81"/>
      <c r="AR442" s="81"/>
      <c r="AS442" s="81"/>
      <c r="AT442" s="81"/>
    </row>
    <row r="443" ht="22.5" customHeight="1">
      <c r="A443" s="7"/>
      <c r="B443" s="7"/>
      <c r="C443" s="7"/>
      <c r="D443" s="7"/>
      <c r="E443" s="7"/>
      <c r="F443" s="7"/>
      <c r="G443" s="49"/>
      <c r="H443" s="107"/>
      <c r="I443" s="51"/>
      <c r="J443" s="108"/>
      <c r="K443" s="7"/>
      <c r="L443" s="10"/>
      <c r="M443" s="7"/>
      <c r="N443" s="7"/>
      <c r="O443" s="7"/>
      <c r="P443" s="7"/>
      <c r="Q443" s="7"/>
      <c r="R443" s="78"/>
      <c r="S443" s="85"/>
      <c r="T443" s="7"/>
      <c r="U443" s="7"/>
      <c r="V443" s="14"/>
      <c r="W443" s="13"/>
      <c r="X443" s="14"/>
      <c r="Y443" s="14"/>
      <c r="Z443" s="14"/>
      <c r="AA443" s="14"/>
      <c r="AB443" s="14"/>
      <c r="AC443" s="8"/>
      <c r="AD443" s="8"/>
      <c r="AE443" s="8"/>
      <c r="AF443" s="8"/>
      <c r="AG443" s="8"/>
      <c r="AH443" s="72"/>
      <c r="AI443" s="8"/>
      <c r="AJ443" s="21"/>
      <c r="AK443" s="21"/>
      <c r="AL443" s="81"/>
      <c r="AM443" s="81"/>
      <c r="AN443" s="81"/>
      <c r="AO443" s="81"/>
      <c r="AP443" s="81"/>
      <c r="AQ443" s="81"/>
      <c r="AR443" s="81"/>
      <c r="AS443" s="81"/>
      <c r="AT443" s="81"/>
    </row>
    <row r="444" ht="22.5" customHeight="1">
      <c r="A444" s="139"/>
      <c r="B444" s="139"/>
      <c r="C444" s="7"/>
      <c r="D444" s="7"/>
      <c r="E444" s="7"/>
      <c r="F444" s="7"/>
      <c r="G444" s="107"/>
      <c r="H444" s="107"/>
      <c r="I444" s="51"/>
      <c r="J444" s="108"/>
      <c r="K444" s="7"/>
      <c r="L444" s="10"/>
      <c r="M444" s="7"/>
      <c r="N444" s="7"/>
      <c r="O444" s="7"/>
      <c r="P444" s="7"/>
      <c r="Q444" s="7"/>
      <c r="R444" s="78"/>
      <c r="S444" s="7"/>
      <c r="T444" s="7"/>
      <c r="U444" s="7"/>
      <c r="V444" s="14"/>
      <c r="W444" s="13"/>
      <c r="X444" s="14"/>
      <c r="Y444" s="14"/>
      <c r="Z444" s="14"/>
      <c r="AA444" s="14"/>
      <c r="AB444" s="14"/>
      <c r="AC444" s="8"/>
      <c r="AD444" s="8"/>
      <c r="AE444" s="8"/>
      <c r="AF444" s="8"/>
      <c r="AG444" s="8"/>
      <c r="AH444" s="72"/>
      <c r="AI444" s="8"/>
      <c r="AJ444" s="21"/>
      <c r="AK444" s="21"/>
      <c r="AL444" s="81"/>
      <c r="AM444" s="81"/>
      <c r="AN444" s="81"/>
      <c r="AO444" s="81"/>
      <c r="AP444" s="81"/>
      <c r="AQ444" s="81"/>
      <c r="AR444" s="81"/>
      <c r="AS444" s="81"/>
      <c r="AT444" s="81"/>
    </row>
    <row r="445" ht="22.5" customHeight="1">
      <c r="A445" s="7"/>
      <c r="B445" s="7"/>
      <c r="C445" s="7"/>
      <c r="D445" s="7"/>
      <c r="E445" s="7"/>
      <c r="F445" s="7"/>
      <c r="G445" s="107"/>
      <c r="H445" s="107"/>
      <c r="I445" s="51"/>
      <c r="J445" s="108"/>
      <c r="K445" s="7"/>
      <c r="L445" s="10"/>
      <c r="M445" s="7"/>
      <c r="N445" s="7"/>
      <c r="O445" s="7"/>
      <c r="P445" s="7"/>
      <c r="Q445" s="7"/>
      <c r="R445" s="78"/>
      <c r="S445" s="7"/>
      <c r="T445" s="7"/>
      <c r="U445" s="7"/>
      <c r="V445" s="14"/>
      <c r="W445" s="13"/>
      <c r="X445" s="14"/>
      <c r="Y445" s="14"/>
      <c r="Z445" s="14"/>
      <c r="AA445" s="14"/>
      <c r="AB445" s="14"/>
      <c r="AC445" s="8"/>
      <c r="AD445" s="8"/>
      <c r="AE445" s="8"/>
      <c r="AF445" s="8"/>
      <c r="AG445" s="8"/>
      <c r="AH445" s="72"/>
      <c r="AI445" s="8"/>
      <c r="AJ445" s="21"/>
      <c r="AK445" s="21"/>
      <c r="AL445" s="81"/>
      <c r="AM445" s="81"/>
      <c r="AN445" s="81"/>
      <c r="AO445" s="81"/>
      <c r="AP445" s="81"/>
      <c r="AQ445" s="81"/>
      <c r="AR445" s="81"/>
      <c r="AS445" s="81"/>
      <c r="AT445" s="81"/>
    </row>
    <row r="446" ht="22.5" customHeight="1">
      <c r="A446" s="7"/>
      <c r="B446" s="7"/>
      <c r="C446" s="7"/>
      <c r="D446" s="7"/>
      <c r="E446" s="7"/>
      <c r="F446" s="7"/>
      <c r="G446" s="107"/>
      <c r="H446" s="107"/>
      <c r="I446" s="51"/>
      <c r="J446" s="108"/>
      <c r="K446" s="7"/>
      <c r="L446" s="10"/>
      <c r="M446" s="7"/>
      <c r="N446" s="7"/>
      <c r="O446" s="7"/>
      <c r="P446" s="7"/>
      <c r="Q446" s="7"/>
      <c r="R446" s="78"/>
      <c r="S446" s="85"/>
      <c r="T446" s="7"/>
      <c r="U446" s="7"/>
      <c r="V446" s="14"/>
      <c r="W446" s="13"/>
      <c r="X446" s="14"/>
      <c r="Y446" s="14"/>
      <c r="Z446" s="14"/>
      <c r="AA446" s="14"/>
      <c r="AB446" s="14"/>
      <c r="AC446" s="8"/>
      <c r="AD446" s="8"/>
      <c r="AE446" s="8"/>
      <c r="AF446" s="8"/>
      <c r="AG446" s="8"/>
      <c r="AH446" s="72"/>
      <c r="AI446" s="8"/>
      <c r="AJ446" s="21"/>
      <c r="AK446" s="21"/>
      <c r="AL446" s="81"/>
      <c r="AM446" s="81"/>
      <c r="AN446" s="81"/>
      <c r="AO446" s="81"/>
      <c r="AP446" s="81"/>
      <c r="AQ446" s="81"/>
      <c r="AR446" s="81"/>
      <c r="AS446" s="81"/>
      <c r="AT446" s="81"/>
    </row>
    <row r="447" ht="22.5" customHeight="1">
      <c r="A447" s="7"/>
      <c r="B447" s="7"/>
      <c r="C447" s="7"/>
      <c r="D447" s="7"/>
      <c r="E447" s="7"/>
      <c r="F447" s="7"/>
      <c r="G447" s="107"/>
      <c r="H447" s="107"/>
      <c r="I447" s="51"/>
      <c r="J447" s="108"/>
      <c r="K447" s="7"/>
      <c r="L447" s="10"/>
      <c r="M447" s="7"/>
      <c r="N447" s="7"/>
      <c r="O447" s="7"/>
      <c r="P447" s="7"/>
      <c r="Q447" s="7"/>
      <c r="R447" s="78"/>
      <c r="S447" s="85"/>
      <c r="T447" s="7"/>
      <c r="U447" s="7"/>
      <c r="V447" s="14"/>
      <c r="W447" s="13"/>
      <c r="X447" s="14"/>
      <c r="Y447" s="14"/>
      <c r="Z447" s="14"/>
      <c r="AA447" s="14"/>
      <c r="AB447" s="14"/>
      <c r="AC447" s="8"/>
      <c r="AD447" s="8"/>
      <c r="AE447" s="8"/>
      <c r="AF447" s="8"/>
      <c r="AG447" s="8"/>
      <c r="AH447" s="72"/>
      <c r="AI447" s="8"/>
      <c r="AJ447" s="21"/>
      <c r="AK447" s="21"/>
      <c r="AL447" s="81"/>
      <c r="AM447" s="81"/>
      <c r="AN447" s="81"/>
      <c r="AO447" s="81"/>
      <c r="AP447" s="81"/>
      <c r="AQ447" s="81"/>
      <c r="AR447" s="81"/>
      <c r="AS447" s="81"/>
      <c r="AT447" s="81"/>
    </row>
    <row r="448" ht="22.5" customHeight="1">
      <c r="A448" s="7"/>
      <c r="B448" s="7"/>
      <c r="C448" s="7"/>
      <c r="D448" s="7"/>
      <c r="E448" s="7"/>
      <c r="F448" s="7"/>
      <c r="G448" s="107"/>
      <c r="H448" s="107"/>
      <c r="I448" s="51"/>
      <c r="J448" s="108"/>
      <c r="K448" s="7"/>
      <c r="L448" s="10"/>
      <c r="M448" s="7"/>
      <c r="N448" s="7"/>
      <c r="O448" s="7"/>
      <c r="P448" s="7"/>
      <c r="Q448" s="7"/>
      <c r="R448" s="78"/>
      <c r="S448" s="85"/>
      <c r="T448" s="7"/>
      <c r="U448" s="7"/>
      <c r="V448" s="14"/>
      <c r="W448" s="13"/>
      <c r="X448" s="14"/>
      <c r="Y448" s="14"/>
      <c r="Z448" s="14"/>
      <c r="AA448" s="14"/>
      <c r="AB448" s="14"/>
      <c r="AC448" s="8"/>
      <c r="AD448" s="8"/>
      <c r="AE448" s="8"/>
      <c r="AF448" s="8"/>
      <c r="AG448" s="8"/>
      <c r="AH448" s="72"/>
      <c r="AI448" s="8"/>
      <c r="AJ448" s="21"/>
      <c r="AK448" s="21"/>
      <c r="AL448" s="81"/>
      <c r="AM448" s="81"/>
      <c r="AN448" s="81"/>
      <c r="AO448" s="81"/>
      <c r="AP448" s="81"/>
      <c r="AQ448" s="81"/>
      <c r="AR448" s="81"/>
      <c r="AS448" s="81"/>
      <c r="AT448" s="81"/>
    </row>
    <row r="449" ht="22.5" customHeight="1">
      <c r="A449" s="7"/>
      <c r="B449" s="7"/>
      <c r="C449" s="7"/>
      <c r="D449" s="7"/>
      <c r="E449" s="7"/>
      <c r="F449" s="7"/>
      <c r="G449" s="107"/>
      <c r="H449" s="107"/>
      <c r="I449" s="51"/>
      <c r="J449" s="108"/>
      <c r="K449" s="7"/>
      <c r="L449" s="10"/>
      <c r="M449" s="7"/>
      <c r="N449" s="7"/>
      <c r="O449" s="84"/>
      <c r="P449" s="7"/>
      <c r="Q449" s="7"/>
      <c r="R449" s="78"/>
      <c r="S449" s="85"/>
      <c r="T449" s="7"/>
      <c r="U449" s="7"/>
      <c r="V449" s="14"/>
      <c r="W449" s="13"/>
      <c r="X449" s="14"/>
      <c r="Y449" s="14"/>
      <c r="Z449" s="43"/>
      <c r="AA449" s="14"/>
      <c r="AB449" s="14"/>
      <c r="AC449" s="8"/>
      <c r="AD449" s="8"/>
      <c r="AE449" s="8"/>
      <c r="AF449" s="8"/>
      <c r="AG449" s="8"/>
      <c r="AH449" s="72"/>
      <c r="AI449" s="8"/>
      <c r="AJ449" s="21"/>
      <c r="AK449" s="21"/>
      <c r="AL449" s="81"/>
      <c r="AM449" s="81"/>
      <c r="AN449" s="81"/>
      <c r="AO449" s="81"/>
      <c r="AP449" s="81"/>
      <c r="AQ449" s="81"/>
      <c r="AR449" s="81"/>
      <c r="AS449" s="81"/>
      <c r="AT449" s="81"/>
    </row>
    <row r="450" ht="22.5" customHeight="1">
      <c r="A450" s="240"/>
      <c r="B450" s="7"/>
      <c r="C450" s="7"/>
      <c r="D450" s="7"/>
      <c r="E450" s="7"/>
      <c r="F450" s="7"/>
      <c r="G450" s="107"/>
      <c r="H450" s="107"/>
      <c r="I450" s="51"/>
      <c r="J450" s="108"/>
      <c r="K450" s="7"/>
      <c r="L450" s="10"/>
      <c r="M450" s="7"/>
      <c r="N450" s="7"/>
      <c r="O450" s="84"/>
      <c r="P450" s="7"/>
      <c r="Q450" s="7"/>
      <c r="R450" s="78"/>
      <c r="S450" s="7"/>
      <c r="T450" s="7"/>
      <c r="U450" s="7"/>
      <c r="V450" s="14"/>
      <c r="W450" s="13"/>
      <c r="X450" s="14"/>
      <c r="Y450" s="14"/>
      <c r="Z450" s="43"/>
      <c r="AA450" s="14"/>
      <c r="AB450" s="14"/>
      <c r="AC450" s="8"/>
      <c r="AD450" s="8"/>
      <c r="AE450" s="8"/>
      <c r="AF450" s="8"/>
      <c r="AG450" s="8"/>
      <c r="AH450" s="72"/>
      <c r="AI450" s="8"/>
      <c r="AJ450" s="21"/>
      <c r="AK450" s="21"/>
      <c r="AL450" s="81"/>
      <c r="AM450" s="81"/>
      <c r="AN450" s="81"/>
      <c r="AO450" s="81"/>
      <c r="AP450" s="81"/>
      <c r="AQ450" s="81"/>
      <c r="AR450" s="81"/>
      <c r="AS450" s="81"/>
      <c r="AT450" s="81"/>
    </row>
    <row r="451" ht="22.5" customHeight="1">
      <c r="A451" s="7"/>
      <c r="B451" s="7"/>
      <c r="C451" s="7"/>
      <c r="D451" s="7"/>
      <c r="E451" s="7"/>
      <c r="F451" s="7"/>
      <c r="G451" s="107"/>
      <c r="H451" s="107"/>
      <c r="I451" s="51"/>
      <c r="J451" s="108"/>
      <c r="K451" s="7"/>
      <c r="L451" s="10"/>
      <c r="M451" s="7"/>
      <c r="N451" s="7"/>
      <c r="O451" s="84"/>
      <c r="P451" s="7"/>
      <c r="Q451" s="7"/>
      <c r="R451" s="78"/>
      <c r="S451" s="7"/>
      <c r="T451" s="7"/>
      <c r="U451" s="7"/>
      <c r="V451" s="14"/>
      <c r="W451" s="13"/>
      <c r="X451" s="14"/>
      <c r="Y451" s="14"/>
      <c r="Z451" s="43"/>
      <c r="AA451" s="14"/>
      <c r="AB451" s="14"/>
      <c r="AC451" s="8"/>
      <c r="AD451" s="8"/>
      <c r="AE451" s="8"/>
      <c r="AF451" s="8"/>
      <c r="AG451" s="8"/>
      <c r="AH451" s="72"/>
      <c r="AI451" s="8"/>
      <c r="AJ451" s="21"/>
      <c r="AK451" s="21"/>
      <c r="AL451" s="81"/>
      <c r="AM451" s="81"/>
      <c r="AN451" s="81"/>
      <c r="AO451" s="81"/>
      <c r="AP451" s="81"/>
      <c r="AQ451" s="81"/>
      <c r="AR451" s="81"/>
      <c r="AS451" s="81"/>
      <c r="AT451" s="81"/>
    </row>
    <row r="452" ht="22.5" customHeight="1">
      <c r="A452" s="240"/>
      <c r="B452" s="7"/>
      <c r="C452" s="7"/>
      <c r="D452" s="7"/>
      <c r="E452" s="7"/>
      <c r="F452" s="7"/>
      <c r="G452" s="107"/>
      <c r="H452" s="107"/>
      <c r="I452" s="51"/>
      <c r="J452" s="108"/>
      <c r="K452" s="7"/>
      <c r="L452" s="10"/>
      <c r="M452" s="7"/>
      <c r="N452" s="7"/>
      <c r="O452" s="84"/>
      <c r="P452" s="7"/>
      <c r="Q452" s="7"/>
      <c r="R452" s="78"/>
      <c r="S452" s="85"/>
      <c r="T452" s="7"/>
      <c r="U452" s="7"/>
      <c r="V452" s="14"/>
      <c r="W452" s="13"/>
      <c r="X452" s="14"/>
      <c r="Y452" s="14"/>
      <c r="Z452" s="43"/>
      <c r="AA452" s="14"/>
      <c r="AB452" s="14"/>
      <c r="AC452" s="8"/>
      <c r="AD452" s="8"/>
      <c r="AE452" s="8"/>
      <c r="AF452" s="8"/>
      <c r="AG452" s="8"/>
      <c r="AH452" s="72"/>
      <c r="AI452" s="8"/>
      <c r="AJ452" s="21"/>
      <c r="AK452" s="21"/>
      <c r="AL452" s="81"/>
      <c r="AM452" s="81"/>
      <c r="AN452" s="81"/>
      <c r="AO452" s="81"/>
      <c r="AP452" s="81"/>
      <c r="AQ452" s="81"/>
      <c r="AR452" s="81"/>
      <c r="AS452" s="81"/>
      <c r="AT452" s="81"/>
    </row>
    <row r="453" ht="22.5" customHeight="1">
      <c r="A453" s="7"/>
      <c r="B453" s="7"/>
      <c r="C453" s="7"/>
      <c r="D453" s="7"/>
      <c r="E453" s="7"/>
      <c r="F453" s="7"/>
      <c r="G453" s="107"/>
      <c r="H453" s="107"/>
      <c r="I453" s="51"/>
      <c r="J453" s="108"/>
      <c r="K453" s="7"/>
      <c r="L453" s="10"/>
      <c r="M453" s="7"/>
      <c r="N453" s="7"/>
      <c r="O453" s="84"/>
      <c r="P453" s="7"/>
      <c r="Q453" s="7"/>
      <c r="R453" s="78"/>
      <c r="S453" s="85"/>
      <c r="T453" s="7"/>
      <c r="U453" s="7"/>
      <c r="V453" s="14"/>
      <c r="W453" s="13"/>
      <c r="X453" s="14"/>
      <c r="Y453" s="14"/>
      <c r="Z453" s="43"/>
      <c r="AA453" s="14"/>
      <c r="AB453" s="14"/>
      <c r="AC453" s="8"/>
      <c r="AD453" s="8"/>
      <c r="AE453" s="8"/>
      <c r="AF453" s="8"/>
      <c r="AG453" s="8"/>
      <c r="AH453" s="72"/>
      <c r="AI453" s="8"/>
      <c r="AJ453" s="21"/>
      <c r="AK453" s="21"/>
      <c r="AL453" s="81"/>
      <c r="AM453" s="81"/>
      <c r="AN453" s="81"/>
      <c r="AO453" s="81"/>
      <c r="AP453" s="81"/>
      <c r="AQ453" s="81"/>
      <c r="AR453" s="81"/>
      <c r="AS453" s="81"/>
      <c r="AT453" s="81"/>
    </row>
    <row r="454" ht="22.5" customHeight="1">
      <c r="A454" s="7"/>
      <c r="B454" s="7"/>
      <c r="C454" s="7"/>
      <c r="D454" s="7"/>
      <c r="E454" s="7"/>
      <c r="F454" s="7"/>
      <c r="G454" s="107"/>
      <c r="H454" s="107"/>
      <c r="I454" s="51"/>
      <c r="J454" s="108"/>
      <c r="K454" s="7"/>
      <c r="L454" s="10"/>
      <c r="M454" s="7"/>
      <c r="N454" s="7"/>
      <c r="O454" s="84"/>
      <c r="P454" s="7"/>
      <c r="Q454" s="7"/>
      <c r="R454" s="78"/>
      <c r="S454" s="85"/>
      <c r="T454" s="7"/>
      <c r="U454" s="7"/>
      <c r="V454" s="14"/>
      <c r="W454" s="13"/>
      <c r="X454" s="14"/>
      <c r="Y454" s="14"/>
      <c r="Z454" s="43"/>
      <c r="AA454" s="14"/>
      <c r="AB454" s="14"/>
      <c r="AC454" s="8"/>
      <c r="AD454" s="8"/>
      <c r="AE454" s="8"/>
      <c r="AF454" s="8"/>
      <c r="AG454" s="8"/>
      <c r="AH454" s="72"/>
      <c r="AI454" s="8"/>
      <c r="AJ454" s="21"/>
      <c r="AK454" s="21"/>
      <c r="AL454" s="81"/>
      <c r="AM454" s="81"/>
      <c r="AN454" s="81"/>
      <c r="AO454" s="81"/>
      <c r="AP454" s="81"/>
      <c r="AQ454" s="81"/>
      <c r="AR454" s="81"/>
      <c r="AS454" s="81"/>
      <c r="AT454" s="81"/>
    </row>
    <row r="455" ht="22.5" customHeight="1">
      <c r="A455" s="7"/>
      <c r="B455" s="7"/>
      <c r="C455" s="7"/>
      <c r="D455" s="7"/>
      <c r="E455" s="7"/>
      <c r="F455" s="7"/>
      <c r="G455" s="107"/>
      <c r="H455" s="107"/>
      <c r="I455" s="51"/>
      <c r="J455" s="108"/>
      <c r="K455" s="7"/>
      <c r="L455" s="10"/>
      <c r="M455" s="7"/>
      <c r="N455" s="7"/>
      <c r="O455" s="7"/>
      <c r="P455" s="14"/>
      <c r="Q455" s="7"/>
      <c r="R455" s="78"/>
      <c r="S455" s="85"/>
      <c r="T455" s="7"/>
      <c r="U455" s="7"/>
      <c r="V455" s="14"/>
      <c r="W455" s="13"/>
      <c r="X455" s="14"/>
      <c r="Y455" s="14"/>
      <c r="Z455" s="14"/>
      <c r="AA455" s="14"/>
      <c r="AB455" s="14"/>
      <c r="AC455" s="8"/>
      <c r="AD455" s="8"/>
      <c r="AE455" s="8"/>
      <c r="AF455" s="8"/>
      <c r="AG455" s="8"/>
      <c r="AH455" s="72"/>
      <c r="AI455" s="8"/>
      <c r="AJ455" s="21"/>
      <c r="AK455" s="110"/>
      <c r="AL455" s="81"/>
      <c r="AM455" s="81"/>
      <c r="AN455" s="81"/>
      <c r="AO455" s="81"/>
      <c r="AP455" s="81"/>
      <c r="AQ455" s="81"/>
      <c r="AR455" s="81"/>
      <c r="AS455" s="81"/>
      <c r="AT455" s="81"/>
    </row>
    <row r="456" ht="22.5" customHeight="1">
      <c r="A456" s="7"/>
      <c r="B456" s="7"/>
      <c r="C456" s="7"/>
      <c r="D456" s="7"/>
      <c r="E456" s="7"/>
      <c r="F456" s="7"/>
      <c r="G456" s="107"/>
      <c r="H456" s="107"/>
      <c r="I456" s="51"/>
      <c r="J456" s="108"/>
      <c r="K456" s="7"/>
      <c r="L456" s="10"/>
      <c r="M456" s="7"/>
      <c r="N456" s="7"/>
      <c r="O456" s="7"/>
      <c r="P456" s="14"/>
      <c r="Q456" s="7"/>
      <c r="R456" s="78"/>
      <c r="S456" s="85"/>
      <c r="T456" s="7"/>
      <c r="U456" s="7"/>
      <c r="V456" s="14"/>
      <c r="W456" s="13"/>
      <c r="X456" s="14"/>
      <c r="Y456" s="14"/>
      <c r="Z456" s="14"/>
      <c r="AA456" s="14"/>
      <c r="AB456" s="14"/>
      <c r="AC456" s="8"/>
      <c r="AD456" s="8"/>
      <c r="AE456" s="8"/>
      <c r="AF456" s="8"/>
      <c r="AG456" s="8"/>
      <c r="AH456" s="72"/>
      <c r="AI456" s="8"/>
      <c r="AJ456" s="21"/>
      <c r="AK456" s="110"/>
      <c r="AL456" s="81"/>
      <c r="AM456" s="81"/>
      <c r="AN456" s="81"/>
      <c r="AO456" s="81"/>
      <c r="AP456" s="81"/>
      <c r="AQ456" s="81"/>
      <c r="AR456" s="81"/>
      <c r="AS456" s="81"/>
      <c r="AT456" s="81"/>
    </row>
    <row r="457" ht="22.5" customHeight="1">
      <c r="A457" s="7"/>
      <c r="B457" s="7"/>
      <c r="C457" s="7"/>
      <c r="D457" s="7"/>
      <c r="E457" s="7"/>
      <c r="F457" s="7"/>
      <c r="G457" s="107"/>
      <c r="H457" s="107"/>
      <c r="I457" s="51"/>
      <c r="J457" s="108"/>
      <c r="K457" s="7"/>
      <c r="L457" s="10"/>
      <c r="M457" s="7"/>
      <c r="N457" s="7"/>
      <c r="O457" s="7"/>
      <c r="P457" s="14"/>
      <c r="Q457" s="7"/>
      <c r="R457" s="78"/>
      <c r="S457" s="85"/>
      <c r="T457" s="7"/>
      <c r="U457" s="7"/>
      <c r="V457" s="14"/>
      <c r="W457" s="13"/>
      <c r="X457" s="14"/>
      <c r="Y457" s="14"/>
      <c r="Z457" s="43"/>
      <c r="AA457" s="14"/>
      <c r="AB457" s="14"/>
      <c r="AC457" s="8"/>
      <c r="AD457" s="8"/>
      <c r="AE457" s="8"/>
      <c r="AF457" s="8"/>
      <c r="AG457" s="8"/>
      <c r="AH457" s="72"/>
      <c r="AI457" s="8"/>
      <c r="AJ457" s="21"/>
      <c r="AK457" s="110"/>
      <c r="AL457" s="81"/>
      <c r="AM457" s="81"/>
      <c r="AN457" s="81"/>
      <c r="AO457" s="81"/>
      <c r="AP457" s="81"/>
      <c r="AQ457" s="81"/>
      <c r="AR457" s="81"/>
      <c r="AS457" s="81"/>
      <c r="AT457" s="81"/>
    </row>
    <row r="458" ht="22.5" customHeight="1">
      <c r="A458" s="7"/>
      <c r="B458" s="7"/>
      <c r="C458" s="7"/>
      <c r="D458" s="7"/>
      <c r="E458" s="7"/>
      <c r="F458" s="7"/>
      <c r="G458" s="107"/>
      <c r="H458" s="107"/>
      <c r="I458" s="51"/>
      <c r="J458" s="108"/>
      <c r="K458" s="7"/>
      <c r="L458" s="10"/>
      <c r="M458" s="7"/>
      <c r="N458" s="7"/>
      <c r="O458" s="7"/>
      <c r="P458" s="14"/>
      <c r="Q458" s="7"/>
      <c r="R458" s="78"/>
      <c r="S458" s="85"/>
      <c r="T458" s="7"/>
      <c r="U458" s="7"/>
      <c r="V458" s="14"/>
      <c r="W458" s="13"/>
      <c r="X458" s="14"/>
      <c r="Y458" s="14"/>
      <c r="Z458" s="43"/>
      <c r="AA458" s="14"/>
      <c r="AB458" s="14"/>
      <c r="AC458" s="8"/>
      <c r="AD458" s="8"/>
      <c r="AE458" s="8"/>
      <c r="AF458" s="8"/>
      <c r="AG458" s="8"/>
      <c r="AH458" s="72"/>
      <c r="AI458" s="8"/>
      <c r="AJ458" s="21"/>
      <c r="AK458" s="110"/>
      <c r="AL458" s="81"/>
      <c r="AM458" s="81"/>
      <c r="AN458" s="81"/>
      <c r="AO458" s="81"/>
      <c r="AP458" s="81"/>
      <c r="AQ458" s="81"/>
      <c r="AR458" s="81"/>
      <c r="AS458" s="81"/>
      <c r="AT458" s="81"/>
    </row>
    <row r="459" ht="22.5" customHeight="1">
      <c r="A459" s="7"/>
      <c r="B459" s="7"/>
      <c r="C459" s="7"/>
      <c r="D459" s="7"/>
      <c r="E459" s="7"/>
      <c r="F459" s="7"/>
      <c r="G459" s="107"/>
      <c r="H459" s="107"/>
      <c r="I459" s="51"/>
      <c r="J459" s="108"/>
      <c r="K459" s="7"/>
      <c r="L459" s="10"/>
      <c r="M459" s="7"/>
      <c r="N459" s="7"/>
      <c r="O459" s="7"/>
      <c r="P459" s="14"/>
      <c r="Q459" s="7"/>
      <c r="R459" s="78"/>
      <c r="S459" s="85"/>
      <c r="T459" s="7"/>
      <c r="U459" s="7"/>
      <c r="V459" s="14"/>
      <c r="W459" s="13"/>
      <c r="X459" s="14"/>
      <c r="Y459" s="14"/>
      <c r="Z459" s="43"/>
      <c r="AA459" s="14"/>
      <c r="AB459" s="14"/>
      <c r="AC459" s="8"/>
      <c r="AD459" s="8"/>
      <c r="AE459" s="8"/>
      <c r="AF459" s="8"/>
      <c r="AG459" s="8"/>
      <c r="AH459" s="72"/>
      <c r="AI459" s="8"/>
      <c r="AJ459" s="21"/>
      <c r="AK459" s="110"/>
      <c r="AL459" s="81"/>
      <c r="AM459" s="81"/>
      <c r="AN459" s="81"/>
      <c r="AO459" s="81"/>
      <c r="AP459" s="81"/>
      <c r="AQ459" s="81"/>
      <c r="AR459" s="81"/>
      <c r="AS459" s="81"/>
      <c r="AT459" s="81"/>
    </row>
    <row r="460" ht="22.5" customHeight="1">
      <c r="A460" s="7"/>
      <c r="B460" s="7"/>
      <c r="C460" s="7"/>
      <c r="D460" s="7"/>
      <c r="E460" s="7"/>
      <c r="F460" s="7"/>
      <c r="G460" s="107"/>
      <c r="H460" s="107"/>
      <c r="I460" s="51"/>
      <c r="J460" s="108"/>
      <c r="K460" s="7"/>
      <c r="L460" s="10"/>
      <c r="M460" s="7"/>
      <c r="N460" s="7"/>
      <c r="O460" s="7"/>
      <c r="P460" s="14"/>
      <c r="Q460" s="7"/>
      <c r="R460" s="78"/>
      <c r="S460" s="7"/>
      <c r="T460" s="7"/>
      <c r="U460" s="7"/>
      <c r="V460" s="14"/>
      <c r="W460" s="13"/>
      <c r="X460" s="14"/>
      <c r="Y460" s="14"/>
      <c r="Z460" s="43"/>
      <c r="AA460" s="14"/>
      <c r="AB460" s="14"/>
      <c r="AC460" s="8"/>
      <c r="AD460" s="8"/>
      <c r="AE460" s="8"/>
      <c r="AF460" s="8"/>
      <c r="AG460" s="8"/>
      <c r="AH460" s="72"/>
      <c r="AI460" s="8"/>
      <c r="AJ460" s="21"/>
      <c r="AK460" s="110"/>
      <c r="AL460" s="81"/>
      <c r="AM460" s="81"/>
      <c r="AN460" s="81"/>
      <c r="AO460" s="81"/>
      <c r="AP460" s="81"/>
      <c r="AQ460" s="81"/>
      <c r="AR460" s="81"/>
      <c r="AS460" s="81"/>
      <c r="AT460" s="81"/>
    </row>
    <row r="461" ht="22.5" customHeight="1">
      <c r="A461" s="7"/>
      <c r="B461" s="7"/>
      <c r="C461" s="7"/>
      <c r="D461" s="7"/>
      <c r="E461" s="7"/>
      <c r="F461" s="7"/>
      <c r="G461" s="107"/>
      <c r="H461" s="107"/>
      <c r="I461" s="51"/>
      <c r="J461" s="108"/>
      <c r="K461" s="7"/>
      <c r="L461" s="10"/>
      <c r="M461" s="7"/>
      <c r="N461" s="7"/>
      <c r="O461" s="7"/>
      <c r="P461" s="14"/>
      <c r="Q461" s="7"/>
      <c r="R461" s="78"/>
      <c r="S461" s="85"/>
      <c r="T461" s="7"/>
      <c r="U461" s="7"/>
      <c r="V461" s="14"/>
      <c r="W461" s="13"/>
      <c r="X461" s="14"/>
      <c r="Y461" s="14"/>
      <c r="Z461" s="43"/>
      <c r="AA461" s="14"/>
      <c r="AB461" s="14"/>
      <c r="AC461" s="8"/>
      <c r="AD461" s="8"/>
      <c r="AE461" s="8"/>
      <c r="AF461" s="8"/>
      <c r="AG461" s="8"/>
      <c r="AH461" s="72"/>
      <c r="AI461" s="8"/>
      <c r="AJ461" s="21"/>
      <c r="AK461" s="110"/>
      <c r="AL461" s="81"/>
      <c r="AM461" s="81"/>
      <c r="AN461" s="81"/>
      <c r="AO461" s="81"/>
      <c r="AP461" s="81"/>
      <c r="AQ461" s="81"/>
      <c r="AR461" s="81"/>
      <c r="AS461" s="81"/>
      <c r="AT461" s="81"/>
    </row>
    <row r="462" ht="22.5" customHeight="1">
      <c r="A462" s="7"/>
      <c r="B462" s="7"/>
      <c r="C462" s="7"/>
      <c r="D462" s="7"/>
      <c r="E462" s="7"/>
      <c r="F462" s="7"/>
      <c r="G462" s="107"/>
      <c r="H462" s="107"/>
      <c r="I462" s="51"/>
      <c r="J462" s="108"/>
      <c r="K462" s="7"/>
      <c r="L462" s="10"/>
      <c r="M462" s="7"/>
      <c r="N462" s="7"/>
      <c r="O462" s="7"/>
      <c r="P462" s="14"/>
      <c r="Q462" s="7"/>
      <c r="R462" s="78"/>
      <c r="S462" s="85"/>
      <c r="T462" s="7"/>
      <c r="U462" s="7"/>
      <c r="V462" s="14"/>
      <c r="W462" s="13"/>
      <c r="X462" s="14"/>
      <c r="Y462" s="14"/>
      <c r="Z462" s="43"/>
      <c r="AA462" s="14"/>
      <c r="AB462" s="14"/>
      <c r="AC462" s="8"/>
      <c r="AD462" s="8"/>
      <c r="AE462" s="8"/>
      <c r="AF462" s="8"/>
      <c r="AG462" s="8"/>
      <c r="AH462" s="72"/>
      <c r="AI462" s="8"/>
      <c r="AJ462" s="21"/>
      <c r="AK462" s="110"/>
      <c r="AL462" s="81"/>
      <c r="AM462" s="81"/>
      <c r="AN462" s="81"/>
      <c r="AO462" s="81"/>
      <c r="AP462" s="81"/>
      <c r="AQ462" s="81"/>
      <c r="AR462" s="81"/>
      <c r="AS462" s="81"/>
      <c r="AT462" s="81"/>
    </row>
    <row r="463" ht="22.5" customHeight="1">
      <c r="A463" s="240"/>
      <c r="B463" s="7"/>
      <c r="C463" s="7"/>
      <c r="D463" s="7"/>
      <c r="E463" s="7"/>
      <c r="F463" s="7"/>
      <c r="G463" s="107"/>
      <c r="H463" s="107"/>
      <c r="I463" s="51"/>
      <c r="J463" s="108"/>
      <c r="K463" s="7"/>
      <c r="L463" s="10"/>
      <c r="M463" s="7"/>
      <c r="N463" s="7"/>
      <c r="O463" s="7"/>
      <c r="P463" s="14"/>
      <c r="Q463" s="7"/>
      <c r="R463" s="78"/>
      <c r="S463" s="7"/>
      <c r="T463" s="7"/>
      <c r="U463" s="7"/>
      <c r="V463" s="14"/>
      <c r="W463" s="13"/>
      <c r="X463" s="14"/>
      <c r="Y463" s="14"/>
      <c r="Z463" s="43"/>
      <c r="AA463" s="14"/>
      <c r="AB463" s="14"/>
      <c r="AC463" s="8"/>
      <c r="AD463" s="8"/>
      <c r="AE463" s="8"/>
      <c r="AF463" s="8"/>
      <c r="AG463" s="8"/>
      <c r="AH463" s="72"/>
      <c r="AI463" s="8"/>
      <c r="AJ463" s="21"/>
      <c r="AK463" s="110"/>
      <c r="AL463" s="81"/>
      <c r="AM463" s="81"/>
      <c r="AN463" s="81"/>
      <c r="AO463" s="81"/>
      <c r="AP463" s="81"/>
      <c r="AQ463" s="81"/>
      <c r="AR463" s="81"/>
      <c r="AS463" s="81"/>
      <c r="AT463" s="81"/>
    </row>
    <row r="464" ht="22.5" customHeight="1">
      <c r="A464" s="7"/>
      <c r="B464" s="7"/>
      <c r="C464" s="7"/>
      <c r="D464" s="7"/>
      <c r="E464" s="7"/>
      <c r="F464" s="7"/>
      <c r="G464" s="107"/>
      <c r="H464" s="107"/>
      <c r="I464" s="51"/>
      <c r="J464" s="108"/>
      <c r="K464" s="7"/>
      <c r="L464" s="10"/>
      <c r="M464" s="7"/>
      <c r="N464" s="7"/>
      <c r="O464" s="7"/>
      <c r="P464" s="14"/>
      <c r="Q464" s="7"/>
      <c r="R464" s="78"/>
      <c r="S464" s="7"/>
      <c r="T464" s="7"/>
      <c r="U464" s="7"/>
      <c r="V464" s="14"/>
      <c r="W464" s="13"/>
      <c r="X464" s="14"/>
      <c r="Y464" s="14"/>
      <c r="Z464" s="43"/>
      <c r="AA464" s="14"/>
      <c r="AB464" s="14"/>
      <c r="AC464" s="8"/>
      <c r="AD464" s="8"/>
      <c r="AE464" s="8"/>
      <c r="AF464" s="8"/>
      <c r="AG464" s="8"/>
      <c r="AH464" s="72"/>
      <c r="AI464" s="8"/>
      <c r="AJ464" s="21"/>
      <c r="AK464" s="110"/>
      <c r="AL464" s="81"/>
      <c r="AM464" s="81"/>
      <c r="AN464" s="81"/>
      <c r="AO464" s="81"/>
      <c r="AP464" s="81"/>
      <c r="AQ464" s="81"/>
      <c r="AR464" s="81"/>
      <c r="AS464" s="81"/>
      <c r="AT464" s="81"/>
    </row>
    <row r="465" ht="22.5" customHeight="1">
      <c r="A465" s="7"/>
      <c r="B465" s="7"/>
      <c r="C465" s="7"/>
      <c r="D465" s="7"/>
      <c r="E465" s="7"/>
      <c r="F465" s="7"/>
      <c r="G465" s="107"/>
      <c r="H465" s="107"/>
      <c r="I465" s="51"/>
      <c r="J465" s="108"/>
      <c r="K465" s="7"/>
      <c r="L465" s="10"/>
      <c r="M465" s="7"/>
      <c r="N465" s="7"/>
      <c r="O465" s="7"/>
      <c r="P465" s="14"/>
      <c r="Q465" s="7"/>
      <c r="R465" s="78"/>
      <c r="S465" s="7"/>
      <c r="T465" s="7"/>
      <c r="U465" s="7"/>
      <c r="V465" s="14"/>
      <c r="W465" s="13"/>
      <c r="X465" s="14"/>
      <c r="Y465" s="14"/>
      <c r="Z465" s="43"/>
      <c r="AA465" s="14"/>
      <c r="AB465" s="14"/>
      <c r="AC465" s="8"/>
      <c r="AD465" s="8"/>
      <c r="AE465" s="8"/>
      <c r="AF465" s="8"/>
      <c r="AG465" s="8"/>
      <c r="AH465" s="72"/>
      <c r="AI465" s="8"/>
      <c r="AJ465" s="21"/>
      <c r="AK465" s="110"/>
      <c r="AL465" s="81"/>
      <c r="AM465" s="81"/>
      <c r="AN465" s="81"/>
      <c r="AO465" s="81"/>
      <c r="AP465" s="81"/>
      <c r="AQ465" s="81"/>
      <c r="AR465" s="81"/>
      <c r="AS465" s="81"/>
      <c r="AT465" s="81"/>
    </row>
    <row r="466" ht="22.5" customHeight="1">
      <c r="A466" s="7"/>
      <c r="B466" s="7"/>
      <c r="C466" s="7"/>
      <c r="D466" s="7"/>
      <c r="E466" s="7"/>
      <c r="F466" s="7"/>
      <c r="G466" s="107"/>
      <c r="H466" s="107"/>
      <c r="I466" s="51"/>
      <c r="J466" s="108"/>
      <c r="K466" s="7"/>
      <c r="L466" s="10"/>
      <c r="M466" s="7"/>
      <c r="N466" s="7"/>
      <c r="O466" s="7"/>
      <c r="P466" s="14"/>
      <c r="Q466" s="7"/>
      <c r="R466" s="78"/>
      <c r="S466" s="7"/>
      <c r="T466" s="7"/>
      <c r="U466" s="7"/>
      <c r="V466" s="14"/>
      <c r="W466" s="13"/>
      <c r="X466" s="14"/>
      <c r="Y466" s="14"/>
      <c r="Z466" s="43"/>
      <c r="AA466" s="14"/>
      <c r="AB466" s="14"/>
      <c r="AC466" s="8"/>
      <c r="AD466" s="8"/>
      <c r="AE466" s="8"/>
      <c r="AF466" s="8"/>
      <c r="AG466" s="8"/>
      <c r="AH466" s="72"/>
      <c r="AI466" s="8"/>
      <c r="AJ466" s="21"/>
      <c r="AK466" s="110"/>
      <c r="AL466" s="81"/>
      <c r="AM466" s="81"/>
      <c r="AN466" s="81"/>
      <c r="AO466" s="81"/>
      <c r="AP466" s="81"/>
      <c r="AQ466" s="81"/>
      <c r="AR466" s="81"/>
      <c r="AS466" s="81"/>
      <c r="AT466" s="81"/>
    </row>
    <row r="467" ht="22.5" customHeight="1">
      <c r="A467" s="7"/>
      <c r="B467" s="7"/>
      <c r="C467" s="7"/>
      <c r="D467" s="7"/>
      <c r="E467" s="7"/>
      <c r="F467" s="7"/>
      <c r="G467" s="107"/>
      <c r="H467" s="107"/>
      <c r="I467" s="51"/>
      <c r="J467" s="108"/>
      <c r="K467" s="7"/>
      <c r="L467" s="10"/>
      <c r="M467" s="7"/>
      <c r="N467" s="7"/>
      <c r="O467" s="7"/>
      <c r="P467" s="14"/>
      <c r="Q467" s="7"/>
      <c r="R467" s="78"/>
      <c r="S467" s="7"/>
      <c r="T467" s="7"/>
      <c r="U467" s="7"/>
      <c r="V467" s="14"/>
      <c r="W467" s="13"/>
      <c r="X467" s="14"/>
      <c r="Y467" s="14"/>
      <c r="Z467" s="43"/>
      <c r="AA467" s="14"/>
      <c r="AB467" s="14"/>
      <c r="AC467" s="8"/>
      <c r="AD467" s="8"/>
      <c r="AE467" s="8"/>
      <c r="AF467" s="8"/>
      <c r="AG467" s="8"/>
      <c r="AH467" s="72"/>
      <c r="AI467" s="8"/>
      <c r="AJ467" s="21"/>
      <c r="AK467" s="110"/>
      <c r="AL467" s="81"/>
      <c r="AM467" s="81"/>
      <c r="AN467" s="81"/>
      <c r="AO467" s="81"/>
      <c r="AP467" s="81"/>
      <c r="AQ467" s="81"/>
      <c r="AR467" s="81"/>
      <c r="AS467" s="81"/>
      <c r="AT467" s="81"/>
    </row>
    <row r="468" ht="22.5" customHeight="1">
      <c r="A468" s="7"/>
      <c r="B468" s="7"/>
      <c r="C468" s="7"/>
      <c r="D468" s="7"/>
      <c r="E468" s="7"/>
      <c r="F468" s="7"/>
      <c r="G468" s="107"/>
      <c r="H468" s="107"/>
      <c r="I468" s="51"/>
      <c r="J468" s="108"/>
      <c r="K468" s="7"/>
      <c r="L468" s="10"/>
      <c r="M468" s="7"/>
      <c r="N468" s="7"/>
      <c r="O468" s="7"/>
      <c r="P468" s="14"/>
      <c r="Q468" s="7"/>
      <c r="R468" s="78"/>
      <c r="S468" s="7"/>
      <c r="T468" s="7"/>
      <c r="U468" s="7"/>
      <c r="V468" s="14"/>
      <c r="W468" s="13"/>
      <c r="X468" s="14"/>
      <c r="Y468" s="14"/>
      <c r="Z468" s="43"/>
      <c r="AA468" s="14"/>
      <c r="AB468" s="14"/>
      <c r="AC468" s="8"/>
      <c r="AD468" s="8"/>
      <c r="AE468" s="8"/>
      <c r="AF468" s="8"/>
      <c r="AG468" s="8"/>
      <c r="AH468" s="72"/>
      <c r="AI468" s="8"/>
      <c r="AJ468" s="21"/>
      <c r="AK468" s="110"/>
      <c r="AL468" s="81"/>
      <c r="AM468" s="81"/>
      <c r="AN468" s="81"/>
      <c r="AO468" s="81"/>
      <c r="AP468" s="81"/>
      <c r="AQ468" s="81"/>
      <c r="AR468" s="81"/>
      <c r="AS468" s="81"/>
      <c r="AT468" s="81"/>
    </row>
    <row r="469" ht="22.5" customHeight="1">
      <c r="A469" s="7"/>
      <c r="B469" s="7"/>
      <c r="C469" s="7"/>
      <c r="D469" s="7"/>
      <c r="E469" s="7"/>
      <c r="F469" s="7"/>
      <c r="G469" s="107"/>
      <c r="H469" s="107"/>
      <c r="I469" s="51"/>
      <c r="J469" s="108"/>
      <c r="K469" s="7"/>
      <c r="L469" s="10"/>
      <c r="M469" s="7"/>
      <c r="N469" s="7"/>
      <c r="O469" s="7"/>
      <c r="P469" s="14"/>
      <c r="Q469" s="7"/>
      <c r="R469" s="78"/>
      <c r="S469" s="85"/>
      <c r="T469" s="7"/>
      <c r="U469" s="7"/>
      <c r="V469" s="14"/>
      <c r="W469" s="13"/>
      <c r="X469" s="14"/>
      <c r="Y469" s="14"/>
      <c r="Z469" s="43"/>
      <c r="AA469" s="14"/>
      <c r="AB469" s="14"/>
      <c r="AC469" s="8"/>
      <c r="AD469" s="8"/>
      <c r="AE469" s="8"/>
      <c r="AF469" s="8"/>
      <c r="AG469" s="8"/>
      <c r="AH469" s="72"/>
      <c r="AI469" s="8"/>
      <c r="AJ469" s="21"/>
      <c r="AK469" s="110"/>
      <c r="AL469" s="81"/>
      <c r="AM469" s="81"/>
      <c r="AN469" s="81"/>
      <c r="AO469" s="81"/>
      <c r="AP469" s="81"/>
      <c r="AQ469" s="81"/>
      <c r="AR469" s="81"/>
      <c r="AS469" s="81"/>
      <c r="AT469" s="81"/>
    </row>
    <row r="470" ht="22.5" customHeight="1">
      <c r="A470" s="219"/>
      <c r="B470" s="219"/>
      <c r="C470" s="219"/>
      <c r="D470" s="219"/>
      <c r="E470" s="219"/>
      <c r="F470" s="219"/>
      <c r="G470" s="241"/>
      <c r="H470" s="241"/>
      <c r="I470" s="242"/>
      <c r="J470" s="243"/>
      <c r="K470" s="219"/>
      <c r="L470" s="244"/>
      <c r="M470" s="219"/>
      <c r="N470" s="219"/>
      <c r="O470" s="219"/>
      <c r="P470" s="245"/>
      <c r="Q470" s="219"/>
      <c r="R470" s="246"/>
      <c r="S470" s="219"/>
      <c r="T470" s="219"/>
      <c r="U470" s="219"/>
      <c r="V470" s="245"/>
      <c r="W470" s="247"/>
      <c r="X470" s="245"/>
      <c r="Y470" s="245"/>
      <c r="Z470" s="248"/>
      <c r="AA470" s="245"/>
      <c r="AB470" s="245"/>
      <c r="AC470" s="249"/>
      <c r="AD470" s="249"/>
      <c r="AE470" s="249"/>
      <c r="AF470" s="249"/>
      <c r="AG470" s="249"/>
      <c r="AH470" s="250"/>
      <c r="AI470" s="249"/>
      <c r="AJ470" s="251"/>
      <c r="AK470" s="23"/>
      <c r="AL470" s="81"/>
      <c r="AM470" s="81"/>
      <c r="AN470" s="81"/>
      <c r="AO470" s="81"/>
      <c r="AP470" s="81"/>
      <c r="AQ470" s="81"/>
      <c r="AR470" s="81"/>
      <c r="AS470" s="81"/>
      <c r="AT470" s="81"/>
    </row>
    <row r="471" ht="22.5" customHeight="1">
      <c r="A471" s="7"/>
      <c r="B471" s="7"/>
      <c r="C471" s="7"/>
      <c r="D471" s="7"/>
      <c r="E471" s="7"/>
      <c r="F471" s="7"/>
      <c r="G471" s="107"/>
      <c r="H471" s="107"/>
      <c r="I471" s="51"/>
      <c r="J471" s="108"/>
      <c r="K471" s="7"/>
      <c r="L471" s="10"/>
      <c r="M471" s="7"/>
      <c r="N471" s="7"/>
      <c r="O471" s="7"/>
      <c r="P471" s="14"/>
      <c r="Q471" s="7"/>
      <c r="R471" s="78"/>
      <c r="S471" s="85"/>
      <c r="T471" s="7"/>
      <c r="U471" s="7"/>
      <c r="V471" s="14"/>
      <c r="W471" s="13"/>
      <c r="X471" s="14"/>
      <c r="Y471" s="14"/>
      <c r="Z471" s="43"/>
      <c r="AA471" s="14"/>
      <c r="AB471" s="14"/>
      <c r="AC471" s="8"/>
      <c r="AD471" s="8"/>
      <c r="AE471" s="8"/>
      <c r="AF471" s="8"/>
      <c r="AG471" s="8"/>
      <c r="AH471" s="72"/>
      <c r="AI471" s="8"/>
      <c r="AJ471" s="21"/>
      <c r="AK471" s="110"/>
      <c r="AL471" s="81"/>
      <c r="AM471" s="81"/>
      <c r="AN471" s="81"/>
      <c r="AO471" s="81"/>
      <c r="AP471" s="81"/>
      <c r="AQ471" s="81"/>
      <c r="AR471" s="81"/>
      <c r="AS471" s="81"/>
      <c r="AT471" s="81"/>
    </row>
    <row r="472" ht="22.5" customHeight="1">
      <c r="A472" s="7"/>
      <c r="B472" s="7"/>
      <c r="C472" s="7"/>
      <c r="D472" s="7"/>
      <c r="E472" s="7"/>
      <c r="F472" s="7"/>
      <c r="G472" s="107"/>
      <c r="H472" s="107"/>
      <c r="I472" s="51"/>
      <c r="J472" s="108"/>
      <c r="K472" s="7"/>
      <c r="L472" s="10"/>
      <c r="M472" s="7"/>
      <c r="N472" s="7"/>
      <c r="O472" s="7"/>
      <c r="P472" s="14"/>
      <c r="Q472" s="7"/>
      <c r="R472" s="78"/>
      <c r="S472" s="7"/>
      <c r="T472" s="7"/>
      <c r="U472" s="7"/>
      <c r="V472" s="14"/>
      <c r="W472" s="13"/>
      <c r="X472" s="14"/>
      <c r="Y472" s="14"/>
      <c r="Z472" s="43"/>
      <c r="AA472" s="14"/>
      <c r="AB472" s="14"/>
      <c r="AC472" s="8"/>
      <c r="AD472" s="8"/>
      <c r="AE472" s="8"/>
      <c r="AF472" s="8"/>
      <c r="AG472" s="8"/>
      <c r="AH472" s="72"/>
      <c r="AI472" s="8"/>
      <c r="AJ472" s="21"/>
      <c r="AK472" s="110"/>
      <c r="AL472" s="81"/>
      <c r="AM472" s="81"/>
      <c r="AN472" s="81"/>
      <c r="AO472" s="81"/>
      <c r="AP472" s="81"/>
      <c r="AQ472" s="81"/>
      <c r="AR472" s="81"/>
      <c r="AS472" s="81"/>
      <c r="AT472" s="81"/>
    </row>
    <row r="473" ht="22.5" customHeight="1">
      <c r="A473" s="7"/>
      <c r="B473" s="7"/>
      <c r="C473" s="7"/>
      <c r="D473" s="7"/>
      <c r="E473" s="7"/>
      <c r="F473" s="7"/>
      <c r="G473" s="107"/>
      <c r="H473" s="107"/>
      <c r="I473" s="51"/>
      <c r="J473" s="108"/>
      <c r="K473" s="7"/>
      <c r="L473" s="10"/>
      <c r="M473" s="7"/>
      <c r="N473" s="7"/>
      <c r="O473" s="7"/>
      <c r="P473" s="14"/>
      <c r="Q473" s="7"/>
      <c r="R473" s="78"/>
      <c r="S473" s="85"/>
      <c r="T473" s="7"/>
      <c r="U473" s="7"/>
      <c r="V473" s="14"/>
      <c r="W473" s="13"/>
      <c r="X473" s="14"/>
      <c r="Y473" s="14"/>
      <c r="Z473" s="43"/>
      <c r="AA473" s="14"/>
      <c r="AB473" s="14"/>
      <c r="AC473" s="8"/>
      <c r="AD473" s="8"/>
      <c r="AE473" s="8"/>
      <c r="AF473" s="8"/>
      <c r="AG473" s="8"/>
      <c r="AH473" s="72"/>
      <c r="AI473" s="8"/>
      <c r="AJ473" s="21"/>
      <c r="AK473" s="110"/>
      <c r="AL473" s="81"/>
      <c r="AM473" s="81"/>
      <c r="AN473" s="81"/>
      <c r="AO473" s="81"/>
      <c r="AP473" s="81"/>
      <c r="AQ473" s="81"/>
      <c r="AR473" s="81"/>
      <c r="AS473" s="81"/>
      <c r="AT473" s="81"/>
    </row>
    <row r="474" ht="22.5" customHeight="1">
      <c r="A474" s="7"/>
      <c r="B474" s="7"/>
      <c r="C474" s="7"/>
      <c r="D474" s="7"/>
      <c r="E474" s="7"/>
      <c r="F474" s="7"/>
      <c r="G474" s="107"/>
      <c r="H474" s="107"/>
      <c r="I474" s="51"/>
      <c r="J474" s="108"/>
      <c r="K474" s="7"/>
      <c r="L474" s="10"/>
      <c r="M474" s="7"/>
      <c r="N474" s="7"/>
      <c r="O474" s="7"/>
      <c r="P474" s="14"/>
      <c r="Q474" s="7"/>
      <c r="R474" s="78"/>
      <c r="S474" s="85"/>
      <c r="T474" s="7"/>
      <c r="U474" s="7"/>
      <c r="V474" s="14"/>
      <c r="W474" s="13"/>
      <c r="X474" s="14"/>
      <c r="Y474" s="14"/>
      <c r="Z474" s="43"/>
      <c r="AA474" s="14"/>
      <c r="AB474" s="14"/>
      <c r="AC474" s="8"/>
      <c r="AD474" s="8"/>
      <c r="AE474" s="8"/>
      <c r="AF474" s="8"/>
      <c r="AG474" s="8"/>
      <c r="AH474" s="72"/>
      <c r="AI474" s="8"/>
      <c r="AJ474" s="21"/>
      <c r="AK474" s="110"/>
      <c r="AL474" s="81"/>
      <c r="AM474" s="81"/>
      <c r="AN474" s="81"/>
      <c r="AO474" s="81"/>
      <c r="AP474" s="81"/>
      <c r="AQ474" s="81"/>
      <c r="AR474" s="81"/>
      <c r="AS474" s="81"/>
      <c r="AT474" s="81"/>
    </row>
    <row r="475" ht="22.5" customHeight="1">
      <c r="A475" s="7"/>
      <c r="B475" s="7"/>
      <c r="C475" s="7"/>
      <c r="D475" s="7"/>
      <c r="E475" s="7"/>
      <c r="F475" s="7"/>
      <c r="G475" s="107"/>
      <c r="H475" s="107"/>
      <c r="I475" s="51"/>
      <c r="J475" s="108"/>
      <c r="K475" s="7"/>
      <c r="L475" s="10"/>
      <c r="M475" s="7"/>
      <c r="N475" s="7"/>
      <c r="O475" s="7"/>
      <c r="P475" s="14"/>
      <c r="Q475" s="7"/>
      <c r="R475" s="78"/>
      <c r="S475" s="7"/>
      <c r="T475" s="7"/>
      <c r="U475" s="7"/>
      <c r="V475" s="14"/>
      <c r="W475" s="13"/>
      <c r="X475" s="14"/>
      <c r="Y475" s="14"/>
      <c r="Z475" s="43"/>
      <c r="AA475" s="14"/>
      <c r="AB475" s="14"/>
      <c r="AC475" s="8"/>
      <c r="AD475" s="8"/>
      <c r="AE475" s="8"/>
      <c r="AF475" s="8"/>
      <c r="AG475" s="8"/>
      <c r="AH475" s="72"/>
      <c r="AI475" s="8"/>
      <c r="AJ475" s="21"/>
      <c r="AK475" s="110"/>
      <c r="AL475" s="81"/>
      <c r="AM475" s="81"/>
      <c r="AN475" s="81"/>
      <c r="AO475" s="81"/>
      <c r="AP475" s="81"/>
      <c r="AQ475" s="81"/>
      <c r="AR475" s="81"/>
      <c r="AS475" s="81"/>
      <c r="AT475" s="81"/>
    </row>
    <row r="476" ht="22.5" customHeight="1">
      <c r="A476" s="7"/>
      <c r="B476" s="7"/>
      <c r="C476" s="7"/>
      <c r="D476" s="7"/>
      <c r="E476" s="7"/>
      <c r="F476" s="7"/>
      <c r="G476" s="107"/>
      <c r="H476" s="107"/>
      <c r="I476" s="51"/>
      <c r="J476" s="108"/>
      <c r="K476" s="7"/>
      <c r="L476" s="10"/>
      <c r="M476" s="7"/>
      <c r="N476" s="7"/>
      <c r="O476" s="7"/>
      <c r="P476" s="14"/>
      <c r="Q476" s="7"/>
      <c r="R476" s="78"/>
      <c r="S476" s="85"/>
      <c r="T476" s="7"/>
      <c r="U476" s="7"/>
      <c r="V476" s="14"/>
      <c r="W476" s="13"/>
      <c r="X476" s="14"/>
      <c r="Y476" s="14"/>
      <c r="Z476" s="43"/>
      <c r="AA476" s="14"/>
      <c r="AB476" s="14"/>
      <c r="AC476" s="8"/>
      <c r="AD476" s="8"/>
      <c r="AE476" s="8"/>
      <c r="AF476" s="8"/>
      <c r="AG476" s="8"/>
      <c r="AH476" s="72"/>
      <c r="AI476" s="8"/>
      <c r="AJ476" s="21"/>
      <c r="AK476" s="110"/>
      <c r="AL476" s="81"/>
      <c r="AM476" s="81"/>
      <c r="AN476" s="81"/>
      <c r="AO476" s="81"/>
      <c r="AP476" s="81"/>
      <c r="AQ476" s="81"/>
      <c r="AR476" s="81"/>
      <c r="AS476" s="81"/>
      <c r="AT476" s="81"/>
    </row>
    <row r="477" ht="22.5" customHeight="1">
      <c r="A477" s="7"/>
      <c r="B477" s="7"/>
      <c r="C477" s="7"/>
      <c r="D477" s="7"/>
      <c r="E477" s="7"/>
      <c r="F477" s="7"/>
      <c r="G477" s="107"/>
      <c r="H477" s="107"/>
      <c r="I477" s="51"/>
      <c r="J477" s="108"/>
      <c r="K477" s="7"/>
      <c r="L477" s="10"/>
      <c r="M477" s="7"/>
      <c r="N477" s="7"/>
      <c r="O477" s="7"/>
      <c r="P477" s="14"/>
      <c r="Q477" s="7"/>
      <c r="R477" s="78"/>
      <c r="S477" s="7"/>
      <c r="T477" s="7"/>
      <c r="U477" s="7"/>
      <c r="V477" s="14"/>
      <c r="W477" s="13"/>
      <c r="X477" s="14"/>
      <c r="Y477" s="14"/>
      <c r="Z477" s="43"/>
      <c r="AA477" s="14"/>
      <c r="AB477" s="14"/>
      <c r="AC477" s="8"/>
      <c r="AD477" s="8"/>
      <c r="AE477" s="8"/>
      <c r="AF477" s="8"/>
      <c r="AG477" s="8"/>
      <c r="AH477" s="72"/>
      <c r="AI477" s="8"/>
      <c r="AJ477" s="21"/>
      <c r="AK477" s="110"/>
      <c r="AL477" s="81"/>
      <c r="AM477" s="81"/>
      <c r="AN477" s="81"/>
      <c r="AO477" s="81"/>
      <c r="AP477" s="81"/>
      <c r="AQ477" s="81"/>
      <c r="AR477" s="81"/>
      <c r="AS477" s="81"/>
      <c r="AT477" s="81"/>
    </row>
    <row r="478" ht="22.5" customHeight="1">
      <c r="A478" s="7"/>
      <c r="B478" s="7"/>
      <c r="C478" s="7"/>
      <c r="D478" s="7"/>
      <c r="E478" s="7"/>
      <c r="F478" s="7"/>
      <c r="G478" s="107"/>
      <c r="H478" s="107"/>
      <c r="I478" s="51"/>
      <c r="J478" s="108"/>
      <c r="K478" s="7"/>
      <c r="L478" s="10"/>
      <c r="M478" s="7"/>
      <c r="N478" s="7"/>
      <c r="O478" s="7"/>
      <c r="P478" s="14"/>
      <c r="Q478" s="7"/>
      <c r="R478" s="78"/>
      <c r="S478" s="7"/>
      <c r="T478" s="7"/>
      <c r="U478" s="7"/>
      <c r="V478" s="14"/>
      <c r="W478" s="13"/>
      <c r="X478" s="14"/>
      <c r="Y478" s="14"/>
      <c r="Z478" s="43"/>
      <c r="AA478" s="14"/>
      <c r="AB478" s="14"/>
      <c r="AC478" s="8"/>
      <c r="AD478" s="8"/>
      <c r="AE478" s="8"/>
      <c r="AF478" s="8"/>
      <c r="AG478" s="8"/>
      <c r="AH478" s="72"/>
      <c r="AI478" s="8"/>
      <c r="AJ478" s="21"/>
      <c r="AK478" s="110"/>
      <c r="AL478" s="81"/>
      <c r="AM478" s="81"/>
      <c r="AN478" s="81"/>
      <c r="AO478" s="81"/>
      <c r="AP478" s="81"/>
      <c r="AQ478" s="81"/>
      <c r="AR478" s="81"/>
      <c r="AS478" s="81"/>
      <c r="AT478" s="81"/>
    </row>
    <row r="479" ht="22.5" customHeight="1">
      <c r="A479" s="7"/>
      <c r="B479" s="7"/>
      <c r="C479" s="7"/>
      <c r="D479" s="7"/>
      <c r="E479" s="7"/>
      <c r="F479" s="7"/>
      <c r="G479" s="107"/>
      <c r="H479" s="107"/>
      <c r="I479" s="51"/>
      <c r="J479" s="108"/>
      <c r="K479" s="7"/>
      <c r="L479" s="10"/>
      <c r="M479" s="7"/>
      <c r="N479" s="7"/>
      <c r="O479" s="7"/>
      <c r="P479" s="14"/>
      <c r="Q479" s="7"/>
      <c r="R479" s="78"/>
      <c r="S479" s="7"/>
      <c r="T479" s="7"/>
      <c r="U479" s="7"/>
      <c r="V479" s="14"/>
      <c r="W479" s="13"/>
      <c r="X479" s="14"/>
      <c r="Y479" s="14"/>
      <c r="Z479" s="14"/>
      <c r="AA479" s="14"/>
      <c r="AB479" s="14"/>
      <c r="AC479" s="8"/>
      <c r="AD479" s="8"/>
      <c r="AE479" s="8"/>
      <c r="AF479" s="8"/>
      <c r="AG479" s="8"/>
      <c r="AH479" s="72"/>
      <c r="AI479" s="8"/>
      <c r="AJ479" s="21"/>
      <c r="AK479" s="110"/>
      <c r="AL479" s="81"/>
      <c r="AM479" s="81"/>
      <c r="AN479" s="81"/>
      <c r="AO479" s="81"/>
      <c r="AP479" s="81"/>
      <c r="AQ479" s="81"/>
      <c r="AR479" s="81"/>
      <c r="AS479" s="81"/>
      <c r="AT479" s="81"/>
    </row>
    <row r="480" ht="22.5" customHeight="1">
      <c r="A480" s="7"/>
      <c r="B480" s="7"/>
      <c r="C480" s="7"/>
      <c r="D480" s="7"/>
      <c r="E480" s="7"/>
      <c r="F480" s="7"/>
      <c r="G480" s="107"/>
      <c r="H480" s="107"/>
      <c r="I480" s="51"/>
      <c r="J480" s="108"/>
      <c r="K480" s="7"/>
      <c r="L480" s="10"/>
      <c r="M480" s="7"/>
      <c r="N480" s="7"/>
      <c r="O480" s="7"/>
      <c r="P480" s="14"/>
      <c r="Q480" s="7"/>
      <c r="R480" s="78"/>
      <c r="S480" s="85"/>
      <c r="T480" s="7"/>
      <c r="U480" s="7"/>
      <c r="V480" s="14"/>
      <c r="W480" s="13"/>
      <c r="X480" s="14"/>
      <c r="Y480" s="14"/>
      <c r="Z480" s="14"/>
      <c r="AA480" s="14"/>
      <c r="AB480" s="14"/>
      <c r="AC480" s="8"/>
      <c r="AD480" s="8"/>
      <c r="AE480" s="8"/>
      <c r="AF480" s="8"/>
      <c r="AG480" s="8"/>
      <c r="AH480" s="72"/>
      <c r="AI480" s="8"/>
      <c r="AJ480" s="21"/>
      <c r="AK480" s="110"/>
      <c r="AL480" s="81"/>
      <c r="AM480" s="81"/>
      <c r="AN480" s="81"/>
      <c r="AO480" s="81"/>
      <c r="AP480" s="81"/>
      <c r="AQ480" s="81"/>
      <c r="AR480" s="81"/>
      <c r="AS480" s="81"/>
      <c r="AT480" s="81"/>
    </row>
    <row r="481" ht="22.5" customHeight="1">
      <c r="A481" s="7"/>
      <c r="B481" s="7"/>
      <c r="C481" s="7"/>
      <c r="D481" s="7"/>
      <c r="E481" s="7"/>
      <c r="F481" s="7"/>
      <c r="G481" s="49"/>
      <c r="H481" s="49"/>
      <c r="I481" s="51"/>
      <c r="J481" s="82"/>
      <c r="K481" s="7"/>
      <c r="L481" s="10"/>
      <c r="M481" s="7"/>
      <c r="N481" s="83"/>
      <c r="O481" s="84"/>
      <c r="P481" s="10"/>
      <c r="Q481" s="7"/>
      <c r="R481" s="11"/>
      <c r="S481" s="7"/>
      <c r="T481" s="7"/>
      <c r="U481" s="7"/>
      <c r="V481" s="27"/>
      <c r="W481" s="13"/>
      <c r="X481" s="14"/>
      <c r="Y481" s="14"/>
      <c r="Z481" s="43"/>
      <c r="AA481" s="14"/>
      <c r="AB481" s="14"/>
      <c r="AC481" s="8"/>
      <c r="AD481" s="8"/>
      <c r="AE481" s="8"/>
      <c r="AF481" s="8"/>
      <c r="AG481" s="8"/>
      <c r="AH481" s="72"/>
      <c r="AI481" s="8"/>
      <c r="AJ481" s="21"/>
      <c r="AK481" s="110"/>
      <c r="AL481" s="75"/>
      <c r="AM481" s="75"/>
      <c r="AN481" s="75"/>
      <c r="AO481" s="75"/>
      <c r="AP481" s="75"/>
      <c r="AQ481" s="75"/>
      <c r="AR481" s="75"/>
      <c r="AS481" s="75"/>
      <c r="AT481" s="75"/>
    </row>
    <row r="482" ht="22.5" customHeight="1">
      <c r="A482" s="7"/>
      <c r="B482" s="7"/>
      <c r="C482" s="7"/>
      <c r="D482" s="7"/>
      <c r="E482" s="7"/>
      <c r="F482" s="7"/>
      <c r="G482" s="49"/>
      <c r="H482" s="49"/>
      <c r="I482" s="51"/>
      <c r="J482" s="108"/>
      <c r="K482" s="7"/>
      <c r="L482" s="10"/>
      <c r="M482" s="7"/>
      <c r="N482" s="7"/>
      <c r="O482" s="7"/>
      <c r="P482" s="14"/>
      <c r="Q482" s="7"/>
      <c r="R482" s="78"/>
      <c r="S482" s="85"/>
      <c r="T482" s="7"/>
      <c r="U482" s="7"/>
      <c r="V482" s="14"/>
      <c r="W482" s="13"/>
      <c r="X482" s="14"/>
      <c r="Y482" s="14"/>
      <c r="Z482" s="43"/>
      <c r="AA482" s="14"/>
      <c r="AB482" s="14"/>
      <c r="AC482" s="8"/>
      <c r="AD482" s="8"/>
      <c r="AE482" s="8"/>
      <c r="AF482" s="8"/>
      <c r="AG482" s="8"/>
      <c r="AH482" s="72"/>
      <c r="AI482" s="8"/>
      <c r="AJ482" s="21"/>
      <c r="AK482" s="110"/>
      <c r="AL482" s="81"/>
      <c r="AM482" s="81"/>
      <c r="AN482" s="81"/>
      <c r="AO482" s="81"/>
      <c r="AP482" s="81"/>
      <c r="AQ482" s="81"/>
      <c r="AR482" s="81"/>
      <c r="AS482" s="81"/>
      <c r="AT482" s="81"/>
    </row>
    <row r="483" ht="22.5" customHeight="1">
      <c r="A483" s="7"/>
      <c r="B483" s="7"/>
      <c r="C483" s="7"/>
      <c r="D483" s="7"/>
      <c r="E483" s="7"/>
      <c r="F483" s="7"/>
      <c r="G483" s="107"/>
      <c r="H483" s="107"/>
      <c r="I483" s="51"/>
      <c r="J483" s="108"/>
      <c r="K483" s="7"/>
      <c r="L483" s="10"/>
      <c r="M483" s="7"/>
      <c r="N483" s="7"/>
      <c r="O483" s="7"/>
      <c r="P483" s="14"/>
      <c r="Q483" s="7"/>
      <c r="R483" s="78"/>
      <c r="S483" s="7"/>
      <c r="T483" s="7"/>
      <c r="U483" s="7"/>
      <c r="V483" s="14"/>
      <c r="W483" s="13"/>
      <c r="X483" s="14"/>
      <c r="Y483" s="14"/>
      <c r="Z483" s="14"/>
      <c r="AA483" s="14"/>
      <c r="AB483" s="14"/>
      <c r="AC483" s="8"/>
      <c r="AD483" s="8"/>
      <c r="AE483" s="8"/>
      <c r="AF483" s="8"/>
      <c r="AG483" s="8"/>
      <c r="AH483" s="72"/>
      <c r="AI483" s="8"/>
      <c r="AJ483" s="21"/>
      <c r="AK483" s="110"/>
      <c r="AL483" s="81"/>
      <c r="AM483" s="81"/>
      <c r="AN483" s="81"/>
      <c r="AO483" s="81"/>
      <c r="AP483" s="81"/>
      <c r="AQ483" s="81"/>
      <c r="AR483" s="81"/>
      <c r="AS483" s="81"/>
      <c r="AT483" s="81"/>
    </row>
    <row r="484" ht="22.5" customHeight="1">
      <c r="A484" s="7"/>
      <c r="B484" s="7"/>
      <c r="C484" s="7"/>
      <c r="D484" s="7"/>
      <c r="E484" s="7"/>
      <c r="F484" s="7"/>
      <c r="G484" s="107"/>
      <c r="H484" s="107"/>
      <c r="I484" s="51"/>
      <c r="J484" s="108"/>
      <c r="K484" s="7"/>
      <c r="L484" s="10"/>
      <c r="M484" s="7"/>
      <c r="N484" s="7"/>
      <c r="O484" s="7"/>
      <c r="P484" s="14"/>
      <c r="Q484" s="7"/>
      <c r="R484" s="78"/>
      <c r="S484" s="7"/>
      <c r="T484" s="7"/>
      <c r="U484" s="7"/>
      <c r="V484" s="14"/>
      <c r="W484" s="13"/>
      <c r="X484" s="14"/>
      <c r="Y484" s="14"/>
      <c r="Z484" s="14"/>
      <c r="AA484" s="14"/>
      <c r="AB484" s="14"/>
      <c r="AC484" s="8"/>
      <c r="AD484" s="8"/>
      <c r="AE484" s="8"/>
      <c r="AF484" s="8"/>
      <c r="AG484" s="8"/>
      <c r="AH484" s="72"/>
      <c r="AI484" s="8"/>
      <c r="AJ484" s="21"/>
      <c r="AK484" s="110"/>
      <c r="AL484" s="81"/>
      <c r="AM484" s="81"/>
      <c r="AN484" s="81"/>
      <c r="AO484" s="81"/>
      <c r="AP484" s="81"/>
      <c r="AQ484" s="81"/>
      <c r="AR484" s="81"/>
      <c r="AS484" s="81"/>
      <c r="AT484" s="81"/>
    </row>
    <row r="485" ht="22.5" customHeight="1">
      <c r="A485" s="7"/>
      <c r="B485" s="7"/>
      <c r="C485" s="7"/>
      <c r="D485" s="7"/>
      <c r="E485" s="7"/>
      <c r="F485" s="7"/>
      <c r="G485" s="107"/>
      <c r="H485" s="107"/>
      <c r="I485" s="51"/>
      <c r="J485" s="108"/>
      <c r="K485" s="7"/>
      <c r="L485" s="10"/>
      <c r="M485" s="7"/>
      <c r="N485" s="7"/>
      <c r="O485" s="7"/>
      <c r="P485" s="14"/>
      <c r="Q485" s="7"/>
      <c r="R485" s="78"/>
      <c r="S485" s="7"/>
      <c r="T485" s="7"/>
      <c r="U485" s="7"/>
      <c r="V485" s="14"/>
      <c r="W485" s="13"/>
      <c r="X485" s="14"/>
      <c r="Y485" s="14"/>
      <c r="Z485" s="14"/>
      <c r="AA485" s="14"/>
      <c r="AB485" s="14"/>
      <c r="AC485" s="8"/>
      <c r="AD485" s="8"/>
      <c r="AE485" s="8"/>
      <c r="AF485" s="8"/>
      <c r="AG485" s="8"/>
      <c r="AH485" s="72"/>
      <c r="AI485" s="8"/>
      <c r="AJ485" s="21"/>
      <c r="AK485" s="110"/>
      <c r="AL485" s="81"/>
      <c r="AM485" s="81"/>
      <c r="AN485" s="81"/>
      <c r="AO485" s="81"/>
      <c r="AP485" s="81"/>
      <c r="AQ485" s="81"/>
      <c r="AR485" s="81"/>
      <c r="AS485" s="81"/>
      <c r="AT485" s="81"/>
    </row>
    <row r="486" ht="22.5" customHeight="1">
      <c r="A486" s="7"/>
      <c r="B486" s="7"/>
      <c r="C486" s="7"/>
      <c r="D486" s="7"/>
      <c r="E486" s="7"/>
      <c r="F486" s="7"/>
      <c r="G486" s="107"/>
      <c r="H486" s="107"/>
      <c r="I486" s="51"/>
      <c r="J486" s="108"/>
      <c r="K486" s="7"/>
      <c r="L486" s="10"/>
      <c r="M486" s="7"/>
      <c r="N486" s="7"/>
      <c r="O486" s="7"/>
      <c r="P486" s="14"/>
      <c r="Q486" s="7"/>
      <c r="R486" s="78"/>
      <c r="S486" s="7"/>
      <c r="T486" s="7"/>
      <c r="U486" s="7"/>
      <c r="V486" s="14"/>
      <c r="W486" s="13"/>
      <c r="X486" s="14"/>
      <c r="Y486" s="14"/>
      <c r="Z486" s="14"/>
      <c r="AA486" s="14"/>
      <c r="AB486" s="14"/>
      <c r="AC486" s="8"/>
      <c r="AD486" s="8"/>
      <c r="AE486" s="8"/>
      <c r="AF486" s="8"/>
      <c r="AG486" s="8"/>
      <c r="AH486" s="72"/>
      <c r="AI486" s="8"/>
      <c r="AJ486" s="21"/>
      <c r="AK486" s="110"/>
      <c r="AL486" s="81"/>
      <c r="AM486" s="81"/>
      <c r="AN486" s="81"/>
      <c r="AO486" s="81"/>
      <c r="AP486" s="81"/>
      <c r="AQ486" s="81"/>
      <c r="AR486" s="81"/>
      <c r="AS486" s="81"/>
      <c r="AT486" s="81"/>
    </row>
    <row r="487" ht="22.5" customHeight="1">
      <c r="A487" s="7"/>
      <c r="B487" s="7"/>
      <c r="C487" s="7"/>
      <c r="D487" s="7"/>
      <c r="E487" s="7"/>
      <c r="F487" s="7"/>
      <c r="G487" s="107"/>
      <c r="H487" s="107"/>
      <c r="I487" s="51"/>
      <c r="J487" s="108"/>
      <c r="K487" s="7"/>
      <c r="L487" s="10"/>
      <c r="M487" s="7"/>
      <c r="N487" s="7"/>
      <c r="O487" s="7"/>
      <c r="P487" s="14"/>
      <c r="Q487" s="7"/>
      <c r="R487" s="78"/>
      <c r="S487" s="7"/>
      <c r="T487" s="7"/>
      <c r="U487" s="7"/>
      <c r="V487" s="14"/>
      <c r="W487" s="13"/>
      <c r="X487" s="14"/>
      <c r="Y487" s="14"/>
      <c r="Z487" s="14"/>
      <c r="AA487" s="14"/>
      <c r="AB487" s="14"/>
      <c r="AC487" s="8"/>
      <c r="AD487" s="8"/>
      <c r="AE487" s="8"/>
      <c r="AF487" s="8"/>
      <c r="AG487" s="8"/>
      <c r="AH487" s="72"/>
      <c r="AI487" s="8"/>
      <c r="AJ487" s="21"/>
      <c r="AK487" s="110"/>
      <c r="AL487" s="81"/>
      <c r="AM487" s="81"/>
      <c r="AN487" s="81"/>
      <c r="AO487" s="81"/>
      <c r="AP487" s="81"/>
      <c r="AQ487" s="81"/>
      <c r="AR487" s="81"/>
      <c r="AS487" s="81"/>
      <c r="AT487" s="81"/>
    </row>
    <row r="488" ht="22.5" customHeight="1">
      <c r="A488" s="7"/>
      <c r="B488" s="7"/>
      <c r="C488" s="7"/>
      <c r="D488" s="7"/>
      <c r="E488" s="7"/>
      <c r="F488" s="7"/>
      <c r="G488" s="107"/>
      <c r="H488" s="107"/>
      <c r="I488" s="51"/>
      <c r="J488" s="108"/>
      <c r="K488" s="7"/>
      <c r="L488" s="10"/>
      <c r="M488" s="7"/>
      <c r="N488" s="7"/>
      <c r="O488" s="7"/>
      <c r="P488" s="14"/>
      <c r="Q488" s="7"/>
      <c r="R488" s="78"/>
      <c r="S488" s="7"/>
      <c r="T488" s="7"/>
      <c r="U488" s="7"/>
      <c r="V488" s="14"/>
      <c r="W488" s="13"/>
      <c r="X488" s="14"/>
      <c r="Y488" s="14"/>
      <c r="Z488" s="14"/>
      <c r="AA488" s="14"/>
      <c r="AB488" s="14"/>
      <c r="AC488" s="8"/>
      <c r="AD488" s="8"/>
      <c r="AE488" s="8"/>
      <c r="AF488" s="8"/>
      <c r="AG488" s="8"/>
      <c r="AH488" s="72"/>
      <c r="AI488" s="8"/>
      <c r="AJ488" s="21"/>
      <c r="AK488" s="110"/>
      <c r="AL488" s="81"/>
      <c r="AM488" s="81"/>
      <c r="AN488" s="81"/>
      <c r="AO488" s="81"/>
      <c r="AP488" s="81"/>
      <c r="AQ488" s="81"/>
      <c r="AR488" s="81"/>
      <c r="AS488" s="81"/>
      <c r="AT488" s="81"/>
    </row>
    <row r="489" ht="22.5" customHeight="1">
      <c r="A489" s="7"/>
      <c r="B489" s="7"/>
      <c r="C489" s="7"/>
      <c r="D489" s="7"/>
      <c r="E489" s="7"/>
      <c r="F489" s="7"/>
      <c r="G489" s="107"/>
      <c r="H489" s="107"/>
      <c r="I489" s="51"/>
      <c r="J489" s="108"/>
      <c r="K489" s="7"/>
      <c r="L489" s="10"/>
      <c r="M489" s="7"/>
      <c r="N489" s="7"/>
      <c r="O489" s="7"/>
      <c r="P489" s="14"/>
      <c r="Q489" s="7"/>
      <c r="R489" s="78"/>
      <c r="S489" s="7"/>
      <c r="T489" s="7"/>
      <c r="U489" s="7"/>
      <c r="V489" s="14"/>
      <c r="W489" s="13"/>
      <c r="X489" s="14"/>
      <c r="Y489" s="14"/>
      <c r="Z489" s="14"/>
      <c r="AA489" s="14"/>
      <c r="AB489" s="14"/>
      <c r="AC489" s="8"/>
      <c r="AD489" s="8"/>
      <c r="AE489" s="8"/>
      <c r="AF489" s="8"/>
      <c r="AG489" s="8"/>
      <c r="AH489" s="72"/>
      <c r="AI489" s="8"/>
      <c r="AJ489" s="21"/>
      <c r="AK489" s="110"/>
      <c r="AL489" s="81"/>
      <c r="AM489" s="81"/>
      <c r="AN489" s="81"/>
      <c r="AO489" s="81"/>
      <c r="AP489" s="81"/>
      <c r="AQ489" s="81"/>
      <c r="AR489" s="81"/>
      <c r="AS489" s="81"/>
      <c r="AT489" s="81"/>
    </row>
    <row r="490" ht="22.5" customHeight="1">
      <c r="A490" s="7"/>
      <c r="B490" s="7"/>
      <c r="C490" s="7"/>
      <c r="D490" s="7"/>
      <c r="E490" s="7"/>
      <c r="F490" s="7"/>
      <c r="G490" s="112"/>
      <c r="H490" s="107"/>
      <c r="I490" s="51"/>
      <c r="J490" s="108"/>
      <c r="K490" s="7"/>
      <c r="L490" s="10"/>
      <c r="M490" s="7"/>
      <c r="N490" s="7"/>
      <c r="O490" s="7"/>
      <c r="P490" s="14"/>
      <c r="Q490" s="7"/>
      <c r="R490" s="78"/>
      <c r="S490" s="7"/>
      <c r="T490" s="7"/>
      <c r="U490" s="7"/>
      <c r="V490" s="14"/>
      <c r="W490" s="13"/>
      <c r="X490" s="14"/>
      <c r="Y490" s="14"/>
      <c r="Z490" s="14"/>
      <c r="AA490" s="14"/>
      <c r="AB490" s="14"/>
      <c r="AC490" s="8"/>
      <c r="AD490" s="8"/>
      <c r="AE490" s="8"/>
      <c r="AF490" s="8"/>
      <c r="AG490" s="8"/>
      <c r="AH490" s="72"/>
      <c r="AI490" s="8"/>
      <c r="AJ490" s="21"/>
      <c r="AK490" s="110"/>
      <c r="AL490" s="81"/>
      <c r="AM490" s="81"/>
      <c r="AN490" s="81"/>
      <c r="AO490" s="81"/>
      <c r="AP490" s="81"/>
      <c r="AQ490" s="81"/>
      <c r="AR490" s="81"/>
      <c r="AS490" s="81"/>
      <c r="AT490" s="81"/>
    </row>
    <row r="491" ht="22.5" customHeight="1">
      <c r="A491" s="7"/>
      <c r="B491" s="7"/>
      <c r="C491" s="7"/>
      <c r="D491" s="7"/>
      <c r="E491" s="7"/>
      <c r="F491" s="7"/>
      <c r="G491" s="107"/>
      <c r="H491" s="107"/>
      <c r="I491" s="51"/>
      <c r="J491" s="108"/>
      <c r="K491" s="7"/>
      <c r="L491" s="10"/>
      <c r="M491" s="7"/>
      <c r="N491" s="7"/>
      <c r="O491" s="7"/>
      <c r="P491" s="14"/>
      <c r="Q491" s="7"/>
      <c r="R491" s="78"/>
      <c r="S491" s="7"/>
      <c r="T491" s="7"/>
      <c r="U491" s="7"/>
      <c r="V491" s="27"/>
      <c r="W491" s="13"/>
      <c r="X491" s="14"/>
      <c r="Y491" s="14"/>
      <c r="Z491" s="14"/>
      <c r="AA491" s="14"/>
      <c r="AB491" s="14"/>
      <c r="AC491" s="8"/>
      <c r="AD491" s="8"/>
      <c r="AE491" s="8"/>
      <c r="AF491" s="8"/>
      <c r="AG491" s="8"/>
      <c r="AH491" s="72"/>
      <c r="AI491" s="8"/>
      <c r="AJ491" s="21"/>
      <c r="AK491" s="110"/>
      <c r="AL491" s="81"/>
      <c r="AM491" s="81"/>
      <c r="AN491" s="81"/>
      <c r="AO491" s="81"/>
      <c r="AP491" s="81"/>
      <c r="AQ491" s="81"/>
      <c r="AR491" s="81"/>
      <c r="AS491" s="81"/>
      <c r="AT491" s="81"/>
    </row>
    <row r="492" ht="22.5" customHeight="1">
      <c r="A492" s="7"/>
      <c r="B492" s="7"/>
      <c r="C492" s="7"/>
      <c r="D492" s="7"/>
      <c r="E492" s="7"/>
      <c r="F492" s="7"/>
      <c r="G492" s="112"/>
      <c r="H492" s="112"/>
      <c r="I492" s="111"/>
      <c r="J492" s="108"/>
      <c r="K492" s="7"/>
      <c r="L492" s="10"/>
      <c r="M492" s="7"/>
      <c r="N492" s="7"/>
      <c r="O492" s="7"/>
      <c r="P492" s="14"/>
      <c r="Q492" s="7"/>
      <c r="R492" s="78"/>
      <c r="S492" s="7"/>
      <c r="T492" s="7"/>
      <c r="U492" s="7"/>
      <c r="V492" s="14"/>
      <c r="W492" s="13"/>
      <c r="X492" s="14"/>
      <c r="Y492" s="14"/>
      <c r="Z492" s="14"/>
      <c r="AA492" s="14"/>
      <c r="AB492" s="14"/>
      <c r="AC492" s="8"/>
      <c r="AD492" s="8"/>
      <c r="AE492" s="8"/>
      <c r="AF492" s="8"/>
      <c r="AG492" s="8"/>
      <c r="AH492" s="72"/>
      <c r="AI492" s="8"/>
      <c r="AJ492" s="21"/>
      <c r="AK492" s="110"/>
      <c r="AL492" s="81"/>
      <c r="AM492" s="81"/>
      <c r="AN492" s="81"/>
      <c r="AO492" s="81"/>
      <c r="AP492" s="81"/>
      <c r="AQ492" s="81"/>
      <c r="AR492" s="81"/>
      <c r="AS492" s="81"/>
      <c r="AT492" s="81"/>
    </row>
    <row r="493" ht="22.5" customHeight="1">
      <c r="A493" s="7"/>
      <c r="B493" s="7"/>
      <c r="C493" s="7"/>
      <c r="D493" s="7"/>
      <c r="E493" s="7"/>
      <c r="F493" s="7"/>
      <c r="G493" s="49"/>
      <c r="H493" s="49"/>
      <c r="I493" s="111"/>
      <c r="J493" s="108"/>
      <c r="K493" s="7"/>
      <c r="L493" s="10"/>
      <c r="M493" s="7"/>
      <c r="N493" s="7"/>
      <c r="O493" s="7"/>
      <c r="P493" s="14"/>
      <c r="Q493" s="7"/>
      <c r="R493" s="78"/>
      <c r="S493" s="7"/>
      <c r="T493" s="7"/>
      <c r="U493" s="7"/>
      <c r="V493" s="14"/>
      <c r="W493" s="13"/>
      <c r="X493" s="14"/>
      <c r="Y493" s="14"/>
      <c r="Z493" s="14"/>
      <c r="AA493" s="14"/>
      <c r="AB493" s="14"/>
      <c r="AC493" s="8"/>
      <c r="AD493" s="8"/>
      <c r="AE493" s="8"/>
      <c r="AF493" s="8"/>
      <c r="AG493" s="8"/>
      <c r="AH493" s="72"/>
      <c r="AI493" s="8"/>
      <c r="AJ493" s="21"/>
      <c r="AK493" s="110"/>
      <c r="AL493" s="81"/>
      <c r="AM493" s="81"/>
      <c r="AN493" s="81"/>
      <c r="AO493" s="81"/>
      <c r="AP493" s="81"/>
      <c r="AQ493" s="81"/>
      <c r="AR493" s="81"/>
      <c r="AS493" s="81"/>
      <c r="AT493" s="81"/>
    </row>
    <row r="494" ht="22.5" customHeight="1">
      <c r="A494" s="7"/>
      <c r="B494" s="7"/>
      <c r="C494" s="7"/>
      <c r="D494" s="7"/>
      <c r="E494" s="7"/>
      <c r="F494" s="7"/>
      <c r="G494" s="49"/>
      <c r="H494" s="49"/>
      <c r="I494" s="8"/>
      <c r="J494" s="108"/>
      <c r="K494" s="7"/>
      <c r="L494" s="10"/>
      <c r="M494" s="7"/>
      <c r="N494" s="7"/>
      <c r="O494" s="7"/>
      <c r="P494" s="14"/>
      <c r="Q494" s="7"/>
      <c r="R494" s="78"/>
      <c r="S494" s="7"/>
      <c r="T494" s="7"/>
      <c r="U494" s="7"/>
      <c r="V494" s="14"/>
      <c r="W494" s="13"/>
      <c r="X494" s="14"/>
      <c r="Y494" s="14"/>
      <c r="Z494" s="14"/>
      <c r="AA494" s="14"/>
      <c r="AB494" s="14"/>
      <c r="AC494" s="8"/>
      <c r="AD494" s="8"/>
      <c r="AE494" s="8"/>
      <c r="AF494" s="8"/>
      <c r="AG494" s="8"/>
      <c r="AH494" s="72"/>
      <c r="AI494" s="8"/>
      <c r="AJ494" s="21"/>
      <c r="AK494" s="110"/>
      <c r="AL494" s="81"/>
      <c r="AM494" s="81"/>
      <c r="AN494" s="81"/>
      <c r="AO494" s="81"/>
      <c r="AP494" s="81"/>
      <c r="AQ494" s="81"/>
      <c r="AR494" s="81"/>
      <c r="AS494" s="81"/>
      <c r="AT494" s="81"/>
    </row>
    <row r="495" ht="22.5" customHeight="1">
      <c r="A495" s="7"/>
      <c r="B495" s="7"/>
      <c r="C495" s="7"/>
      <c r="D495" s="7"/>
      <c r="E495" s="7"/>
      <c r="F495" s="7"/>
      <c r="G495" s="7"/>
      <c r="H495" s="7"/>
      <c r="I495" s="8"/>
      <c r="J495" s="108"/>
      <c r="K495" s="7"/>
      <c r="L495" s="10"/>
      <c r="M495" s="7"/>
      <c r="N495" s="7"/>
      <c r="O495" s="7"/>
      <c r="P495" s="14"/>
      <c r="Q495" s="7"/>
      <c r="R495" s="78"/>
      <c r="S495" s="7"/>
      <c r="T495" s="7"/>
      <c r="U495" s="7"/>
      <c r="V495" s="27"/>
      <c r="W495" s="13"/>
      <c r="X495" s="14"/>
      <c r="Y495" s="14"/>
      <c r="Z495" s="14"/>
      <c r="AA495" s="14"/>
      <c r="AB495" s="14"/>
      <c r="AC495" s="8"/>
      <c r="AD495" s="8"/>
      <c r="AE495" s="8"/>
      <c r="AF495" s="8"/>
      <c r="AG495" s="8"/>
      <c r="AH495" s="72"/>
      <c r="AI495" s="8"/>
      <c r="AJ495" s="21"/>
      <c r="AK495" s="110"/>
      <c r="AL495" s="81"/>
      <c r="AM495" s="81"/>
      <c r="AN495" s="81"/>
      <c r="AO495" s="81"/>
      <c r="AP495" s="81"/>
      <c r="AQ495" s="81"/>
      <c r="AR495" s="81"/>
      <c r="AS495" s="81"/>
      <c r="AT495" s="81"/>
    </row>
    <row r="496" ht="22.5" customHeight="1">
      <c r="A496" s="7"/>
      <c r="B496" s="7"/>
      <c r="C496" s="7"/>
      <c r="D496" s="7"/>
      <c r="E496" s="7"/>
      <c r="F496" s="7"/>
      <c r="G496" s="7"/>
      <c r="H496" s="7"/>
      <c r="I496" s="8"/>
      <c r="J496" s="108"/>
      <c r="K496" s="7"/>
      <c r="L496" s="10"/>
      <c r="M496" s="7"/>
      <c r="N496" s="7"/>
      <c r="O496" s="252"/>
      <c r="P496" s="14"/>
      <c r="Q496" s="7"/>
      <c r="R496" s="78"/>
      <c r="S496" s="7"/>
      <c r="T496" s="7"/>
      <c r="U496" s="7"/>
      <c r="V496" s="27"/>
      <c r="W496" s="13"/>
      <c r="X496" s="14"/>
      <c r="Y496" s="14"/>
      <c r="Z496" s="14"/>
      <c r="AA496" s="14"/>
      <c r="AB496" s="14"/>
      <c r="AC496" s="8"/>
      <c r="AD496" s="8"/>
      <c r="AE496" s="8"/>
      <c r="AF496" s="8"/>
      <c r="AG496" s="8"/>
      <c r="AH496" s="72"/>
      <c r="AI496" s="8"/>
      <c r="AJ496" s="21"/>
      <c r="AK496" s="110"/>
      <c r="AL496" s="81"/>
      <c r="AM496" s="81"/>
      <c r="AN496" s="81"/>
      <c r="AO496" s="81"/>
      <c r="AP496" s="81"/>
      <c r="AQ496" s="81"/>
      <c r="AR496" s="81"/>
      <c r="AS496" s="81"/>
      <c r="AT496" s="81"/>
    </row>
    <row r="497" ht="22.5" customHeight="1">
      <c r="A497" s="7"/>
      <c r="B497" s="83"/>
      <c r="C497" s="7"/>
      <c r="D497" s="7"/>
      <c r="E497" s="7"/>
      <c r="F497" s="7"/>
      <c r="G497" s="49"/>
      <c r="H497" s="49"/>
      <c r="I497" s="51"/>
      <c r="J497" s="82"/>
      <c r="K497" s="7"/>
      <c r="L497" s="10"/>
      <c r="M497" s="7"/>
      <c r="N497" s="7"/>
      <c r="O497" s="84"/>
      <c r="P497" s="14"/>
      <c r="Q497" s="7"/>
      <c r="R497" s="78"/>
      <c r="S497" s="7"/>
      <c r="T497" s="7"/>
      <c r="U497" s="7"/>
      <c r="V497" s="27"/>
      <c r="W497" s="13"/>
      <c r="X497" s="14"/>
      <c r="Y497" s="14"/>
      <c r="Z497" s="43"/>
      <c r="AA497" s="14"/>
      <c r="AB497" s="14"/>
      <c r="AC497" s="8"/>
      <c r="AD497" s="8"/>
      <c r="AE497" s="8"/>
      <c r="AF497" s="8"/>
      <c r="AG497" s="8"/>
      <c r="AH497" s="72"/>
      <c r="AI497" s="8"/>
      <c r="AJ497" s="21"/>
      <c r="AK497" s="110"/>
      <c r="AL497" s="81"/>
      <c r="AM497" s="81"/>
      <c r="AN497" s="81"/>
      <c r="AO497" s="81"/>
      <c r="AP497" s="81"/>
      <c r="AQ497" s="81"/>
      <c r="AR497" s="81"/>
      <c r="AS497" s="81"/>
      <c r="AT497" s="81"/>
    </row>
    <row r="498" ht="22.5" customHeight="1">
      <c r="A498" s="7"/>
      <c r="B498" s="7"/>
      <c r="C498" s="7"/>
      <c r="D498" s="7"/>
      <c r="E498" s="7"/>
      <c r="F498" s="7"/>
      <c r="G498" s="49"/>
      <c r="H498" s="49"/>
      <c r="I498" s="51"/>
      <c r="J498" s="108"/>
      <c r="K498" s="7"/>
      <c r="L498" s="10"/>
      <c r="M498" s="7"/>
      <c r="N498" s="7"/>
      <c r="O498" s="7"/>
      <c r="P498" s="14"/>
      <c r="Q498" s="7"/>
      <c r="R498" s="78"/>
      <c r="S498" s="7"/>
      <c r="T498" s="7"/>
      <c r="U498" s="7"/>
      <c r="V498" s="27"/>
      <c r="W498" s="13"/>
      <c r="X498" s="14"/>
      <c r="Y498" s="14"/>
      <c r="Z498" s="14"/>
      <c r="AA498" s="14"/>
      <c r="AB498" s="109"/>
      <c r="AC498" s="21"/>
      <c r="AD498" s="21"/>
      <c r="AE498" s="8"/>
      <c r="AF498" s="8"/>
      <c r="AG498" s="8"/>
      <c r="AH498" s="72"/>
      <c r="AI498" s="8"/>
      <c r="AJ498" s="21"/>
      <c r="AK498" s="110"/>
      <c r="AL498" s="81"/>
      <c r="AM498" s="81"/>
      <c r="AN498" s="81"/>
      <c r="AO498" s="81"/>
      <c r="AP498" s="81"/>
      <c r="AQ498" s="81"/>
      <c r="AR498" s="81"/>
      <c r="AS498" s="81"/>
      <c r="AT498" s="81"/>
    </row>
    <row r="499" ht="22.5" customHeight="1">
      <c r="A499" s="7"/>
      <c r="B499" s="7"/>
      <c r="C499" s="7"/>
      <c r="D499" s="7"/>
      <c r="E499" s="7"/>
      <c r="F499" s="7"/>
      <c r="G499" s="49"/>
      <c r="H499" s="49"/>
      <c r="I499" s="51"/>
      <c r="J499" s="108"/>
      <c r="K499" s="7"/>
      <c r="L499" s="10"/>
      <c r="M499" s="7"/>
      <c r="N499" s="7"/>
      <c r="O499" s="7"/>
      <c r="P499" s="14"/>
      <c r="Q499" s="7"/>
      <c r="R499" s="78"/>
      <c r="S499" s="7"/>
      <c r="T499" s="7"/>
      <c r="U499" s="7"/>
      <c r="V499" s="27"/>
      <c r="W499" s="13"/>
      <c r="X499" s="14"/>
      <c r="Y499" s="14"/>
      <c r="Z499" s="14"/>
      <c r="AA499" s="14"/>
      <c r="AB499" s="109"/>
      <c r="AC499" s="21"/>
      <c r="AD499" s="21"/>
      <c r="AE499" s="8"/>
      <c r="AF499" s="8"/>
      <c r="AG499" s="8"/>
      <c r="AH499" s="72"/>
      <c r="AI499" s="8"/>
      <c r="AJ499" s="21"/>
      <c r="AK499" s="110"/>
      <c r="AL499" s="81"/>
      <c r="AM499" s="81"/>
      <c r="AN499" s="81"/>
      <c r="AO499" s="81"/>
      <c r="AP499" s="81"/>
      <c r="AQ499" s="81"/>
      <c r="AR499" s="81"/>
      <c r="AS499" s="81"/>
      <c r="AT499" s="81"/>
    </row>
    <row r="500" ht="22.5" customHeight="1">
      <c r="A500" s="7"/>
      <c r="B500" s="7"/>
      <c r="C500" s="7"/>
      <c r="D500" s="7"/>
      <c r="E500" s="7"/>
      <c r="F500" s="7"/>
      <c r="G500" s="49"/>
      <c r="H500" s="49"/>
      <c r="I500" s="51"/>
      <c r="J500" s="108"/>
      <c r="K500" s="7"/>
      <c r="L500" s="10"/>
      <c r="M500" s="7"/>
      <c r="N500" s="7"/>
      <c r="O500" s="7"/>
      <c r="P500" s="14"/>
      <c r="Q500" s="7"/>
      <c r="R500" s="78"/>
      <c r="S500" s="7"/>
      <c r="T500" s="7"/>
      <c r="U500" s="7"/>
      <c r="V500" s="27"/>
      <c r="W500" s="13"/>
      <c r="X500" s="14"/>
      <c r="Y500" s="14"/>
      <c r="Z500" s="14"/>
      <c r="AA500" s="14"/>
      <c r="AB500" s="109"/>
      <c r="AC500" s="21"/>
      <c r="AD500" s="21"/>
      <c r="AE500" s="21"/>
      <c r="AF500" s="8"/>
      <c r="AG500" s="8"/>
      <c r="AH500" s="72"/>
      <c r="AI500" s="8"/>
      <c r="AJ500" s="21"/>
      <c r="AK500" s="110"/>
      <c r="AL500" s="81"/>
      <c r="AM500" s="81"/>
      <c r="AN500" s="81"/>
      <c r="AO500" s="81"/>
      <c r="AP500" s="81"/>
      <c r="AQ500" s="81"/>
      <c r="AR500" s="81"/>
      <c r="AS500" s="81"/>
      <c r="AT500" s="81"/>
    </row>
    <row r="501" ht="22.5" customHeight="1">
      <c r="A501" s="7"/>
      <c r="B501" s="7"/>
      <c r="C501" s="7"/>
      <c r="D501" s="7"/>
      <c r="E501" s="7"/>
      <c r="F501" s="7"/>
      <c r="G501" s="49"/>
      <c r="H501" s="49"/>
      <c r="I501" s="111"/>
      <c r="J501" s="108"/>
      <c r="K501" s="7"/>
      <c r="L501" s="10"/>
      <c r="M501" s="7"/>
      <c r="N501" s="7"/>
      <c r="O501" s="7"/>
      <c r="P501" s="14"/>
      <c r="Q501" s="7"/>
      <c r="R501" s="78"/>
      <c r="S501" s="7"/>
      <c r="T501" s="7"/>
      <c r="U501" s="7"/>
      <c r="V501" s="27"/>
      <c r="W501" s="13"/>
      <c r="X501" s="14"/>
      <c r="Y501" s="14"/>
      <c r="Z501" s="14"/>
      <c r="AA501" s="14"/>
      <c r="AB501" s="109"/>
      <c r="AC501" s="21"/>
      <c r="AD501" s="21"/>
      <c r="AE501" s="21"/>
      <c r="AF501" s="8"/>
      <c r="AG501" s="8"/>
      <c r="AH501" s="72"/>
      <c r="AI501" s="8"/>
      <c r="AJ501" s="21"/>
      <c r="AK501" s="110"/>
      <c r="AL501" s="81"/>
      <c r="AM501" s="81"/>
      <c r="AN501" s="81"/>
      <c r="AO501" s="81"/>
      <c r="AP501" s="81"/>
      <c r="AQ501" s="81"/>
      <c r="AR501" s="81"/>
      <c r="AS501" s="81"/>
      <c r="AT501" s="81"/>
    </row>
    <row r="502" ht="22.5" customHeight="1">
      <c r="A502" s="7"/>
      <c r="B502" s="7"/>
      <c r="C502" s="7"/>
      <c r="D502" s="7"/>
      <c r="E502" s="7"/>
      <c r="F502" s="7"/>
      <c r="G502" s="49"/>
      <c r="H502" s="49"/>
      <c r="I502" s="51"/>
      <c r="J502" s="108"/>
      <c r="K502" s="7"/>
      <c r="L502" s="10"/>
      <c r="M502" s="7"/>
      <c r="N502" s="7"/>
      <c r="O502" s="7"/>
      <c r="P502" s="14"/>
      <c r="Q502" s="7"/>
      <c r="R502" s="78"/>
      <c r="S502" s="7"/>
      <c r="T502" s="7"/>
      <c r="U502" s="7"/>
      <c r="V502" s="27"/>
      <c r="W502" s="13"/>
      <c r="X502" s="14"/>
      <c r="Y502" s="14"/>
      <c r="Z502" s="14"/>
      <c r="AA502" s="14"/>
      <c r="AB502" s="109"/>
      <c r="AC502" s="21"/>
      <c r="AD502" s="21"/>
      <c r="AE502" s="21"/>
      <c r="AF502" s="8"/>
      <c r="AG502" s="8"/>
      <c r="AH502" s="72"/>
      <c r="AI502" s="8"/>
      <c r="AJ502" s="21"/>
      <c r="AK502" s="110"/>
      <c r="AL502" s="81"/>
      <c r="AM502" s="81"/>
      <c r="AN502" s="81"/>
      <c r="AO502" s="81"/>
      <c r="AP502" s="81"/>
      <c r="AQ502" s="81"/>
      <c r="AR502" s="81"/>
      <c r="AS502" s="81"/>
      <c r="AT502" s="81"/>
    </row>
    <row r="503" ht="22.5" customHeight="1">
      <c r="A503" s="87"/>
      <c r="B503" s="87"/>
      <c r="C503" s="87"/>
      <c r="D503" s="87"/>
      <c r="E503" s="87"/>
      <c r="F503" s="87"/>
      <c r="G503" s="116"/>
      <c r="H503" s="116"/>
      <c r="I503" s="117"/>
      <c r="J503" s="90"/>
      <c r="K503" s="87"/>
      <c r="L503" s="94"/>
      <c r="M503" s="87"/>
      <c r="N503" s="87"/>
      <c r="O503" s="87"/>
      <c r="P503" s="94"/>
      <c r="Q503" s="87"/>
      <c r="R503" s="95"/>
      <c r="S503" s="87"/>
      <c r="T503" s="87"/>
      <c r="U503" s="87"/>
      <c r="V503" s="97"/>
      <c r="W503" s="98"/>
      <c r="X503" s="99"/>
      <c r="Y503" s="99"/>
      <c r="Z503" s="99"/>
      <c r="AA503" s="99"/>
      <c r="AB503" s="99"/>
      <c r="AC503" s="101"/>
      <c r="AD503" s="101"/>
      <c r="AE503" s="101"/>
      <c r="AF503" s="101"/>
      <c r="AG503" s="101"/>
      <c r="AH503" s="102"/>
      <c r="AI503" s="101"/>
      <c r="AJ503" s="103"/>
      <c r="AK503" s="104"/>
      <c r="AL503" s="105"/>
      <c r="AM503" s="105"/>
      <c r="AN503" s="105"/>
      <c r="AO503" s="105"/>
      <c r="AP503" s="105"/>
      <c r="AQ503" s="105"/>
      <c r="AR503" s="105"/>
      <c r="AS503" s="105"/>
      <c r="AT503" s="105"/>
    </row>
    <row r="504" ht="22.5" customHeight="1">
      <c r="A504" s="7"/>
      <c r="B504" s="7"/>
      <c r="C504" s="7"/>
      <c r="D504" s="7"/>
      <c r="E504" s="7"/>
      <c r="F504" s="7"/>
      <c r="G504" s="107"/>
      <c r="H504" s="107"/>
      <c r="I504" s="111"/>
      <c r="J504" s="108"/>
      <c r="K504" s="7"/>
      <c r="L504" s="10"/>
      <c r="M504" s="7"/>
      <c r="N504" s="7"/>
      <c r="O504" s="7"/>
      <c r="P504" s="14"/>
      <c r="Q504" s="7"/>
      <c r="R504" s="78"/>
      <c r="S504" s="7"/>
      <c r="T504" s="7"/>
      <c r="U504" s="7"/>
      <c r="V504" s="27"/>
      <c r="W504" s="13"/>
      <c r="X504" s="14"/>
      <c r="Y504" s="14"/>
      <c r="Z504" s="14"/>
      <c r="AA504" s="7"/>
      <c r="AB504" s="109"/>
      <c r="AC504" s="21"/>
      <c r="AD504" s="21"/>
      <c r="AE504" s="21"/>
      <c r="AF504" s="8"/>
      <c r="AG504" s="8"/>
      <c r="AH504" s="72"/>
      <c r="AI504" s="8"/>
      <c r="AJ504" s="21"/>
      <c r="AK504" s="110"/>
      <c r="AL504" s="81"/>
      <c r="AM504" s="81"/>
      <c r="AN504" s="81"/>
      <c r="AO504" s="81"/>
      <c r="AP504" s="81"/>
      <c r="AQ504" s="81"/>
      <c r="AR504" s="81"/>
      <c r="AS504" s="81"/>
      <c r="AT504" s="81"/>
    </row>
    <row r="505" ht="22.5" customHeight="1">
      <c r="A505" s="7"/>
      <c r="B505" s="7"/>
      <c r="C505" s="7"/>
      <c r="D505" s="7"/>
      <c r="E505" s="7"/>
      <c r="F505" s="7"/>
      <c r="G505" s="49"/>
      <c r="H505" s="49"/>
      <c r="I505" s="111"/>
      <c r="J505" s="108"/>
      <c r="K505" s="7"/>
      <c r="L505" s="10"/>
      <c r="M505" s="7"/>
      <c r="N505" s="7"/>
      <c r="O505" s="7"/>
      <c r="P505" s="14"/>
      <c r="Q505" s="7"/>
      <c r="R505" s="78"/>
      <c r="S505" s="7"/>
      <c r="T505" s="7"/>
      <c r="U505" s="7"/>
      <c r="V505" s="27"/>
      <c r="W505" s="13"/>
      <c r="X505" s="14"/>
      <c r="Y505" s="14"/>
      <c r="Z505" s="14"/>
      <c r="AA505" s="14"/>
      <c r="AB505" s="109"/>
      <c r="AC505" s="21"/>
      <c r="AD505" s="21"/>
      <c r="AE505" s="21"/>
      <c r="AF505" s="8"/>
      <c r="AG505" s="8"/>
      <c r="AH505" s="72"/>
      <c r="AI505" s="8"/>
      <c r="AJ505" s="21"/>
      <c r="AK505" s="110"/>
      <c r="AL505" s="81"/>
      <c r="AM505" s="81"/>
      <c r="AN505" s="81"/>
      <c r="AO505" s="81"/>
      <c r="AP505" s="81"/>
      <c r="AQ505" s="81"/>
      <c r="AR505" s="81"/>
      <c r="AS505" s="81"/>
      <c r="AT505" s="81"/>
    </row>
    <row r="506" ht="22.5" customHeight="1">
      <c r="A506" s="7"/>
      <c r="B506" s="7"/>
      <c r="C506" s="7"/>
      <c r="D506" s="7"/>
      <c r="E506" s="7"/>
      <c r="F506" s="7"/>
      <c r="G506" s="7"/>
      <c r="H506" s="7"/>
      <c r="I506" s="111"/>
      <c r="J506" s="108"/>
      <c r="K506" s="7"/>
      <c r="L506" s="10"/>
      <c r="M506" s="7"/>
      <c r="N506" s="7"/>
      <c r="O506" s="7"/>
      <c r="P506" s="14"/>
      <c r="Q506" s="7"/>
      <c r="R506" s="78"/>
      <c r="S506" s="7"/>
      <c r="T506" s="7"/>
      <c r="U506" s="7"/>
      <c r="V506" s="27"/>
      <c r="W506" s="13"/>
      <c r="X506" s="14"/>
      <c r="Y506" s="14"/>
      <c r="Z506" s="14"/>
      <c r="AA506" s="14"/>
      <c r="AB506" s="109"/>
      <c r="AC506" s="21"/>
      <c r="AD506" s="21"/>
      <c r="AE506" s="21"/>
      <c r="AF506" s="8"/>
      <c r="AG506" s="8"/>
      <c r="AH506" s="72"/>
      <c r="AI506" s="8"/>
      <c r="AJ506" s="21"/>
      <c r="AK506" s="110"/>
      <c r="AL506" s="81"/>
      <c r="AM506" s="81"/>
      <c r="AN506" s="81"/>
      <c r="AO506" s="81"/>
      <c r="AP506" s="81"/>
      <c r="AQ506" s="81"/>
      <c r="AR506" s="81"/>
      <c r="AS506" s="81"/>
      <c r="AT506" s="81"/>
    </row>
    <row r="507" ht="22.5" customHeight="1">
      <c r="A507" s="87"/>
      <c r="B507" s="87"/>
      <c r="C507" s="87"/>
      <c r="D507" s="87"/>
      <c r="E507" s="87"/>
      <c r="F507" s="87"/>
      <c r="G507" s="88"/>
      <c r="H507" s="88"/>
      <c r="I507" s="51"/>
      <c r="J507" s="90"/>
      <c r="K507" s="87"/>
      <c r="L507" s="94"/>
      <c r="M507" s="87"/>
      <c r="N507" s="87"/>
      <c r="O507" s="87"/>
      <c r="P507" s="94"/>
      <c r="Q507" s="87"/>
      <c r="R507" s="95"/>
      <c r="S507" s="87"/>
      <c r="T507" s="87"/>
      <c r="U507" s="87"/>
      <c r="V507" s="97"/>
      <c r="W507" s="98"/>
      <c r="X507" s="99"/>
      <c r="Y507" s="99"/>
      <c r="Z507" s="99"/>
      <c r="AA507" s="99"/>
      <c r="AB507" s="99"/>
      <c r="AC507" s="101"/>
      <c r="AD507" s="101"/>
      <c r="AE507" s="101"/>
      <c r="AF507" s="101"/>
      <c r="AG507" s="101"/>
      <c r="AH507" s="102"/>
      <c r="AI507" s="101"/>
      <c r="AJ507" s="103"/>
      <c r="AK507" s="104"/>
      <c r="AL507" s="105"/>
      <c r="AM507" s="105"/>
      <c r="AN507" s="105"/>
      <c r="AO507" s="105"/>
      <c r="AP507" s="105"/>
      <c r="AQ507" s="105"/>
      <c r="AR507" s="105"/>
      <c r="AS507" s="105"/>
      <c r="AT507" s="105"/>
    </row>
    <row r="508" ht="22.5" customHeight="1">
      <c r="A508" s="7"/>
      <c r="B508" s="7"/>
      <c r="C508" s="7"/>
      <c r="D508" s="7"/>
      <c r="E508" s="7"/>
      <c r="F508" s="7"/>
      <c r="G508" s="112"/>
      <c r="H508" s="112"/>
      <c r="I508" s="51"/>
      <c r="J508" s="108"/>
      <c r="K508" s="7"/>
      <c r="L508" s="10"/>
      <c r="M508" s="7"/>
      <c r="N508" s="7"/>
      <c r="O508" s="7"/>
      <c r="P508" s="14"/>
      <c r="Q508" s="7"/>
      <c r="R508" s="78"/>
      <c r="S508" s="7"/>
      <c r="T508" s="7"/>
      <c r="U508" s="7"/>
      <c r="V508" s="27"/>
      <c r="W508" s="13"/>
      <c r="X508" s="14"/>
      <c r="Y508" s="14"/>
      <c r="Z508" s="14"/>
      <c r="AA508" s="14"/>
      <c r="AB508" s="14"/>
      <c r="AC508" s="8"/>
      <c r="AD508" s="8"/>
      <c r="AE508" s="8"/>
      <c r="AF508" s="8"/>
      <c r="AG508" s="8"/>
      <c r="AH508" s="72"/>
      <c r="AI508" s="8"/>
      <c r="AJ508" s="21"/>
      <c r="AK508" s="110"/>
      <c r="AL508" s="81"/>
      <c r="AM508" s="81"/>
      <c r="AN508" s="81"/>
      <c r="AO508" s="81"/>
      <c r="AP508" s="81"/>
      <c r="AQ508" s="81"/>
      <c r="AR508" s="81"/>
      <c r="AS508" s="81"/>
      <c r="AT508" s="81"/>
    </row>
    <row r="509" ht="22.5" customHeight="1">
      <c r="A509" s="7"/>
      <c r="B509" s="7"/>
      <c r="C509" s="7"/>
      <c r="D509" s="7"/>
      <c r="E509" s="7"/>
      <c r="F509" s="7"/>
      <c r="G509" s="107"/>
      <c r="H509" s="107"/>
      <c r="I509" s="89"/>
      <c r="J509" s="108"/>
      <c r="K509" s="7"/>
      <c r="L509" s="10"/>
      <c r="M509" s="7"/>
      <c r="N509" s="7"/>
      <c r="O509" s="7"/>
      <c r="P509" s="14"/>
      <c r="Q509" s="7"/>
      <c r="R509" s="78"/>
      <c r="S509" s="7"/>
      <c r="T509" s="7"/>
      <c r="U509" s="7"/>
      <c r="V509" s="27"/>
      <c r="W509" s="13"/>
      <c r="X509" s="14"/>
      <c r="Y509" s="14"/>
      <c r="Z509" s="14"/>
      <c r="AA509" s="14"/>
      <c r="AB509" s="14"/>
      <c r="AC509" s="8"/>
      <c r="AD509" s="8"/>
      <c r="AE509" s="8"/>
      <c r="AF509" s="8"/>
      <c r="AG509" s="8"/>
      <c r="AH509" s="72"/>
      <c r="AI509" s="8"/>
      <c r="AJ509" s="21"/>
      <c r="AK509" s="110"/>
      <c r="AL509" s="81"/>
      <c r="AM509" s="81"/>
      <c r="AN509" s="81"/>
      <c r="AO509" s="81"/>
      <c r="AP509" s="81"/>
      <c r="AQ509" s="81"/>
      <c r="AR509" s="81"/>
      <c r="AS509" s="81"/>
      <c r="AT509" s="81"/>
    </row>
    <row r="510" ht="22.5" customHeight="1">
      <c r="A510" s="139"/>
      <c r="B510" s="139"/>
      <c r="C510" s="7"/>
      <c r="D510" s="7"/>
      <c r="E510" s="7"/>
      <c r="F510" s="7"/>
      <c r="G510" s="112"/>
      <c r="H510" s="112"/>
      <c r="I510" s="89"/>
      <c r="J510" s="9"/>
      <c r="K510" s="7"/>
      <c r="L510" s="10"/>
      <c r="M510" s="7"/>
      <c r="N510" s="7"/>
      <c r="O510" s="84"/>
      <c r="P510" s="14"/>
      <c r="Q510" s="7"/>
      <c r="R510" s="78"/>
      <c r="S510" s="7"/>
      <c r="T510" s="7"/>
      <c r="U510" s="7"/>
      <c r="V510" s="14"/>
      <c r="W510" s="13"/>
      <c r="X510" s="14"/>
      <c r="Y510" s="14"/>
      <c r="Z510" s="43"/>
      <c r="AA510" s="14"/>
      <c r="AB510" s="14"/>
      <c r="AC510" s="8"/>
      <c r="AD510" s="8"/>
      <c r="AE510" s="8"/>
      <c r="AF510" s="8"/>
      <c r="AG510" s="8"/>
      <c r="AH510" s="72"/>
      <c r="AI510" s="8"/>
      <c r="AJ510" s="21"/>
      <c r="AK510" s="236"/>
      <c r="AL510" s="81"/>
      <c r="AM510" s="81"/>
      <c r="AN510" s="81"/>
      <c r="AO510" s="81"/>
      <c r="AP510" s="81"/>
      <c r="AQ510" s="81"/>
      <c r="AR510" s="81"/>
      <c r="AS510" s="81"/>
      <c r="AT510" s="81"/>
    </row>
    <row r="511" ht="22.5" customHeight="1">
      <c r="A511" s="7"/>
      <c r="B511" s="7"/>
      <c r="C511" s="7"/>
      <c r="D511" s="7"/>
      <c r="E511" s="7"/>
      <c r="F511" s="7"/>
      <c r="G511" s="7"/>
      <c r="H511" s="7"/>
      <c r="I511" s="89"/>
      <c r="J511" s="108"/>
      <c r="K511" s="7"/>
      <c r="L511" s="10"/>
      <c r="M511" s="7"/>
      <c r="N511" s="192"/>
      <c r="O511" s="7"/>
      <c r="P511" s="10"/>
      <c r="Q511" s="7"/>
      <c r="R511" s="11"/>
      <c r="S511" s="7"/>
      <c r="T511" s="7"/>
      <c r="U511" s="7"/>
      <c r="V511" s="27"/>
      <c r="W511" s="13"/>
      <c r="X511" s="14"/>
      <c r="Y511" s="14"/>
      <c r="Z511" s="14"/>
      <c r="AA511" s="27"/>
      <c r="AB511" s="109"/>
      <c r="AC511" s="21"/>
      <c r="AD511" s="21"/>
      <c r="AE511" s="21"/>
      <c r="AF511" s="8"/>
      <c r="AG511" s="8"/>
      <c r="AH511" s="72"/>
      <c r="AI511" s="8"/>
      <c r="AJ511" s="21"/>
      <c r="AK511" s="110"/>
      <c r="AL511" s="75"/>
      <c r="AM511" s="75"/>
      <c r="AN511" s="75"/>
      <c r="AO511" s="75"/>
      <c r="AP511" s="75"/>
      <c r="AQ511" s="75"/>
      <c r="AR511" s="75"/>
      <c r="AS511" s="75"/>
      <c r="AT511" s="75"/>
    </row>
    <row r="512" ht="22.5" customHeight="1">
      <c r="A512" s="7"/>
      <c r="B512" s="7"/>
      <c r="C512" s="7"/>
      <c r="D512" s="7"/>
      <c r="E512" s="7"/>
      <c r="F512" s="7"/>
      <c r="G512" s="112"/>
      <c r="H512" s="112"/>
      <c r="I512" s="89"/>
      <c r="J512" s="108"/>
      <c r="K512" s="7"/>
      <c r="L512" s="10"/>
      <c r="M512" s="7"/>
      <c r="N512" s="7"/>
      <c r="O512" s="7"/>
      <c r="P512" s="14"/>
      <c r="Q512" s="7"/>
      <c r="R512" s="78"/>
      <c r="S512" s="7"/>
      <c r="T512" s="7"/>
      <c r="U512" s="7"/>
      <c r="V512" s="27"/>
      <c r="W512" s="13"/>
      <c r="X512" s="14"/>
      <c r="Y512" s="14"/>
      <c r="Z512" s="14"/>
      <c r="AA512" s="14"/>
      <c r="AB512" s="14"/>
      <c r="AC512" s="8"/>
      <c r="AD512" s="8"/>
      <c r="AE512" s="8"/>
      <c r="AF512" s="8"/>
      <c r="AG512" s="8"/>
      <c r="AH512" s="72"/>
      <c r="AI512" s="8"/>
      <c r="AJ512" s="21"/>
      <c r="AK512" s="110"/>
      <c r="AL512" s="81"/>
      <c r="AM512" s="81"/>
      <c r="AN512" s="81"/>
      <c r="AO512" s="81"/>
      <c r="AP512" s="81"/>
      <c r="AQ512" s="81"/>
      <c r="AR512" s="81"/>
      <c r="AS512" s="81"/>
      <c r="AT512" s="81"/>
    </row>
    <row r="513" ht="22.5" customHeight="1">
      <c r="A513" s="7"/>
      <c r="B513" s="7"/>
      <c r="C513" s="7"/>
      <c r="D513" s="7"/>
      <c r="E513" s="7"/>
      <c r="F513" s="7"/>
      <c r="G513" s="112"/>
      <c r="H513" s="112"/>
      <c r="I513" s="89"/>
      <c r="J513" s="108"/>
      <c r="K513" s="7"/>
      <c r="L513" s="10"/>
      <c r="M513" s="7"/>
      <c r="N513" s="7"/>
      <c r="O513" s="7"/>
      <c r="P513" s="14"/>
      <c r="Q513" s="7"/>
      <c r="R513" s="78"/>
      <c r="S513" s="7"/>
      <c r="T513" s="7"/>
      <c r="U513" s="7"/>
      <c r="V513" s="27"/>
      <c r="W513" s="13"/>
      <c r="X513" s="14"/>
      <c r="Y513" s="14"/>
      <c r="Z513" s="14"/>
      <c r="AA513" s="27"/>
      <c r="AB513" s="14"/>
      <c r="AC513" s="8"/>
      <c r="AD513" s="8"/>
      <c r="AE513" s="8"/>
      <c r="AF513" s="8"/>
      <c r="AG513" s="8"/>
      <c r="AH513" s="72"/>
      <c r="AI513" s="8"/>
      <c r="AJ513" s="21"/>
      <c r="AK513" s="110"/>
      <c r="AL513" s="81"/>
      <c r="AM513" s="81"/>
      <c r="AN513" s="81"/>
      <c r="AO513" s="81"/>
      <c r="AP513" s="81"/>
      <c r="AQ513" s="81"/>
      <c r="AR513" s="81"/>
      <c r="AS513" s="81"/>
      <c r="AT513" s="81"/>
    </row>
    <row r="514" ht="22.5" customHeight="1">
      <c r="A514" s="7"/>
      <c r="B514" s="7"/>
      <c r="C514" s="7"/>
      <c r="D514" s="7"/>
      <c r="E514" s="7"/>
      <c r="F514" s="7"/>
      <c r="G514" s="112"/>
      <c r="H514" s="112"/>
      <c r="I514" s="89"/>
      <c r="J514" s="108"/>
      <c r="K514" s="7"/>
      <c r="L514" s="10"/>
      <c r="M514" s="7"/>
      <c r="N514" s="7"/>
      <c r="O514" s="7"/>
      <c r="P514" s="14"/>
      <c r="Q514" s="7"/>
      <c r="R514" s="78"/>
      <c r="S514" s="7"/>
      <c r="T514" s="7"/>
      <c r="U514" s="7"/>
      <c r="V514" s="27"/>
      <c r="W514" s="13"/>
      <c r="X514" s="14"/>
      <c r="Y514" s="14"/>
      <c r="Z514" s="14"/>
      <c r="AA514" s="14"/>
      <c r="AB514" s="14"/>
      <c r="AC514" s="8"/>
      <c r="AD514" s="8"/>
      <c r="AE514" s="8"/>
      <c r="AF514" s="8"/>
      <c r="AG514" s="8"/>
      <c r="AH514" s="72"/>
      <c r="AI514" s="8"/>
      <c r="AJ514" s="21"/>
      <c r="AK514" s="110"/>
      <c r="AL514" s="81"/>
      <c r="AM514" s="81"/>
      <c r="AN514" s="81"/>
      <c r="AO514" s="81"/>
      <c r="AP514" s="81"/>
      <c r="AQ514" s="81"/>
      <c r="AR514" s="81"/>
      <c r="AS514" s="81"/>
      <c r="AT514" s="81"/>
    </row>
    <row r="515" ht="22.5" customHeight="1">
      <c r="A515" s="7"/>
      <c r="B515" s="7"/>
      <c r="C515" s="7"/>
      <c r="D515" s="7"/>
      <c r="E515" s="7"/>
      <c r="F515" s="7"/>
      <c r="G515" s="112"/>
      <c r="H515" s="112"/>
      <c r="I515" s="51"/>
      <c r="J515" s="108"/>
      <c r="K515" s="7"/>
      <c r="L515" s="10"/>
      <c r="M515" s="87"/>
      <c r="N515" s="87"/>
      <c r="O515" s="7"/>
      <c r="P515" s="10"/>
      <c r="Q515" s="7"/>
      <c r="R515" s="11"/>
      <c r="S515" s="7"/>
      <c r="T515" s="7"/>
      <c r="U515" s="7"/>
      <c r="V515" s="27"/>
      <c r="W515" s="13"/>
      <c r="X515" s="14"/>
      <c r="Y515" s="14"/>
      <c r="Z515" s="14"/>
      <c r="AA515" s="14"/>
      <c r="AB515" s="14"/>
      <c r="AC515" s="8"/>
      <c r="AD515" s="8"/>
      <c r="AE515" s="8"/>
      <c r="AF515" s="8"/>
      <c r="AG515" s="8"/>
      <c r="AH515" s="72"/>
      <c r="AI515" s="8"/>
      <c r="AJ515" s="21"/>
      <c r="AK515" s="110"/>
      <c r="AL515" s="75"/>
      <c r="AM515" s="75"/>
      <c r="AN515" s="75"/>
      <c r="AO515" s="75"/>
      <c r="AP515" s="75"/>
      <c r="AQ515" s="75"/>
      <c r="AR515" s="75"/>
      <c r="AS515" s="75"/>
      <c r="AT515" s="75"/>
    </row>
    <row r="516" ht="22.5" customHeight="1">
      <c r="A516" s="7"/>
      <c r="B516" s="7"/>
      <c r="C516" s="7"/>
      <c r="D516" s="7"/>
      <c r="E516" s="7"/>
      <c r="F516" s="7"/>
      <c r="G516" s="49"/>
      <c r="H516" s="49"/>
      <c r="I516" s="165"/>
      <c r="J516" s="108"/>
      <c r="K516" s="7"/>
      <c r="L516" s="10"/>
      <c r="M516" s="7"/>
      <c r="N516" s="83"/>
      <c r="O516" s="84"/>
      <c r="P516" s="7"/>
      <c r="Q516" s="7"/>
      <c r="R516" s="11"/>
      <c r="S516" s="7"/>
      <c r="T516" s="7"/>
      <c r="U516" s="7"/>
      <c r="V516" s="14"/>
      <c r="W516" s="253"/>
      <c r="X516" s="7"/>
      <c r="Y516" s="14"/>
      <c r="Z516" s="213"/>
      <c r="AA516" s="7"/>
      <c r="AB516" s="14"/>
      <c r="AC516" s="8"/>
      <c r="AD516" s="8"/>
      <c r="AE516" s="8"/>
      <c r="AF516" s="8"/>
      <c r="AG516" s="8"/>
      <c r="AH516" s="72"/>
      <c r="AI516" s="8"/>
      <c r="AJ516" s="21"/>
      <c r="AK516" s="21"/>
      <c r="AL516" s="81"/>
      <c r="AM516" s="81"/>
      <c r="AN516" s="81"/>
      <c r="AO516" s="81"/>
      <c r="AP516" s="81"/>
      <c r="AQ516" s="81"/>
      <c r="AR516" s="81"/>
      <c r="AS516" s="81"/>
      <c r="AT516" s="81"/>
    </row>
    <row r="517" ht="22.5" customHeight="1">
      <c r="A517" s="7"/>
      <c r="B517" s="7"/>
      <c r="C517" s="7"/>
      <c r="D517" s="7"/>
      <c r="E517" s="7"/>
      <c r="F517" s="7"/>
      <c r="G517" s="49"/>
      <c r="H517" s="49"/>
      <c r="I517" s="165"/>
      <c r="J517" s="108"/>
      <c r="K517" s="7"/>
      <c r="L517" s="10"/>
      <c r="M517" s="7"/>
      <c r="N517" s="83"/>
      <c r="O517" s="84"/>
      <c r="P517" s="7"/>
      <c r="Q517" s="7"/>
      <c r="R517" s="11"/>
      <c r="S517" s="7"/>
      <c r="T517" s="7"/>
      <c r="U517" s="7"/>
      <c r="V517" s="14"/>
      <c r="W517" s="253"/>
      <c r="X517" s="7"/>
      <c r="Y517" s="14"/>
      <c r="Z517" s="213"/>
      <c r="AA517" s="7"/>
      <c r="AB517" s="14"/>
      <c r="AC517" s="8"/>
      <c r="AD517" s="8"/>
      <c r="AE517" s="8"/>
      <c r="AF517" s="8"/>
      <c r="AG517" s="8"/>
      <c r="AH517" s="72"/>
      <c r="AI517" s="8"/>
      <c r="AJ517" s="21"/>
      <c r="AK517" s="21"/>
      <c r="AL517" s="81"/>
      <c r="AM517" s="81"/>
      <c r="AN517" s="81"/>
      <c r="AO517" s="81"/>
      <c r="AP517" s="81"/>
      <c r="AQ517" s="81"/>
      <c r="AR517" s="81"/>
      <c r="AS517" s="81"/>
      <c r="AT517" s="81"/>
    </row>
    <row r="518" ht="22.5" customHeight="1">
      <c r="A518" s="7"/>
      <c r="B518" s="7"/>
      <c r="C518" s="7"/>
      <c r="D518" s="7"/>
      <c r="E518" s="7"/>
      <c r="F518" s="7"/>
      <c r="G518" s="49"/>
      <c r="H518" s="49"/>
      <c r="I518" s="165"/>
      <c r="J518" s="108"/>
      <c r="K518" s="7"/>
      <c r="L518" s="10"/>
      <c r="M518" s="7"/>
      <c r="N518" s="83"/>
      <c r="O518" s="84"/>
      <c r="P518" s="7"/>
      <c r="Q518" s="7"/>
      <c r="R518" s="11"/>
      <c r="S518" s="7"/>
      <c r="T518" s="7"/>
      <c r="U518" s="7"/>
      <c r="V518" s="14"/>
      <c r="W518" s="253"/>
      <c r="X518" s="7"/>
      <c r="Y518" s="14"/>
      <c r="Z518" s="213"/>
      <c r="AA518" s="7"/>
      <c r="AB518" s="14"/>
      <c r="AC518" s="8"/>
      <c r="AD518" s="8"/>
      <c r="AE518" s="8"/>
      <c r="AF518" s="8"/>
      <c r="AG518" s="8"/>
      <c r="AH518" s="72"/>
      <c r="AI518" s="8"/>
      <c r="AJ518" s="21"/>
      <c r="AK518" s="21"/>
      <c r="AL518" s="81"/>
      <c r="AM518" s="81"/>
      <c r="AN518" s="81"/>
      <c r="AO518" s="81"/>
      <c r="AP518" s="81"/>
      <c r="AQ518" s="81"/>
      <c r="AR518" s="81"/>
      <c r="AS518" s="81"/>
      <c r="AT518" s="81"/>
    </row>
    <row r="519" ht="22.5" customHeight="1">
      <c r="A519" s="7"/>
      <c r="B519" s="254"/>
      <c r="C519" s="7"/>
      <c r="D519" s="7"/>
      <c r="E519" s="7"/>
      <c r="F519" s="7"/>
      <c r="G519" s="49"/>
      <c r="H519" s="49"/>
      <c r="I519" s="165"/>
      <c r="J519" s="108"/>
      <c r="K519" s="7"/>
      <c r="L519" s="10"/>
      <c r="M519" s="7"/>
      <c r="N519" s="83"/>
      <c r="O519" s="84"/>
      <c r="P519" s="7"/>
      <c r="Q519" s="7"/>
      <c r="R519" s="11"/>
      <c r="S519" s="7"/>
      <c r="T519" s="7"/>
      <c r="U519" s="7"/>
      <c r="V519" s="14"/>
      <c r="W519" s="253"/>
      <c r="X519" s="7"/>
      <c r="Y519" s="14"/>
      <c r="Z519" s="213"/>
      <c r="AA519" s="7"/>
      <c r="AB519" s="14"/>
      <c r="AC519" s="8"/>
      <c r="AD519" s="8"/>
      <c r="AE519" s="8"/>
      <c r="AF519" s="8"/>
      <c r="AG519" s="8"/>
      <c r="AH519" s="72"/>
      <c r="AI519" s="8"/>
      <c r="AJ519" s="21"/>
      <c r="AK519" s="21"/>
      <c r="AL519" s="81"/>
      <c r="AM519" s="81"/>
      <c r="AN519" s="81"/>
      <c r="AO519" s="81"/>
      <c r="AP519" s="81"/>
      <c r="AQ519" s="81"/>
      <c r="AR519" s="81"/>
      <c r="AS519" s="81"/>
      <c r="AT519" s="81"/>
    </row>
    <row r="520" ht="22.5" customHeight="1">
      <c r="A520" s="7"/>
      <c r="B520" s="231"/>
      <c r="C520" s="7"/>
      <c r="D520" s="7"/>
      <c r="E520" s="7"/>
      <c r="F520" s="7"/>
      <c r="G520" s="49"/>
      <c r="H520" s="49"/>
      <c r="I520" s="51"/>
      <c r="J520" s="108"/>
      <c r="K520" s="7"/>
      <c r="L520" s="10"/>
      <c r="M520" s="7"/>
      <c r="N520" s="55"/>
      <c r="O520" s="56"/>
      <c r="P520" s="14"/>
      <c r="Q520" s="7"/>
      <c r="R520" s="11"/>
      <c r="S520" s="7"/>
      <c r="T520" s="7"/>
      <c r="U520" s="7"/>
      <c r="V520" s="14"/>
      <c r="W520" s="29"/>
      <c r="X520" s="14"/>
      <c r="Y520" s="14"/>
      <c r="Z520" s="232"/>
      <c r="AA520" s="14"/>
      <c r="AB520" s="109"/>
      <c r="AC520" s="21"/>
      <c r="AD520" s="21"/>
      <c r="AE520" s="21"/>
      <c r="AF520" s="8"/>
      <c r="AG520" s="8"/>
      <c r="AH520" s="72"/>
      <c r="AI520" s="8"/>
      <c r="AJ520" s="21"/>
      <c r="AK520" s="236"/>
      <c r="AL520" s="81"/>
      <c r="AM520" s="81"/>
      <c r="AN520" s="81"/>
      <c r="AO520" s="81"/>
      <c r="AP520" s="81"/>
      <c r="AQ520" s="81"/>
      <c r="AR520" s="81"/>
      <c r="AS520" s="81"/>
      <c r="AT520" s="81"/>
    </row>
    <row r="521" ht="22.5" customHeight="1">
      <c r="A521" s="7"/>
      <c r="B521" s="231"/>
      <c r="C521" s="7"/>
      <c r="D521" s="7"/>
      <c r="E521" s="7"/>
      <c r="F521" s="7"/>
      <c r="G521" s="49"/>
      <c r="H521" s="49"/>
      <c r="I521" s="51"/>
      <c r="J521" s="108"/>
      <c r="K521" s="7"/>
      <c r="L521" s="10"/>
      <c r="M521" s="7"/>
      <c r="N521" s="7"/>
      <c r="O521" s="56"/>
      <c r="P521" s="14"/>
      <c r="Q521" s="7"/>
      <c r="R521" s="78"/>
      <c r="S521" s="7"/>
      <c r="T521" s="7"/>
      <c r="U521" s="7"/>
      <c r="V521" s="14"/>
      <c r="W521" s="13"/>
      <c r="X521" s="14"/>
      <c r="Y521" s="14"/>
      <c r="Z521" s="43"/>
      <c r="AA521" s="14"/>
      <c r="AB521" s="14"/>
      <c r="AC521" s="8"/>
      <c r="AD521" s="8"/>
      <c r="AE521" s="8"/>
      <c r="AF521" s="8"/>
      <c r="AG521" s="8"/>
      <c r="AH521" s="72"/>
      <c r="AI521" s="8"/>
      <c r="AJ521" s="21"/>
      <c r="AK521" s="110"/>
      <c r="AL521" s="81"/>
      <c r="AM521" s="81"/>
      <c r="AN521" s="81"/>
      <c r="AO521" s="81"/>
      <c r="AP521" s="81"/>
      <c r="AQ521" s="81"/>
      <c r="AR521" s="81"/>
      <c r="AS521" s="81"/>
      <c r="AT521" s="81"/>
    </row>
    <row r="522" ht="22.5" customHeight="1">
      <c r="A522" s="7"/>
      <c r="B522" s="7"/>
      <c r="C522" s="7"/>
      <c r="D522" s="7"/>
      <c r="E522" s="7"/>
      <c r="F522" s="7"/>
      <c r="G522" s="49"/>
      <c r="H522" s="49"/>
      <c r="I522" s="51"/>
      <c r="J522" s="108"/>
      <c r="K522" s="7"/>
      <c r="L522" s="10"/>
      <c r="M522" s="7"/>
      <c r="N522" s="7"/>
      <c r="O522" s="56"/>
      <c r="P522" s="14"/>
      <c r="Q522" s="7"/>
      <c r="R522" s="78"/>
      <c r="S522" s="7"/>
      <c r="T522" s="7"/>
      <c r="U522" s="7"/>
      <c r="V522" s="14"/>
      <c r="W522" s="13"/>
      <c r="X522" s="14"/>
      <c r="Y522" s="14"/>
      <c r="Z522" s="43"/>
      <c r="AA522" s="14"/>
      <c r="AB522" s="14"/>
      <c r="AC522" s="8"/>
      <c r="AD522" s="8"/>
      <c r="AE522" s="8"/>
      <c r="AF522" s="8"/>
      <c r="AG522" s="8"/>
      <c r="AH522" s="72"/>
      <c r="AI522" s="8"/>
      <c r="AJ522" s="21"/>
      <c r="AK522" s="110"/>
      <c r="AL522" s="81"/>
      <c r="AM522" s="81"/>
      <c r="AN522" s="81"/>
      <c r="AO522" s="81"/>
      <c r="AP522" s="81"/>
      <c r="AQ522" s="81"/>
      <c r="AR522" s="81"/>
      <c r="AS522" s="81"/>
      <c r="AT522" s="81"/>
    </row>
    <row r="523" ht="22.5" customHeight="1">
      <c r="A523" s="7"/>
      <c r="B523" s="231"/>
      <c r="C523" s="7"/>
      <c r="D523" s="7"/>
      <c r="E523" s="7"/>
      <c r="F523" s="7"/>
      <c r="G523" s="49"/>
      <c r="H523" s="49"/>
      <c r="I523" s="51"/>
      <c r="J523" s="9"/>
      <c r="K523" s="7"/>
      <c r="L523" s="10"/>
      <c r="M523" s="7"/>
      <c r="N523" s="7"/>
      <c r="O523" s="56"/>
      <c r="P523" s="14"/>
      <c r="Q523" s="7"/>
      <c r="R523" s="78"/>
      <c r="S523" s="7"/>
      <c r="T523" s="7"/>
      <c r="U523" s="7"/>
      <c r="V523" s="14"/>
      <c r="W523" s="13"/>
      <c r="X523" s="14"/>
      <c r="Y523" s="14"/>
      <c r="Z523" s="43"/>
      <c r="AA523" s="14"/>
      <c r="AB523" s="14"/>
      <c r="AC523" s="8"/>
      <c r="AD523" s="8"/>
      <c r="AE523" s="8"/>
      <c r="AF523" s="8"/>
      <c r="AG523" s="8"/>
      <c r="AH523" s="72"/>
      <c r="AI523" s="8"/>
      <c r="AJ523" s="21"/>
      <c r="AK523" s="110"/>
      <c r="AL523" s="81"/>
      <c r="AM523" s="81"/>
      <c r="AN523" s="81"/>
      <c r="AO523" s="81"/>
      <c r="AP523" s="81"/>
      <c r="AQ523" s="81"/>
      <c r="AR523" s="81"/>
      <c r="AS523" s="81"/>
      <c r="AT523" s="81"/>
    </row>
    <row r="524" ht="22.5" customHeight="1">
      <c r="A524" s="7"/>
      <c r="B524" s="7"/>
      <c r="C524" s="7"/>
      <c r="D524" s="7"/>
      <c r="E524" s="7"/>
      <c r="F524" s="7"/>
      <c r="G524" s="49"/>
      <c r="H524" s="49"/>
      <c r="I524" s="165"/>
      <c r="J524" s="108"/>
      <c r="K524" s="7"/>
      <c r="L524" s="10"/>
      <c r="M524" s="7"/>
      <c r="N524" s="83"/>
      <c r="O524" s="210"/>
      <c r="P524" s="7"/>
      <c r="Q524" s="7"/>
      <c r="R524" s="11"/>
      <c r="S524" s="7"/>
      <c r="T524" s="211"/>
      <c r="U524" s="7"/>
      <c r="V524" s="14"/>
      <c r="W524" s="212"/>
      <c r="X524" s="7"/>
      <c r="Y524" s="14"/>
      <c r="Z524" s="213"/>
      <c r="AA524" s="7"/>
      <c r="AB524" s="7"/>
      <c r="AC524" s="21"/>
      <c r="AD524" s="21"/>
      <c r="AE524" s="21"/>
      <c r="AF524" s="8"/>
      <c r="AG524" s="8"/>
      <c r="AH524" s="72"/>
      <c r="AI524" s="8"/>
      <c r="AJ524" s="21"/>
      <c r="AK524" s="21"/>
      <c r="AL524" s="81"/>
      <c r="AM524" s="81"/>
      <c r="AN524" s="81"/>
      <c r="AO524" s="81"/>
      <c r="AP524" s="81"/>
      <c r="AQ524" s="81"/>
      <c r="AR524" s="81"/>
      <c r="AS524" s="81"/>
      <c r="AT524" s="81"/>
    </row>
    <row r="525" ht="22.5" customHeight="1">
      <c r="A525" s="7"/>
      <c r="B525" s="7"/>
      <c r="C525" s="7"/>
      <c r="D525" s="7"/>
      <c r="E525" s="7"/>
      <c r="F525" s="7"/>
      <c r="G525" s="49"/>
      <c r="H525" s="49"/>
      <c r="I525" s="165"/>
      <c r="J525" s="108"/>
      <c r="K525" s="7"/>
      <c r="L525" s="10"/>
      <c r="M525" s="7"/>
      <c r="N525" s="83"/>
      <c r="O525" s="210"/>
      <c r="P525" s="7"/>
      <c r="Q525" s="7"/>
      <c r="R525" s="11"/>
      <c r="S525" s="7"/>
      <c r="T525" s="7"/>
      <c r="U525" s="7"/>
      <c r="V525" s="14"/>
      <c r="W525" s="212"/>
      <c r="X525" s="7"/>
      <c r="Y525" s="14"/>
      <c r="Z525" s="213"/>
      <c r="AA525" s="7"/>
      <c r="AB525" s="7"/>
      <c r="AC525" s="21"/>
      <c r="AD525" s="21"/>
      <c r="AE525" s="21"/>
      <c r="AF525" s="8"/>
      <c r="AG525" s="8"/>
      <c r="AH525" s="72"/>
      <c r="AI525" s="8"/>
      <c r="AJ525" s="21"/>
      <c r="AK525" s="21"/>
      <c r="AL525" s="81"/>
      <c r="AM525" s="81"/>
      <c r="AN525" s="81"/>
      <c r="AO525" s="81"/>
      <c r="AP525" s="81"/>
      <c r="AQ525" s="81"/>
      <c r="AR525" s="81"/>
      <c r="AS525" s="81"/>
      <c r="AT525" s="81"/>
    </row>
    <row r="526" ht="22.5" customHeight="1">
      <c r="A526" s="7"/>
      <c r="B526" s="7"/>
      <c r="C526" s="7"/>
      <c r="D526" s="7"/>
      <c r="E526" s="7"/>
      <c r="F526" s="7"/>
      <c r="G526" s="49"/>
      <c r="H526" s="49"/>
      <c r="I526" s="165"/>
      <c r="J526" s="108"/>
      <c r="K526" s="7"/>
      <c r="L526" s="10"/>
      <c r="M526" s="7"/>
      <c r="N526" s="83"/>
      <c r="O526" s="210"/>
      <c r="P526" s="7"/>
      <c r="Q526" s="7"/>
      <c r="R526" s="11"/>
      <c r="S526" s="7"/>
      <c r="T526" s="7"/>
      <c r="U526" s="7"/>
      <c r="V526" s="14"/>
      <c r="W526" s="212"/>
      <c r="X526" s="7"/>
      <c r="Y526" s="14"/>
      <c r="Z526" s="213"/>
      <c r="AA526" s="7"/>
      <c r="AB526" s="7"/>
      <c r="AC526" s="21"/>
      <c r="AD526" s="21"/>
      <c r="AE526" s="21"/>
      <c r="AF526" s="8"/>
      <c r="AG526" s="8"/>
      <c r="AH526" s="72"/>
      <c r="AI526" s="8"/>
      <c r="AJ526" s="21"/>
      <c r="AK526" s="21"/>
      <c r="AL526" s="81"/>
      <c r="AM526" s="81"/>
      <c r="AN526" s="81"/>
      <c r="AO526" s="81"/>
      <c r="AP526" s="81"/>
      <c r="AQ526" s="81"/>
      <c r="AR526" s="81"/>
      <c r="AS526" s="81"/>
      <c r="AT526" s="81"/>
    </row>
    <row r="527" ht="22.5" customHeight="1">
      <c r="A527" s="7"/>
      <c r="B527" s="7"/>
      <c r="C527" s="7"/>
      <c r="D527" s="7"/>
      <c r="E527" s="7"/>
      <c r="F527" s="7"/>
      <c r="G527" s="49"/>
      <c r="H527" s="49"/>
      <c r="I527" s="165"/>
      <c r="J527" s="108"/>
      <c r="K527" s="7"/>
      <c r="L527" s="10"/>
      <c r="M527" s="7"/>
      <c r="N527" s="83"/>
      <c r="O527" s="210"/>
      <c r="P527" s="7"/>
      <c r="Q527" s="7"/>
      <c r="R527" s="11"/>
      <c r="S527" s="7"/>
      <c r="T527" s="7"/>
      <c r="U527" s="7"/>
      <c r="V527" s="14"/>
      <c r="W527" s="212"/>
      <c r="X527" s="7"/>
      <c r="Y527" s="14"/>
      <c r="Z527" s="213"/>
      <c r="AA527" s="7"/>
      <c r="AB527" s="7"/>
      <c r="AC527" s="21"/>
      <c r="AD527" s="21"/>
      <c r="AE527" s="21"/>
      <c r="AF527" s="8"/>
      <c r="AG527" s="8"/>
      <c r="AH527" s="72"/>
      <c r="AI527" s="8"/>
      <c r="AJ527" s="21"/>
      <c r="AK527" s="21"/>
      <c r="AL527" s="81"/>
      <c r="AM527" s="81"/>
      <c r="AN527" s="81"/>
      <c r="AO527" s="81"/>
      <c r="AP527" s="81"/>
      <c r="AQ527" s="81"/>
      <c r="AR527" s="81"/>
      <c r="AS527" s="81"/>
      <c r="AT527" s="81"/>
    </row>
    <row r="528" ht="22.5" customHeight="1">
      <c r="A528" s="7"/>
      <c r="B528" s="7"/>
      <c r="C528" s="7"/>
      <c r="D528" s="7"/>
      <c r="E528" s="7"/>
      <c r="F528" s="7"/>
      <c r="G528" s="49"/>
      <c r="H528" s="49"/>
      <c r="I528" s="165"/>
      <c r="J528" s="108"/>
      <c r="K528" s="7"/>
      <c r="L528" s="10"/>
      <c r="M528" s="7"/>
      <c r="N528" s="83"/>
      <c r="O528" s="210"/>
      <c r="P528" s="7"/>
      <c r="Q528" s="7"/>
      <c r="R528" s="11"/>
      <c r="S528" s="7"/>
      <c r="T528" s="7"/>
      <c r="U528" s="7"/>
      <c r="V528" s="14"/>
      <c r="W528" s="212"/>
      <c r="X528" s="7"/>
      <c r="Y528" s="14"/>
      <c r="Z528" s="213"/>
      <c r="AA528" s="7"/>
      <c r="AB528" s="7"/>
      <c r="AC528" s="21"/>
      <c r="AD528" s="21"/>
      <c r="AE528" s="21"/>
      <c r="AF528" s="8"/>
      <c r="AG528" s="8"/>
      <c r="AH528" s="72"/>
      <c r="AI528" s="8"/>
      <c r="AJ528" s="21"/>
      <c r="AK528" s="21"/>
      <c r="AL528" s="81"/>
      <c r="AM528" s="81"/>
      <c r="AN528" s="81"/>
      <c r="AO528" s="81"/>
      <c r="AP528" s="81"/>
      <c r="AQ528" s="81"/>
      <c r="AR528" s="81"/>
      <c r="AS528" s="81"/>
      <c r="AT528" s="81"/>
    </row>
    <row r="529" ht="22.5" customHeight="1">
      <c r="A529" s="7"/>
      <c r="B529" s="122"/>
      <c r="C529" s="7"/>
      <c r="D529" s="7"/>
      <c r="E529" s="7"/>
      <c r="F529" s="7"/>
      <c r="G529" s="49"/>
      <c r="H529" s="49"/>
      <c r="I529" s="165"/>
      <c r="J529" s="108"/>
      <c r="K529" s="7"/>
      <c r="L529" s="10"/>
      <c r="M529" s="7"/>
      <c r="N529" s="83"/>
      <c r="O529" s="210"/>
      <c r="P529" s="7"/>
      <c r="Q529" s="7"/>
      <c r="R529" s="11"/>
      <c r="S529" s="7"/>
      <c r="T529" s="7"/>
      <c r="U529" s="7"/>
      <c r="V529" s="14"/>
      <c r="W529" s="212"/>
      <c r="X529" s="7"/>
      <c r="Y529" s="14"/>
      <c r="Z529" s="213"/>
      <c r="AA529" s="7"/>
      <c r="AB529" s="109"/>
      <c r="AC529" s="21"/>
      <c r="AD529" s="21"/>
      <c r="AE529" s="21"/>
      <c r="AF529" s="8"/>
      <c r="AG529" s="8"/>
      <c r="AH529" s="72"/>
      <c r="AI529" s="8"/>
      <c r="AJ529" s="21"/>
      <c r="AK529" s="21"/>
      <c r="AL529" s="81"/>
      <c r="AM529" s="81"/>
      <c r="AN529" s="81"/>
      <c r="AO529" s="81"/>
      <c r="AP529" s="81"/>
      <c r="AQ529" s="81"/>
      <c r="AR529" s="81"/>
      <c r="AS529" s="81"/>
      <c r="AT529" s="81"/>
    </row>
    <row r="530" ht="22.5" customHeight="1">
      <c r="A530" s="7"/>
      <c r="B530" s="7"/>
      <c r="C530" s="7"/>
      <c r="D530" s="7"/>
      <c r="E530" s="7"/>
      <c r="F530" s="7"/>
      <c r="G530" s="49"/>
      <c r="H530" s="49"/>
      <c r="I530" s="165"/>
      <c r="J530" s="108"/>
      <c r="K530" s="7"/>
      <c r="L530" s="10"/>
      <c r="M530" s="7"/>
      <c r="N530" s="55"/>
      <c r="O530" s="84"/>
      <c r="P530" s="7"/>
      <c r="Q530" s="7"/>
      <c r="R530" s="11"/>
      <c r="S530" s="7"/>
      <c r="T530" s="7"/>
      <c r="U530" s="7"/>
      <c r="V530" s="14"/>
      <c r="W530" s="212"/>
      <c r="X530" s="7"/>
      <c r="Y530" s="14"/>
      <c r="Z530" s="232"/>
      <c r="AA530" s="7"/>
      <c r="AB530" s="255"/>
      <c r="AC530" s="123"/>
      <c r="AD530" s="123"/>
      <c r="AE530" s="21"/>
      <c r="AF530" s="8"/>
      <c r="AG530" s="8"/>
      <c r="AH530" s="72"/>
      <c r="AI530" s="8"/>
      <c r="AJ530" s="21"/>
      <c r="AK530" s="21"/>
      <c r="AL530" s="81"/>
      <c r="AM530" s="81"/>
      <c r="AN530" s="81"/>
      <c r="AO530" s="81"/>
      <c r="AP530" s="81"/>
      <c r="AQ530" s="81"/>
      <c r="AR530" s="81"/>
      <c r="AS530" s="81"/>
      <c r="AT530" s="81"/>
    </row>
    <row r="531" ht="22.5" customHeight="1">
      <c r="A531" s="7"/>
      <c r="B531" s="7"/>
      <c r="C531" s="7"/>
      <c r="D531" s="7"/>
      <c r="E531" s="7"/>
      <c r="F531" s="7"/>
      <c r="G531" s="49"/>
      <c r="H531" s="49"/>
      <c r="I531" s="165"/>
      <c r="J531" s="82"/>
      <c r="K531" s="7"/>
      <c r="L531" s="10"/>
      <c r="M531" s="7"/>
      <c r="N531" s="83"/>
      <c r="O531" s="84"/>
      <c r="P531" s="7"/>
      <c r="Q531" s="7"/>
      <c r="R531" s="11"/>
      <c r="S531" s="7"/>
      <c r="T531" s="7"/>
      <c r="U531" s="7"/>
      <c r="V531" s="14"/>
      <c r="W531" s="212"/>
      <c r="X531" s="7"/>
      <c r="Y531" s="14"/>
      <c r="Z531" s="213"/>
      <c r="AA531" s="7"/>
      <c r="AB531" s="109"/>
      <c r="AC531" s="21"/>
      <c r="AD531" s="21"/>
      <c r="AE531" s="21"/>
      <c r="AF531" s="8"/>
      <c r="AG531" s="8"/>
      <c r="AH531" s="72"/>
      <c r="AI531" s="8"/>
      <c r="AJ531" s="21"/>
      <c r="AK531" s="86"/>
      <c r="AL531" s="81"/>
      <c r="AM531" s="81"/>
      <c r="AN531" s="81"/>
      <c r="AO531" s="81"/>
      <c r="AP531" s="81"/>
      <c r="AQ531" s="81"/>
      <c r="AR531" s="81"/>
      <c r="AS531" s="81"/>
      <c r="AT531" s="81"/>
    </row>
    <row r="532" ht="22.5" customHeight="1">
      <c r="A532" s="7"/>
      <c r="B532" s="7"/>
      <c r="C532" s="7"/>
      <c r="D532" s="7"/>
      <c r="E532" s="7"/>
      <c r="F532" s="7"/>
      <c r="G532" s="49"/>
      <c r="H532" s="49"/>
      <c r="I532" s="165"/>
      <c r="J532" s="108"/>
      <c r="K532" s="7"/>
      <c r="L532" s="10"/>
      <c r="M532" s="7"/>
      <c r="N532" s="83"/>
      <c r="O532" s="210"/>
      <c r="P532" s="7"/>
      <c r="Q532" s="7"/>
      <c r="R532" s="11"/>
      <c r="S532" s="7"/>
      <c r="T532" s="7"/>
      <c r="U532" s="7"/>
      <c r="V532" s="14"/>
      <c r="W532" s="212"/>
      <c r="X532" s="7"/>
      <c r="Y532" s="14"/>
      <c r="Z532" s="213"/>
      <c r="AA532" s="7"/>
      <c r="AB532" s="109"/>
      <c r="AC532" s="21"/>
      <c r="AD532" s="21"/>
      <c r="AE532" s="21"/>
      <c r="AF532" s="8"/>
      <c r="AG532" s="8"/>
      <c r="AH532" s="72"/>
      <c r="AI532" s="8"/>
      <c r="AJ532" s="21"/>
      <c r="AK532" s="21"/>
      <c r="AL532" s="81"/>
      <c r="AM532" s="81"/>
      <c r="AN532" s="81"/>
      <c r="AO532" s="81"/>
      <c r="AP532" s="81"/>
      <c r="AQ532" s="81"/>
      <c r="AR532" s="81"/>
      <c r="AS532" s="81"/>
      <c r="AT532" s="81"/>
    </row>
    <row r="533" ht="22.5" customHeight="1">
      <c r="A533" s="7"/>
      <c r="B533" s="7"/>
      <c r="C533" s="7"/>
      <c r="D533" s="7"/>
      <c r="E533" s="7"/>
      <c r="F533" s="7"/>
      <c r="G533" s="49"/>
      <c r="H533" s="49"/>
      <c r="I533" s="51"/>
      <c r="J533" s="82"/>
      <c r="K533" s="7"/>
      <c r="L533" s="10"/>
      <c r="M533" s="7"/>
      <c r="N533" s="83"/>
      <c r="O533" s="84"/>
      <c r="P533" s="57"/>
      <c r="Q533" s="7"/>
      <c r="R533" s="11"/>
      <c r="S533" s="7"/>
      <c r="T533" s="7"/>
      <c r="U533" s="7"/>
      <c r="V533" s="27"/>
      <c r="W533" s="13"/>
      <c r="X533" s="14"/>
      <c r="Y533" s="14"/>
      <c r="Z533" s="43"/>
      <c r="AA533" s="14"/>
      <c r="AB533" s="14"/>
      <c r="AC533" s="8"/>
      <c r="AD533" s="8"/>
      <c r="AE533" s="8"/>
      <c r="AF533" s="8"/>
      <c r="AG533" s="8"/>
      <c r="AH533" s="72"/>
      <c r="AI533" s="8"/>
      <c r="AJ533" s="21"/>
      <c r="AK533" s="124"/>
      <c r="AL533" s="75"/>
      <c r="AM533" s="75"/>
      <c r="AN533" s="105"/>
      <c r="AO533" s="105"/>
      <c r="AP533" s="105"/>
      <c r="AQ533" s="105"/>
      <c r="AR533" s="105"/>
      <c r="AS533" s="105"/>
      <c r="AT533" s="105"/>
    </row>
    <row r="534" ht="22.5" customHeight="1">
      <c r="A534" s="7"/>
      <c r="B534" s="7"/>
      <c r="C534" s="7"/>
      <c r="D534" s="7"/>
      <c r="E534" s="7"/>
      <c r="F534" s="7"/>
      <c r="G534" s="49"/>
      <c r="H534" s="49"/>
      <c r="I534" s="51"/>
      <c r="J534" s="82"/>
      <c r="K534" s="7"/>
      <c r="L534" s="10"/>
      <c r="M534" s="7"/>
      <c r="N534" s="83"/>
      <c r="O534" s="84"/>
      <c r="P534" s="14"/>
      <c r="Q534" s="7"/>
      <c r="R534" s="11"/>
      <c r="S534" s="7"/>
      <c r="T534" s="7"/>
      <c r="U534" s="7"/>
      <c r="V534" s="14"/>
      <c r="W534" s="29"/>
      <c r="X534" s="14"/>
      <c r="Y534" s="14"/>
      <c r="Z534" s="213"/>
      <c r="AA534" s="14"/>
      <c r="AB534" s="109"/>
      <c r="AC534" s="21"/>
      <c r="AD534" s="21"/>
      <c r="AE534" s="21"/>
      <c r="AF534" s="8"/>
      <c r="AG534" s="8"/>
      <c r="AH534" s="72"/>
      <c r="AI534" s="8"/>
      <c r="AJ534" s="21"/>
      <c r="AK534" s="124"/>
      <c r="AL534" s="81"/>
      <c r="AM534" s="81"/>
      <c r="AN534" s="81"/>
      <c r="AO534" s="81"/>
      <c r="AP534" s="81"/>
      <c r="AQ534" s="81"/>
      <c r="AR534" s="81"/>
      <c r="AS534" s="81"/>
      <c r="AT534" s="81"/>
    </row>
    <row r="535" ht="22.5" customHeight="1">
      <c r="A535" s="7"/>
      <c r="B535" s="7"/>
      <c r="C535" s="7"/>
      <c r="D535" s="7"/>
      <c r="E535" s="7"/>
      <c r="F535" s="7"/>
      <c r="G535" s="49"/>
      <c r="H535" s="49"/>
      <c r="I535" s="165"/>
      <c r="J535" s="108"/>
      <c r="K535" s="7"/>
      <c r="L535" s="10"/>
      <c r="M535" s="7"/>
      <c r="N535" s="83"/>
      <c r="O535" s="210"/>
      <c r="P535" s="7"/>
      <c r="Q535" s="7"/>
      <c r="R535" s="11"/>
      <c r="S535" s="7"/>
      <c r="T535" s="7"/>
      <c r="U535" s="7"/>
      <c r="V535" s="14"/>
      <c r="W535" s="212"/>
      <c r="X535" s="7"/>
      <c r="Y535" s="14"/>
      <c r="Z535" s="213"/>
      <c r="AA535" s="7"/>
      <c r="AB535" s="256"/>
      <c r="AC535" s="21"/>
      <c r="AD535" s="21"/>
      <c r="AE535" s="21"/>
      <c r="AF535" s="8"/>
      <c r="AG535" s="8"/>
      <c r="AH535" s="72"/>
      <c r="AI535" s="8"/>
      <c r="AJ535" s="21"/>
      <c r="AK535" s="21"/>
      <c r="AL535" s="81"/>
      <c r="AM535" s="81"/>
      <c r="AN535" s="81"/>
      <c r="AO535" s="81"/>
      <c r="AP535" s="81"/>
      <c r="AQ535" s="81"/>
      <c r="AR535" s="81"/>
      <c r="AS535" s="81"/>
      <c r="AT535" s="81"/>
    </row>
    <row r="536" ht="22.5" customHeight="1">
      <c r="A536" s="7"/>
      <c r="B536" s="7"/>
      <c r="C536" s="7"/>
      <c r="D536" s="7"/>
      <c r="E536" s="7"/>
      <c r="F536" s="7"/>
      <c r="G536" s="49"/>
      <c r="H536" s="49"/>
      <c r="I536" s="165"/>
      <c r="J536" s="108"/>
      <c r="K536" s="7"/>
      <c r="L536" s="10"/>
      <c r="M536" s="7"/>
      <c r="N536" s="83"/>
      <c r="O536" s="210"/>
      <c r="P536" s="7"/>
      <c r="Q536" s="7"/>
      <c r="R536" s="11"/>
      <c r="S536" s="7"/>
      <c r="T536" s="7"/>
      <c r="U536" s="7"/>
      <c r="V536" s="14"/>
      <c r="W536" s="217"/>
      <c r="X536" s="7"/>
      <c r="Y536" s="14"/>
      <c r="Z536" s="213"/>
      <c r="AA536" s="7"/>
      <c r="AB536" s="255"/>
      <c r="AC536" s="21"/>
      <c r="AD536" s="21"/>
      <c r="AE536" s="21"/>
      <c r="AF536" s="8"/>
      <c r="AG536" s="8"/>
      <c r="AH536" s="72"/>
      <c r="AI536" s="8"/>
      <c r="AJ536" s="21"/>
      <c r="AK536" s="21"/>
      <c r="AL536" s="81"/>
      <c r="AM536" s="81"/>
      <c r="AN536" s="81"/>
      <c r="AO536" s="81"/>
      <c r="AP536" s="81"/>
      <c r="AQ536" s="81"/>
      <c r="AR536" s="81"/>
      <c r="AS536" s="81"/>
      <c r="AT536" s="81"/>
    </row>
    <row r="537" ht="22.5" customHeight="1">
      <c r="A537" s="7"/>
      <c r="B537" s="7"/>
      <c r="C537" s="7"/>
      <c r="D537" s="7"/>
      <c r="E537" s="7"/>
      <c r="F537" s="7"/>
      <c r="G537" s="49"/>
      <c r="H537" s="49"/>
      <c r="I537" s="165"/>
      <c r="J537" s="108"/>
      <c r="K537" s="7"/>
      <c r="L537" s="10"/>
      <c r="M537" s="7"/>
      <c r="N537" s="83"/>
      <c r="O537" s="210"/>
      <c r="P537" s="7"/>
      <c r="Q537" s="7"/>
      <c r="R537" s="11"/>
      <c r="S537" s="7"/>
      <c r="T537" s="7"/>
      <c r="U537" s="7"/>
      <c r="V537" s="14"/>
      <c r="W537" s="212"/>
      <c r="X537" s="7"/>
      <c r="Y537" s="14"/>
      <c r="Z537" s="213"/>
      <c r="AA537" s="7"/>
      <c r="AB537" s="255"/>
      <c r="AC537" s="21"/>
      <c r="AD537" s="21"/>
      <c r="AE537" s="21"/>
      <c r="AF537" s="8"/>
      <c r="AG537" s="8"/>
      <c r="AH537" s="72"/>
      <c r="AI537" s="8"/>
      <c r="AJ537" s="21"/>
      <c r="AK537" s="21"/>
      <c r="AL537" s="81"/>
      <c r="AM537" s="81"/>
      <c r="AN537" s="81"/>
      <c r="AO537" s="81"/>
      <c r="AP537" s="81"/>
      <c r="AQ537" s="81"/>
      <c r="AR537" s="81"/>
      <c r="AS537" s="81"/>
      <c r="AT537" s="81"/>
    </row>
    <row r="538" ht="22.5" customHeight="1">
      <c r="A538" s="7"/>
      <c r="B538" s="7"/>
      <c r="C538" s="7"/>
      <c r="D538" s="7"/>
      <c r="E538" s="7"/>
      <c r="F538" s="7"/>
      <c r="G538" s="49"/>
      <c r="H538" s="49"/>
      <c r="I538" s="165"/>
      <c r="J538" s="108"/>
      <c r="K538" s="7"/>
      <c r="L538" s="10"/>
      <c r="M538" s="7"/>
      <c r="N538" s="83"/>
      <c r="O538" s="210"/>
      <c r="P538" s="7"/>
      <c r="Q538" s="7"/>
      <c r="R538" s="11"/>
      <c r="S538" s="7"/>
      <c r="T538" s="7"/>
      <c r="U538" s="7"/>
      <c r="V538" s="14"/>
      <c r="W538" s="212"/>
      <c r="X538" s="7"/>
      <c r="Y538" s="14"/>
      <c r="Z538" s="213"/>
      <c r="AA538" s="7"/>
      <c r="AB538" s="255"/>
      <c r="AC538" s="21"/>
      <c r="AD538" s="21"/>
      <c r="AE538" s="21"/>
      <c r="AF538" s="8"/>
      <c r="AG538" s="8"/>
      <c r="AH538" s="72"/>
      <c r="AI538" s="8"/>
      <c r="AJ538" s="21"/>
      <c r="AK538" s="21"/>
      <c r="AL538" s="81"/>
      <c r="AM538" s="81"/>
      <c r="AN538" s="81"/>
      <c r="AO538" s="81"/>
      <c r="AP538" s="81"/>
      <c r="AQ538" s="81"/>
      <c r="AR538" s="81"/>
      <c r="AS538" s="81"/>
      <c r="AT538" s="81"/>
    </row>
    <row r="539" ht="22.5" customHeight="1">
      <c r="A539" s="7"/>
      <c r="B539" s="7"/>
      <c r="C539" s="7"/>
      <c r="D539" s="7"/>
      <c r="E539" s="7"/>
      <c r="F539" s="7"/>
      <c r="G539" s="49"/>
      <c r="H539" s="49"/>
      <c r="I539" s="165"/>
      <c r="J539" s="108"/>
      <c r="K539" s="7"/>
      <c r="L539" s="10"/>
      <c r="M539" s="7"/>
      <c r="N539" s="83"/>
      <c r="O539" s="210"/>
      <c r="P539" s="7"/>
      <c r="Q539" s="7"/>
      <c r="R539" s="11"/>
      <c r="S539" s="7"/>
      <c r="T539" s="7"/>
      <c r="U539" s="7"/>
      <c r="V539" s="14"/>
      <c r="W539" s="217"/>
      <c r="X539" s="7"/>
      <c r="Y539" s="14"/>
      <c r="Z539" s="213"/>
      <c r="AA539" s="7"/>
      <c r="AB539" s="109"/>
      <c r="AC539" s="21"/>
      <c r="AD539" s="21"/>
      <c r="AE539" s="21"/>
      <c r="AF539" s="8"/>
      <c r="AG539" s="8"/>
      <c r="AH539" s="72"/>
      <c r="AI539" s="8"/>
      <c r="AJ539" s="21"/>
      <c r="AK539" s="21"/>
      <c r="AL539" s="81"/>
      <c r="AM539" s="81"/>
      <c r="AN539" s="81"/>
      <c r="AO539" s="81"/>
      <c r="AP539" s="81"/>
      <c r="AQ539" s="81"/>
      <c r="AR539" s="81"/>
      <c r="AS539" s="81"/>
      <c r="AT539" s="81"/>
    </row>
    <row r="540" ht="22.5" customHeight="1">
      <c r="A540" s="7"/>
      <c r="B540" s="7"/>
      <c r="C540" s="7"/>
      <c r="D540" s="7"/>
      <c r="E540" s="7"/>
      <c r="F540" s="7"/>
      <c r="G540" s="49"/>
      <c r="H540" s="49"/>
      <c r="I540" s="51"/>
      <c r="J540" s="82"/>
      <c r="K540" s="7"/>
      <c r="L540" s="10"/>
      <c r="M540" s="7"/>
      <c r="N540" s="83"/>
      <c r="O540" s="84"/>
      <c r="P540" s="7"/>
      <c r="Q540" s="7"/>
      <c r="R540" s="78"/>
      <c r="S540" s="85"/>
      <c r="T540" s="7"/>
      <c r="U540" s="7"/>
      <c r="V540" s="14"/>
      <c r="W540" s="13"/>
      <c r="X540" s="14"/>
      <c r="Y540" s="14"/>
      <c r="Z540" s="43"/>
      <c r="AA540" s="14"/>
      <c r="AB540" s="14"/>
      <c r="AC540" s="8"/>
      <c r="AD540" s="8"/>
      <c r="AE540" s="8"/>
      <c r="AF540" s="8"/>
      <c r="AG540" s="8"/>
      <c r="AH540" s="72"/>
      <c r="AI540" s="8"/>
      <c r="AJ540" s="21"/>
      <c r="AK540" s="86"/>
      <c r="AL540" s="81"/>
      <c r="AM540" s="81"/>
      <c r="AN540" s="81"/>
      <c r="AO540" s="81"/>
      <c r="AP540" s="81"/>
      <c r="AQ540" s="81"/>
      <c r="AR540" s="81"/>
      <c r="AS540" s="81"/>
      <c r="AT540" s="81"/>
    </row>
    <row r="541" ht="22.5" customHeight="1">
      <c r="A541" s="7"/>
      <c r="B541" s="7"/>
      <c r="C541" s="7"/>
      <c r="D541" s="7"/>
      <c r="E541" s="7"/>
      <c r="F541" s="7"/>
      <c r="G541" s="49"/>
      <c r="H541" s="49"/>
      <c r="I541" s="165"/>
      <c r="J541" s="108"/>
      <c r="K541" s="7"/>
      <c r="L541" s="10"/>
      <c r="M541" s="7"/>
      <c r="N541" s="83"/>
      <c r="O541" s="210"/>
      <c r="P541" s="7"/>
      <c r="Q541" s="7"/>
      <c r="R541" s="11"/>
      <c r="S541" s="7"/>
      <c r="T541" s="7"/>
      <c r="U541" s="7"/>
      <c r="V541" s="14"/>
      <c r="W541" s="212"/>
      <c r="X541" s="7"/>
      <c r="Y541" s="14"/>
      <c r="Z541" s="213"/>
      <c r="AA541" s="7"/>
      <c r="AB541" s="109"/>
      <c r="AC541" s="21"/>
      <c r="AD541" s="21"/>
      <c r="AE541" s="21"/>
      <c r="AF541" s="8"/>
      <c r="AG541" s="8"/>
      <c r="AH541" s="72"/>
      <c r="AI541" s="8"/>
      <c r="AJ541" s="21"/>
      <c r="AK541" s="21"/>
      <c r="AL541" s="81"/>
      <c r="AM541" s="81"/>
      <c r="AN541" s="81"/>
      <c r="AO541" s="81"/>
      <c r="AP541" s="81"/>
      <c r="AQ541" s="81"/>
      <c r="AR541" s="81"/>
      <c r="AS541" s="81"/>
      <c r="AT541" s="81"/>
    </row>
    <row r="542" ht="22.5" customHeight="1">
      <c r="A542" s="7"/>
      <c r="B542" s="7"/>
      <c r="C542" s="7"/>
      <c r="D542" s="7"/>
      <c r="E542" s="7"/>
      <c r="F542" s="7"/>
      <c r="G542" s="49"/>
      <c r="H542" s="49"/>
      <c r="I542" s="51"/>
      <c r="J542" s="82"/>
      <c r="K542" s="7"/>
      <c r="L542" s="10"/>
      <c r="M542" s="7"/>
      <c r="N542" s="83"/>
      <c r="O542" s="84"/>
      <c r="P542" s="57"/>
      <c r="Q542" s="7"/>
      <c r="R542" s="11"/>
      <c r="S542" s="85"/>
      <c r="T542" s="7"/>
      <c r="U542" s="7"/>
      <c r="V542" s="27"/>
      <c r="W542" s="13"/>
      <c r="X542" s="14"/>
      <c r="Y542" s="14"/>
      <c r="Z542" s="43"/>
      <c r="AA542" s="14"/>
      <c r="AB542" s="14"/>
      <c r="AC542" s="8"/>
      <c r="AD542" s="8"/>
      <c r="AE542" s="8"/>
      <c r="AF542" s="8"/>
      <c r="AG542" s="8"/>
      <c r="AH542" s="72"/>
      <c r="AI542" s="8"/>
      <c r="AJ542" s="21"/>
      <c r="AK542" s="86"/>
      <c r="AL542" s="75"/>
      <c r="AM542" s="75"/>
      <c r="AN542" s="75"/>
      <c r="AO542" s="75"/>
      <c r="AP542" s="75"/>
      <c r="AQ542" s="75"/>
      <c r="AR542" s="75"/>
      <c r="AS542" s="75"/>
      <c r="AT542" s="75"/>
    </row>
    <row r="543" ht="22.5" customHeight="1">
      <c r="A543" s="7"/>
      <c r="B543" s="7"/>
      <c r="C543" s="7"/>
      <c r="D543" s="7"/>
      <c r="E543" s="7"/>
      <c r="F543" s="7"/>
      <c r="G543" s="49"/>
      <c r="H543" s="49"/>
      <c r="I543" s="165"/>
      <c r="J543" s="108"/>
      <c r="K543" s="7"/>
      <c r="L543" s="10"/>
      <c r="M543" s="7"/>
      <c r="N543" s="7"/>
      <c r="O543" s="210"/>
      <c r="P543" s="7"/>
      <c r="Q543" s="7"/>
      <c r="R543" s="11"/>
      <c r="S543" s="7"/>
      <c r="T543" s="211"/>
      <c r="U543" s="7"/>
      <c r="V543" s="14"/>
      <c r="W543" s="212"/>
      <c r="X543" s="7"/>
      <c r="Y543" s="14"/>
      <c r="Z543" s="213"/>
      <c r="AA543" s="7"/>
      <c r="AB543" s="7"/>
      <c r="AC543" s="21"/>
      <c r="AD543" s="21"/>
      <c r="AE543" s="21"/>
      <c r="AF543" s="8"/>
      <c r="AG543" s="8"/>
      <c r="AH543" s="72"/>
      <c r="AI543" s="8"/>
      <c r="AJ543" s="21"/>
      <c r="AK543" s="21"/>
      <c r="AL543" s="81"/>
      <c r="AM543" s="81"/>
      <c r="AN543" s="81"/>
      <c r="AO543" s="81"/>
      <c r="AP543" s="81"/>
      <c r="AQ543" s="81"/>
      <c r="AR543" s="81"/>
      <c r="AS543" s="81"/>
      <c r="AT543" s="81"/>
    </row>
    <row r="544" ht="22.5" customHeight="1">
      <c r="A544" s="7"/>
      <c r="B544" s="7"/>
      <c r="C544" s="7"/>
      <c r="D544" s="7"/>
      <c r="E544" s="7"/>
      <c r="F544" s="7"/>
      <c r="G544" s="49"/>
      <c r="H544" s="49"/>
      <c r="I544" s="165"/>
      <c r="J544" s="82"/>
      <c r="K544" s="7"/>
      <c r="L544" s="10"/>
      <c r="M544" s="7"/>
      <c r="N544" s="83"/>
      <c r="O544" s="84"/>
      <c r="P544" s="7"/>
      <c r="Q544" s="7"/>
      <c r="R544" s="11"/>
      <c r="S544" s="7"/>
      <c r="T544" s="7"/>
      <c r="U544" s="7"/>
      <c r="V544" s="14"/>
      <c r="W544" s="212"/>
      <c r="X544" s="7"/>
      <c r="Y544" s="14"/>
      <c r="Z544" s="213"/>
      <c r="AA544" s="7"/>
      <c r="AB544" s="109"/>
      <c r="AC544" s="21"/>
      <c r="AD544" s="21"/>
      <c r="AE544" s="21"/>
      <c r="AF544" s="8"/>
      <c r="AG544" s="8"/>
      <c r="AH544" s="72"/>
      <c r="AI544" s="8"/>
      <c r="AJ544" s="21"/>
      <c r="AK544" s="86"/>
      <c r="AL544" s="81"/>
      <c r="AM544" s="81"/>
      <c r="AN544" s="81"/>
      <c r="AO544" s="81"/>
      <c r="AP544" s="81"/>
      <c r="AQ544" s="81"/>
      <c r="AR544" s="81"/>
      <c r="AS544" s="81"/>
      <c r="AT544" s="81"/>
    </row>
    <row r="545" ht="22.5" customHeight="1">
      <c r="A545" s="7"/>
      <c r="B545" s="7"/>
      <c r="C545" s="7"/>
      <c r="D545" s="7"/>
      <c r="E545" s="7"/>
      <c r="F545" s="7"/>
      <c r="G545" s="49"/>
      <c r="H545" s="49"/>
      <c r="I545" s="165"/>
      <c r="J545" s="108"/>
      <c r="K545" s="7"/>
      <c r="L545" s="10"/>
      <c r="M545" s="7"/>
      <c r="N545" s="83"/>
      <c r="O545" s="210"/>
      <c r="P545" s="7"/>
      <c r="Q545" s="7"/>
      <c r="R545" s="11"/>
      <c r="S545" s="7"/>
      <c r="T545" s="7"/>
      <c r="U545" s="7"/>
      <c r="V545" s="14"/>
      <c r="W545" s="212"/>
      <c r="X545" s="7"/>
      <c r="Y545" s="14"/>
      <c r="Z545" s="213"/>
      <c r="AA545" s="7"/>
      <c r="AB545" s="109"/>
      <c r="AC545" s="21"/>
      <c r="AD545" s="21"/>
      <c r="AE545" s="21"/>
      <c r="AF545" s="8"/>
      <c r="AG545" s="8"/>
      <c r="AH545" s="72"/>
      <c r="AI545" s="8"/>
      <c r="AJ545" s="21"/>
      <c r="AK545" s="21"/>
      <c r="AL545" s="81"/>
      <c r="AM545" s="81"/>
      <c r="AN545" s="81"/>
      <c r="AO545" s="81"/>
      <c r="AP545" s="81"/>
      <c r="AQ545" s="81"/>
      <c r="AR545" s="81"/>
      <c r="AS545" s="81"/>
      <c r="AT545" s="81"/>
    </row>
    <row r="546" ht="22.5" customHeight="1">
      <c r="A546" s="7"/>
      <c r="B546" s="7"/>
      <c r="C546" s="7"/>
      <c r="D546" s="7"/>
      <c r="E546" s="7"/>
      <c r="F546" s="7"/>
      <c r="G546" s="49"/>
      <c r="H546" s="49"/>
      <c r="I546" s="165"/>
      <c r="J546" s="108"/>
      <c r="K546" s="7"/>
      <c r="L546" s="10"/>
      <c r="M546" s="7"/>
      <c r="N546" s="83"/>
      <c r="O546" s="210"/>
      <c r="P546" s="7"/>
      <c r="Q546" s="7"/>
      <c r="R546" s="11"/>
      <c r="S546" s="7"/>
      <c r="T546" s="7"/>
      <c r="U546" s="7"/>
      <c r="V546" s="14"/>
      <c r="W546" s="217"/>
      <c r="X546" s="7"/>
      <c r="Y546" s="14"/>
      <c r="Z546" s="213"/>
      <c r="AA546" s="7"/>
      <c r="AB546" s="255"/>
      <c r="AC546" s="21"/>
      <c r="AD546" s="21"/>
      <c r="AE546" s="21"/>
      <c r="AF546" s="8"/>
      <c r="AG546" s="8"/>
      <c r="AH546" s="72"/>
      <c r="AI546" s="8"/>
      <c r="AJ546" s="21"/>
      <c r="AK546" s="21"/>
      <c r="AL546" s="81"/>
      <c r="AM546" s="81"/>
      <c r="AN546" s="81"/>
      <c r="AO546" s="81"/>
      <c r="AP546" s="81"/>
      <c r="AQ546" s="81"/>
      <c r="AR546" s="81"/>
      <c r="AS546" s="81"/>
      <c r="AT546" s="81"/>
    </row>
    <row r="547" ht="22.5" customHeight="1">
      <c r="A547" s="7"/>
      <c r="B547" s="7"/>
      <c r="C547" s="7"/>
      <c r="D547" s="7"/>
      <c r="E547" s="7"/>
      <c r="F547" s="7"/>
      <c r="G547" s="49"/>
      <c r="H547" s="49"/>
      <c r="I547" s="165"/>
      <c r="J547" s="108"/>
      <c r="K547" s="7"/>
      <c r="L547" s="10"/>
      <c r="M547" s="7"/>
      <c r="N547" s="83"/>
      <c r="O547" s="210"/>
      <c r="P547" s="7"/>
      <c r="Q547" s="7"/>
      <c r="R547" s="11"/>
      <c r="S547" s="7"/>
      <c r="T547" s="7"/>
      <c r="U547" s="7"/>
      <c r="V547" s="14"/>
      <c r="W547" s="212"/>
      <c r="X547" s="7"/>
      <c r="Y547" s="14"/>
      <c r="Z547" s="213"/>
      <c r="AA547" s="7"/>
      <c r="AB547" s="255"/>
      <c r="AC547" s="21"/>
      <c r="AD547" s="21"/>
      <c r="AE547" s="21"/>
      <c r="AF547" s="8"/>
      <c r="AG547" s="8"/>
      <c r="AH547" s="72"/>
      <c r="AI547" s="8"/>
      <c r="AJ547" s="21"/>
      <c r="AK547" s="21"/>
      <c r="AL547" s="81"/>
      <c r="AM547" s="81"/>
      <c r="AN547" s="81"/>
      <c r="AO547" s="81"/>
      <c r="AP547" s="81"/>
      <c r="AQ547" s="81"/>
      <c r="AR547" s="81"/>
      <c r="AS547" s="81"/>
      <c r="AT547" s="81"/>
    </row>
    <row r="548" ht="22.5" customHeight="1">
      <c r="A548" s="7"/>
      <c r="B548" s="7"/>
      <c r="C548" s="7"/>
      <c r="D548" s="7"/>
      <c r="E548" s="7"/>
      <c r="F548" s="7"/>
      <c r="G548" s="49"/>
      <c r="H548" s="49"/>
      <c r="I548" s="165"/>
      <c r="J548" s="82"/>
      <c r="K548" s="7"/>
      <c r="L548" s="10"/>
      <c r="M548" s="7"/>
      <c r="N548" s="257"/>
      <c r="O548" s="210"/>
      <c r="P548" s="7"/>
      <c r="Q548" s="7"/>
      <c r="R548" s="11"/>
      <c r="S548" s="7"/>
      <c r="T548" s="7"/>
      <c r="U548" s="7"/>
      <c r="V548" s="14"/>
      <c r="W548" s="212"/>
      <c r="X548" s="7"/>
      <c r="Y548" s="14"/>
      <c r="Z548" s="213"/>
      <c r="AA548" s="7"/>
      <c r="AB548" s="109"/>
      <c r="AC548" s="21"/>
      <c r="AD548" s="21"/>
      <c r="AE548" s="21"/>
      <c r="AF548" s="8"/>
      <c r="AG548" s="8"/>
      <c r="AH548" s="72"/>
      <c r="AI548" s="8"/>
      <c r="AJ548" s="21"/>
      <c r="AK548" s="21"/>
      <c r="AL548" s="81"/>
      <c r="AM548" s="81"/>
      <c r="AN548" s="81"/>
      <c r="AO548" s="81"/>
      <c r="AP548" s="81"/>
      <c r="AQ548" s="81"/>
      <c r="AR548" s="81"/>
      <c r="AS548" s="81"/>
      <c r="AT548" s="81"/>
    </row>
    <row r="549" ht="22.5" customHeight="1">
      <c r="A549" s="7"/>
      <c r="B549" s="7"/>
      <c r="C549" s="7"/>
      <c r="D549" s="7"/>
      <c r="E549" s="7"/>
      <c r="F549" s="7"/>
      <c r="G549" s="49"/>
      <c r="H549" s="49"/>
      <c r="I549" s="51"/>
      <c r="J549" s="82"/>
      <c r="K549" s="7"/>
      <c r="L549" s="10"/>
      <c r="M549" s="7"/>
      <c r="N549" s="83"/>
      <c r="O549" s="84"/>
      <c r="P549" s="14"/>
      <c r="Q549" s="7"/>
      <c r="R549" s="78"/>
      <c r="S549" s="7"/>
      <c r="T549" s="7"/>
      <c r="U549" s="7"/>
      <c r="V549" s="14"/>
      <c r="W549" s="13"/>
      <c r="X549" s="14"/>
      <c r="Y549" s="14"/>
      <c r="Z549" s="43"/>
      <c r="AA549" s="14"/>
      <c r="AB549" s="14"/>
      <c r="AC549" s="8"/>
      <c r="AD549" s="8"/>
      <c r="AE549" s="8"/>
      <c r="AF549" s="8"/>
      <c r="AG549" s="8"/>
      <c r="AH549" s="72"/>
      <c r="AI549" s="8"/>
      <c r="AJ549" s="21"/>
      <c r="AK549" s="124"/>
      <c r="AL549" s="81"/>
      <c r="AM549" s="81"/>
      <c r="AN549" s="81"/>
      <c r="AO549" s="81"/>
      <c r="AP549" s="81"/>
      <c r="AQ549" s="81"/>
      <c r="AR549" s="81"/>
      <c r="AS549" s="81"/>
      <c r="AT549" s="81"/>
    </row>
    <row r="550" ht="22.5" customHeight="1">
      <c r="A550" s="7"/>
      <c r="B550" s="7"/>
      <c r="C550" s="7"/>
      <c r="D550" s="7"/>
      <c r="E550" s="7"/>
      <c r="F550" s="7"/>
      <c r="G550" s="49"/>
      <c r="H550" s="49"/>
      <c r="I550" s="165"/>
      <c r="J550" s="108"/>
      <c r="K550" s="7"/>
      <c r="L550" s="10"/>
      <c r="M550" s="7"/>
      <c r="N550" s="83"/>
      <c r="O550" s="210"/>
      <c r="P550" s="7"/>
      <c r="Q550" s="7"/>
      <c r="R550" s="11"/>
      <c r="S550" s="7"/>
      <c r="T550" s="7"/>
      <c r="U550" s="7"/>
      <c r="V550" s="14"/>
      <c r="W550" s="217"/>
      <c r="X550" s="7"/>
      <c r="Y550" s="14"/>
      <c r="Z550" s="213"/>
      <c r="AA550" s="7"/>
      <c r="AB550" s="109"/>
      <c r="AC550" s="21"/>
      <c r="AD550" s="21"/>
      <c r="AE550" s="21"/>
      <c r="AF550" s="8"/>
      <c r="AG550" s="8"/>
      <c r="AH550" s="72"/>
      <c r="AI550" s="8"/>
      <c r="AJ550" s="21"/>
      <c r="AK550" s="21"/>
      <c r="AL550" s="81"/>
      <c r="AM550" s="81"/>
      <c r="AN550" s="81"/>
      <c r="AO550" s="81"/>
      <c r="AP550" s="81"/>
      <c r="AQ550" s="81"/>
      <c r="AR550" s="81"/>
      <c r="AS550" s="81"/>
      <c r="AT550" s="81"/>
    </row>
    <row r="551" ht="22.5" customHeight="1">
      <c r="A551" s="7"/>
      <c r="B551" s="7"/>
      <c r="C551" s="7"/>
      <c r="D551" s="7"/>
      <c r="E551" s="7"/>
      <c r="F551" s="7"/>
      <c r="G551" s="49"/>
      <c r="H551" s="49"/>
      <c r="I551" s="165"/>
      <c r="J551" s="108"/>
      <c r="K551" s="7"/>
      <c r="L551" s="10"/>
      <c r="M551" s="7"/>
      <c r="N551" s="83"/>
      <c r="O551" s="210"/>
      <c r="P551" s="7"/>
      <c r="Q551" s="7"/>
      <c r="R551" s="11"/>
      <c r="S551" s="7"/>
      <c r="T551" s="7"/>
      <c r="U551" s="7"/>
      <c r="V551" s="14"/>
      <c r="W551" s="212"/>
      <c r="X551" s="7"/>
      <c r="Y551" s="14"/>
      <c r="Z551" s="213"/>
      <c r="AA551" s="7"/>
      <c r="AB551" s="109"/>
      <c r="AC551" s="21"/>
      <c r="AD551" s="21"/>
      <c r="AE551" s="21"/>
      <c r="AF551" s="8"/>
      <c r="AG551" s="8"/>
      <c r="AH551" s="72"/>
      <c r="AI551" s="8"/>
      <c r="AJ551" s="21"/>
      <c r="AK551" s="21"/>
      <c r="AL551" s="81"/>
      <c r="AM551" s="81"/>
      <c r="AN551" s="81"/>
      <c r="AO551" s="81"/>
      <c r="AP551" s="81"/>
      <c r="AQ551" s="81"/>
      <c r="AR551" s="81"/>
      <c r="AS551" s="81"/>
      <c r="AT551" s="81"/>
    </row>
    <row r="552" ht="22.5" customHeight="1">
      <c r="A552" s="7"/>
      <c r="B552" s="7"/>
      <c r="C552" s="7"/>
      <c r="D552" s="7"/>
      <c r="E552" s="7"/>
      <c r="F552" s="7"/>
      <c r="G552" s="49"/>
      <c r="H552" s="49"/>
      <c r="I552" s="165"/>
      <c r="J552" s="108"/>
      <c r="K552" s="7"/>
      <c r="L552" s="10"/>
      <c r="M552" s="7"/>
      <c r="N552" s="83"/>
      <c r="O552" s="210"/>
      <c r="P552" s="7"/>
      <c r="Q552" s="7"/>
      <c r="R552" s="11"/>
      <c r="S552" s="7"/>
      <c r="T552" s="7"/>
      <c r="U552" s="7"/>
      <c r="V552" s="14"/>
      <c r="W552" s="217"/>
      <c r="X552" s="7"/>
      <c r="Y552" s="14"/>
      <c r="Z552" s="213"/>
      <c r="AA552" s="7"/>
      <c r="AB552" s="109"/>
      <c r="AC552" s="21"/>
      <c r="AD552" s="21"/>
      <c r="AE552" s="21"/>
      <c r="AF552" s="8"/>
      <c r="AG552" s="8"/>
      <c r="AH552" s="72"/>
      <c r="AI552" s="8"/>
      <c r="AJ552" s="21"/>
      <c r="AK552" s="21"/>
      <c r="AL552" s="81"/>
      <c r="AM552" s="81"/>
      <c r="AN552" s="81"/>
      <c r="AO552" s="81"/>
      <c r="AP552" s="81"/>
      <c r="AQ552" s="81"/>
      <c r="AR552" s="81"/>
      <c r="AS552" s="81"/>
      <c r="AT552" s="81"/>
    </row>
    <row r="553" ht="22.5" customHeight="1">
      <c r="A553" s="7"/>
      <c r="B553" s="7"/>
      <c r="C553" s="7"/>
      <c r="D553" s="7"/>
      <c r="E553" s="7"/>
      <c r="F553" s="7"/>
      <c r="G553" s="49"/>
      <c r="H553" s="49"/>
      <c r="I553" s="165"/>
      <c r="J553" s="108"/>
      <c r="K553" s="7"/>
      <c r="L553" s="10"/>
      <c r="M553" s="7"/>
      <c r="N553" s="83"/>
      <c r="O553" s="210"/>
      <c r="P553" s="7"/>
      <c r="Q553" s="7"/>
      <c r="R553" s="11"/>
      <c r="S553" s="7"/>
      <c r="T553" s="7"/>
      <c r="U553" s="7"/>
      <c r="V553" s="14"/>
      <c r="W553" s="212"/>
      <c r="X553" s="7"/>
      <c r="Y553" s="14"/>
      <c r="Z553" s="213"/>
      <c r="AA553" s="7"/>
      <c r="AB553" s="7"/>
      <c r="AC553" s="21"/>
      <c r="AD553" s="21"/>
      <c r="AE553" s="21"/>
      <c r="AF553" s="8"/>
      <c r="AG553" s="8"/>
      <c r="AH553" s="72"/>
      <c r="AI553" s="8"/>
      <c r="AJ553" s="21"/>
      <c r="AK553" s="251"/>
      <c r="AL553" s="81"/>
      <c r="AM553" s="81"/>
      <c r="AN553" s="81"/>
      <c r="AO553" s="81"/>
      <c r="AP553" s="81"/>
      <c r="AQ553" s="81"/>
      <c r="AR553" s="81"/>
      <c r="AS553" s="81"/>
      <c r="AT553" s="81"/>
    </row>
    <row r="554" ht="22.5" customHeight="1">
      <c r="A554" s="7"/>
      <c r="B554" s="7"/>
      <c r="C554" s="7"/>
      <c r="D554" s="7"/>
      <c r="E554" s="7"/>
      <c r="F554" s="7"/>
      <c r="G554" s="49"/>
      <c r="H554" s="49"/>
      <c r="I554" s="165"/>
      <c r="J554" s="108"/>
      <c r="K554" s="7"/>
      <c r="L554" s="10"/>
      <c r="M554" s="7"/>
      <c r="N554" s="83"/>
      <c r="O554" s="210"/>
      <c r="P554" s="7"/>
      <c r="Q554" s="7"/>
      <c r="R554" s="11"/>
      <c r="S554" s="7"/>
      <c r="T554" s="7"/>
      <c r="U554" s="7"/>
      <c r="V554" s="14"/>
      <c r="W554" s="212"/>
      <c r="X554" s="7"/>
      <c r="Y554" s="14"/>
      <c r="Z554" s="213"/>
      <c r="AA554" s="7"/>
      <c r="AB554" s="7"/>
      <c r="AC554" s="21"/>
      <c r="AD554" s="21"/>
      <c r="AE554" s="21"/>
      <c r="AF554" s="8"/>
      <c r="AG554" s="8"/>
      <c r="AH554" s="72"/>
      <c r="AI554" s="8"/>
      <c r="AJ554" s="21"/>
      <c r="AK554" s="251"/>
      <c r="AL554" s="81"/>
      <c r="AM554" s="81"/>
      <c r="AN554" s="81"/>
      <c r="AO554" s="81"/>
      <c r="AP554" s="81"/>
      <c r="AQ554" s="81"/>
      <c r="AR554" s="81"/>
      <c r="AS554" s="81"/>
      <c r="AT554" s="81"/>
    </row>
    <row r="555" ht="22.5" customHeight="1">
      <c r="A555" s="7"/>
      <c r="B555" s="7"/>
      <c r="C555" s="7"/>
      <c r="D555" s="7"/>
      <c r="E555" s="7"/>
      <c r="F555" s="7"/>
      <c r="G555" s="49"/>
      <c r="H555" s="49"/>
      <c r="I555" s="165"/>
      <c r="J555" s="82"/>
      <c r="K555" s="7"/>
      <c r="L555" s="10"/>
      <c r="M555" s="7"/>
      <c r="N555" s="83"/>
      <c r="O555" s="84"/>
      <c r="P555" s="7"/>
      <c r="Q555" s="7"/>
      <c r="R555" s="11"/>
      <c r="S555" s="7"/>
      <c r="T555" s="7"/>
      <c r="U555" s="7"/>
      <c r="V555" s="14"/>
      <c r="W555" s="212"/>
      <c r="X555" s="7"/>
      <c r="Y555" s="14"/>
      <c r="Z555" s="213"/>
      <c r="AA555" s="7"/>
      <c r="AB555" s="109"/>
      <c r="AC555" s="21"/>
      <c r="AD555" s="21"/>
      <c r="AE555" s="21"/>
      <c r="AF555" s="8"/>
      <c r="AG555" s="8"/>
      <c r="AH555" s="72"/>
      <c r="AI555" s="8"/>
      <c r="AJ555" s="21"/>
      <c r="AK555" s="258"/>
      <c r="AL555" s="81"/>
      <c r="AM555" s="81"/>
      <c r="AN555" s="81"/>
      <c r="AO555" s="81"/>
      <c r="AP555" s="81"/>
      <c r="AQ555" s="81"/>
      <c r="AR555" s="81"/>
      <c r="AS555" s="81"/>
      <c r="AT555" s="81"/>
    </row>
    <row r="556" ht="22.5" customHeight="1">
      <c r="A556" s="7"/>
      <c r="B556" s="7"/>
      <c r="C556" s="7"/>
      <c r="D556" s="7"/>
      <c r="E556" s="7"/>
      <c r="F556" s="7"/>
      <c r="G556" s="49"/>
      <c r="H556" s="49"/>
      <c r="I556" s="165"/>
      <c r="J556" s="82"/>
      <c r="K556" s="7"/>
      <c r="L556" s="10"/>
      <c r="M556" s="7"/>
      <c r="N556" s="83"/>
      <c r="O556" s="84"/>
      <c r="P556" s="7"/>
      <c r="Q556" s="7"/>
      <c r="R556" s="11"/>
      <c r="S556" s="7"/>
      <c r="T556" s="7"/>
      <c r="U556" s="7"/>
      <c r="V556" s="14"/>
      <c r="W556" s="212"/>
      <c r="X556" s="7"/>
      <c r="Y556" s="14"/>
      <c r="Z556" s="213"/>
      <c r="AA556" s="7"/>
      <c r="AB556" s="109"/>
      <c r="AC556" s="21"/>
      <c r="AD556" s="21"/>
      <c r="AE556" s="21"/>
      <c r="AF556" s="8"/>
      <c r="AG556" s="8"/>
      <c r="AH556" s="72"/>
      <c r="AI556" s="8"/>
      <c r="AJ556" s="21"/>
      <c r="AK556" s="259"/>
      <c r="AL556" s="81"/>
      <c r="AM556" s="81"/>
      <c r="AN556" s="81"/>
      <c r="AO556" s="81"/>
      <c r="AP556" s="81"/>
      <c r="AQ556" s="81"/>
      <c r="AR556" s="81"/>
      <c r="AS556" s="81"/>
      <c r="AT556" s="81"/>
    </row>
    <row r="557" ht="22.5" customHeight="1">
      <c r="A557" s="7"/>
      <c r="B557" s="7"/>
      <c r="C557" s="7"/>
      <c r="D557" s="7"/>
      <c r="E557" s="7"/>
      <c r="F557" s="7"/>
      <c r="G557" s="49"/>
      <c r="H557" s="49"/>
      <c r="I557" s="165"/>
      <c r="J557" s="108"/>
      <c r="K557" s="7"/>
      <c r="L557" s="10"/>
      <c r="M557" s="7"/>
      <c r="N557" s="83"/>
      <c r="O557" s="210"/>
      <c r="P557" s="7"/>
      <c r="Q557" s="7"/>
      <c r="R557" s="11"/>
      <c r="S557" s="7"/>
      <c r="T557" s="7"/>
      <c r="U557" s="7"/>
      <c r="V557" s="14"/>
      <c r="W557" s="212"/>
      <c r="X557" s="7"/>
      <c r="Y557" s="14"/>
      <c r="Z557" s="213"/>
      <c r="AA557" s="7"/>
      <c r="AB557" s="7"/>
      <c r="AC557" s="21"/>
      <c r="AD557" s="21"/>
      <c r="AE557" s="21"/>
      <c r="AF557" s="8"/>
      <c r="AG557" s="8"/>
      <c r="AH557" s="72"/>
      <c r="AI557" s="8"/>
      <c r="AJ557" s="21"/>
      <c r="AK557" s="21"/>
      <c r="AL557" s="81"/>
      <c r="AM557" s="81"/>
      <c r="AN557" s="81"/>
      <c r="AO557" s="81"/>
      <c r="AP557" s="81"/>
      <c r="AQ557" s="81"/>
      <c r="AR557" s="81"/>
      <c r="AS557" s="81"/>
      <c r="AT557" s="81"/>
    </row>
    <row r="558" ht="22.5" customHeight="1">
      <c r="A558" s="7"/>
      <c r="B558" s="1"/>
      <c r="C558" s="7"/>
      <c r="D558" s="7"/>
      <c r="E558" s="7"/>
      <c r="F558" s="7"/>
      <c r="G558" s="49"/>
      <c r="H558" s="49"/>
      <c r="I558" s="165"/>
      <c r="J558" s="108"/>
      <c r="K558" s="7"/>
      <c r="L558" s="10"/>
      <c r="M558" s="7"/>
      <c r="N558" s="83"/>
      <c r="O558" s="210"/>
      <c r="P558" s="7"/>
      <c r="Q558" s="7"/>
      <c r="R558" s="11"/>
      <c r="S558" s="7"/>
      <c r="T558" s="7"/>
      <c r="U558" s="7"/>
      <c r="V558" s="14"/>
      <c r="W558" s="212"/>
      <c r="X558" s="7"/>
      <c r="Y558" s="14"/>
      <c r="Z558" s="213"/>
      <c r="AA558" s="7"/>
      <c r="AB558" s="109"/>
      <c r="AC558" s="21"/>
      <c r="AD558" s="21"/>
      <c r="AE558" s="21"/>
      <c r="AF558" s="8"/>
      <c r="AG558" s="8"/>
      <c r="AH558" s="72"/>
      <c r="AI558" s="8"/>
      <c r="AJ558" s="21"/>
      <c r="AK558" s="21"/>
      <c r="AL558" s="81"/>
      <c r="AM558" s="81"/>
      <c r="AN558" s="81"/>
      <c r="AO558" s="81"/>
      <c r="AP558" s="81"/>
      <c r="AQ558" s="81"/>
      <c r="AR558" s="81"/>
      <c r="AS558" s="81"/>
      <c r="AT558" s="81"/>
    </row>
    <row r="559" ht="22.5" customHeight="1">
      <c r="A559" s="7"/>
      <c r="B559" s="7"/>
      <c r="C559" s="7"/>
      <c r="D559" s="7"/>
      <c r="E559" s="7"/>
      <c r="F559" s="7"/>
      <c r="G559" s="49"/>
      <c r="H559" s="49"/>
      <c r="I559" s="51"/>
      <c r="J559" s="82"/>
      <c r="K559" s="7"/>
      <c r="L559" s="10"/>
      <c r="M559" s="7"/>
      <c r="N559" s="83"/>
      <c r="O559" s="84"/>
      <c r="P559" s="7"/>
      <c r="Q559" s="7"/>
      <c r="R559" s="78"/>
      <c r="S559" s="7"/>
      <c r="T559" s="7"/>
      <c r="U559" s="7"/>
      <c r="V559" s="14"/>
      <c r="W559" s="59"/>
      <c r="X559" s="14"/>
      <c r="Y559" s="14"/>
      <c r="Z559" s="43"/>
      <c r="AA559" s="14"/>
      <c r="AB559" s="14"/>
      <c r="AC559" s="8"/>
      <c r="AD559" s="8"/>
      <c r="AE559" s="8"/>
      <c r="AF559" s="8"/>
      <c r="AG559" s="8"/>
      <c r="AH559" s="72"/>
      <c r="AI559" s="8"/>
      <c r="AJ559" s="21"/>
      <c r="AK559" s="124"/>
      <c r="AL559" s="81"/>
      <c r="AM559" s="81"/>
      <c r="AN559" s="81"/>
      <c r="AO559" s="81"/>
      <c r="AP559" s="81"/>
      <c r="AQ559" s="81"/>
      <c r="AR559" s="81"/>
      <c r="AS559" s="81"/>
      <c r="AT559" s="81"/>
    </row>
    <row r="560" ht="22.5" customHeight="1">
      <c r="A560" s="227"/>
      <c r="B560" s="1"/>
      <c r="C560" s="7"/>
      <c r="D560" s="7"/>
      <c r="E560" s="7"/>
      <c r="F560" s="7"/>
      <c r="G560" s="49"/>
      <c r="H560" s="49"/>
      <c r="I560" s="165"/>
      <c r="J560" s="108"/>
      <c r="K560" s="7"/>
      <c r="L560" s="10"/>
      <c r="M560" s="7"/>
      <c r="N560" s="83"/>
      <c r="O560" s="210"/>
      <c r="P560" s="7"/>
      <c r="Q560" s="7"/>
      <c r="R560" s="11"/>
      <c r="S560" s="7"/>
      <c r="T560" s="7"/>
      <c r="U560" s="7"/>
      <c r="V560" s="14"/>
      <c r="W560" s="217"/>
      <c r="X560" s="7"/>
      <c r="Y560" s="14"/>
      <c r="Z560" s="213"/>
      <c r="AA560" s="7"/>
      <c r="AB560" s="109"/>
      <c r="AC560" s="21"/>
      <c r="AD560" s="21"/>
      <c r="AE560" s="21"/>
      <c r="AF560" s="8"/>
      <c r="AG560" s="8"/>
      <c r="AH560" s="72"/>
      <c r="AI560" s="8"/>
      <c r="AJ560" s="21"/>
      <c r="AK560" s="21"/>
      <c r="AL560" s="81"/>
      <c r="AM560" s="81"/>
      <c r="AN560" s="81"/>
      <c r="AO560" s="81"/>
      <c r="AP560" s="81"/>
      <c r="AQ560" s="81"/>
      <c r="AR560" s="81"/>
      <c r="AS560" s="81"/>
      <c r="AT560" s="81"/>
    </row>
    <row r="561" ht="22.5" customHeight="1">
      <c r="A561" s="87"/>
      <c r="B561" s="87"/>
      <c r="C561" s="87"/>
      <c r="D561" s="87"/>
      <c r="E561" s="87"/>
      <c r="F561" s="87"/>
      <c r="G561" s="116"/>
      <c r="H561" s="116"/>
      <c r="I561" s="89"/>
      <c r="J561" s="90"/>
      <c r="K561" s="87"/>
      <c r="L561" s="94"/>
      <c r="M561" s="87"/>
      <c r="N561" s="134"/>
      <c r="O561" s="135"/>
      <c r="P561" s="136"/>
      <c r="Q561" s="87"/>
      <c r="R561" s="87"/>
      <c r="S561" s="87"/>
      <c r="T561" s="87"/>
      <c r="U561" s="87"/>
      <c r="V561" s="97"/>
      <c r="W561" s="98"/>
      <c r="X561" s="99"/>
      <c r="Y561" s="99"/>
      <c r="Z561" s="119"/>
      <c r="AA561" s="99"/>
      <c r="AB561" s="99"/>
      <c r="AC561" s="101"/>
      <c r="AD561" s="101"/>
      <c r="AE561" s="101"/>
      <c r="AF561" s="101"/>
      <c r="AG561" s="101"/>
      <c r="AH561" s="102"/>
      <c r="AI561" s="101"/>
      <c r="AJ561" s="103"/>
      <c r="AK561" s="137"/>
      <c r="AL561" s="105"/>
      <c r="AM561" s="105"/>
      <c r="AN561" s="105"/>
      <c r="AO561" s="105"/>
      <c r="AP561" s="105"/>
      <c r="AQ561" s="105"/>
      <c r="AR561" s="105"/>
      <c r="AS561" s="105"/>
      <c r="AT561" s="105"/>
    </row>
    <row r="562" ht="22.5" customHeight="1">
      <c r="A562" s="7"/>
      <c r="B562" s="1"/>
      <c r="C562" s="106"/>
      <c r="D562" s="7"/>
      <c r="E562" s="7"/>
      <c r="F562" s="7"/>
      <c r="G562" s="49"/>
      <c r="H562" s="49"/>
      <c r="I562" s="165"/>
      <c r="J562" s="108"/>
      <c r="K562" s="7"/>
      <c r="L562" s="10"/>
      <c r="M562" s="7"/>
      <c r="N562" s="83"/>
      <c r="O562" s="210"/>
      <c r="P562" s="7"/>
      <c r="Q562" s="7"/>
      <c r="R562" s="11"/>
      <c r="S562" s="7"/>
      <c r="T562" s="7"/>
      <c r="U562" s="7"/>
      <c r="V562" s="14"/>
      <c r="W562" s="212"/>
      <c r="X562" s="7"/>
      <c r="Y562" s="14"/>
      <c r="Z562" s="213"/>
      <c r="AA562" s="7"/>
      <c r="AB562" s="7"/>
      <c r="AC562" s="21"/>
      <c r="AD562" s="21"/>
      <c r="AE562" s="21"/>
      <c r="AF562" s="8"/>
      <c r="AG562" s="8"/>
      <c r="AH562" s="72"/>
      <c r="AI562" s="8"/>
      <c r="AJ562" s="21"/>
      <c r="AK562" s="21"/>
      <c r="AL562" s="81"/>
      <c r="AM562" s="81"/>
      <c r="AN562" s="81"/>
      <c r="AO562" s="81"/>
      <c r="AP562" s="81"/>
      <c r="AQ562" s="81"/>
      <c r="AR562" s="81"/>
      <c r="AS562" s="81"/>
      <c r="AT562" s="81"/>
    </row>
    <row r="563" ht="22.5" customHeight="1">
      <c r="A563" s="7"/>
      <c r="B563" s="1"/>
      <c r="C563" s="7"/>
      <c r="D563" s="7"/>
      <c r="E563" s="7"/>
      <c r="F563" s="7"/>
      <c r="G563" s="49"/>
      <c r="H563" s="49"/>
      <c r="I563" s="165"/>
      <c r="J563" s="82"/>
      <c r="K563" s="7"/>
      <c r="L563" s="10"/>
      <c r="M563" s="7"/>
      <c r="N563" s="83"/>
      <c r="O563" s="84"/>
      <c r="P563" s="7"/>
      <c r="Q563" s="7"/>
      <c r="R563" s="11"/>
      <c r="S563" s="7"/>
      <c r="T563" s="7"/>
      <c r="U563" s="7"/>
      <c r="V563" s="14"/>
      <c r="W563" s="212"/>
      <c r="X563" s="7"/>
      <c r="Y563" s="14"/>
      <c r="Z563" s="213"/>
      <c r="AA563" s="7"/>
      <c r="AB563" s="109"/>
      <c r="AC563" s="21"/>
      <c r="AD563" s="21"/>
      <c r="AE563" s="21"/>
      <c r="AF563" s="8"/>
      <c r="AG563" s="8"/>
      <c r="AH563" s="72"/>
      <c r="AI563" s="8"/>
      <c r="AJ563" s="21"/>
      <c r="AK563" s="86"/>
      <c r="AL563" s="81"/>
      <c r="AM563" s="81"/>
      <c r="AN563" s="81"/>
      <c r="AO563" s="81"/>
      <c r="AP563" s="81"/>
      <c r="AQ563" s="81"/>
      <c r="AR563" s="81"/>
      <c r="AS563" s="81"/>
      <c r="AT563" s="81"/>
    </row>
    <row r="564" ht="22.5" customHeight="1">
      <c r="A564" s="7"/>
      <c r="B564" s="7"/>
      <c r="C564" s="7"/>
      <c r="D564" s="7"/>
      <c r="E564" s="7"/>
      <c r="F564" s="7"/>
      <c r="G564" s="49"/>
      <c r="H564" s="49"/>
      <c r="I564" s="165"/>
      <c r="J564" s="108"/>
      <c r="K564" s="7"/>
      <c r="L564" s="10"/>
      <c r="M564" s="7"/>
      <c r="N564" s="83"/>
      <c r="O564" s="210"/>
      <c r="P564" s="7"/>
      <c r="Q564" s="7"/>
      <c r="R564" s="11"/>
      <c r="S564" s="7"/>
      <c r="T564" s="7"/>
      <c r="U564" s="7"/>
      <c r="V564" s="14"/>
      <c r="W564" s="212"/>
      <c r="X564" s="7"/>
      <c r="Y564" s="14"/>
      <c r="Z564" s="213"/>
      <c r="AA564" s="7"/>
      <c r="AB564" s="7"/>
      <c r="AC564" s="21"/>
      <c r="AD564" s="21"/>
      <c r="AE564" s="21"/>
      <c r="AF564" s="8"/>
      <c r="AG564" s="8"/>
      <c r="AH564" s="72"/>
      <c r="AI564" s="8"/>
      <c r="AJ564" s="21"/>
      <c r="AK564" s="21"/>
      <c r="AL564" s="81"/>
      <c r="AM564" s="81"/>
      <c r="AN564" s="81"/>
      <c r="AO564" s="81"/>
      <c r="AP564" s="81"/>
      <c r="AQ564" s="81"/>
      <c r="AR564" s="81"/>
      <c r="AS564" s="81"/>
      <c r="AT564" s="81"/>
    </row>
    <row r="565" ht="22.5" customHeight="1">
      <c r="A565" s="7"/>
      <c r="B565" s="7"/>
      <c r="C565" s="7"/>
      <c r="D565" s="7"/>
      <c r="E565" s="7"/>
      <c r="F565" s="7"/>
      <c r="G565" s="49"/>
      <c r="H565" s="49"/>
      <c r="I565" s="165"/>
      <c r="J565" s="108"/>
      <c r="K565" s="7"/>
      <c r="L565" s="10"/>
      <c r="M565" s="7"/>
      <c r="N565" s="83"/>
      <c r="O565" s="210"/>
      <c r="P565" s="7"/>
      <c r="Q565" s="7"/>
      <c r="R565" s="11"/>
      <c r="S565" s="7"/>
      <c r="T565" s="7"/>
      <c r="U565" s="7"/>
      <c r="V565" s="14"/>
      <c r="W565" s="217"/>
      <c r="X565" s="7"/>
      <c r="Y565" s="14"/>
      <c r="Z565" s="213"/>
      <c r="AA565" s="7"/>
      <c r="AB565" s="109"/>
      <c r="AC565" s="21"/>
      <c r="AD565" s="21"/>
      <c r="AE565" s="21"/>
      <c r="AF565" s="8"/>
      <c r="AG565" s="8"/>
      <c r="AH565" s="72"/>
      <c r="AI565" s="8"/>
      <c r="AJ565" s="21"/>
      <c r="AK565" s="21"/>
      <c r="AL565" s="81"/>
      <c r="AM565" s="81"/>
      <c r="AN565" s="81"/>
      <c r="AO565" s="81"/>
      <c r="AP565" s="81"/>
      <c r="AQ565" s="81"/>
      <c r="AR565" s="81"/>
      <c r="AS565" s="81"/>
      <c r="AT565" s="81"/>
    </row>
    <row r="566" ht="22.5" customHeight="1">
      <c r="A566" s="7"/>
      <c r="B566" s="1"/>
      <c r="C566" s="7"/>
      <c r="D566" s="7"/>
      <c r="E566" s="7"/>
      <c r="F566" s="7"/>
      <c r="G566" s="49"/>
      <c r="H566" s="49"/>
      <c r="I566" s="51"/>
      <c r="J566" s="82"/>
      <c r="K566" s="7"/>
      <c r="L566" s="10"/>
      <c r="M566" s="7"/>
      <c r="N566" s="83"/>
      <c r="O566" s="84"/>
      <c r="P566" s="14"/>
      <c r="Q566" s="7"/>
      <c r="R566" s="11"/>
      <c r="S566" s="7"/>
      <c r="T566" s="7"/>
      <c r="U566" s="7"/>
      <c r="V566" s="14"/>
      <c r="W566" s="29"/>
      <c r="X566" s="14"/>
      <c r="Y566" s="14"/>
      <c r="Z566" s="213"/>
      <c r="AA566" s="14"/>
      <c r="AB566" s="109"/>
      <c r="AC566" s="21"/>
      <c r="AD566" s="21"/>
      <c r="AE566" s="21"/>
      <c r="AF566" s="8"/>
      <c r="AG566" s="8"/>
      <c r="AH566" s="72"/>
      <c r="AI566" s="8"/>
      <c r="AJ566" s="21"/>
      <c r="AK566" s="124"/>
      <c r="AL566" s="81"/>
      <c r="AM566" s="81"/>
      <c r="AN566" s="81"/>
      <c r="AO566" s="81"/>
      <c r="AP566" s="81"/>
      <c r="AQ566" s="81"/>
      <c r="AR566" s="81"/>
      <c r="AS566" s="81"/>
      <c r="AT566" s="81"/>
    </row>
    <row r="567" ht="22.5" customHeight="1">
      <c r="A567" s="7"/>
      <c r="B567" s="7"/>
      <c r="C567" s="7"/>
      <c r="D567" s="7"/>
      <c r="E567" s="7"/>
      <c r="F567" s="7"/>
      <c r="G567" s="49"/>
      <c r="H567" s="49"/>
      <c r="I567" s="165"/>
      <c r="J567" s="108"/>
      <c r="K567" s="7"/>
      <c r="L567" s="10"/>
      <c r="M567" s="7"/>
      <c r="N567" s="83"/>
      <c r="O567" s="210"/>
      <c r="P567" s="7"/>
      <c r="Q567" s="7"/>
      <c r="R567" s="11"/>
      <c r="S567" s="7"/>
      <c r="T567" s="7"/>
      <c r="U567" s="7"/>
      <c r="V567" s="14"/>
      <c r="W567" s="212"/>
      <c r="X567" s="7"/>
      <c r="Y567" s="14"/>
      <c r="Z567" s="213"/>
      <c r="AA567" s="7"/>
      <c r="AB567" s="109"/>
      <c r="AC567" s="21"/>
      <c r="AD567" s="21"/>
      <c r="AE567" s="21"/>
      <c r="AF567" s="8"/>
      <c r="AG567" s="8"/>
      <c r="AH567" s="72"/>
      <c r="AI567" s="8"/>
      <c r="AJ567" s="21"/>
      <c r="AK567" s="21"/>
      <c r="AL567" s="81"/>
      <c r="AM567" s="81"/>
      <c r="AN567" s="81"/>
      <c r="AO567" s="81"/>
      <c r="AP567" s="81"/>
      <c r="AQ567" s="81"/>
      <c r="AR567" s="81"/>
      <c r="AS567" s="81"/>
      <c r="AT567" s="81"/>
    </row>
    <row r="568" ht="22.5" customHeight="1">
      <c r="A568" s="7"/>
      <c r="B568" s="7"/>
      <c r="C568" s="7"/>
      <c r="D568" s="7"/>
      <c r="E568" s="7"/>
      <c r="F568" s="7"/>
      <c r="G568" s="49"/>
      <c r="H568" s="49"/>
      <c r="I568" s="165"/>
      <c r="J568" s="108"/>
      <c r="K568" s="7"/>
      <c r="L568" s="10"/>
      <c r="M568" s="7"/>
      <c r="N568" s="83"/>
      <c r="O568" s="210"/>
      <c r="P568" s="7"/>
      <c r="Q568" s="7"/>
      <c r="R568" s="11"/>
      <c r="S568" s="7"/>
      <c r="T568" s="7"/>
      <c r="U568" s="7"/>
      <c r="V568" s="14"/>
      <c r="W568" s="212"/>
      <c r="X568" s="7"/>
      <c r="Y568" s="14"/>
      <c r="Z568" s="213"/>
      <c r="AA568" s="7"/>
      <c r="AB568" s="7"/>
      <c r="AC568" s="21"/>
      <c r="AD568" s="21"/>
      <c r="AE568" s="21"/>
      <c r="AF568" s="8"/>
      <c r="AG568" s="8"/>
      <c r="AH568" s="72"/>
      <c r="AI568" s="8"/>
      <c r="AJ568" s="21"/>
      <c r="AK568" s="21"/>
      <c r="AL568" s="81"/>
      <c r="AM568" s="81"/>
      <c r="AN568" s="81"/>
      <c r="AO568" s="81"/>
      <c r="AP568" s="81"/>
      <c r="AQ568" s="81"/>
      <c r="AR568" s="81"/>
      <c r="AS568" s="81"/>
      <c r="AT568" s="81"/>
    </row>
    <row r="569" ht="22.5" customHeight="1">
      <c r="A569" s="7"/>
      <c r="B569" s="7"/>
      <c r="C569" s="7"/>
      <c r="D569" s="7"/>
      <c r="E569" s="7"/>
      <c r="F569" s="7"/>
      <c r="G569" s="49"/>
      <c r="H569" s="49"/>
      <c r="I569" s="165"/>
      <c r="J569" s="108"/>
      <c r="K569" s="7"/>
      <c r="L569" s="10"/>
      <c r="M569" s="7"/>
      <c r="N569" s="83"/>
      <c r="O569" s="210"/>
      <c r="P569" s="7"/>
      <c r="Q569" s="7"/>
      <c r="R569" s="11"/>
      <c r="S569" s="7"/>
      <c r="T569" s="7"/>
      <c r="U569" s="7"/>
      <c r="V569" s="14"/>
      <c r="W569" s="217"/>
      <c r="X569" s="7"/>
      <c r="Y569" s="14"/>
      <c r="Z569" s="213"/>
      <c r="AA569" s="7"/>
      <c r="AB569" s="109"/>
      <c r="AC569" s="21"/>
      <c r="AD569" s="21"/>
      <c r="AE569" s="21"/>
      <c r="AF569" s="8"/>
      <c r="AG569" s="8"/>
      <c r="AH569" s="72"/>
      <c r="AI569" s="8"/>
      <c r="AJ569" s="21"/>
      <c r="AK569" s="21"/>
      <c r="AL569" s="81"/>
      <c r="AM569" s="81"/>
      <c r="AN569" s="81"/>
      <c r="AO569" s="81"/>
      <c r="AP569" s="81"/>
      <c r="AQ569" s="81"/>
      <c r="AR569" s="81"/>
      <c r="AS569" s="81"/>
      <c r="AT569" s="81"/>
    </row>
    <row r="570" ht="22.5" customHeight="1">
      <c r="A570" s="7"/>
      <c r="B570" s="7"/>
      <c r="C570" s="7"/>
      <c r="D570" s="7"/>
      <c r="E570" s="7"/>
      <c r="F570" s="7"/>
      <c r="G570" s="49"/>
      <c r="H570" s="49"/>
      <c r="I570" s="165"/>
      <c r="J570" s="108"/>
      <c r="K570" s="7"/>
      <c r="L570" s="10"/>
      <c r="M570" s="7"/>
      <c r="N570" s="257"/>
      <c r="O570" s="210"/>
      <c r="P570" s="7"/>
      <c r="Q570" s="7"/>
      <c r="R570" s="11"/>
      <c r="S570" s="7"/>
      <c r="T570" s="7"/>
      <c r="U570" s="7"/>
      <c r="V570" s="14"/>
      <c r="W570" s="212"/>
      <c r="X570" s="7"/>
      <c r="Y570" s="14"/>
      <c r="Z570" s="213"/>
      <c r="AA570" s="7"/>
      <c r="AB570" s="109"/>
      <c r="AC570" s="21"/>
      <c r="AD570" s="21"/>
      <c r="AE570" s="21"/>
      <c r="AF570" s="8"/>
      <c r="AG570" s="8"/>
      <c r="AH570" s="72"/>
      <c r="AI570" s="8"/>
      <c r="AJ570" s="21"/>
      <c r="AK570" s="21"/>
      <c r="AL570" s="81"/>
      <c r="AM570" s="81"/>
      <c r="AN570" s="81"/>
      <c r="AO570" s="81"/>
      <c r="AP570" s="81"/>
      <c r="AQ570" s="81"/>
      <c r="AR570" s="81"/>
      <c r="AS570" s="81"/>
      <c r="AT570" s="81"/>
    </row>
    <row r="571" ht="22.5" customHeight="1">
      <c r="A571" s="7"/>
      <c r="B571" s="7"/>
      <c r="C571" s="7"/>
      <c r="D571" s="7"/>
      <c r="E571" s="7"/>
      <c r="F571" s="7"/>
      <c r="G571" s="49"/>
      <c r="H571" s="49"/>
      <c r="I571" s="51"/>
      <c r="J571" s="82"/>
      <c r="K571" s="7"/>
      <c r="L571" s="10"/>
      <c r="M571" s="7"/>
      <c r="N571" s="7"/>
      <c r="O571" s="84"/>
      <c r="P571" s="14"/>
      <c r="Q571" s="7"/>
      <c r="R571" s="78"/>
      <c r="S571" s="7"/>
      <c r="T571" s="7"/>
      <c r="U571" s="7"/>
      <c r="V571" s="14"/>
      <c r="W571" s="13"/>
      <c r="X571" s="14"/>
      <c r="Y571" s="14"/>
      <c r="Z571" s="43"/>
      <c r="AA571" s="14"/>
      <c r="AB571" s="14"/>
      <c r="AC571" s="8"/>
      <c r="AD571" s="8"/>
      <c r="AE571" s="8"/>
      <c r="AF571" s="8"/>
      <c r="AG571" s="8"/>
      <c r="AH571" s="72"/>
      <c r="AI571" s="8"/>
      <c r="AJ571" s="21"/>
      <c r="AK571" s="124"/>
      <c r="AL571" s="81"/>
      <c r="AM571" s="81"/>
      <c r="AN571" s="81"/>
      <c r="AO571" s="81"/>
      <c r="AP571" s="81"/>
      <c r="AQ571" s="81"/>
      <c r="AR571" s="81"/>
      <c r="AS571" s="81"/>
      <c r="AT571" s="81"/>
    </row>
    <row r="572" ht="22.5" customHeight="1">
      <c r="A572" s="7"/>
      <c r="B572" s="7"/>
      <c r="C572" s="7"/>
      <c r="D572" s="7"/>
      <c r="E572" s="7"/>
      <c r="F572" s="7"/>
      <c r="G572" s="49"/>
      <c r="H572" s="49"/>
      <c r="I572" s="51"/>
      <c r="J572" s="82"/>
      <c r="K572" s="7"/>
      <c r="L572" s="10"/>
      <c r="M572" s="7"/>
      <c r="N572" s="7"/>
      <c r="O572" s="84"/>
      <c r="P572" s="14"/>
      <c r="Q572" s="7"/>
      <c r="R572" s="78"/>
      <c r="S572" s="7"/>
      <c r="T572" s="7"/>
      <c r="U572" s="7"/>
      <c r="V572" s="14"/>
      <c r="W572" s="13"/>
      <c r="X572" s="14"/>
      <c r="Y572" s="14"/>
      <c r="Z572" s="43"/>
      <c r="AA572" s="14"/>
      <c r="AB572" s="14"/>
      <c r="AC572" s="8"/>
      <c r="AD572" s="8"/>
      <c r="AE572" s="8"/>
      <c r="AF572" s="8"/>
      <c r="AG572" s="8"/>
      <c r="AH572" s="72"/>
      <c r="AI572" s="8"/>
      <c r="AJ572" s="21"/>
      <c r="AK572" s="124"/>
      <c r="AL572" s="81"/>
      <c r="AM572" s="81"/>
      <c r="AN572" s="81"/>
      <c r="AO572" s="81"/>
      <c r="AP572" s="81"/>
      <c r="AQ572" s="81"/>
      <c r="AR572" s="81"/>
      <c r="AS572" s="81"/>
      <c r="AT572" s="81"/>
    </row>
    <row r="573" ht="22.5" customHeight="1">
      <c r="A573" s="7"/>
      <c r="B573" s="7"/>
      <c r="C573" s="7"/>
      <c r="D573" s="7"/>
      <c r="E573" s="7"/>
      <c r="F573" s="7"/>
      <c r="G573" s="49"/>
      <c r="H573" s="49"/>
      <c r="I573" s="165"/>
      <c r="J573" s="82"/>
      <c r="K573" s="7"/>
      <c r="L573" s="10"/>
      <c r="M573" s="7"/>
      <c r="N573" s="227"/>
      <c r="O573" s="210"/>
      <c r="P573" s="7"/>
      <c r="Q573" s="7"/>
      <c r="R573" s="11"/>
      <c r="S573" s="7"/>
      <c r="T573" s="7"/>
      <c r="U573" s="7"/>
      <c r="V573" s="14"/>
      <c r="W573" s="212"/>
      <c r="X573" s="7"/>
      <c r="Y573" s="14"/>
      <c r="Z573" s="213"/>
      <c r="AA573" s="7"/>
      <c r="AB573" s="109"/>
      <c r="AC573" s="21"/>
      <c r="AD573" s="21"/>
      <c r="AE573" s="21"/>
      <c r="AF573" s="8"/>
      <c r="AG573" s="8"/>
      <c r="AH573" s="72"/>
      <c r="AI573" s="8"/>
      <c r="AJ573" s="21"/>
      <c r="AK573" s="21"/>
      <c r="AL573" s="81"/>
      <c r="AM573" s="81"/>
      <c r="AN573" s="81"/>
      <c r="AO573" s="81"/>
      <c r="AP573" s="81"/>
      <c r="AQ573" s="81"/>
      <c r="AR573" s="81"/>
      <c r="AS573" s="81"/>
      <c r="AT573" s="81"/>
    </row>
    <row r="574" ht="22.5" customHeight="1">
      <c r="A574" s="7"/>
      <c r="B574" s="7"/>
      <c r="C574" s="7"/>
      <c r="D574" s="7"/>
      <c r="E574" s="7"/>
      <c r="F574" s="7"/>
      <c r="G574" s="49"/>
      <c r="H574" s="49"/>
      <c r="I574" s="165"/>
      <c r="J574" s="82"/>
      <c r="K574" s="7"/>
      <c r="L574" s="10"/>
      <c r="M574" s="7"/>
      <c r="N574" s="7"/>
      <c r="O574" s="84"/>
      <c r="P574" s="7"/>
      <c r="Q574" s="7"/>
      <c r="R574" s="11"/>
      <c r="S574" s="7"/>
      <c r="T574" s="7"/>
      <c r="U574" s="7"/>
      <c r="V574" s="14"/>
      <c r="W574" s="212"/>
      <c r="X574" s="7"/>
      <c r="Y574" s="14"/>
      <c r="Z574" s="213"/>
      <c r="AA574" s="7"/>
      <c r="AB574" s="109"/>
      <c r="AC574" s="21"/>
      <c r="AD574" s="21"/>
      <c r="AE574" s="21"/>
      <c r="AF574" s="8"/>
      <c r="AG574" s="8"/>
      <c r="AH574" s="72"/>
      <c r="AI574" s="8"/>
      <c r="AJ574" s="21"/>
      <c r="AK574" s="86"/>
      <c r="AL574" s="81"/>
      <c r="AM574" s="81"/>
      <c r="AN574" s="81"/>
      <c r="AO574" s="81"/>
      <c r="AP574" s="81"/>
      <c r="AQ574" s="81"/>
      <c r="AR574" s="81"/>
      <c r="AS574" s="81"/>
      <c r="AT574" s="81"/>
    </row>
    <row r="575" ht="22.5" customHeight="1">
      <c r="A575" s="7"/>
      <c r="B575" s="7"/>
      <c r="C575" s="7"/>
      <c r="D575" s="7"/>
      <c r="E575" s="7"/>
      <c r="F575" s="7"/>
      <c r="G575" s="49"/>
      <c r="H575" s="49"/>
      <c r="I575" s="165"/>
      <c r="J575" s="108"/>
      <c r="K575" s="7"/>
      <c r="L575" s="10"/>
      <c r="M575" s="7"/>
      <c r="N575" s="7"/>
      <c r="O575" s="210"/>
      <c r="P575" s="7"/>
      <c r="Q575" s="7"/>
      <c r="R575" s="11"/>
      <c r="S575" s="7"/>
      <c r="T575" s="7"/>
      <c r="U575" s="7"/>
      <c r="V575" s="14"/>
      <c r="W575" s="212"/>
      <c r="X575" s="7"/>
      <c r="Y575" s="14"/>
      <c r="Z575" s="213"/>
      <c r="AA575" s="7"/>
      <c r="AB575" s="7"/>
      <c r="AC575" s="21"/>
      <c r="AD575" s="21"/>
      <c r="AE575" s="21"/>
      <c r="AF575" s="8"/>
      <c r="AG575" s="8"/>
      <c r="AH575" s="72"/>
      <c r="AI575" s="8"/>
      <c r="AJ575" s="21"/>
      <c r="AK575" s="21"/>
      <c r="AL575" s="81"/>
      <c r="AM575" s="81"/>
      <c r="AN575" s="81"/>
      <c r="AO575" s="81"/>
      <c r="AP575" s="81"/>
      <c r="AQ575" s="81"/>
      <c r="AR575" s="81"/>
      <c r="AS575" s="81"/>
      <c r="AT575" s="81"/>
    </row>
    <row r="576" ht="22.5" customHeight="1">
      <c r="A576" s="7"/>
      <c r="B576" s="7"/>
      <c r="C576" s="7"/>
      <c r="D576" s="7"/>
      <c r="E576" s="7"/>
      <c r="F576" s="7"/>
      <c r="G576" s="49"/>
      <c r="H576" s="49"/>
      <c r="I576" s="165"/>
      <c r="J576" s="108"/>
      <c r="K576" s="7"/>
      <c r="L576" s="10"/>
      <c r="M576" s="7"/>
      <c r="N576" s="7"/>
      <c r="O576" s="210"/>
      <c r="P576" s="7"/>
      <c r="Q576" s="7"/>
      <c r="R576" s="11"/>
      <c r="S576" s="7"/>
      <c r="T576" s="7"/>
      <c r="U576" s="7"/>
      <c r="V576" s="14"/>
      <c r="W576" s="212"/>
      <c r="X576" s="7"/>
      <c r="Y576" s="14"/>
      <c r="Z576" s="213"/>
      <c r="AA576" s="7"/>
      <c r="AB576" s="109"/>
      <c r="AC576" s="21"/>
      <c r="AD576" s="21"/>
      <c r="AE576" s="21"/>
      <c r="AF576" s="8"/>
      <c r="AG576" s="8"/>
      <c r="AH576" s="72"/>
      <c r="AI576" s="8"/>
      <c r="AJ576" s="21"/>
      <c r="AK576" s="21"/>
      <c r="AL576" s="81"/>
      <c r="AM576" s="81"/>
      <c r="AN576" s="81"/>
      <c r="AO576" s="81"/>
      <c r="AP576" s="81"/>
      <c r="AQ576" s="81"/>
      <c r="AR576" s="81"/>
      <c r="AS576" s="81"/>
      <c r="AT576" s="81"/>
    </row>
    <row r="577" ht="22.5" customHeight="1">
      <c r="A577" s="7"/>
      <c r="B577" s="7"/>
      <c r="C577" s="7"/>
      <c r="D577" s="7"/>
      <c r="E577" s="7"/>
      <c r="F577" s="7"/>
      <c r="G577" s="49"/>
      <c r="H577" s="49"/>
      <c r="I577" s="51"/>
      <c r="J577" s="82"/>
      <c r="K577" s="7"/>
      <c r="L577" s="10"/>
      <c r="M577" s="7"/>
      <c r="N577" s="83"/>
      <c r="O577" s="84"/>
      <c r="P577" s="57"/>
      <c r="Q577" s="7"/>
      <c r="R577" s="11"/>
      <c r="S577" s="7"/>
      <c r="T577" s="7"/>
      <c r="U577" s="7"/>
      <c r="V577" s="27"/>
      <c r="W577" s="13"/>
      <c r="X577" s="14"/>
      <c r="Y577" s="14"/>
      <c r="Z577" s="43"/>
      <c r="AA577" s="14"/>
      <c r="AB577" s="14"/>
      <c r="AC577" s="8"/>
      <c r="AD577" s="8"/>
      <c r="AE577" s="8"/>
      <c r="AF577" s="8"/>
      <c r="AG577" s="8"/>
      <c r="AH577" s="72"/>
      <c r="AI577" s="8"/>
      <c r="AJ577" s="21"/>
      <c r="AK577" s="110"/>
      <c r="AL577" s="75"/>
      <c r="AM577" s="75"/>
      <c r="AN577" s="75"/>
      <c r="AO577" s="75"/>
      <c r="AP577" s="75"/>
      <c r="AQ577" s="75"/>
      <c r="AR577" s="75"/>
      <c r="AS577" s="75"/>
      <c r="AT577" s="75"/>
    </row>
    <row r="578" ht="22.5" customHeight="1">
      <c r="A578" s="7"/>
      <c r="B578" s="7"/>
      <c r="C578" s="7"/>
      <c r="D578" s="7"/>
      <c r="E578" s="7"/>
      <c r="F578" s="7"/>
      <c r="G578" s="49"/>
      <c r="H578" s="49"/>
      <c r="I578" s="165"/>
      <c r="J578" s="108"/>
      <c r="K578" s="7"/>
      <c r="L578" s="10"/>
      <c r="M578" s="7"/>
      <c r="N578" s="7"/>
      <c r="O578" s="210"/>
      <c r="P578" s="7"/>
      <c r="Q578" s="7"/>
      <c r="R578" s="11"/>
      <c r="S578" s="7"/>
      <c r="T578" s="7"/>
      <c r="U578" s="7"/>
      <c r="V578" s="14"/>
      <c r="W578" s="212"/>
      <c r="X578" s="7"/>
      <c r="Y578" s="14"/>
      <c r="Z578" s="213"/>
      <c r="AA578" s="7"/>
      <c r="AB578" s="109"/>
      <c r="AC578" s="21"/>
      <c r="AD578" s="21"/>
      <c r="AE578" s="21"/>
      <c r="AF578" s="8"/>
      <c r="AG578" s="8"/>
      <c r="AH578" s="72"/>
      <c r="AI578" s="8"/>
      <c r="AJ578" s="21"/>
      <c r="AK578" s="21"/>
      <c r="AL578" s="81"/>
      <c r="AM578" s="81"/>
      <c r="AN578" s="81"/>
      <c r="AO578" s="81"/>
      <c r="AP578" s="81"/>
      <c r="AQ578" s="81"/>
      <c r="AR578" s="81"/>
      <c r="AS578" s="81"/>
      <c r="AT578" s="81"/>
    </row>
    <row r="579" ht="22.5" customHeight="1">
      <c r="A579" s="7"/>
      <c r="B579" s="7"/>
      <c r="C579" s="7"/>
      <c r="D579" s="7"/>
      <c r="E579" s="7"/>
      <c r="F579" s="7"/>
      <c r="G579" s="7"/>
      <c r="H579" s="7"/>
      <c r="I579" s="21"/>
      <c r="J579" s="108"/>
      <c r="K579" s="7"/>
      <c r="L579" s="10"/>
      <c r="M579" s="7"/>
      <c r="N579" s="7"/>
      <c r="O579" s="210"/>
      <c r="P579" s="7"/>
      <c r="Q579" s="7"/>
      <c r="R579" s="11"/>
      <c r="S579" s="7"/>
      <c r="T579" s="7"/>
      <c r="U579" s="7"/>
      <c r="V579" s="14"/>
      <c r="W579" s="212"/>
      <c r="X579" s="7"/>
      <c r="Y579" s="14"/>
      <c r="Z579" s="213"/>
      <c r="AA579" s="7"/>
      <c r="AB579" s="109"/>
      <c r="AC579" s="21"/>
      <c r="AD579" s="21"/>
      <c r="AE579" s="21"/>
      <c r="AF579" s="8"/>
      <c r="AG579" s="8"/>
      <c r="AH579" s="72"/>
      <c r="AI579" s="8"/>
      <c r="AJ579" s="21"/>
      <c r="AK579" s="21"/>
      <c r="AL579" s="81"/>
      <c r="AM579" s="81"/>
      <c r="AN579" s="81"/>
      <c r="AO579" s="81"/>
      <c r="AP579" s="81"/>
      <c r="AQ579" s="81"/>
      <c r="AR579" s="81"/>
      <c r="AS579" s="81"/>
      <c r="AT579" s="81"/>
    </row>
    <row r="580" ht="22.5" customHeight="1">
      <c r="A580" s="7"/>
      <c r="B580" s="83"/>
      <c r="C580" s="7"/>
      <c r="D580" s="7"/>
      <c r="E580" s="7"/>
      <c r="F580" s="7"/>
      <c r="G580" s="7"/>
      <c r="H580" s="7"/>
      <c r="I580" s="21"/>
      <c r="J580" s="108"/>
      <c r="K580" s="7"/>
      <c r="L580" s="10"/>
      <c r="M580" s="7"/>
      <c r="N580" s="7"/>
      <c r="O580" s="210"/>
      <c r="P580" s="7"/>
      <c r="Q580" s="7"/>
      <c r="R580" s="11"/>
      <c r="S580" s="7"/>
      <c r="T580" s="7"/>
      <c r="U580" s="7"/>
      <c r="V580" s="14"/>
      <c r="W580" s="212"/>
      <c r="X580" s="7"/>
      <c r="Y580" s="14"/>
      <c r="Z580" s="213"/>
      <c r="AA580" s="7"/>
      <c r="AB580" s="109"/>
      <c r="AC580" s="21"/>
      <c r="AD580" s="21"/>
      <c r="AE580" s="21"/>
      <c r="AF580" s="8"/>
      <c r="AG580" s="8"/>
      <c r="AH580" s="72"/>
      <c r="AI580" s="8"/>
      <c r="AJ580" s="21"/>
      <c r="AK580" s="21"/>
      <c r="AL580" s="81"/>
      <c r="AM580" s="81"/>
      <c r="AN580" s="81"/>
      <c r="AO580" s="81"/>
      <c r="AP580" s="81"/>
      <c r="AQ580" s="81"/>
      <c r="AR580" s="81"/>
      <c r="AS580" s="81"/>
      <c r="AT580" s="81"/>
    </row>
    <row r="581" ht="22.5" customHeight="1">
      <c r="A581" s="7"/>
      <c r="B581" s="7"/>
      <c r="C581" s="7"/>
      <c r="D581" s="7"/>
      <c r="E581" s="7"/>
      <c r="F581" s="7"/>
      <c r="G581" s="49"/>
      <c r="H581" s="49"/>
      <c r="I581" s="165"/>
      <c r="J581" s="108"/>
      <c r="K581" s="7"/>
      <c r="L581" s="10"/>
      <c r="M581" s="7"/>
      <c r="N581" s="7"/>
      <c r="O581" s="210"/>
      <c r="P581" s="7"/>
      <c r="Q581" s="7"/>
      <c r="R581" s="11"/>
      <c r="S581" s="7"/>
      <c r="T581" s="7"/>
      <c r="U581" s="7"/>
      <c r="V581" s="14"/>
      <c r="W581" s="212"/>
      <c r="X581" s="7"/>
      <c r="Y581" s="14"/>
      <c r="Z581" s="213"/>
      <c r="AA581" s="7"/>
      <c r="AB581" s="109"/>
      <c r="AC581" s="21"/>
      <c r="AD581" s="21"/>
      <c r="AE581" s="21"/>
      <c r="AF581" s="8"/>
      <c r="AG581" s="8"/>
      <c r="AH581" s="72"/>
      <c r="AI581" s="8"/>
      <c r="AJ581" s="21"/>
      <c r="AK581" s="21"/>
      <c r="AL581" s="81"/>
      <c r="AM581" s="81"/>
      <c r="AN581" s="81"/>
      <c r="AO581" s="81"/>
      <c r="AP581" s="81"/>
      <c r="AQ581" s="81"/>
      <c r="AR581" s="81"/>
      <c r="AS581" s="81"/>
      <c r="AT581" s="81"/>
    </row>
    <row r="582" ht="22.5" customHeight="1">
      <c r="A582" s="7"/>
      <c r="B582" s="7"/>
      <c r="C582" s="7"/>
      <c r="D582" s="7"/>
      <c r="E582" s="7"/>
      <c r="F582" s="7"/>
      <c r="G582" s="49"/>
      <c r="H582" s="49"/>
      <c r="I582" s="51"/>
      <c r="J582" s="82"/>
      <c r="K582" s="7"/>
      <c r="L582" s="10"/>
      <c r="M582" s="7"/>
      <c r="N582" s="7"/>
      <c r="O582" s="84"/>
      <c r="P582" s="7"/>
      <c r="Q582" s="7"/>
      <c r="R582" s="78"/>
      <c r="S582" s="7"/>
      <c r="T582" s="7"/>
      <c r="U582" s="7"/>
      <c r="V582" s="27"/>
      <c r="W582" s="59"/>
      <c r="X582" s="14"/>
      <c r="Y582" s="14"/>
      <c r="Z582" s="43"/>
      <c r="AA582" s="14"/>
      <c r="AB582" s="14"/>
      <c r="AC582" s="8"/>
      <c r="AD582" s="8"/>
      <c r="AE582" s="8"/>
      <c r="AF582" s="8"/>
      <c r="AG582" s="8"/>
      <c r="AH582" s="72"/>
      <c r="AI582" s="8"/>
      <c r="AJ582" s="21"/>
      <c r="AK582" s="260"/>
      <c r="AL582" s="81"/>
      <c r="AM582" s="81"/>
      <c r="AN582" s="81"/>
      <c r="AO582" s="81"/>
      <c r="AP582" s="81"/>
      <c r="AQ582" s="81"/>
      <c r="AR582" s="81"/>
      <c r="AS582" s="81"/>
      <c r="AT582" s="81"/>
    </row>
    <row r="583" ht="22.5" customHeight="1">
      <c r="A583" s="7"/>
      <c r="B583" s="7"/>
      <c r="C583" s="7"/>
      <c r="D583" s="7"/>
      <c r="E583" s="7"/>
      <c r="F583" s="7"/>
      <c r="G583" s="49"/>
      <c r="H583" s="49"/>
      <c r="I583" s="165"/>
      <c r="J583" s="108"/>
      <c r="K583" s="7"/>
      <c r="L583" s="10"/>
      <c r="M583" s="7"/>
      <c r="N583" s="83"/>
      <c r="O583" s="210"/>
      <c r="P583" s="7"/>
      <c r="Q583" s="7"/>
      <c r="R583" s="11"/>
      <c r="S583" s="7"/>
      <c r="T583" s="7"/>
      <c r="U583" s="7"/>
      <c r="V583" s="14"/>
      <c r="W583" s="212"/>
      <c r="X583" s="7"/>
      <c r="Y583" s="14"/>
      <c r="Z583" s="213"/>
      <c r="AA583" s="7"/>
      <c r="AB583" s="109"/>
      <c r="AC583" s="21"/>
      <c r="AD583" s="21"/>
      <c r="AE583" s="21"/>
      <c r="AF583" s="8"/>
      <c r="AG583" s="8"/>
      <c r="AH583" s="72"/>
      <c r="AI583" s="8"/>
      <c r="AJ583" s="21"/>
      <c r="AK583" s="21"/>
      <c r="AL583" s="81"/>
      <c r="AM583" s="81"/>
      <c r="AN583" s="81"/>
      <c r="AO583" s="81"/>
      <c r="AP583" s="81"/>
      <c r="AQ583" s="81"/>
      <c r="AR583" s="81"/>
      <c r="AS583" s="81"/>
      <c r="AT583" s="81"/>
    </row>
    <row r="584" ht="22.5" customHeight="1">
      <c r="A584" s="240"/>
      <c r="B584" s="7"/>
      <c r="C584" s="7"/>
      <c r="D584" s="7"/>
      <c r="E584" s="7"/>
      <c r="F584" s="7"/>
      <c r="G584" s="49"/>
      <c r="H584" s="49"/>
      <c r="I584" s="51"/>
      <c r="J584" s="82"/>
      <c r="K584" s="7"/>
      <c r="L584" s="10"/>
      <c r="M584" s="7"/>
      <c r="N584" s="83"/>
      <c r="O584" s="84"/>
      <c r="P584" s="14"/>
      <c r="Q584" s="7"/>
      <c r="R584" s="78"/>
      <c r="S584" s="7"/>
      <c r="T584" s="7"/>
      <c r="U584" s="7"/>
      <c r="V584" s="14"/>
      <c r="W584" s="13"/>
      <c r="X584" s="14"/>
      <c r="Y584" s="14"/>
      <c r="Z584" s="43"/>
      <c r="AA584" s="14"/>
      <c r="AB584" s="14"/>
      <c r="AC584" s="8"/>
      <c r="AD584" s="8"/>
      <c r="AE584" s="8"/>
      <c r="AF584" s="8"/>
      <c r="AG584" s="8"/>
      <c r="AH584" s="72"/>
      <c r="AI584" s="8"/>
      <c r="AJ584" s="21"/>
      <c r="AK584" s="124"/>
      <c r="AL584" s="81"/>
      <c r="AM584" s="81"/>
      <c r="AN584" s="81"/>
      <c r="AO584" s="81"/>
      <c r="AP584" s="81"/>
      <c r="AQ584" s="81"/>
      <c r="AR584" s="81"/>
      <c r="AS584" s="81"/>
      <c r="AT584" s="81"/>
    </row>
    <row r="585" ht="22.5" customHeight="1">
      <c r="A585" s="224"/>
      <c r="B585" s="224"/>
      <c r="C585" s="224"/>
      <c r="D585" s="224"/>
      <c r="E585" s="224"/>
      <c r="F585" s="224"/>
      <c r="G585" s="116"/>
      <c r="H585" s="116"/>
      <c r="I585" s="89"/>
      <c r="J585" s="90"/>
      <c r="K585" s="261"/>
      <c r="L585" s="94"/>
      <c r="M585" s="87"/>
      <c r="N585" s="87"/>
      <c r="O585" s="135"/>
      <c r="P585" s="136"/>
      <c r="Q585" s="87"/>
      <c r="R585" s="95"/>
      <c r="S585" s="87"/>
      <c r="T585" s="87"/>
      <c r="U585" s="87"/>
      <c r="V585" s="97"/>
      <c r="W585" s="98"/>
      <c r="X585" s="99"/>
      <c r="Y585" s="99"/>
      <c r="Z585" s="119"/>
      <c r="AA585" s="99"/>
      <c r="AB585" s="99"/>
      <c r="AC585" s="101"/>
      <c r="AD585" s="101"/>
      <c r="AE585" s="101"/>
      <c r="AF585" s="101"/>
      <c r="AG585" s="101"/>
      <c r="AH585" s="102"/>
      <c r="AI585" s="101"/>
      <c r="AJ585" s="103"/>
      <c r="AK585" s="137"/>
      <c r="AL585" s="105"/>
      <c r="AM585" s="105"/>
      <c r="AN585" s="105"/>
      <c r="AO585" s="105"/>
      <c r="AP585" s="105"/>
      <c r="AQ585" s="105"/>
      <c r="AR585" s="105"/>
      <c r="AS585" s="105"/>
      <c r="AT585" s="105"/>
    </row>
    <row r="586" ht="22.5" customHeight="1">
      <c r="A586" s="7"/>
      <c r="B586" s="7"/>
      <c r="C586" s="7"/>
      <c r="D586" s="7"/>
      <c r="E586" s="7"/>
      <c r="F586" s="7"/>
      <c r="G586" s="49"/>
      <c r="H586" s="49"/>
      <c r="I586" s="165"/>
      <c r="J586" s="108"/>
      <c r="K586" s="7"/>
      <c r="L586" s="10"/>
      <c r="M586" s="7"/>
      <c r="N586" s="7"/>
      <c r="O586" s="210"/>
      <c r="P586" s="7"/>
      <c r="Q586" s="7"/>
      <c r="R586" s="11"/>
      <c r="S586" s="7"/>
      <c r="T586" s="7"/>
      <c r="U586" s="7"/>
      <c r="V586" s="14"/>
      <c r="W586" s="212"/>
      <c r="X586" s="7"/>
      <c r="Y586" s="14"/>
      <c r="Z586" s="213"/>
      <c r="AA586" s="7"/>
      <c r="AB586" s="109"/>
      <c r="AC586" s="21"/>
      <c r="AD586" s="21"/>
      <c r="AE586" s="21"/>
      <c r="AF586" s="8"/>
      <c r="AG586" s="8"/>
      <c r="AH586" s="72"/>
      <c r="AI586" s="8"/>
      <c r="AJ586" s="21"/>
      <c r="AK586" s="21"/>
      <c r="AL586" s="81"/>
      <c r="AM586" s="81"/>
      <c r="AN586" s="81"/>
      <c r="AO586" s="81"/>
      <c r="AP586" s="81"/>
      <c r="AQ586" s="81"/>
      <c r="AR586" s="81"/>
      <c r="AS586" s="81"/>
      <c r="AT586" s="81"/>
    </row>
    <row r="587" ht="22.5" customHeight="1">
      <c r="A587" s="7"/>
      <c r="B587" s="7"/>
      <c r="C587" s="7"/>
      <c r="D587" s="7"/>
      <c r="E587" s="7"/>
      <c r="F587" s="7"/>
      <c r="G587" s="49"/>
      <c r="H587" s="49"/>
      <c r="I587" s="165"/>
      <c r="J587" s="108"/>
      <c r="K587" s="7"/>
      <c r="L587" s="10"/>
      <c r="M587" s="7"/>
      <c r="N587" s="7"/>
      <c r="O587" s="210"/>
      <c r="P587" s="7"/>
      <c r="Q587" s="7"/>
      <c r="R587" s="11"/>
      <c r="S587" s="7"/>
      <c r="T587" s="7"/>
      <c r="U587" s="7"/>
      <c r="V587" s="14"/>
      <c r="W587" s="212"/>
      <c r="X587" s="7"/>
      <c r="Y587" s="14"/>
      <c r="Z587" s="213"/>
      <c r="AA587" s="7"/>
      <c r="AB587" s="109"/>
      <c r="AC587" s="21"/>
      <c r="AD587" s="21"/>
      <c r="AE587" s="21"/>
      <c r="AF587" s="8"/>
      <c r="AG587" s="8"/>
      <c r="AH587" s="72"/>
      <c r="AI587" s="8"/>
      <c r="AJ587" s="21"/>
      <c r="AK587" s="21"/>
      <c r="AL587" s="81"/>
      <c r="AM587" s="81"/>
      <c r="AN587" s="81"/>
      <c r="AO587" s="81"/>
      <c r="AP587" s="81"/>
      <c r="AQ587" s="81"/>
      <c r="AR587" s="81"/>
      <c r="AS587" s="81"/>
      <c r="AT587" s="81"/>
    </row>
    <row r="588" ht="22.5" customHeight="1">
      <c r="A588" s="7"/>
      <c r="B588" s="7"/>
      <c r="C588" s="7"/>
      <c r="D588" s="7"/>
      <c r="E588" s="7"/>
      <c r="F588" s="7"/>
      <c r="G588" s="49"/>
      <c r="H588" s="49"/>
      <c r="I588" s="165"/>
      <c r="J588" s="108"/>
      <c r="K588" s="7"/>
      <c r="L588" s="10"/>
      <c r="M588" s="7"/>
      <c r="N588" s="7"/>
      <c r="O588" s="210"/>
      <c r="P588" s="7"/>
      <c r="Q588" s="7"/>
      <c r="R588" s="11"/>
      <c r="S588" s="7"/>
      <c r="T588" s="7"/>
      <c r="U588" s="7"/>
      <c r="V588" s="14"/>
      <c r="W588" s="212"/>
      <c r="X588" s="7"/>
      <c r="Y588" s="14"/>
      <c r="Z588" s="213"/>
      <c r="AA588" s="7"/>
      <c r="AB588" s="109"/>
      <c r="AC588" s="21"/>
      <c r="AD588" s="21"/>
      <c r="AE588" s="21"/>
      <c r="AF588" s="8"/>
      <c r="AG588" s="8"/>
      <c r="AH588" s="72"/>
      <c r="AI588" s="8"/>
      <c r="AJ588" s="21"/>
      <c r="AK588" s="21"/>
      <c r="AL588" s="81"/>
      <c r="AM588" s="81"/>
      <c r="AN588" s="81"/>
      <c r="AO588" s="81"/>
      <c r="AP588" s="81"/>
      <c r="AQ588" s="81"/>
      <c r="AR588" s="81"/>
      <c r="AS588" s="81"/>
      <c r="AT588" s="81"/>
    </row>
    <row r="589" ht="22.5" customHeight="1">
      <c r="A589" s="7"/>
      <c r="B589" s="7"/>
      <c r="C589" s="7"/>
      <c r="D589" s="7"/>
      <c r="E589" s="7"/>
      <c r="F589" s="7"/>
      <c r="G589" s="49"/>
      <c r="H589" s="49"/>
      <c r="I589" s="165"/>
      <c r="J589" s="108"/>
      <c r="K589" s="7"/>
      <c r="L589" s="10"/>
      <c r="M589" s="7"/>
      <c r="N589" s="7"/>
      <c r="O589" s="210"/>
      <c r="P589" s="7"/>
      <c r="Q589" s="7"/>
      <c r="R589" s="11"/>
      <c r="S589" s="7"/>
      <c r="T589" s="7"/>
      <c r="U589" s="7"/>
      <c r="V589" s="14"/>
      <c r="W589" s="212"/>
      <c r="X589" s="7"/>
      <c r="Y589" s="14"/>
      <c r="Z589" s="213"/>
      <c r="AA589" s="7"/>
      <c r="AB589" s="109"/>
      <c r="AC589" s="21"/>
      <c r="AD589" s="21"/>
      <c r="AE589" s="21"/>
      <c r="AF589" s="8"/>
      <c r="AG589" s="8"/>
      <c r="AH589" s="72"/>
      <c r="AI589" s="8"/>
      <c r="AJ589" s="21"/>
      <c r="AK589" s="21"/>
      <c r="AL589" s="81"/>
      <c r="AM589" s="81"/>
      <c r="AN589" s="81"/>
      <c r="AO589" s="81"/>
      <c r="AP589" s="81"/>
      <c r="AQ589" s="81"/>
      <c r="AR589" s="81"/>
      <c r="AS589" s="81"/>
      <c r="AT589" s="81"/>
    </row>
    <row r="590" ht="22.5" customHeight="1">
      <c r="A590" s="7"/>
      <c r="B590" s="7"/>
      <c r="C590" s="7"/>
      <c r="D590" s="7"/>
      <c r="E590" s="7"/>
      <c r="F590" s="7"/>
      <c r="G590" s="49"/>
      <c r="H590" s="49"/>
      <c r="I590" s="165"/>
      <c r="J590" s="82"/>
      <c r="K590" s="7"/>
      <c r="L590" s="10"/>
      <c r="M590" s="7"/>
      <c r="N590" s="83"/>
      <c r="O590" s="84"/>
      <c r="P590" s="7"/>
      <c r="Q590" s="7"/>
      <c r="R590" s="11"/>
      <c r="S590" s="7"/>
      <c r="T590" s="7"/>
      <c r="U590" s="7"/>
      <c r="V590" s="14"/>
      <c r="W590" s="212"/>
      <c r="X590" s="7"/>
      <c r="Y590" s="14"/>
      <c r="Z590" s="213"/>
      <c r="AA590" s="7"/>
      <c r="AB590" s="109"/>
      <c r="AC590" s="21"/>
      <c r="AD590" s="21"/>
      <c r="AE590" s="21"/>
      <c r="AF590" s="8"/>
      <c r="AG590" s="8"/>
      <c r="AH590" s="72"/>
      <c r="AI590" s="8"/>
      <c r="AJ590" s="21"/>
      <c r="AK590" s="86"/>
      <c r="AL590" s="81"/>
      <c r="AM590" s="81"/>
      <c r="AN590" s="81"/>
      <c r="AO590" s="81"/>
      <c r="AP590" s="81"/>
      <c r="AQ590" s="81"/>
      <c r="AR590" s="81"/>
      <c r="AS590" s="81"/>
      <c r="AT590" s="81"/>
    </row>
    <row r="591" ht="22.5" customHeight="1">
      <c r="A591" s="240"/>
      <c r="B591" s="7"/>
      <c r="C591" s="7"/>
      <c r="D591" s="7"/>
      <c r="E591" s="7"/>
      <c r="F591" s="7"/>
      <c r="G591" s="49"/>
      <c r="H591" s="49"/>
      <c r="I591" s="51"/>
      <c r="J591" s="82"/>
      <c r="K591" s="7"/>
      <c r="L591" s="10"/>
      <c r="M591" s="7"/>
      <c r="N591" s="7"/>
      <c r="O591" s="84"/>
      <c r="P591" s="14"/>
      <c r="Q591" s="7"/>
      <c r="R591" s="78"/>
      <c r="S591" s="7"/>
      <c r="T591" s="7"/>
      <c r="U591" s="7"/>
      <c r="V591" s="14"/>
      <c r="W591" s="13"/>
      <c r="X591" s="14"/>
      <c r="Y591" s="14"/>
      <c r="Z591" s="43"/>
      <c r="AA591" s="14"/>
      <c r="AB591" s="14"/>
      <c r="AC591" s="8"/>
      <c r="AD591" s="8"/>
      <c r="AE591" s="8"/>
      <c r="AF591" s="8"/>
      <c r="AG591" s="8"/>
      <c r="AH591" s="72"/>
      <c r="AI591" s="8"/>
      <c r="AJ591" s="21"/>
      <c r="AK591" s="124"/>
      <c r="AL591" s="81"/>
      <c r="AM591" s="81"/>
      <c r="AN591" s="81"/>
      <c r="AO591" s="81"/>
      <c r="AP591" s="81"/>
      <c r="AQ591" s="81"/>
      <c r="AR591" s="81"/>
      <c r="AS591" s="81"/>
      <c r="AT591" s="81"/>
    </row>
    <row r="592" ht="22.5" customHeight="1">
      <c r="A592" s="7"/>
      <c r="B592" s="7"/>
      <c r="C592" s="7"/>
      <c r="D592" s="7"/>
      <c r="E592" s="7"/>
      <c r="F592" s="7"/>
      <c r="G592" s="49"/>
      <c r="H592" s="49"/>
      <c r="I592" s="165"/>
      <c r="J592" s="108"/>
      <c r="K592" s="7"/>
      <c r="L592" s="10"/>
      <c r="M592" s="7"/>
      <c r="N592" s="7"/>
      <c r="O592" s="210"/>
      <c r="P592" s="7"/>
      <c r="Q592" s="7"/>
      <c r="R592" s="11"/>
      <c r="S592" s="7"/>
      <c r="T592" s="7"/>
      <c r="U592" s="7"/>
      <c r="V592" s="14"/>
      <c r="W592" s="217"/>
      <c r="X592" s="7"/>
      <c r="Y592" s="14"/>
      <c r="Z592" s="7"/>
      <c r="AA592" s="7"/>
      <c r="AB592" s="109"/>
      <c r="AC592" s="21"/>
      <c r="AD592" s="21"/>
      <c r="AE592" s="21"/>
      <c r="AF592" s="8"/>
      <c r="AG592" s="8"/>
      <c r="AH592" s="72"/>
      <c r="AI592" s="8"/>
      <c r="AJ592" s="21"/>
      <c r="AK592" s="21"/>
      <c r="AL592" s="81"/>
      <c r="AM592" s="81"/>
      <c r="AN592" s="81"/>
      <c r="AO592" s="81"/>
      <c r="AP592" s="81"/>
      <c r="AQ592" s="81"/>
      <c r="AR592" s="81"/>
      <c r="AS592" s="81"/>
      <c r="AT592" s="81"/>
    </row>
    <row r="593" ht="22.5" customHeight="1">
      <c r="A593" s="7"/>
      <c r="B593" s="7"/>
      <c r="C593" s="7"/>
      <c r="D593" s="7"/>
      <c r="E593" s="7"/>
      <c r="F593" s="7"/>
      <c r="G593" s="49"/>
      <c r="H593" s="49"/>
      <c r="I593" s="165"/>
      <c r="J593" s="108"/>
      <c r="K593" s="7"/>
      <c r="L593" s="10"/>
      <c r="M593" s="7"/>
      <c r="N593" s="7"/>
      <c r="O593" s="7"/>
      <c r="P593" s="7"/>
      <c r="Q593" s="7"/>
      <c r="R593" s="11"/>
      <c r="S593" s="7"/>
      <c r="T593" s="7"/>
      <c r="U593" s="7"/>
      <c r="V593" s="14"/>
      <c r="W593" s="217"/>
      <c r="X593" s="7"/>
      <c r="Y593" s="14"/>
      <c r="Z593" s="7"/>
      <c r="AA593" s="7"/>
      <c r="AB593" s="109"/>
      <c r="AC593" s="21"/>
      <c r="AD593" s="21"/>
      <c r="AE593" s="21"/>
      <c r="AF593" s="8"/>
      <c r="AG593" s="8"/>
      <c r="AH593" s="72"/>
      <c r="AI593" s="8"/>
      <c r="AJ593" s="21"/>
      <c r="AK593" s="21"/>
      <c r="AL593" s="81"/>
      <c r="AM593" s="81"/>
      <c r="AN593" s="81"/>
      <c r="AO593" s="81"/>
      <c r="AP593" s="81"/>
      <c r="AQ593" s="81"/>
      <c r="AR593" s="81"/>
      <c r="AS593" s="81"/>
      <c r="AT593" s="81"/>
    </row>
    <row r="594" ht="22.5" customHeight="1">
      <c r="A594" s="7"/>
      <c r="B594" s="7"/>
      <c r="C594" s="7"/>
      <c r="D594" s="7"/>
      <c r="E594" s="7"/>
      <c r="F594" s="7"/>
      <c r="G594" s="49"/>
      <c r="H594" s="49"/>
      <c r="I594" s="165"/>
      <c r="J594" s="108"/>
      <c r="K594" s="7"/>
      <c r="L594" s="10"/>
      <c r="M594" s="7"/>
      <c r="N594" s="7"/>
      <c r="O594" s="210"/>
      <c r="P594" s="7"/>
      <c r="Q594" s="7"/>
      <c r="R594" s="11"/>
      <c r="S594" s="7"/>
      <c r="T594" s="7"/>
      <c r="U594" s="7"/>
      <c r="V594" s="14"/>
      <c r="W594" s="212"/>
      <c r="X594" s="7"/>
      <c r="Y594" s="14"/>
      <c r="Z594" s="213"/>
      <c r="AA594" s="7"/>
      <c r="AB594" s="109"/>
      <c r="AC594" s="21"/>
      <c r="AD594" s="21"/>
      <c r="AE594" s="21"/>
      <c r="AF594" s="8"/>
      <c r="AG594" s="8"/>
      <c r="AH594" s="72"/>
      <c r="AI594" s="8"/>
      <c r="AJ594" s="21"/>
      <c r="AK594" s="21"/>
      <c r="AL594" s="81"/>
      <c r="AM594" s="81"/>
      <c r="AN594" s="81"/>
      <c r="AO594" s="81"/>
      <c r="AP594" s="81"/>
      <c r="AQ594" s="81"/>
      <c r="AR594" s="81"/>
      <c r="AS594" s="81"/>
      <c r="AT594" s="81"/>
    </row>
    <row r="595" ht="22.5" customHeight="1">
      <c r="A595" s="7"/>
      <c r="B595" s="7"/>
      <c r="C595" s="7"/>
      <c r="D595" s="7"/>
      <c r="E595" s="7"/>
      <c r="F595" s="7"/>
      <c r="G595" s="49"/>
      <c r="H595" s="49"/>
      <c r="I595" s="165"/>
      <c r="J595" s="108"/>
      <c r="K595" s="7"/>
      <c r="L595" s="10"/>
      <c r="M595" s="7"/>
      <c r="N595" s="7"/>
      <c r="O595" s="84"/>
      <c r="P595" s="7"/>
      <c r="Q595" s="7"/>
      <c r="R595" s="11"/>
      <c r="S595" s="7"/>
      <c r="T595" s="7"/>
      <c r="U595" s="7"/>
      <c r="V595" s="14"/>
      <c r="W595" s="212"/>
      <c r="X595" s="7"/>
      <c r="Y595" s="14"/>
      <c r="Z595" s="213"/>
      <c r="AA595" s="7"/>
      <c r="AB595" s="109"/>
      <c r="AC595" s="21"/>
      <c r="AD595" s="21"/>
      <c r="AE595" s="21"/>
      <c r="AF595" s="8"/>
      <c r="AG595" s="8"/>
      <c r="AH595" s="72"/>
      <c r="AI595" s="8"/>
      <c r="AJ595" s="21"/>
      <c r="AK595" s="21"/>
      <c r="AL595" s="81"/>
      <c r="AM595" s="81"/>
      <c r="AN595" s="81"/>
      <c r="AO595" s="81"/>
      <c r="AP595" s="81"/>
      <c r="AQ595" s="81"/>
      <c r="AR595" s="81"/>
      <c r="AS595" s="81"/>
      <c r="AT595" s="81"/>
    </row>
    <row r="596" ht="22.5" customHeight="1">
      <c r="A596" s="7"/>
      <c r="B596" s="106"/>
      <c r="C596" s="7"/>
      <c r="D596" s="7"/>
      <c r="E596" s="7"/>
      <c r="F596" s="7"/>
      <c r="G596" s="49"/>
      <c r="H596" s="49"/>
      <c r="I596" s="165"/>
      <c r="J596" s="108"/>
      <c r="K596" s="7"/>
      <c r="L596" s="10"/>
      <c r="M596" s="7"/>
      <c r="N596" s="83"/>
      <c r="O596" s="210"/>
      <c r="P596" s="7"/>
      <c r="Q596" s="7"/>
      <c r="R596" s="11"/>
      <c r="S596" s="7"/>
      <c r="T596" s="7"/>
      <c r="U596" s="7"/>
      <c r="V596" s="14"/>
      <c r="W596" s="217"/>
      <c r="X596" s="7"/>
      <c r="Y596" s="14"/>
      <c r="Z596" s="213"/>
      <c r="AA596" s="7"/>
      <c r="AB596" s="109"/>
      <c r="AC596" s="21"/>
      <c r="AD596" s="21"/>
      <c r="AE596" s="21"/>
      <c r="AF596" s="8"/>
      <c r="AG596" s="8"/>
      <c r="AH596" s="72"/>
      <c r="AI596" s="8"/>
      <c r="AJ596" s="21"/>
      <c r="AK596" s="21"/>
      <c r="AL596" s="81"/>
      <c r="AM596" s="81"/>
      <c r="AN596" s="81"/>
      <c r="AO596" s="81"/>
      <c r="AP596" s="81"/>
      <c r="AQ596" s="81"/>
      <c r="AR596" s="81"/>
      <c r="AS596" s="81"/>
      <c r="AT596" s="81"/>
    </row>
    <row r="597" ht="22.5" customHeight="1">
      <c r="A597" s="7"/>
      <c r="B597" s="7"/>
      <c r="C597" s="7"/>
      <c r="D597" s="7"/>
      <c r="E597" s="7"/>
      <c r="F597" s="7"/>
      <c r="G597" s="49"/>
      <c r="H597" s="49"/>
      <c r="I597" s="165"/>
      <c r="J597" s="108"/>
      <c r="K597" s="7"/>
      <c r="L597" s="10"/>
      <c r="M597" s="7"/>
      <c r="N597" s="83"/>
      <c r="O597" s="84"/>
      <c r="P597" s="7"/>
      <c r="Q597" s="7"/>
      <c r="R597" s="11"/>
      <c r="S597" s="7"/>
      <c r="T597" s="7"/>
      <c r="U597" s="7"/>
      <c r="V597" s="14"/>
      <c r="W597" s="212"/>
      <c r="X597" s="7"/>
      <c r="Y597" s="14"/>
      <c r="Z597" s="213"/>
      <c r="AA597" s="7"/>
      <c r="AB597" s="109"/>
      <c r="AC597" s="21"/>
      <c r="AD597" s="21"/>
      <c r="AE597" s="21"/>
      <c r="AF597" s="8"/>
      <c r="AG597" s="8"/>
      <c r="AH597" s="72"/>
      <c r="AI597" s="8"/>
      <c r="AJ597" s="21"/>
      <c r="AK597" s="21"/>
      <c r="AL597" s="81"/>
      <c r="AM597" s="81"/>
      <c r="AN597" s="81"/>
      <c r="AO597" s="81"/>
      <c r="AP597" s="81"/>
      <c r="AQ597" s="81"/>
      <c r="AR597" s="81"/>
      <c r="AS597" s="81"/>
      <c r="AT597" s="81"/>
    </row>
    <row r="598" ht="22.5" customHeight="1">
      <c r="A598" s="7"/>
      <c r="B598" s="7"/>
      <c r="C598" s="7"/>
      <c r="D598" s="7"/>
      <c r="E598" s="7"/>
      <c r="F598" s="7"/>
      <c r="G598" s="49"/>
      <c r="H598" s="49"/>
      <c r="I598" s="165"/>
      <c r="J598" s="82"/>
      <c r="K598" s="7"/>
      <c r="L598" s="10"/>
      <c r="M598" s="7"/>
      <c r="N598" s="7"/>
      <c r="O598" s="84"/>
      <c r="P598" s="7"/>
      <c r="Q598" s="7"/>
      <c r="R598" s="11"/>
      <c r="S598" s="7"/>
      <c r="T598" s="7"/>
      <c r="U598" s="7"/>
      <c r="V598" s="14"/>
      <c r="W598" s="212"/>
      <c r="X598" s="7"/>
      <c r="Y598" s="14"/>
      <c r="Z598" s="7"/>
      <c r="AA598" s="7"/>
      <c r="AB598" s="109"/>
      <c r="AC598" s="21"/>
      <c r="AD598" s="21"/>
      <c r="AE598" s="21"/>
      <c r="AF598" s="8"/>
      <c r="AG598" s="8"/>
      <c r="AH598" s="72"/>
      <c r="AI598" s="8"/>
      <c r="AJ598" s="21"/>
      <c r="AK598" s="86"/>
      <c r="AL598" s="81"/>
      <c r="AM598" s="81"/>
      <c r="AN598" s="81"/>
      <c r="AO598" s="81"/>
      <c r="AP598" s="81"/>
      <c r="AQ598" s="81"/>
      <c r="AR598" s="81"/>
      <c r="AS598" s="81"/>
      <c r="AT598" s="81"/>
    </row>
    <row r="599" ht="22.5" customHeight="1">
      <c r="A599" s="7"/>
      <c r="B599" s="7"/>
      <c r="C599" s="7"/>
      <c r="D599" s="7"/>
      <c r="E599" s="7"/>
      <c r="F599" s="7"/>
      <c r="G599" s="49"/>
      <c r="H599" s="49"/>
      <c r="I599" s="51"/>
      <c r="J599" s="82"/>
      <c r="K599" s="7"/>
      <c r="L599" s="10"/>
      <c r="M599" s="7"/>
      <c r="N599" s="7"/>
      <c r="O599" s="84"/>
      <c r="P599" s="14"/>
      <c r="Q599" s="7"/>
      <c r="R599" s="11"/>
      <c r="S599" s="7"/>
      <c r="T599" s="7"/>
      <c r="U599" s="7"/>
      <c r="V599" s="14"/>
      <c r="W599" s="29"/>
      <c r="X599" s="14"/>
      <c r="Y599" s="14"/>
      <c r="Z599" s="7"/>
      <c r="AA599" s="14"/>
      <c r="AB599" s="109"/>
      <c r="AC599" s="21"/>
      <c r="AD599" s="21"/>
      <c r="AE599" s="21"/>
      <c r="AF599" s="8"/>
      <c r="AG599" s="8"/>
      <c r="AH599" s="72"/>
      <c r="AI599" s="8"/>
      <c r="AJ599" s="21"/>
      <c r="AK599" s="124"/>
      <c r="AL599" s="81"/>
      <c r="AM599" s="81"/>
      <c r="AN599" s="81"/>
      <c r="AO599" s="81"/>
      <c r="AP599" s="81"/>
      <c r="AQ599" s="81"/>
      <c r="AR599" s="81"/>
      <c r="AS599" s="81"/>
      <c r="AT599" s="81"/>
    </row>
    <row r="600" ht="22.5" customHeight="1">
      <c r="A600" s="7"/>
      <c r="B600" s="83"/>
      <c r="C600" s="7"/>
      <c r="D600" s="7"/>
      <c r="E600" s="7"/>
      <c r="F600" s="7"/>
      <c r="G600" s="49"/>
      <c r="H600" s="49"/>
      <c r="I600" s="51"/>
      <c r="J600" s="82"/>
      <c r="K600" s="7"/>
      <c r="L600" s="10"/>
      <c r="M600" s="7"/>
      <c r="N600" s="7"/>
      <c r="O600" s="84"/>
      <c r="P600" s="14"/>
      <c r="Q600" s="7"/>
      <c r="R600" s="78"/>
      <c r="S600" s="7"/>
      <c r="T600" s="7"/>
      <c r="U600" s="7"/>
      <c r="V600" s="14"/>
      <c r="W600" s="13"/>
      <c r="X600" s="14"/>
      <c r="Y600" s="14"/>
      <c r="Z600" s="43"/>
      <c r="AA600" s="14"/>
      <c r="AB600" s="14"/>
      <c r="AC600" s="8"/>
      <c r="AD600" s="8"/>
      <c r="AE600" s="8"/>
      <c r="AF600" s="8"/>
      <c r="AG600" s="8"/>
      <c r="AH600" s="72"/>
      <c r="AI600" s="8"/>
      <c r="AJ600" s="21"/>
      <c r="AK600" s="110"/>
      <c r="AL600" s="81"/>
      <c r="AM600" s="81"/>
      <c r="AN600" s="81"/>
      <c r="AO600" s="81"/>
      <c r="AP600" s="81"/>
      <c r="AQ600" s="81"/>
      <c r="AR600" s="81"/>
      <c r="AS600" s="81"/>
      <c r="AT600" s="81"/>
    </row>
    <row r="601" ht="22.5" customHeight="1">
      <c r="A601" s="7"/>
      <c r="B601" s="7"/>
      <c r="C601" s="7"/>
      <c r="D601" s="7"/>
      <c r="E601" s="7"/>
      <c r="F601" s="7"/>
      <c r="G601" s="49"/>
      <c r="H601" s="49"/>
      <c r="I601" s="51"/>
      <c r="J601" s="108"/>
      <c r="K601" s="7"/>
      <c r="L601" s="10"/>
      <c r="M601" s="7"/>
      <c r="N601" s="7"/>
      <c r="O601" s="84"/>
      <c r="P601" s="14"/>
      <c r="Q601" s="7"/>
      <c r="R601" s="11"/>
      <c r="S601" s="7"/>
      <c r="T601" s="7"/>
      <c r="U601" s="7"/>
      <c r="V601" s="14"/>
      <c r="W601" s="29"/>
      <c r="X601" s="14"/>
      <c r="Y601" s="14"/>
      <c r="Z601" s="7"/>
      <c r="AA601" s="14"/>
      <c r="AB601" s="109"/>
      <c r="AC601" s="21"/>
      <c r="AD601" s="21"/>
      <c r="AE601" s="21"/>
      <c r="AF601" s="8"/>
      <c r="AG601" s="8"/>
      <c r="AH601" s="72"/>
      <c r="AI601" s="8"/>
      <c r="AJ601" s="21"/>
      <c r="AK601" s="110"/>
      <c r="AL601" s="81"/>
      <c r="AM601" s="81"/>
      <c r="AN601" s="81"/>
      <c r="AO601" s="81"/>
      <c r="AP601" s="81"/>
      <c r="AQ601" s="81"/>
      <c r="AR601" s="81"/>
      <c r="AS601" s="81"/>
      <c r="AT601" s="81"/>
    </row>
    <row r="602" ht="22.5" customHeight="1">
      <c r="A602" s="7"/>
      <c r="B602" s="7"/>
      <c r="C602" s="7"/>
      <c r="D602" s="7"/>
      <c r="E602" s="7"/>
      <c r="F602" s="7"/>
      <c r="G602" s="49"/>
      <c r="H602" s="49"/>
      <c r="I602" s="51"/>
      <c r="J602" s="82"/>
      <c r="K602" s="7"/>
      <c r="L602" s="10"/>
      <c r="M602" s="7"/>
      <c r="N602" s="192"/>
      <c r="O602" s="84"/>
      <c r="P602" s="57"/>
      <c r="Q602" s="7"/>
      <c r="R602" s="11"/>
      <c r="S602" s="85"/>
      <c r="T602" s="7"/>
      <c r="U602" s="7"/>
      <c r="V602" s="27"/>
      <c r="W602" s="13"/>
      <c r="X602" s="14"/>
      <c r="Y602" s="14"/>
      <c r="Z602" s="43"/>
      <c r="AA602" s="14"/>
      <c r="AB602" s="14"/>
      <c r="AC602" s="8"/>
      <c r="AD602" s="8"/>
      <c r="AE602" s="8"/>
      <c r="AF602" s="8"/>
      <c r="AG602" s="8"/>
      <c r="AH602" s="72"/>
      <c r="AI602" s="8"/>
      <c r="AJ602" s="21"/>
      <c r="AK602" s="124"/>
      <c r="AL602" s="75"/>
      <c r="AM602" s="75"/>
      <c r="AN602" s="75"/>
      <c r="AO602" s="75"/>
      <c r="AP602" s="75"/>
      <c r="AQ602" s="75"/>
      <c r="AR602" s="75"/>
      <c r="AS602" s="75"/>
      <c r="AT602" s="75"/>
    </row>
    <row r="603" ht="22.5" customHeight="1">
      <c r="A603" s="7"/>
      <c r="B603" s="7"/>
      <c r="C603" s="7"/>
      <c r="D603" s="7"/>
      <c r="E603" s="7"/>
      <c r="F603" s="7"/>
      <c r="G603" s="49"/>
      <c r="H603" s="49"/>
      <c r="I603" s="165"/>
      <c r="J603" s="82"/>
      <c r="K603" s="7"/>
      <c r="L603" s="10"/>
      <c r="M603" s="7"/>
      <c r="N603" s="83"/>
      <c r="O603" s="84"/>
      <c r="P603" s="7"/>
      <c r="Q603" s="7"/>
      <c r="R603" s="11"/>
      <c r="S603" s="7"/>
      <c r="T603" s="7"/>
      <c r="U603" s="7"/>
      <c r="V603" s="14"/>
      <c r="W603" s="212"/>
      <c r="X603" s="7"/>
      <c r="Y603" s="14"/>
      <c r="Z603" s="213"/>
      <c r="AA603" s="7"/>
      <c r="AB603" s="109"/>
      <c r="AC603" s="21"/>
      <c r="AD603" s="21"/>
      <c r="AE603" s="21"/>
      <c r="AF603" s="8"/>
      <c r="AG603" s="8"/>
      <c r="AH603" s="72"/>
      <c r="AI603" s="8"/>
      <c r="AJ603" s="21"/>
      <c r="AK603" s="86"/>
      <c r="AL603" s="81"/>
      <c r="AM603" s="81"/>
      <c r="AN603" s="81"/>
      <c r="AO603" s="81"/>
      <c r="AP603" s="81"/>
      <c r="AQ603" s="81"/>
      <c r="AR603" s="81"/>
      <c r="AS603" s="81"/>
      <c r="AT603" s="81"/>
    </row>
    <row r="604" ht="22.5" customHeight="1">
      <c r="A604" s="7"/>
      <c r="B604" s="7"/>
      <c r="C604" s="7"/>
      <c r="D604" s="7"/>
      <c r="E604" s="7"/>
      <c r="F604" s="7"/>
      <c r="G604" s="49"/>
      <c r="H604" s="49"/>
      <c r="I604" s="51"/>
      <c r="J604" s="82"/>
      <c r="K604" s="7"/>
      <c r="L604" s="10"/>
      <c r="M604" s="7"/>
      <c r="N604" s="7"/>
      <c r="O604" s="84"/>
      <c r="P604" s="14"/>
      <c r="Q604" s="7"/>
      <c r="R604" s="11"/>
      <c r="S604" s="7"/>
      <c r="T604" s="7"/>
      <c r="U604" s="7"/>
      <c r="V604" s="14"/>
      <c r="W604" s="29"/>
      <c r="X604" s="14"/>
      <c r="Y604" s="14"/>
      <c r="Z604" s="213"/>
      <c r="AA604" s="14"/>
      <c r="AB604" s="109"/>
      <c r="AC604" s="21"/>
      <c r="AD604" s="21"/>
      <c r="AE604" s="21"/>
      <c r="AF604" s="8"/>
      <c r="AG604" s="8"/>
      <c r="AH604" s="72"/>
      <c r="AI604" s="8"/>
      <c r="AJ604" s="21"/>
      <c r="AK604" s="124"/>
      <c r="AL604" s="81"/>
      <c r="AM604" s="81"/>
      <c r="AN604" s="81"/>
      <c r="AO604" s="81"/>
      <c r="AP604" s="81"/>
      <c r="AQ604" s="81"/>
      <c r="AR604" s="81"/>
      <c r="AS604" s="81"/>
      <c r="AT604" s="81"/>
    </row>
    <row r="605" ht="22.5" customHeight="1">
      <c r="A605" s="7"/>
      <c r="B605" s="7"/>
      <c r="C605" s="7"/>
      <c r="D605" s="7"/>
      <c r="E605" s="7"/>
      <c r="F605" s="7"/>
      <c r="G605" s="49"/>
      <c r="H605" s="49"/>
      <c r="I605" s="165"/>
      <c r="J605" s="82"/>
      <c r="K605" s="7"/>
      <c r="L605" s="10"/>
      <c r="M605" s="7"/>
      <c r="N605" s="7"/>
      <c r="O605" s="84"/>
      <c r="P605" s="7"/>
      <c r="Q605" s="7"/>
      <c r="R605" s="11"/>
      <c r="S605" s="7"/>
      <c r="T605" s="7"/>
      <c r="U605" s="7"/>
      <c r="V605" s="14"/>
      <c r="W605" s="212"/>
      <c r="X605" s="7"/>
      <c r="Y605" s="14"/>
      <c r="Z605" s="7"/>
      <c r="AA605" s="7"/>
      <c r="AB605" s="109"/>
      <c r="AC605" s="21"/>
      <c r="AD605" s="21"/>
      <c r="AE605" s="21"/>
      <c r="AF605" s="8"/>
      <c r="AG605" s="8"/>
      <c r="AH605" s="72"/>
      <c r="AI605" s="8"/>
      <c r="AJ605" s="21"/>
      <c r="AK605" s="86"/>
      <c r="AL605" s="81"/>
      <c r="AM605" s="81"/>
      <c r="AN605" s="81"/>
      <c r="AO605" s="81"/>
      <c r="AP605" s="81"/>
      <c r="AQ605" s="81"/>
      <c r="AR605" s="81"/>
      <c r="AS605" s="81"/>
      <c r="AT605" s="81"/>
    </row>
    <row r="606" ht="22.5" customHeight="1">
      <c r="A606" s="7"/>
      <c r="B606" s="7"/>
      <c r="C606" s="7"/>
      <c r="D606" s="7"/>
      <c r="E606" s="7"/>
      <c r="F606" s="7"/>
      <c r="G606" s="49"/>
      <c r="H606" s="49"/>
      <c r="I606" s="165"/>
      <c r="J606" s="108"/>
      <c r="K606" s="7"/>
      <c r="L606" s="10"/>
      <c r="M606" s="7"/>
      <c r="N606" s="7"/>
      <c r="O606" s="7"/>
      <c r="P606" s="7"/>
      <c r="Q606" s="7"/>
      <c r="R606" s="11"/>
      <c r="S606" s="7"/>
      <c r="T606" s="7"/>
      <c r="U606" s="7"/>
      <c r="V606" s="14"/>
      <c r="W606" s="217"/>
      <c r="X606" s="7"/>
      <c r="Y606" s="14"/>
      <c r="Z606" s="7"/>
      <c r="AA606" s="7"/>
      <c r="AB606" s="109"/>
      <c r="AC606" s="21"/>
      <c r="AD606" s="21"/>
      <c r="AE606" s="21"/>
      <c r="AF606" s="8"/>
      <c r="AG606" s="8"/>
      <c r="AH606" s="72"/>
      <c r="AI606" s="8"/>
      <c r="AJ606" s="21"/>
      <c r="AK606" s="21"/>
      <c r="AL606" s="81"/>
      <c r="AM606" s="81"/>
      <c r="AN606" s="81"/>
      <c r="AO606" s="81"/>
      <c r="AP606" s="81"/>
      <c r="AQ606" s="81"/>
      <c r="AR606" s="81"/>
      <c r="AS606" s="81"/>
      <c r="AT606" s="81"/>
    </row>
    <row r="607" ht="22.5" customHeight="1">
      <c r="A607" s="7"/>
      <c r="B607" s="7"/>
      <c r="C607" s="7"/>
      <c r="D607" s="7"/>
      <c r="E607" s="7"/>
      <c r="F607" s="7"/>
      <c r="G607" s="49"/>
      <c r="H607" s="49"/>
      <c r="I607" s="165"/>
      <c r="J607" s="108"/>
      <c r="K607" s="7"/>
      <c r="L607" s="10"/>
      <c r="M607" s="7"/>
      <c r="N607" s="7"/>
      <c r="O607" s="84"/>
      <c r="P607" s="7"/>
      <c r="Q607" s="7"/>
      <c r="R607" s="11"/>
      <c r="S607" s="7"/>
      <c r="T607" s="7"/>
      <c r="U607" s="7"/>
      <c r="V607" s="14"/>
      <c r="W607" s="212"/>
      <c r="X607" s="7"/>
      <c r="Y607" s="14"/>
      <c r="Z607" s="7"/>
      <c r="AA607" s="7"/>
      <c r="AB607" s="109"/>
      <c r="AC607" s="21"/>
      <c r="AD607" s="21"/>
      <c r="AE607" s="21"/>
      <c r="AF607" s="8"/>
      <c r="AG607" s="8"/>
      <c r="AH607" s="72"/>
      <c r="AI607" s="8"/>
      <c r="AJ607" s="21"/>
      <c r="AK607" s="21"/>
      <c r="AL607" s="81"/>
      <c r="AM607" s="81"/>
      <c r="AN607" s="81"/>
      <c r="AO607" s="81"/>
      <c r="AP607" s="81"/>
      <c r="AQ607" s="81"/>
      <c r="AR607" s="81"/>
      <c r="AS607" s="81"/>
      <c r="AT607" s="81"/>
    </row>
    <row r="608" ht="22.5" customHeight="1">
      <c r="A608" s="7"/>
      <c r="B608" s="7"/>
      <c r="C608" s="7"/>
      <c r="D608" s="7"/>
      <c r="E608" s="7"/>
      <c r="F608" s="7"/>
      <c r="G608" s="7"/>
      <c r="H608" s="7"/>
      <c r="I608" s="21"/>
      <c r="J608" s="108"/>
      <c r="K608" s="7"/>
      <c r="L608" s="10"/>
      <c r="M608" s="7"/>
      <c r="N608" s="7"/>
      <c r="O608" s="7"/>
      <c r="P608" s="7"/>
      <c r="Q608" s="7"/>
      <c r="R608" s="11"/>
      <c r="S608" s="7"/>
      <c r="T608" s="7"/>
      <c r="U608" s="7"/>
      <c r="V608" s="14"/>
      <c r="W608" s="217"/>
      <c r="X608" s="7"/>
      <c r="Y608" s="14"/>
      <c r="Z608" s="7"/>
      <c r="AA608" s="7"/>
      <c r="AB608" s="109"/>
      <c r="AC608" s="21"/>
      <c r="AD608" s="21"/>
      <c r="AE608" s="21"/>
      <c r="AF608" s="8"/>
      <c r="AG608" s="8"/>
      <c r="AH608" s="72"/>
      <c r="AI608" s="8"/>
      <c r="AJ608" s="21"/>
      <c r="AK608" s="21"/>
      <c r="AL608" s="81"/>
      <c r="AM608" s="81"/>
      <c r="AN608" s="81"/>
      <c r="AO608" s="81"/>
      <c r="AP608" s="81"/>
      <c r="AQ608" s="81"/>
      <c r="AR608" s="81"/>
      <c r="AS608" s="81"/>
      <c r="AT608" s="81"/>
    </row>
    <row r="609" ht="22.5" customHeight="1">
      <c r="A609" s="7"/>
      <c r="B609" s="7"/>
      <c r="C609" s="7"/>
      <c r="D609" s="7"/>
      <c r="E609" s="7"/>
      <c r="F609" s="7"/>
      <c r="G609" s="49"/>
      <c r="H609" s="49"/>
      <c r="I609" s="51"/>
      <c r="J609" s="108"/>
      <c r="K609" s="7"/>
      <c r="L609" s="10"/>
      <c r="M609" s="7"/>
      <c r="N609" s="7"/>
      <c r="O609" s="84"/>
      <c r="P609" s="14"/>
      <c r="Q609" s="7"/>
      <c r="R609" s="11"/>
      <c r="S609" s="7"/>
      <c r="T609" s="7"/>
      <c r="U609" s="7"/>
      <c r="V609" s="14"/>
      <c r="W609" s="29"/>
      <c r="X609" s="14"/>
      <c r="Y609" s="14"/>
      <c r="Z609" s="7"/>
      <c r="AA609" s="14"/>
      <c r="AB609" s="109"/>
      <c r="AC609" s="21"/>
      <c r="AD609" s="21"/>
      <c r="AE609" s="21"/>
      <c r="AF609" s="8"/>
      <c r="AG609" s="8"/>
      <c r="AH609" s="72"/>
      <c r="AI609" s="8"/>
      <c r="AJ609" s="21"/>
      <c r="AK609" s="110"/>
      <c r="AL609" s="81"/>
      <c r="AM609" s="81"/>
      <c r="AN609" s="81"/>
      <c r="AO609" s="81"/>
      <c r="AP609" s="81"/>
      <c r="AQ609" s="81"/>
      <c r="AR609" s="81"/>
      <c r="AS609" s="81"/>
      <c r="AT609" s="81"/>
    </row>
    <row r="610" ht="22.5" customHeight="1">
      <c r="A610" s="7"/>
      <c r="B610" s="7"/>
      <c r="C610" s="7"/>
      <c r="D610" s="7"/>
      <c r="E610" s="7"/>
      <c r="F610" s="7"/>
      <c r="G610" s="49"/>
      <c r="H610" s="49"/>
      <c r="I610" s="165"/>
      <c r="J610" s="108"/>
      <c r="K610" s="7"/>
      <c r="L610" s="10"/>
      <c r="M610" s="7"/>
      <c r="N610" s="7"/>
      <c r="O610" s="84"/>
      <c r="P610" s="7"/>
      <c r="Q610" s="7"/>
      <c r="R610" s="11"/>
      <c r="S610" s="7"/>
      <c r="T610" s="7"/>
      <c r="U610" s="7"/>
      <c r="V610" s="14"/>
      <c r="W610" s="212"/>
      <c r="X610" s="7"/>
      <c r="Y610" s="14"/>
      <c r="Z610" s="7"/>
      <c r="AA610" s="7"/>
      <c r="AB610" s="109"/>
      <c r="AC610" s="21"/>
      <c r="AD610" s="21"/>
      <c r="AE610" s="21"/>
      <c r="AF610" s="8"/>
      <c r="AG610" s="8"/>
      <c r="AH610" s="72"/>
      <c r="AI610" s="8"/>
      <c r="AJ610" s="21"/>
      <c r="AK610" s="21"/>
      <c r="AL610" s="81"/>
      <c r="AM610" s="81"/>
      <c r="AN610" s="81"/>
      <c r="AO610" s="81"/>
      <c r="AP610" s="81"/>
      <c r="AQ610" s="81"/>
      <c r="AR610" s="81"/>
      <c r="AS610" s="81"/>
      <c r="AT610" s="81"/>
    </row>
    <row r="611" ht="22.5" customHeight="1">
      <c r="A611" s="7"/>
      <c r="B611" s="7"/>
      <c r="C611" s="7"/>
      <c r="D611" s="7"/>
      <c r="E611" s="7"/>
      <c r="F611" s="7"/>
      <c r="G611" s="49"/>
      <c r="H611" s="49"/>
      <c r="I611" s="165"/>
      <c r="J611" s="108"/>
      <c r="K611" s="7"/>
      <c r="L611" s="10"/>
      <c r="M611" s="7"/>
      <c r="N611" s="7"/>
      <c r="O611" s="84"/>
      <c r="P611" s="7"/>
      <c r="Q611" s="7"/>
      <c r="R611" s="11"/>
      <c r="S611" s="7"/>
      <c r="T611" s="7"/>
      <c r="U611" s="7"/>
      <c r="V611" s="14"/>
      <c r="W611" s="212"/>
      <c r="X611" s="7"/>
      <c r="Y611" s="14"/>
      <c r="Z611" s="7"/>
      <c r="AA611" s="7"/>
      <c r="AB611" s="109"/>
      <c r="AC611" s="21"/>
      <c r="AD611" s="21"/>
      <c r="AE611" s="21"/>
      <c r="AF611" s="8"/>
      <c r="AG611" s="8"/>
      <c r="AH611" s="72"/>
      <c r="AI611" s="8"/>
      <c r="AJ611" s="21"/>
      <c r="AK611" s="21"/>
      <c r="AL611" s="81"/>
      <c r="AM611" s="81"/>
      <c r="AN611" s="81"/>
      <c r="AO611" s="81"/>
      <c r="AP611" s="81"/>
      <c r="AQ611" s="81"/>
      <c r="AR611" s="81"/>
      <c r="AS611" s="81"/>
      <c r="AT611" s="81"/>
    </row>
    <row r="612" ht="22.5" customHeight="1">
      <c r="A612" s="7"/>
      <c r="B612" s="7"/>
      <c r="C612" s="7"/>
      <c r="D612" s="7"/>
      <c r="E612" s="7"/>
      <c r="F612" s="7"/>
      <c r="G612" s="49"/>
      <c r="H612" s="49"/>
      <c r="I612" s="51"/>
      <c r="J612" s="108"/>
      <c r="K612" s="7"/>
      <c r="L612" s="10"/>
      <c r="M612" s="7"/>
      <c r="N612" s="7"/>
      <c r="O612" s="84"/>
      <c r="P612" s="14"/>
      <c r="Q612" s="7"/>
      <c r="R612" s="11"/>
      <c r="S612" s="7"/>
      <c r="T612" s="7"/>
      <c r="U612" s="7"/>
      <c r="V612" s="14"/>
      <c r="W612" s="13"/>
      <c r="X612" s="14"/>
      <c r="Y612" s="14"/>
      <c r="Z612" s="7"/>
      <c r="AA612" s="14"/>
      <c r="AB612" s="109"/>
      <c r="AC612" s="21"/>
      <c r="AD612" s="21"/>
      <c r="AE612" s="21"/>
      <c r="AF612" s="8"/>
      <c r="AG612" s="8"/>
      <c r="AH612" s="72"/>
      <c r="AI612" s="8"/>
      <c r="AJ612" s="21"/>
      <c r="AK612" s="234"/>
      <c r="AL612" s="81"/>
      <c r="AM612" s="81"/>
      <c r="AN612" s="81"/>
      <c r="AO612" s="81"/>
      <c r="AP612" s="81"/>
      <c r="AQ612" s="81"/>
      <c r="AR612" s="81"/>
      <c r="AS612" s="81"/>
      <c r="AT612" s="81"/>
    </row>
    <row r="613" ht="22.5" customHeight="1">
      <c r="A613" s="7"/>
      <c r="B613" s="7"/>
      <c r="C613" s="7"/>
      <c r="D613" s="7"/>
      <c r="E613" s="7"/>
      <c r="F613" s="7"/>
      <c r="G613" s="49"/>
      <c r="H613" s="49"/>
      <c r="I613" s="165"/>
      <c r="J613" s="108"/>
      <c r="K613" s="7"/>
      <c r="L613" s="10"/>
      <c r="M613" s="7"/>
      <c r="N613" s="7"/>
      <c r="O613" s="84"/>
      <c r="P613" s="7"/>
      <c r="Q613" s="7"/>
      <c r="R613" s="11"/>
      <c r="S613" s="7"/>
      <c r="T613" s="7"/>
      <c r="U613" s="7"/>
      <c r="V613" s="14"/>
      <c r="W613" s="212"/>
      <c r="X613" s="7"/>
      <c r="Y613" s="14"/>
      <c r="Z613" s="7"/>
      <c r="AA613" s="7"/>
      <c r="AB613" s="109"/>
      <c r="AC613" s="21"/>
      <c r="AD613" s="21"/>
      <c r="AE613" s="21"/>
      <c r="AF613" s="8"/>
      <c r="AG613" s="8"/>
      <c r="AH613" s="72"/>
      <c r="AI613" s="8"/>
      <c r="AJ613" s="21"/>
      <c r="AK613" s="21"/>
      <c r="AL613" s="81"/>
      <c r="AM613" s="81"/>
      <c r="AN613" s="81"/>
      <c r="AO613" s="81"/>
      <c r="AP613" s="81"/>
      <c r="AQ613" s="81"/>
      <c r="AR613" s="81"/>
      <c r="AS613" s="81"/>
      <c r="AT613" s="81"/>
    </row>
    <row r="614" ht="22.5" customHeight="1">
      <c r="A614" s="240"/>
      <c r="B614" s="7"/>
      <c r="C614" s="7"/>
      <c r="D614" s="7"/>
      <c r="E614" s="7"/>
      <c r="F614" s="7"/>
      <c r="G614" s="49"/>
      <c r="H614" s="49"/>
      <c r="I614" s="51"/>
      <c r="J614" s="108"/>
      <c r="K614" s="7"/>
      <c r="L614" s="10"/>
      <c r="M614" s="7"/>
      <c r="N614" s="7"/>
      <c r="O614" s="84"/>
      <c r="P614" s="14"/>
      <c r="Q614" s="7"/>
      <c r="R614" s="78"/>
      <c r="S614" s="7"/>
      <c r="T614" s="7"/>
      <c r="U614" s="7"/>
      <c r="V614" s="14"/>
      <c r="W614" s="13"/>
      <c r="X614" s="14"/>
      <c r="Y614" s="14"/>
      <c r="Z614" s="43"/>
      <c r="AA614" s="14"/>
      <c r="AB614" s="14"/>
      <c r="AC614" s="8"/>
      <c r="AD614" s="8"/>
      <c r="AE614" s="8"/>
      <c r="AF614" s="8"/>
      <c r="AG614" s="8"/>
      <c r="AH614" s="72"/>
      <c r="AI614" s="8"/>
      <c r="AJ614" s="21"/>
      <c r="AK614" s="110"/>
      <c r="AL614" s="81"/>
      <c r="AM614" s="81"/>
      <c r="AN614" s="81"/>
      <c r="AO614" s="81"/>
      <c r="AP614" s="81"/>
      <c r="AQ614" s="81"/>
      <c r="AR614" s="81"/>
      <c r="AS614" s="81"/>
      <c r="AT614" s="81"/>
    </row>
    <row r="615" ht="22.5" customHeight="1">
      <c r="A615" s="7"/>
      <c r="B615" s="7"/>
      <c r="C615" s="7"/>
      <c r="D615" s="7"/>
      <c r="E615" s="7"/>
      <c r="F615" s="7"/>
      <c r="G615" s="49"/>
      <c r="H615" s="49"/>
      <c r="I615" s="165"/>
      <c r="J615" s="108"/>
      <c r="K615" s="7"/>
      <c r="L615" s="10"/>
      <c r="M615" s="7"/>
      <c r="N615" s="7"/>
      <c r="O615" s="7"/>
      <c r="P615" s="7"/>
      <c r="Q615" s="7"/>
      <c r="R615" s="11"/>
      <c r="S615" s="7"/>
      <c r="T615" s="7"/>
      <c r="U615" s="7"/>
      <c r="V615" s="14"/>
      <c r="W615" s="212"/>
      <c r="X615" s="7"/>
      <c r="Y615" s="14"/>
      <c r="Z615" s="7"/>
      <c r="AA615" s="7"/>
      <c r="AB615" s="109"/>
      <c r="AC615" s="21"/>
      <c r="AD615" s="21"/>
      <c r="AE615" s="21"/>
      <c r="AF615" s="8"/>
      <c r="AG615" s="8"/>
      <c r="AH615" s="72"/>
      <c r="AI615" s="8"/>
      <c r="AJ615" s="21"/>
      <c r="AK615" s="21"/>
      <c r="AL615" s="81"/>
      <c r="AM615" s="81"/>
      <c r="AN615" s="81"/>
      <c r="AO615" s="81"/>
      <c r="AP615" s="81"/>
      <c r="AQ615" s="81"/>
      <c r="AR615" s="81"/>
      <c r="AS615" s="81"/>
      <c r="AT615" s="81"/>
    </row>
    <row r="616" ht="22.5" customHeight="1">
      <c r="A616" s="227"/>
      <c r="B616" s="227"/>
      <c r="C616" s="7"/>
      <c r="D616" s="7"/>
      <c r="E616" s="7"/>
      <c r="F616" s="7"/>
      <c r="G616" s="49"/>
      <c r="H616" s="49"/>
      <c r="I616" s="51"/>
      <c r="J616" s="108"/>
      <c r="K616" s="7"/>
      <c r="L616" s="10"/>
      <c r="M616" s="7"/>
      <c r="N616" s="7"/>
      <c r="O616" s="84"/>
      <c r="P616" s="14"/>
      <c r="Q616" s="7"/>
      <c r="R616" s="78"/>
      <c r="S616" s="7"/>
      <c r="T616" s="7"/>
      <c r="U616" s="7"/>
      <c r="V616" s="14"/>
      <c r="W616" s="13"/>
      <c r="X616" s="14"/>
      <c r="Y616" s="14"/>
      <c r="Z616" s="43"/>
      <c r="AA616" s="14"/>
      <c r="AB616" s="14"/>
      <c r="AC616" s="8"/>
      <c r="AD616" s="8"/>
      <c r="AE616" s="8"/>
      <c r="AF616" s="8"/>
      <c r="AG616" s="8"/>
      <c r="AH616" s="72"/>
      <c r="AI616" s="8"/>
      <c r="AJ616" s="21"/>
      <c r="AK616" s="110"/>
      <c r="AL616" s="81"/>
      <c r="AM616" s="81"/>
      <c r="AN616" s="81"/>
      <c r="AO616" s="81"/>
      <c r="AP616" s="81"/>
      <c r="AQ616" s="81"/>
      <c r="AR616" s="81"/>
      <c r="AS616" s="81"/>
      <c r="AT616" s="81"/>
    </row>
    <row r="617" ht="22.5" customHeight="1">
      <c r="A617" s="139"/>
      <c r="B617" s="139"/>
      <c r="C617" s="7"/>
      <c r="D617" s="7"/>
      <c r="E617" s="7"/>
      <c r="F617" s="7"/>
      <c r="G617" s="49"/>
      <c r="H617" s="49"/>
      <c r="I617" s="51"/>
      <c r="J617" s="108"/>
      <c r="K617" s="7"/>
      <c r="L617" s="10"/>
      <c r="M617" s="7"/>
      <c r="N617" s="7"/>
      <c r="O617" s="84"/>
      <c r="P617" s="7"/>
      <c r="Q617" s="7"/>
      <c r="R617" s="78"/>
      <c r="S617" s="7"/>
      <c r="T617" s="7"/>
      <c r="U617" s="7"/>
      <c r="V617" s="27"/>
      <c r="W617" s="59"/>
      <c r="X617" s="14"/>
      <c r="Y617" s="14"/>
      <c r="Z617" s="43"/>
      <c r="AA617" s="14"/>
      <c r="AB617" s="14"/>
      <c r="AC617" s="8"/>
      <c r="AD617" s="8"/>
      <c r="AE617" s="8"/>
      <c r="AF617" s="8"/>
      <c r="AG617" s="8"/>
      <c r="AH617" s="72"/>
      <c r="AI617" s="8"/>
      <c r="AJ617" s="21"/>
      <c r="AK617" s="110"/>
      <c r="AL617" s="81"/>
      <c r="AM617" s="81"/>
      <c r="AN617" s="81"/>
      <c r="AO617" s="81"/>
      <c r="AP617" s="81"/>
      <c r="AQ617" s="81"/>
      <c r="AR617" s="81"/>
      <c r="AS617" s="81"/>
      <c r="AT617" s="81"/>
    </row>
    <row r="618" ht="22.5" customHeight="1">
      <c r="A618" s="7"/>
      <c r="B618" s="7"/>
      <c r="C618" s="7"/>
      <c r="D618" s="7"/>
      <c r="E618" s="7"/>
      <c r="F618" s="7"/>
      <c r="G618" s="49"/>
      <c r="H618" s="49"/>
      <c r="I618" s="51"/>
      <c r="J618" s="108"/>
      <c r="K618" s="7"/>
      <c r="L618" s="10"/>
      <c r="M618" s="7"/>
      <c r="N618" s="7"/>
      <c r="O618" s="84"/>
      <c r="P618" s="7"/>
      <c r="Q618" s="7"/>
      <c r="R618" s="78"/>
      <c r="S618" s="7"/>
      <c r="T618" s="7"/>
      <c r="U618" s="7"/>
      <c r="V618" s="27"/>
      <c r="W618" s="59"/>
      <c r="X618" s="14"/>
      <c r="Y618" s="14"/>
      <c r="Z618" s="43"/>
      <c r="AA618" s="14"/>
      <c r="AB618" s="14"/>
      <c r="AC618" s="8"/>
      <c r="AD618" s="8"/>
      <c r="AE618" s="8"/>
      <c r="AF618" s="8"/>
      <c r="AG618" s="8"/>
      <c r="AH618" s="72"/>
      <c r="AI618" s="8"/>
      <c r="AJ618" s="21"/>
      <c r="AK618" s="110"/>
      <c r="AL618" s="81"/>
      <c r="AM618" s="81"/>
      <c r="AN618" s="81"/>
      <c r="AO618" s="81"/>
      <c r="AP618" s="81"/>
      <c r="AQ618" s="81"/>
      <c r="AR618" s="81"/>
      <c r="AS618" s="81"/>
      <c r="AT618" s="81"/>
    </row>
    <row r="619" ht="22.5" customHeight="1">
      <c r="A619" s="7"/>
      <c r="B619" s="7"/>
      <c r="C619" s="7"/>
      <c r="D619" s="7"/>
      <c r="E619" s="7"/>
      <c r="F619" s="7"/>
      <c r="G619" s="49"/>
      <c r="H619" s="49"/>
      <c r="I619" s="51"/>
      <c r="J619" s="82"/>
      <c r="K619" s="7"/>
      <c r="L619" s="10"/>
      <c r="M619" s="7"/>
      <c r="N619" s="7"/>
      <c r="O619" s="84"/>
      <c r="P619" s="7"/>
      <c r="Q619" s="7"/>
      <c r="R619" s="78"/>
      <c r="S619" s="85"/>
      <c r="T619" s="7"/>
      <c r="U619" s="7"/>
      <c r="V619" s="14"/>
      <c r="W619" s="13"/>
      <c r="X619" s="14"/>
      <c r="Y619" s="14"/>
      <c r="Z619" s="43"/>
      <c r="AA619" s="14"/>
      <c r="AB619" s="14"/>
      <c r="AC619" s="8"/>
      <c r="AD619" s="8"/>
      <c r="AE619" s="8"/>
      <c r="AF619" s="8"/>
      <c r="AG619" s="8"/>
      <c r="AH619" s="72"/>
      <c r="AI619" s="8"/>
      <c r="AJ619" s="21"/>
      <c r="AK619" s="86"/>
      <c r="AL619" s="81"/>
      <c r="AM619" s="81"/>
      <c r="AN619" s="81"/>
      <c r="AO619" s="81"/>
      <c r="AP619" s="81"/>
      <c r="AQ619" s="81"/>
      <c r="AR619" s="81"/>
      <c r="AS619" s="81"/>
      <c r="AT619" s="81"/>
    </row>
    <row r="620" ht="22.5" customHeight="1">
      <c r="A620" s="7"/>
      <c r="B620" s="7"/>
      <c r="C620" s="7"/>
      <c r="D620" s="7"/>
      <c r="E620" s="7"/>
      <c r="F620" s="7"/>
      <c r="G620" s="49"/>
      <c r="H620" s="49"/>
      <c r="I620" s="51"/>
      <c r="J620" s="108"/>
      <c r="K620" s="7"/>
      <c r="L620" s="10"/>
      <c r="M620" s="7"/>
      <c r="N620" s="7"/>
      <c r="O620" s="84"/>
      <c r="P620" s="14"/>
      <c r="Q620" s="7"/>
      <c r="R620" s="11"/>
      <c r="S620" s="7"/>
      <c r="T620" s="7"/>
      <c r="U620" s="7"/>
      <c r="V620" s="14"/>
      <c r="W620" s="13"/>
      <c r="X620" s="14"/>
      <c r="Y620" s="14"/>
      <c r="Z620" s="7"/>
      <c r="AA620" s="14"/>
      <c r="AB620" s="109"/>
      <c r="AC620" s="21"/>
      <c r="AD620" s="21"/>
      <c r="AE620" s="21"/>
      <c r="AF620" s="8"/>
      <c r="AG620" s="8"/>
      <c r="AH620" s="72"/>
      <c r="AI620" s="8"/>
      <c r="AJ620" s="21"/>
      <c r="AK620" s="234"/>
      <c r="AL620" s="81"/>
      <c r="AM620" s="81"/>
      <c r="AN620" s="81"/>
      <c r="AO620" s="81"/>
      <c r="AP620" s="81"/>
      <c r="AQ620" s="81"/>
      <c r="AR620" s="81"/>
      <c r="AS620" s="81"/>
      <c r="AT620" s="81"/>
    </row>
    <row r="621" ht="22.5" customHeight="1">
      <c r="A621" s="7"/>
      <c r="B621" s="7"/>
      <c r="C621" s="7"/>
      <c r="D621" s="7"/>
      <c r="E621" s="7"/>
      <c r="F621" s="7"/>
      <c r="G621" s="49"/>
      <c r="H621" s="49"/>
      <c r="I621" s="165"/>
      <c r="J621" s="108"/>
      <c r="K621" s="7"/>
      <c r="L621" s="10"/>
      <c r="M621" s="7"/>
      <c r="N621" s="7"/>
      <c r="O621" s="84"/>
      <c r="P621" s="7"/>
      <c r="Q621" s="7"/>
      <c r="R621" s="11"/>
      <c r="S621" s="7"/>
      <c r="T621" s="7"/>
      <c r="U621" s="7"/>
      <c r="V621" s="14"/>
      <c r="W621" s="212"/>
      <c r="X621" s="7"/>
      <c r="Y621" s="14"/>
      <c r="Z621" s="7"/>
      <c r="AA621" s="7"/>
      <c r="AB621" s="109"/>
      <c r="AC621" s="123"/>
      <c r="AD621" s="123"/>
      <c r="AE621" s="21"/>
      <c r="AF621" s="8"/>
      <c r="AG621" s="8"/>
      <c r="AH621" s="72"/>
      <c r="AI621" s="8"/>
      <c r="AJ621" s="21"/>
      <c r="AK621" s="262"/>
      <c r="AL621" s="81"/>
      <c r="AM621" s="81"/>
      <c r="AN621" s="81"/>
      <c r="AO621" s="81"/>
      <c r="AP621" s="81"/>
      <c r="AQ621" s="81"/>
      <c r="AR621" s="81"/>
      <c r="AS621" s="81"/>
      <c r="AT621" s="81"/>
    </row>
    <row r="622" ht="22.5" customHeight="1">
      <c r="A622" s="147"/>
      <c r="B622" s="148"/>
      <c r="C622" s="148"/>
      <c r="D622" s="148"/>
      <c r="E622" s="148"/>
      <c r="F622" s="148"/>
      <c r="G622" s="149"/>
      <c r="H622" s="149"/>
      <c r="I622" s="111"/>
      <c r="J622" s="196"/>
      <c r="K622" s="148"/>
      <c r="L622" s="10"/>
      <c r="M622" s="7"/>
      <c r="N622" s="147"/>
      <c r="O622" s="84"/>
      <c r="P622" s="263"/>
      <c r="Q622" s="152"/>
      <c r="R622" s="264"/>
      <c r="S622" s="7"/>
      <c r="T622" s="265"/>
      <c r="U622" s="152"/>
      <c r="V622" s="14"/>
      <c r="W622" s="29"/>
      <c r="X622" s="14"/>
      <c r="Y622" s="14"/>
      <c r="Z622" s="152"/>
      <c r="AA622" s="14"/>
      <c r="AB622" s="266"/>
      <c r="AC622" s="267"/>
      <c r="AD622" s="21"/>
      <c r="AE622" s="21"/>
      <c r="AF622" s="8"/>
      <c r="AG622" s="8"/>
      <c r="AH622" s="72"/>
      <c r="AI622" s="8"/>
      <c r="AJ622" s="155"/>
      <c r="AK622" s="268"/>
      <c r="AL622" s="81"/>
      <c r="AM622" s="81"/>
      <c r="AN622" s="81"/>
      <c r="AO622" s="81"/>
      <c r="AP622" s="81"/>
      <c r="AQ622" s="81"/>
      <c r="AR622" s="81"/>
      <c r="AS622" s="81"/>
      <c r="AT622" s="81"/>
    </row>
    <row r="623" ht="22.5" customHeight="1">
      <c r="A623" s="7"/>
      <c r="B623" s="7"/>
      <c r="C623" s="7"/>
      <c r="D623" s="7"/>
      <c r="E623" s="7"/>
      <c r="F623" s="7"/>
      <c r="G623" s="49"/>
      <c r="H623" s="49"/>
      <c r="I623" s="51"/>
      <c r="J623" s="108"/>
      <c r="K623" s="7"/>
      <c r="L623" s="10"/>
      <c r="M623" s="7"/>
      <c r="N623" s="7"/>
      <c r="O623" s="84"/>
      <c r="P623" s="14"/>
      <c r="Q623" s="7"/>
      <c r="R623" s="11"/>
      <c r="S623" s="7"/>
      <c r="T623" s="7"/>
      <c r="U623" s="7"/>
      <c r="V623" s="14"/>
      <c r="W623" s="29"/>
      <c r="X623" s="14"/>
      <c r="Y623" s="14"/>
      <c r="Z623" s="7"/>
      <c r="AA623" s="14"/>
      <c r="AB623" s="109"/>
      <c r="AC623" s="21"/>
      <c r="AD623" s="21"/>
      <c r="AE623" s="21"/>
      <c r="AF623" s="8"/>
      <c r="AG623" s="8"/>
      <c r="AH623" s="72"/>
      <c r="AI623" s="8"/>
      <c r="AJ623" s="21"/>
      <c r="AK623" s="236"/>
      <c r="AL623" s="81"/>
      <c r="AM623" s="81"/>
      <c r="AN623" s="81"/>
      <c r="AO623" s="81"/>
      <c r="AP623" s="81"/>
      <c r="AQ623" s="81"/>
      <c r="AR623" s="81"/>
      <c r="AS623" s="81"/>
      <c r="AT623" s="81"/>
    </row>
    <row r="624" ht="22.5" customHeight="1">
      <c r="A624" s="7"/>
      <c r="B624" s="7"/>
      <c r="C624" s="7"/>
      <c r="D624" s="7"/>
      <c r="E624" s="7"/>
      <c r="F624" s="7"/>
      <c r="G624" s="49"/>
      <c r="H624" s="49"/>
      <c r="I624" s="51"/>
      <c r="J624" s="82"/>
      <c r="K624" s="7"/>
      <c r="L624" s="10"/>
      <c r="M624" s="7"/>
      <c r="N624" s="7"/>
      <c r="O624" s="84"/>
      <c r="P624" s="14"/>
      <c r="Q624" s="7"/>
      <c r="R624" s="11"/>
      <c r="S624" s="7"/>
      <c r="T624" s="7"/>
      <c r="U624" s="7"/>
      <c r="V624" s="14"/>
      <c r="W624" s="29"/>
      <c r="X624" s="14"/>
      <c r="Y624" s="14"/>
      <c r="Z624" s="213"/>
      <c r="AA624" s="14"/>
      <c r="AB624" s="109"/>
      <c r="AC624" s="21"/>
      <c r="AD624" s="21"/>
      <c r="AE624" s="21"/>
      <c r="AF624" s="8"/>
      <c r="AG624" s="8"/>
      <c r="AH624" s="72"/>
      <c r="AI624" s="8"/>
      <c r="AJ624" s="21"/>
      <c r="AK624" s="124"/>
      <c r="AL624" s="81"/>
      <c r="AM624" s="81"/>
      <c r="AN624" s="81"/>
      <c r="AO624" s="81"/>
      <c r="AP624" s="81"/>
      <c r="AQ624" s="81"/>
      <c r="AR624" s="81"/>
      <c r="AS624" s="81"/>
      <c r="AT624" s="81"/>
    </row>
    <row r="625" ht="22.5" customHeight="1">
      <c r="A625" s="7"/>
      <c r="B625" s="7"/>
      <c r="C625" s="7"/>
      <c r="D625" s="7"/>
      <c r="E625" s="7"/>
      <c r="F625" s="7"/>
      <c r="G625" s="49"/>
      <c r="H625" s="49"/>
      <c r="I625" s="165"/>
      <c r="J625" s="108"/>
      <c r="K625" s="7"/>
      <c r="L625" s="10"/>
      <c r="M625" s="7"/>
      <c r="N625" s="7"/>
      <c r="O625" s="7"/>
      <c r="P625" s="7"/>
      <c r="Q625" s="7"/>
      <c r="R625" s="11"/>
      <c r="S625" s="7"/>
      <c r="T625" s="7"/>
      <c r="U625" s="7"/>
      <c r="V625" s="14"/>
      <c r="W625" s="217"/>
      <c r="X625" s="7"/>
      <c r="Y625" s="14"/>
      <c r="Z625" s="7"/>
      <c r="AA625" s="7"/>
      <c r="AB625" s="109"/>
      <c r="AC625" s="21"/>
      <c r="AD625" s="21"/>
      <c r="AE625" s="21"/>
      <c r="AF625" s="8"/>
      <c r="AG625" s="8"/>
      <c r="AH625" s="72"/>
      <c r="AI625" s="8"/>
      <c r="AJ625" s="21"/>
      <c r="AK625" s="86"/>
      <c r="AL625" s="81"/>
      <c r="AM625" s="81"/>
      <c r="AN625" s="81"/>
      <c r="AO625" s="81"/>
      <c r="AP625" s="81"/>
      <c r="AQ625" s="81"/>
      <c r="AR625" s="81"/>
      <c r="AS625" s="81"/>
      <c r="AT625" s="81"/>
    </row>
    <row r="626" ht="22.5" customHeight="1">
      <c r="A626" s="240"/>
      <c r="B626" s="7"/>
      <c r="C626" s="7"/>
      <c r="D626" s="7"/>
      <c r="E626" s="7"/>
      <c r="F626" s="7"/>
      <c r="G626" s="49"/>
      <c r="H626" s="49"/>
      <c r="I626" s="51"/>
      <c r="J626" s="108"/>
      <c r="K626" s="7"/>
      <c r="L626" s="10"/>
      <c r="M626" s="7"/>
      <c r="N626" s="7"/>
      <c r="O626" s="84"/>
      <c r="P626" s="14"/>
      <c r="Q626" s="7"/>
      <c r="R626" s="78"/>
      <c r="S626" s="7"/>
      <c r="T626" s="7"/>
      <c r="U626" s="7"/>
      <c r="V626" s="14"/>
      <c r="W626" s="13"/>
      <c r="X626" s="14"/>
      <c r="Y626" s="14"/>
      <c r="Z626" s="43"/>
      <c r="AA626" s="14"/>
      <c r="AB626" s="14"/>
      <c r="AC626" s="8"/>
      <c r="AD626" s="8"/>
      <c r="AE626" s="8"/>
      <c r="AF626" s="8"/>
      <c r="AG626" s="8"/>
      <c r="AH626" s="72"/>
      <c r="AI626" s="8"/>
      <c r="AJ626" s="21"/>
      <c r="AK626" s="23"/>
      <c r="AL626" s="81"/>
      <c r="AM626" s="81"/>
      <c r="AN626" s="81"/>
      <c r="AO626" s="81"/>
      <c r="AP626" s="81"/>
      <c r="AQ626" s="81"/>
      <c r="AR626" s="81"/>
      <c r="AS626" s="81"/>
      <c r="AT626" s="81"/>
    </row>
    <row r="627" ht="22.5" customHeight="1">
      <c r="A627" s="7"/>
      <c r="B627" s="7"/>
      <c r="C627" s="7"/>
      <c r="D627" s="7"/>
      <c r="E627" s="7"/>
      <c r="F627" s="7"/>
      <c r="G627" s="49"/>
      <c r="H627" s="49"/>
      <c r="I627" s="51"/>
      <c r="J627" s="108"/>
      <c r="K627" s="7"/>
      <c r="L627" s="10"/>
      <c r="M627" s="7"/>
      <c r="N627" s="7"/>
      <c r="O627" s="84"/>
      <c r="P627" s="57"/>
      <c r="Q627" s="7"/>
      <c r="R627" s="7"/>
      <c r="S627" s="7"/>
      <c r="T627" s="7"/>
      <c r="U627" s="7"/>
      <c r="V627" s="27"/>
      <c r="W627" s="13"/>
      <c r="X627" s="14"/>
      <c r="Y627" s="14"/>
      <c r="Z627" s="43"/>
      <c r="AA627" s="14"/>
      <c r="AB627" s="14"/>
      <c r="AC627" s="8"/>
      <c r="AD627" s="8"/>
      <c r="AE627" s="8"/>
      <c r="AF627" s="8"/>
      <c r="AG627" s="8"/>
      <c r="AH627" s="72"/>
      <c r="AI627" s="8"/>
      <c r="AJ627" s="21"/>
      <c r="AK627" s="110"/>
      <c r="AL627" s="75"/>
      <c r="AM627" s="75"/>
      <c r="AN627" s="75"/>
      <c r="AO627" s="75"/>
      <c r="AP627" s="75"/>
      <c r="AQ627" s="75"/>
      <c r="AR627" s="75"/>
      <c r="AS627" s="75"/>
      <c r="AT627" s="75"/>
    </row>
    <row r="628" ht="22.5" customHeight="1">
      <c r="A628" s="7"/>
      <c r="B628" s="269"/>
      <c r="C628" s="7"/>
      <c r="D628" s="7"/>
      <c r="E628" s="7"/>
      <c r="F628" s="7"/>
      <c r="G628" s="49"/>
      <c r="H628" s="49"/>
      <c r="I628" s="165"/>
      <c r="J628" s="108"/>
      <c r="K628" s="7"/>
      <c r="L628" s="10"/>
      <c r="M628" s="7"/>
      <c r="N628" s="7"/>
      <c r="O628" s="84"/>
      <c r="P628" s="7"/>
      <c r="Q628" s="7"/>
      <c r="R628" s="11"/>
      <c r="S628" s="7"/>
      <c r="T628" s="7"/>
      <c r="U628" s="7"/>
      <c r="V628" s="14"/>
      <c r="W628" s="212"/>
      <c r="X628" s="7"/>
      <c r="Y628" s="14"/>
      <c r="Z628" s="7"/>
      <c r="AA628" s="7"/>
      <c r="AB628" s="109"/>
      <c r="AC628" s="21"/>
      <c r="AD628" s="21"/>
      <c r="AE628" s="21"/>
      <c r="AF628" s="8"/>
      <c r="AG628" s="8"/>
      <c r="AH628" s="72"/>
      <c r="AI628" s="8"/>
      <c r="AJ628" s="21"/>
      <c r="AK628" s="21"/>
      <c r="AL628" s="81"/>
      <c r="AM628" s="81"/>
      <c r="AN628" s="81"/>
      <c r="AO628" s="81"/>
      <c r="AP628" s="81"/>
      <c r="AQ628" s="81"/>
      <c r="AR628" s="81"/>
      <c r="AS628" s="81"/>
      <c r="AT628" s="81"/>
    </row>
    <row r="629" ht="22.5" customHeight="1">
      <c r="A629" s="7"/>
      <c r="B629" s="7"/>
      <c r="C629" s="7"/>
      <c r="D629" s="7"/>
      <c r="E629" s="7"/>
      <c r="F629" s="7"/>
      <c r="G629" s="49"/>
      <c r="H629" s="49"/>
      <c r="I629" s="51"/>
      <c r="J629" s="9"/>
      <c r="K629" s="7"/>
      <c r="L629" s="10"/>
      <c r="M629" s="7"/>
      <c r="N629" s="7"/>
      <c r="O629" s="7"/>
      <c r="P629" s="14"/>
      <c r="Q629" s="7"/>
      <c r="R629" s="78"/>
      <c r="S629" s="7"/>
      <c r="T629" s="7"/>
      <c r="U629" s="7"/>
      <c r="V629" s="14"/>
      <c r="W629" s="13"/>
      <c r="X629" s="14"/>
      <c r="Y629" s="14"/>
      <c r="Z629" s="43"/>
      <c r="AA629" s="14"/>
      <c r="AB629" s="14"/>
      <c r="AC629" s="8"/>
      <c r="AD629" s="8"/>
      <c r="AE629" s="8"/>
      <c r="AF629" s="8"/>
      <c r="AG629" s="8"/>
      <c r="AH629" s="72"/>
      <c r="AI629" s="8"/>
      <c r="AJ629" s="21"/>
      <c r="AK629" s="110"/>
      <c r="AL629" s="81"/>
      <c r="AM629" s="81"/>
      <c r="AN629" s="81"/>
      <c r="AO629" s="81"/>
      <c r="AP629" s="81"/>
      <c r="AQ629" s="81"/>
      <c r="AR629" s="81"/>
      <c r="AS629" s="81"/>
      <c r="AT629" s="81"/>
    </row>
    <row r="630" ht="22.5" customHeight="1">
      <c r="A630" s="7"/>
      <c r="B630" s="7"/>
      <c r="C630" s="7"/>
      <c r="D630" s="7"/>
      <c r="E630" s="7"/>
      <c r="F630" s="7"/>
      <c r="G630" s="49"/>
      <c r="H630" s="49"/>
      <c r="I630" s="51"/>
      <c r="J630" s="108"/>
      <c r="K630" s="7"/>
      <c r="L630" s="10"/>
      <c r="M630" s="7"/>
      <c r="N630" s="7"/>
      <c r="O630" s="84"/>
      <c r="P630" s="14"/>
      <c r="Q630" s="7"/>
      <c r="R630" s="11"/>
      <c r="S630" s="7"/>
      <c r="T630" s="7"/>
      <c r="U630" s="7"/>
      <c r="V630" s="14"/>
      <c r="W630" s="13"/>
      <c r="X630" s="14"/>
      <c r="Y630" s="14"/>
      <c r="Z630" s="7"/>
      <c r="AA630" s="14"/>
      <c r="AB630" s="109"/>
      <c r="AC630" s="21"/>
      <c r="AD630" s="21"/>
      <c r="AE630" s="21"/>
      <c r="AF630" s="8"/>
      <c r="AG630" s="8"/>
      <c r="AH630" s="72"/>
      <c r="AI630" s="8"/>
      <c r="AJ630" s="21"/>
      <c r="AK630" s="234"/>
      <c r="AL630" s="227"/>
      <c r="AM630" s="227"/>
      <c r="AN630" s="81"/>
      <c r="AO630" s="81"/>
      <c r="AP630" s="81"/>
      <c r="AQ630" s="81"/>
      <c r="AR630" s="81"/>
      <c r="AS630" s="81"/>
      <c r="AT630" s="81"/>
    </row>
    <row r="631" ht="22.5" customHeight="1">
      <c r="A631" s="7"/>
      <c r="B631" s="7"/>
      <c r="C631" s="7"/>
      <c r="D631" s="7"/>
      <c r="E631" s="7"/>
      <c r="F631" s="7"/>
      <c r="G631" s="49"/>
      <c r="H631" s="49"/>
      <c r="I631" s="165"/>
      <c r="J631" s="108"/>
      <c r="K631" s="7"/>
      <c r="L631" s="10"/>
      <c r="M631" s="7"/>
      <c r="N631" s="7"/>
      <c r="O631" s="7"/>
      <c r="P631" s="7"/>
      <c r="Q631" s="7"/>
      <c r="R631" s="11"/>
      <c r="S631" s="7"/>
      <c r="T631" s="7"/>
      <c r="U631" s="7"/>
      <c r="V631" s="14"/>
      <c r="W631" s="217"/>
      <c r="X631" s="7"/>
      <c r="Y631" s="14"/>
      <c r="Z631" s="7"/>
      <c r="AA631" s="7"/>
      <c r="AB631" s="109"/>
      <c r="AC631" s="21"/>
      <c r="AD631" s="21"/>
      <c r="AE631" s="21"/>
      <c r="AF631" s="8"/>
      <c r="AG631" s="8"/>
      <c r="AH631" s="72"/>
      <c r="AI631" s="8"/>
      <c r="AJ631" s="21"/>
      <c r="AK631" s="86"/>
      <c r="AL631" s="227"/>
      <c r="AM631" s="227"/>
      <c r="AN631" s="81"/>
      <c r="AO631" s="81"/>
      <c r="AP631" s="81"/>
      <c r="AQ631" s="81"/>
      <c r="AR631" s="81"/>
      <c r="AS631" s="81"/>
      <c r="AT631" s="81"/>
    </row>
    <row r="632" ht="22.5" customHeight="1">
      <c r="A632" s="240"/>
      <c r="B632" s="7"/>
      <c r="C632" s="7"/>
      <c r="D632" s="7"/>
      <c r="E632" s="7"/>
      <c r="F632" s="7"/>
      <c r="G632" s="49"/>
      <c r="H632" s="49"/>
      <c r="I632" s="51"/>
      <c r="J632" s="9"/>
      <c r="K632" s="7"/>
      <c r="L632" s="10"/>
      <c r="M632" s="7"/>
      <c r="N632" s="7"/>
      <c r="O632" s="216"/>
      <c r="P632" s="14"/>
      <c r="Q632" s="7"/>
      <c r="R632" s="78"/>
      <c r="S632" s="7"/>
      <c r="T632" s="7"/>
      <c r="U632" s="7"/>
      <c r="V632" s="14"/>
      <c r="W632" s="13"/>
      <c r="X632" s="14"/>
      <c r="Y632" s="14"/>
      <c r="Z632" s="43"/>
      <c r="AA632" s="14"/>
      <c r="AB632" s="14"/>
      <c r="AC632" s="8"/>
      <c r="AD632" s="8"/>
      <c r="AE632" s="8"/>
      <c r="AF632" s="8"/>
      <c r="AG632" s="8"/>
      <c r="AH632" s="72"/>
      <c r="AI632" s="8"/>
      <c r="AJ632" s="21"/>
      <c r="AK632" s="124"/>
      <c r="AL632" s="227"/>
      <c r="AM632" s="227"/>
      <c r="AN632" s="81"/>
      <c r="AO632" s="81"/>
      <c r="AP632" s="81"/>
      <c r="AQ632" s="81"/>
      <c r="AR632" s="81"/>
      <c r="AS632" s="81"/>
      <c r="AT632" s="81"/>
    </row>
    <row r="633" ht="22.5" customHeight="1">
      <c r="A633" s="7"/>
      <c r="B633" s="7"/>
      <c r="C633" s="7"/>
      <c r="D633" s="7"/>
      <c r="E633" s="7"/>
      <c r="F633" s="7"/>
      <c r="G633" s="49"/>
      <c r="H633" s="49"/>
      <c r="I633" s="51"/>
      <c r="J633" s="9"/>
      <c r="K633" s="7"/>
      <c r="L633" s="10"/>
      <c r="M633" s="7"/>
      <c r="N633" s="7"/>
      <c r="O633" s="84"/>
      <c r="P633" s="14"/>
      <c r="Q633" s="7"/>
      <c r="R633" s="11"/>
      <c r="S633" s="7"/>
      <c r="T633" s="7"/>
      <c r="U633" s="7"/>
      <c r="V633" s="14"/>
      <c r="W633" s="13"/>
      <c r="X633" s="14"/>
      <c r="Y633" s="14"/>
      <c r="Z633" s="7"/>
      <c r="AA633" s="14"/>
      <c r="AB633" s="109"/>
      <c r="AC633" s="21"/>
      <c r="AD633" s="21"/>
      <c r="AE633" s="21"/>
      <c r="AF633" s="8"/>
      <c r="AG633" s="8"/>
      <c r="AH633" s="72"/>
      <c r="AI633" s="8"/>
      <c r="AJ633" s="21"/>
      <c r="AK633" s="234"/>
      <c r="AL633" s="227"/>
      <c r="AM633" s="227"/>
      <c r="AN633" s="81"/>
      <c r="AO633" s="81"/>
      <c r="AP633" s="81"/>
      <c r="AQ633" s="81"/>
      <c r="AR633" s="81"/>
      <c r="AS633" s="81"/>
      <c r="AT633" s="81"/>
    </row>
    <row r="634" ht="22.5" customHeight="1">
      <c r="A634" s="7"/>
      <c r="B634" s="7"/>
      <c r="C634" s="7"/>
      <c r="D634" s="7"/>
      <c r="E634" s="7"/>
      <c r="F634" s="7"/>
      <c r="G634" s="49"/>
      <c r="H634" s="49"/>
      <c r="I634" s="165"/>
      <c r="J634" s="108"/>
      <c r="K634" s="7"/>
      <c r="L634" s="10"/>
      <c r="M634" s="7"/>
      <c r="N634" s="7"/>
      <c r="O634" s="7"/>
      <c r="P634" s="7"/>
      <c r="Q634" s="7"/>
      <c r="R634" s="11"/>
      <c r="S634" s="7"/>
      <c r="T634" s="7"/>
      <c r="U634" s="7"/>
      <c r="V634" s="14"/>
      <c r="W634" s="217"/>
      <c r="X634" s="7"/>
      <c r="Y634" s="14"/>
      <c r="Z634" s="7"/>
      <c r="AA634" s="169"/>
      <c r="AB634" s="270"/>
      <c r="AC634" s="267"/>
      <c r="AD634" s="267"/>
      <c r="AE634" s="21"/>
      <c r="AF634" s="8"/>
      <c r="AG634" s="8"/>
      <c r="AH634" s="72"/>
      <c r="AI634" s="8"/>
      <c r="AJ634" s="251"/>
      <c r="AK634" s="251"/>
      <c r="AL634" s="81"/>
      <c r="AM634" s="81"/>
      <c r="AN634" s="81"/>
      <c r="AO634" s="81"/>
      <c r="AP634" s="81"/>
      <c r="AQ634" s="81"/>
      <c r="AR634" s="81"/>
      <c r="AS634" s="81"/>
      <c r="AT634" s="81"/>
    </row>
    <row r="635" ht="22.5" customHeight="1">
      <c r="A635" s="7"/>
      <c r="B635" s="7"/>
      <c r="C635" s="7"/>
      <c r="D635" s="7"/>
      <c r="E635" s="7"/>
      <c r="F635" s="7"/>
      <c r="G635" s="49"/>
      <c r="H635" s="49"/>
      <c r="I635" s="51"/>
      <c r="J635" s="9"/>
      <c r="K635" s="7"/>
      <c r="L635" s="10"/>
      <c r="M635" s="7"/>
      <c r="N635" s="83"/>
      <c r="O635" s="84"/>
      <c r="P635" s="7"/>
      <c r="Q635" s="7"/>
      <c r="R635" s="78"/>
      <c r="S635" s="85"/>
      <c r="T635" s="7"/>
      <c r="U635" s="7"/>
      <c r="V635" s="14"/>
      <c r="W635" s="13"/>
      <c r="X635" s="14"/>
      <c r="Y635" s="14"/>
      <c r="Z635" s="43"/>
      <c r="AA635" s="14"/>
      <c r="AB635" s="14"/>
      <c r="AC635" s="8"/>
      <c r="AD635" s="8"/>
      <c r="AE635" s="8"/>
      <c r="AF635" s="8"/>
      <c r="AG635" s="8"/>
      <c r="AH635" s="72"/>
      <c r="AI635" s="8"/>
      <c r="AJ635" s="251"/>
      <c r="AK635" s="258"/>
      <c r="AL635" s="81"/>
      <c r="AM635" s="81"/>
      <c r="AN635" s="81"/>
      <c r="AO635" s="81"/>
      <c r="AP635" s="81"/>
      <c r="AQ635" s="81"/>
      <c r="AR635" s="81"/>
      <c r="AS635" s="81"/>
      <c r="AT635" s="81"/>
    </row>
    <row r="636" ht="22.5" customHeight="1">
      <c r="A636" s="7"/>
      <c r="B636" s="7"/>
      <c r="C636" s="7"/>
      <c r="D636" s="7"/>
      <c r="E636" s="7"/>
      <c r="F636" s="7"/>
      <c r="G636" s="149"/>
      <c r="H636" s="149"/>
      <c r="I636" s="230"/>
      <c r="J636" s="82"/>
      <c r="K636" s="7"/>
      <c r="L636" s="10"/>
      <c r="M636" s="7"/>
      <c r="N636" s="83"/>
      <c r="O636" s="84"/>
      <c r="P636" s="7"/>
      <c r="Q636" s="7"/>
      <c r="R636" s="11"/>
      <c r="S636" s="7"/>
      <c r="T636" s="7"/>
      <c r="U636" s="7"/>
      <c r="V636" s="14"/>
      <c r="W636" s="212"/>
      <c r="X636" s="7"/>
      <c r="Y636" s="14"/>
      <c r="Z636" s="213"/>
      <c r="AA636" s="7"/>
      <c r="AB636" s="109"/>
      <c r="AC636" s="21"/>
      <c r="AD636" s="21"/>
      <c r="AE636" s="21"/>
      <c r="AF636" s="8"/>
      <c r="AG636" s="8"/>
      <c r="AH636" s="72"/>
      <c r="AI636" s="8"/>
      <c r="AJ636" s="251"/>
      <c r="AK636" s="258"/>
      <c r="AL636" s="81"/>
      <c r="AM636" s="81"/>
      <c r="AN636" s="81"/>
      <c r="AO636" s="81"/>
      <c r="AP636" s="81"/>
      <c r="AQ636" s="81"/>
      <c r="AR636" s="81"/>
      <c r="AS636" s="81"/>
      <c r="AT636" s="81"/>
    </row>
    <row r="637" ht="22.5" customHeight="1">
      <c r="A637" s="240"/>
      <c r="B637" s="7"/>
      <c r="C637" s="7"/>
      <c r="D637" s="7"/>
      <c r="E637" s="7"/>
      <c r="F637" s="7"/>
      <c r="G637" s="149"/>
      <c r="H637" s="149"/>
      <c r="I637" s="111"/>
      <c r="J637" s="108"/>
      <c r="K637" s="7"/>
      <c r="L637" s="10"/>
      <c r="M637" s="7"/>
      <c r="N637" s="7"/>
      <c r="O637" s="56"/>
      <c r="P637" s="14"/>
      <c r="Q637" s="7"/>
      <c r="R637" s="11"/>
      <c r="S637" s="7"/>
      <c r="T637" s="7"/>
      <c r="U637" s="7"/>
      <c r="V637" s="14"/>
      <c r="W637" s="13"/>
      <c r="X637" s="14"/>
      <c r="Y637" s="14"/>
      <c r="Z637" s="7"/>
      <c r="AA637" s="14"/>
      <c r="AB637" s="109"/>
      <c r="AC637" s="21"/>
      <c r="AD637" s="21"/>
      <c r="AE637" s="21"/>
      <c r="AF637" s="8"/>
      <c r="AG637" s="8"/>
      <c r="AH637" s="72"/>
      <c r="AI637" s="8"/>
      <c r="AJ637" s="251"/>
      <c r="AK637" s="271"/>
      <c r="AL637" s="81"/>
      <c r="AM637" s="81"/>
      <c r="AN637" s="81"/>
      <c r="AO637" s="81"/>
      <c r="AP637" s="81"/>
      <c r="AQ637" s="81"/>
      <c r="AR637" s="81"/>
      <c r="AS637" s="81"/>
      <c r="AT637" s="81"/>
    </row>
    <row r="638" ht="22.5" customHeight="1">
      <c r="A638" s="240"/>
      <c r="B638" s="7"/>
      <c r="C638" s="7"/>
      <c r="D638" s="7"/>
      <c r="E638" s="7"/>
      <c r="F638" s="7"/>
      <c r="G638" s="49"/>
      <c r="H638" s="49"/>
      <c r="I638" s="51"/>
      <c r="J638" s="9"/>
      <c r="K638" s="7"/>
      <c r="L638" s="10"/>
      <c r="M638" s="7"/>
      <c r="N638" s="83"/>
      <c r="O638" s="84"/>
      <c r="P638" s="14"/>
      <c r="Q638" s="7"/>
      <c r="R638" s="78"/>
      <c r="S638" s="7"/>
      <c r="T638" s="7"/>
      <c r="U638" s="7"/>
      <c r="V638" s="14"/>
      <c r="W638" s="13"/>
      <c r="X638" s="14"/>
      <c r="Y638" s="14"/>
      <c r="Z638" s="43"/>
      <c r="AA638" s="14"/>
      <c r="AB638" s="14"/>
      <c r="AC638" s="8"/>
      <c r="AD638" s="8"/>
      <c r="AE638" s="8"/>
      <c r="AF638" s="8"/>
      <c r="AG638" s="8"/>
      <c r="AH638" s="72"/>
      <c r="AI638" s="8"/>
      <c r="AJ638" s="251"/>
      <c r="AK638" s="272"/>
      <c r="AL638" s="81"/>
      <c r="AM638" s="81"/>
      <c r="AN638" s="81"/>
      <c r="AO638" s="81"/>
      <c r="AP638" s="81"/>
      <c r="AQ638" s="81"/>
      <c r="AR638" s="81"/>
      <c r="AS638" s="81"/>
      <c r="AT638" s="81"/>
    </row>
    <row r="639" ht="22.5" customHeight="1">
      <c r="A639" s="87"/>
      <c r="B639" s="87"/>
      <c r="C639" s="87"/>
      <c r="D639" s="87"/>
      <c r="E639" s="87"/>
      <c r="F639" s="87"/>
      <c r="G639" s="115"/>
      <c r="H639" s="116"/>
      <c r="I639" s="117"/>
      <c r="J639" s="118"/>
      <c r="K639" s="87"/>
      <c r="L639" s="92"/>
      <c r="M639" s="87"/>
      <c r="N639" s="134"/>
      <c r="O639" s="135"/>
      <c r="P639" s="136"/>
      <c r="Q639" s="87"/>
      <c r="R639" s="95"/>
      <c r="S639" s="87"/>
      <c r="T639" s="87"/>
      <c r="U639" s="87"/>
      <c r="V639" s="97"/>
      <c r="W639" s="98"/>
      <c r="X639" s="99"/>
      <c r="Y639" s="99"/>
      <c r="Z639" s="119"/>
      <c r="AA639" s="99"/>
      <c r="AB639" s="99"/>
      <c r="AC639" s="101"/>
      <c r="AD639" s="101"/>
      <c r="AE639" s="101"/>
      <c r="AF639" s="101"/>
      <c r="AG639" s="101"/>
      <c r="AH639" s="102"/>
      <c r="AI639" s="101"/>
      <c r="AJ639" s="273"/>
      <c r="AK639" s="274"/>
      <c r="AL639" s="121"/>
      <c r="AM639" s="105"/>
      <c r="AN639" s="75"/>
      <c r="AO639" s="75"/>
      <c r="AP639" s="75"/>
      <c r="AQ639" s="75"/>
      <c r="AR639" s="75"/>
      <c r="AS639" s="75"/>
      <c r="AT639" s="75"/>
    </row>
    <row r="640" ht="22.5" customHeight="1">
      <c r="A640" s="7"/>
      <c r="B640" s="106"/>
      <c r="C640" s="7"/>
      <c r="D640" s="7"/>
      <c r="E640" s="7"/>
      <c r="F640" s="7"/>
      <c r="G640" s="149"/>
      <c r="H640" s="49"/>
      <c r="I640" s="111"/>
      <c r="J640" s="108"/>
      <c r="K640" s="106"/>
      <c r="L640" s="10"/>
      <c r="M640" s="7"/>
      <c r="N640" s="7"/>
      <c r="O640" s="233"/>
      <c r="P640" s="14"/>
      <c r="Q640" s="7"/>
      <c r="R640" s="11"/>
      <c r="S640" s="7"/>
      <c r="T640" s="7"/>
      <c r="U640" s="7"/>
      <c r="V640" s="14"/>
      <c r="W640" s="13"/>
      <c r="X640" s="14"/>
      <c r="Y640" s="14"/>
      <c r="Z640" s="7"/>
      <c r="AA640" s="14"/>
      <c r="AB640" s="109"/>
      <c r="AC640" s="21"/>
      <c r="AD640" s="21"/>
      <c r="AE640" s="21"/>
      <c r="AF640" s="8"/>
      <c r="AG640" s="8"/>
      <c r="AH640" s="72"/>
      <c r="AI640" s="8"/>
      <c r="AJ640" s="251"/>
      <c r="AK640" s="275"/>
      <c r="AL640" s="81"/>
      <c r="AM640" s="81"/>
      <c r="AN640" s="81"/>
      <c r="AO640" s="81"/>
      <c r="AP640" s="81"/>
      <c r="AQ640" s="81"/>
      <c r="AR640" s="81"/>
      <c r="AS640" s="81"/>
      <c r="AT640" s="81"/>
    </row>
    <row r="641" ht="22.5" customHeight="1">
      <c r="A641" s="7"/>
      <c r="B641" s="7"/>
      <c r="C641" s="7"/>
      <c r="D641" s="7"/>
      <c r="E641" s="7"/>
      <c r="F641" s="7"/>
      <c r="G641" s="149"/>
      <c r="H641" s="49"/>
      <c r="I641" s="111"/>
      <c r="J641" s="108"/>
      <c r="K641" s="7"/>
      <c r="L641" s="10"/>
      <c r="M641" s="7"/>
      <c r="N641" s="7"/>
      <c r="O641" s="84"/>
      <c r="P641" s="14"/>
      <c r="Q641" s="7"/>
      <c r="R641" s="11"/>
      <c r="S641" s="7"/>
      <c r="T641" s="7"/>
      <c r="U641" s="7"/>
      <c r="V641" s="14"/>
      <c r="W641" s="13"/>
      <c r="X641" s="14"/>
      <c r="Y641" s="14"/>
      <c r="Z641" s="7"/>
      <c r="AA641" s="14"/>
      <c r="AB641" s="109"/>
      <c r="AC641" s="21"/>
      <c r="AD641" s="21"/>
      <c r="AE641" s="21"/>
      <c r="AF641" s="8"/>
      <c r="AG641" s="8"/>
      <c r="AH641" s="72"/>
      <c r="AI641" s="8"/>
      <c r="AJ641" s="251"/>
      <c r="AK641" s="272"/>
      <c r="AL641" s="81"/>
      <c r="AM641" s="81"/>
      <c r="AN641" s="81"/>
      <c r="AO641" s="81"/>
      <c r="AP641" s="81"/>
      <c r="AQ641" s="81"/>
      <c r="AR641" s="81"/>
      <c r="AS641" s="81"/>
      <c r="AT641" s="81"/>
    </row>
    <row r="642" ht="22.5" customHeight="1">
      <c r="A642" s="240"/>
      <c r="B642" s="7"/>
      <c r="C642" s="7"/>
      <c r="D642" s="7"/>
      <c r="E642" s="7"/>
      <c r="F642" s="7"/>
      <c r="G642" s="149"/>
      <c r="H642" s="49"/>
      <c r="I642" s="111"/>
      <c r="J642" s="9"/>
      <c r="K642" s="7"/>
      <c r="L642" s="10"/>
      <c r="M642" s="7"/>
      <c r="N642" s="7"/>
      <c r="O642" s="216"/>
      <c r="P642" s="14"/>
      <c r="Q642" s="7"/>
      <c r="R642" s="78"/>
      <c r="S642" s="7"/>
      <c r="T642" s="7"/>
      <c r="U642" s="7"/>
      <c r="V642" s="14"/>
      <c r="W642" s="13"/>
      <c r="X642" s="14"/>
      <c r="Y642" s="14"/>
      <c r="Z642" s="43"/>
      <c r="AA642" s="14"/>
      <c r="AB642" s="14"/>
      <c r="AC642" s="8"/>
      <c r="AD642" s="8"/>
      <c r="AE642" s="8"/>
      <c r="AF642" s="8"/>
      <c r="AG642" s="8"/>
      <c r="AH642" s="72"/>
      <c r="AI642" s="8"/>
      <c r="AJ642" s="251"/>
      <c r="AK642" s="23"/>
      <c r="AL642" s="81"/>
      <c r="AM642" s="81"/>
      <c r="AN642" s="81"/>
      <c r="AO642" s="81"/>
      <c r="AP642" s="81"/>
      <c r="AQ642" s="81"/>
      <c r="AR642" s="81"/>
      <c r="AS642" s="81"/>
      <c r="AT642" s="81"/>
    </row>
    <row r="643" ht="22.5" customHeight="1">
      <c r="A643" s="7"/>
      <c r="B643" s="7"/>
      <c r="C643" s="7"/>
      <c r="D643" s="7"/>
      <c r="E643" s="7"/>
      <c r="F643" s="7"/>
      <c r="G643" s="49"/>
      <c r="H643" s="49"/>
      <c r="I643" s="51"/>
      <c r="J643" s="9"/>
      <c r="K643" s="7"/>
      <c r="L643" s="10"/>
      <c r="M643" s="7"/>
      <c r="N643" s="83"/>
      <c r="O643" s="84"/>
      <c r="P643" s="14"/>
      <c r="Q643" s="7"/>
      <c r="R643" s="78"/>
      <c r="S643" s="7"/>
      <c r="T643" s="7"/>
      <c r="U643" s="7"/>
      <c r="V643" s="14"/>
      <c r="W643" s="13"/>
      <c r="X643" s="14"/>
      <c r="Y643" s="14"/>
      <c r="Z643" s="43"/>
      <c r="AA643" s="14"/>
      <c r="AB643" s="14"/>
      <c r="AC643" s="8"/>
      <c r="AD643" s="8"/>
      <c r="AE643" s="8"/>
      <c r="AF643" s="8"/>
      <c r="AG643" s="8"/>
      <c r="AH643" s="72"/>
      <c r="AI643" s="8"/>
      <c r="AJ643" s="251"/>
      <c r="AK643" s="23"/>
      <c r="AL643" s="81"/>
      <c r="AM643" s="81"/>
      <c r="AN643" s="81"/>
      <c r="AO643" s="81"/>
      <c r="AP643" s="81"/>
      <c r="AQ643" s="81"/>
      <c r="AR643" s="81"/>
      <c r="AS643" s="81"/>
      <c r="AT643" s="81"/>
    </row>
    <row r="644" ht="22.5" customHeight="1">
      <c r="A644" s="7"/>
      <c r="B644" s="7"/>
      <c r="C644" s="7"/>
      <c r="D644" s="7"/>
      <c r="E644" s="7"/>
      <c r="F644" s="7"/>
      <c r="G644" s="49"/>
      <c r="H644" s="49"/>
      <c r="I644" s="51"/>
      <c r="J644" s="108"/>
      <c r="K644" s="7"/>
      <c r="L644" s="10"/>
      <c r="M644" s="7"/>
      <c r="N644" s="83"/>
      <c r="O644" s="84"/>
      <c r="P644" s="14"/>
      <c r="Q644" s="7"/>
      <c r="R644" s="11"/>
      <c r="S644" s="7"/>
      <c r="T644" s="7"/>
      <c r="U644" s="7"/>
      <c r="V644" s="14"/>
      <c r="W644" s="29"/>
      <c r="X644" s="14"/>
      <c r="Y644" s="14"/>
      <c r="Z644" s="213"/>
      <c r="AA644" s="14"/>
      <c r="AB644" s="109"/>
      <c r="AC644" s="21"/>
      <c r="AD644" s="21"/>
      <c r="AE644" s="21"/>
      <c r="AF644" s="8"/>
      <c r="AG644" s="8"/>
      <c r="AH644" s="72"/>
      <c r="AI644" s="8"/>
      <c r="AJ644" s="251"/>
      <c r="AK644" s="271"/>
      <c r="AL644" s="81"/>
      <c r="AM644" s="81"/>
      <c r="AN644" s="81"/>
      <c r="AO644" s="81"/>
      <c r="AP644" s="81"/>
      <c r="AQ644" s="81"/>
      <c r="AR644" s="81"/>
      <c r="AS644" s="81"/>
      <c r="AT644" s="81"/>
    </row>
    <row r="645" ht="22.5" customHeight="1">
      <c r="A645" s="7"/>
      <c r="B645" s="7"/>
      <c r="C645" s="7"/>
      <c r="D645" s="7"/>
      <c r="E645" s="7"/>
      <c r="F645" s="7"/>
      <c r="G645" s="49"/>
      <c r="H645" s="49"/>
      <c r="I645" s="51"/>
      <c r="J645" s="9"/>
      <c r="K645" s="7"/>
      <c r="L645" s="10"/>
      <c r="M645" s="7"/>
      <c r="N645" s="83"/>
      <c r="O645" s="84"/>
      <c r="P645" s="14"/>
      <c r="Q645" s="7"/>
      <c r="R645" s="78"/>
      <c r="S645" s="7"/>
      <c r="T645" s="7"/>
      <c r="U645" s="7"/>
      <c r="V645" s="14"/>
      <c r="W645" s="13"/>
      <c r="X645" s="14"/>
      <c r="Y645" s="14"/>
      <c r="Z645" s="43"/>
      <c r="AA645" s="14"/>
      <c r="AB645" s="14"/>
      <c r="AC645" s="8"/>
      <c r="AD645" s="8"/>
      <c r="AE645" s="8"/>
      <c r="AF645" s="8"/>
      <c r="AG645" s="8"/>
      <c r="AH645" s="72"/>
      <c r="AI645" s="8"/>
      <c r="AJ645" s="251"/>
      <c r="AK645" s="23"/>
      <c r="AL645" s="81"/>
      <c r="AM645" s="81"/>
      <c r="AN645" s="81"/>
      <c r="AO645" s="81"/>
      <c r="AP645" s="81"/>
      <c r="AQ645" s="81"/>
      <c r="AR645" s="81"/>
      <c r="AS645" s="81"/>
      <c r="AT645" s="81"/>
    </row>
    <row r="646" ht="22.5" customHeight="1">
      <c r="A646" s="7"/>
      <c r="B646" s="7"/>
      <c r="C646" s="7"/>
      <c r="D646" s="7"/>
      <c r="E646" s="7"/>
      <c r="F646" s="7"/>
      <c r="G646" s="49"/>
      <c r="H646" s="49"/>
      <c r="I646" s="51"/>
      <c r="J646" s="9"/>
      <c r="K646" s="7"/>
      <c r="L646" s="10"/>
      <c r="M646" s="7"/>
      <c r="N646" s="83"/>
      <c r="O646" s="84"/>
      <c r="P646" s="14"/>
      <c r="Q646" s="7"/>
      <c r="R646" s="78"/>
      <c r="S646" s="85"/>
      <c r="T646" s="7"/>
      <c r="U646" s="7"/>
      <c r="V646" s="27"/>
      <c r="W646" s="13"/>
      <c r="X646" s="14"/>
      <c r="Y646" s="14"/>
      <c r="Z646" s="43"/>
      <c r="AA646" s="14"/>
      <c r="AB646" s="14"/>
      <c r="AC646" s="8"/>
      <c r="AD646" s="8"/>
      <c r="AE646" s="8"/>
      <c r="AF646" s="8"/>
      <c r="AG646" s="8"/>
      <c r="AH646" s="72"/>
      <c r="AI646" s="8"/>
      <c r="AJ646" s="251"/>
      <c r="AK646" s="23"/>
      <c r="AL646" s="81"/>
      <c r="AM646" s="81"/>
      <c r="AN646" s="81"/>
      <c r="AO646" s="81"/>
      <c r="AP646" s="81"/>
      <c r="AQ646" s="81"/>
      <c r="AR646" s="81"/>
      <c r="AS646" s="81"/>
      <c r="AT646" s="81"/>
    </row>
    <row r="647" ht="22.5" customHeight="1">
      <c r="A647" s="7"/>
      <c r="B647" s="7"/>
      <c r="C647" s="7"/>
      <c r="D647" s="7"/>
      <c r="E647" s="7"/>
      <c r="F647" s="7"/>
      <c r="G647" s="49"/>
      <c r="H647" s="49"/>
      <c r="I647" s="51"/>
      <c r="J647" s="108"/>
      <c r="K647" s="7"/>
      <c r="L647" s="10"/>
      <c r="M647" s="7"/>
      <c r="N647" s="83"/>
      <c r="O647" s="84"/>
      <c r="P647" s="14"/>
      <c r="Q647" s="7"/>
      <c r="R647" s="11"/>
      <c r="S647" s="7"/>
      <c r="T647" s="7"/>
      <c r="U647" s="7"/>
      <c r="V647" s="14"/>
      <c r="W647" s="29"/>
      <c r="X647" s="14"/>
      <c r="Y647" s="14"/>
      <c r="Z647" s="213"/>
      <c r="AA647" s="14"/>
      <c r="AB647" s="109"/>
      <c r="AC647" s="21"/>
      <c r="AD647" s="21"/>
      <c r="AE647" s="21"/>
      <c r="AF647" s="8"/>
      <c r="AG647" s="8"/>
      <c r="AH647" s="72"/>
      <c r="AI647" s="8"/>
      <c r="AJ647" s="251"/>
      <c r="AK647" s="23"/>
      <c r="AL647" s="81"/>
      <c r="AM647" s="81"/>
      <c r="AN647" s="81"/>
      <c r="AO647" s="81"/>
      <c r="AP647" s="81"/>
      <c r="AQ647" s="81"/>
      <c r="AR647" s="81"/>
      <c r="AS647" s="81"/>
      <c r="AT647" s="81"/>
    </row>
    <row r="648" ht="22.5" customHeight="1">
      <c r="A648" s="7"/>
      <c r="B648" s="7"/>
      <c r="C648" s="7"/>
      <c r="D648" s="7"/>
      <c r="E648" s="7"/>
      <c r="F648" s="7"/>
      <c r="G648" s="239"/>
      <c r="H648" s="49"/>
      <c r="I648" s="111"/>
      <c r="J648" s="108"/>
      <c r="K648" s="7"/>
      <c r="L648" s="10"/>
      <c r="M648" s="7"/>
      <c r="N648" s="7"/>
      <c r="O648" s="84"/>
      <c r="P648" s="14"/>
      <c r="Q648" s="7"/>
      <c r="R648" s="11"/>
      <c r="S648" s="7"/>
      <c r="T648" s="7"/>
      <c r="U648" s="7"/>
      <c r="V648" s="14"/>
      <c r="W648" s="29"/>
      <c r="X648" s="14"/>
      <c r="Y648" s="14"/>
      <c r="Z648" s="7"/>
      <c r="AA648" s="14"/>
      <c r="AB648" s="109"/>
      <c r="AC648" s="21"/>
      <c r="AD648" s="21"/>
      <c r="AE648" s="21"/>
      <c r="AF648" s="8"/>
      <c r="AG648" s="8"/>
      <c r="AH648" s="72"/>
      <c r="AI648" s="8"/>
      <c r="AJ648" s="251"/>
      <c r="AK648" s="271"/>
      <c r="AL648" s="81"/>
      <c r="AM648" s="81"/>
      <c r="AN648" s="81"/>
      <c r="AO648" s="81"/>
      <c r="AP648" s="81"/>
      <c r="AQ648" s="81"/>
      <c r="AR648" s="81"/>
      <c r="AS648" s="81"/>
      <c r="AT648" s="81"/>
    </row>
    <row r="649" ht="22.5" customHeight="1">
      <c r="A649" s="7"/>
      <c r="B649" s="7"/>
      <c r="C649" s="7"/>
      <c r="D649" s="7"/>
      <c r="E649" s="7"/>
      <c r="F649" s="7"/>
      <c r="G649" s="149"/>
      <c r="H649" s="49"/>
      <c r="I649" s="111"/>
      <c r="J649" s="108"/>
      <c r="K649" s="7"/>
      <c r="L649" s="10"/>
      <c r="M649" s="7"/>
      <c r="N649" s="7"/>
      <c r="O649" s="233"/>
      <c r="P649" s="14"/>
      <c r="Q649" s="7"/>
      <c r="R649" s="11"/>
      <c r="S649" s="7"/>
      <c r="T649" s="7"/>
      <c r="U649" s="7"/>
      <c r="V649" s="14"/>
      <c r="W649" s="29"/>
      <c r="X649" s="14"/>
      <c r="Y649" s="14"/>
      <c r="Z649" s="7"/>
      <c r="AA649" s="14"/>
      <c r="AB649" s="109"/>
      <c r="AC649" s="21"/>
      <c r="AD649" s="21"/>
      <c r="AE649" s="21"/>
      <c r="AF649" s="8"/>
      <c r="AG649" s="8"/>
      <c r="AH649" s="72"/>
      <c r="AI649" s="8"/>
      <c r="AJ649" s="251"/>
      <c r="AK649" s="276"/>
      <c r="AL649" s="81"/>
      <c r="AM649" s="81"/>
      <c r="AN649" s="81"/>
      <c r="AO649" s="81"/>
      <c r="AP649" s="81"/>
      <c r="AQ649" s="81"/>
      <c r="AR649" s="81"/>
      <c r="AS649" s="81"/>
      <c r="AT649" s="81"/>
    </row>
    <row r="650" ht="22.5" customHeight="1">
      <c r="A650" s="7"/>
      <c r="B650" s="7"/>
      <c r="C650" s="7"/>
      <c r="D650" s="7"/>
      <c r="E650" s="7"/>
      <c r="F650" s="7"/>
      <c r="G650" s="112"/>
      <c r="H650" s="112"/>
      <c r="I650" s="111"/>
      <c r="J650" s="108"/>
      <c r="K650" s="7"/>
      <c r="L650" s="10"/>
      <c r="M650" s="7"/>
      <c r="N650" s="7"/>
      <c r="O650" s="233"/>
      <c r="P650" s="14"/>
      <c r="Q650" s="7"/>
      <c r="R650" s="11"/>
      <c r="S650" s="7"/>
      <c r="T650" s="7"/>
      <c r="U650" s="7"/>
      <c r="V650" s="14"/>
      <c r="W650" s="29"/>
      <c r="X650" s="14"/>
      <c r="Y650" s="14"/>
      <c r="Z650" s="7"/>
      <c r="AA650" s="14"/>
      <c r="AB650" s="7"/>
      <c r="AC650" s="21"/>
      <c r="AD650" s="21"/>
      <c r="AE650" s="21"/>
      <c r="AF650" s="8"/>
      <c r="AG650" s="8"/>
      <c r="AH650" s="72"/>
      <c r="AI650" s="8"/>
      <c r="AJ650" s="251"/>
      <c r="AK650" s="275"/>
      <c r="AL650" s="81"/>
      <c r="AM650" s="81"/>
      <c r="AN650" s="81"/>
      <c r="AO650" s="81"/>
      <c r="AP650" s="81"/>
      <c r="AQ650" s="81"/>
      <c r="AR650" s="81"/>
      <c r="AS650" s="81"/>
      <c r="AT650" s="81"/>
    </row>
    <row r="651" ht="22.5" customHeight="1">
      <c r="A651" s="240"/>
      <c r="B651" s="7"/>
      <c r="C651" s="7"/>
      <c r="D651" s="7"/>
      <c r="E651" s="7"/>
      <c r="F651" s="7"/>
      <c r="G651" s="112"/>
      <c r="H651" s="112"/>
      <c r="I651" s="111"/>
      <c r="J651" s="9"/>
      <c r="K651" s="7"/>
      <c r="L651" s="10"/>
      <c r="M651" s="7"/>
      <c r="N651" s="7"/>
      <c r="O651" s="216"/>
      <c r="P651" s="14"/>
      <c r="Q651" s="7"/>
      <c r="R651" s="78"/>
      <c r="S651" s="7"/>
      <c r="T651" s="7"/>
      <c r="U651" s="7"/>
      <c r="V651" s="14"/>
      <c r="W651" s="13"/>
      <c r="X651" s="14"/>
      <c r="Y651" s="14"/>
      <c r="Z651" s="43"/>
      <c r="AA651" s="14"/>
      <c r="AB651" s="14"/>
      <c r="AC651" s="8"/>
      <c r="AD651" s="8"/>
      <c r="AE651" s="8"/>
      <c r="AF651" s="8"/>
      <c r="AG651" s="8"/>
      <c r="AH651" s="72"/>
      <c r="AI651" s="8"/>
      <c r="AJ651" s="251"/>
      <c r="AK651" s="23"/>
      <c r="AL651" s="81"/>
      <c r="AM651" s="81"/>
      <c r="AN651" s="81"/>
      <c r="AO651" s="81"/>
      <c r="AP651" s="81"/>
      <c r="AQ651" s="81"/>
      <c r="AR651" s="81"/>
      <c r="AS651" s="81"/>
      <c r="AT651" s="81"/>
    </row>
    <row r="652" ht="22.5" customHeight="1">
      <c r="A652" s="7"/>
      <c r="B652" s="106"/>
      <c r="C652" s="7"/>
      <c r="D652" s="7"/>
      <c r="E652" s="7"/>
      <c r="F652" s="7"/>
      <c r="G652" s="149"/>
      <c r="H652" s="49"/>
      <c r="I652" s="111"/>
      <c r="J652" s="108"/>
      <c r="K652" s="7"/>
      <c r="L652" s="10"/>
      <c r="M652" s="7"/>
      <c r="N652" s="7"/>
      <c r="O652" s="84"/>
      <c r="P652" s="14"/>
      <c r="Q652" s="7"/>
      <c r="R652" s="11"/>
      <c r="S652" s="7"/>
      <c r="T652" s="7"/>
      <c r="U652" s="7"/>
      <c r="V652" s="14"/>
      <c r="W652" s="13"/>
      <c r="X652" s="14"/>
      <c r="Y652" s="14"/>
      <c r="Z652" s="7"/>
      <c r="AA652" s="14"/>
      <c r="AB652" s="109"/>
      <c r="AC652" s="21"/>
      <c r="AD652" s="21"/>
      <c r="AE652" s="21"/>
      <c r="AF652" s="8"/>
      <c r="AG652" s="8"/>
      <c r="AH652" s="72"/>
      <c r="AI652" s="8"/>
      <c r="AJ652" s="251"/>
      <c r="AK652" s="271"/>
      <c r="AL652" s="81"/>
      <c r="AM652" s="81"/>
      <c r="AN652" s="81"/>
      <c r="AO652" s="81"/>
      <c r="AP652" s="81"/>
      <c r="AQ652" s="81"/>
      <c r="AR652" s="81"/>
      <c r="AS652" s="81"/>
      <c r="AT652" s="81"/>
    </row>
    <row r="653" ht="22.5" customHeight="1">
      <c r="A653" s="7"/>
      <c r="B653" s="106"/>
      <c r="C653" s="7"/>
      <c r="D653" s="7"/>
      <c r="E653" s="7"/>
      <c r="F653" s="7"/>
      <c r="G653" s="112"/>
      <c r="H653" s="237"/>
      <c r="I653" s="111"/>
      <c r="J653" s="108"/>
      <c r="K653" s="7"/>
      <c r="L653" s="10"/>
      <c r="M653" s="7"/>
      <c r="N653" s="7"/>
      <c r="O653" s="233"/>
      <c r="P653" s="14"/>
      <c r="Q653" s="7"/>
      <c r="R653" s="11"/>
      <c r="S653" s="7"/>
      <c r="T653" s="7"/>
      <c r="U653" s="7"/>
      <c r="V653" s="14"/>
      <c r="W653" s="29"/>
      <c r="X653" s="14"/>
      <c r="Y653" s="14"/>
      <c r="Z653" s="7"/>
      <c r="AA653" s="14"/>
      <c r="AB653" s="7"/>
      <c r="AC653" s="21"/>
      <c r="AD653" s="21"/>
      <c r="AE653" s="21"/>
      <c r="AF653" s="8"/>
      <c r="AG653" s="8"/>
      <c r="AH653" s="72"/>
      <c r="AI653" s="8"/>
      <c r="AJ653" s="251"/>
      <c r="AK653" s="271"/>
      <c r="AL653" s="81"/>
      <c r="AM653" s="81"/>
      <c r="AN653" s="81"/>
      <c r="AO653" s="81"/>
      <c r="AP653" s="81"/>
      <c r="AQ653" s="81"/>
      <c r="AR653" s="81"/>
      <c r="AS653" s="81"/>
      <c r="AT653" s="81"/>
    </row>
    <row r="654" ht="22.5" customHeight="1">
      <c r="A654" s="7"/>
      <c r="B654" s="7"/>
      <c r="C654" s="7"/>
      <c r="D654" s="7"/>
      <c r="E654" s="7"/>
      <c r="F654" s="7"/>
      <c r="G654" s="112"/>
      <c r="H654" s="112"/>
      <c r="I654" s="111"/>
      <c r="J654" s="9"/>
      <c r="K654" s="7"/>
      <c r="L654" s="10"/>
      <c r="M654" s="7"/>
      <c r="N654" s="7"/>
      <c r="O654" s="7"/>
      <c r="P654" s="14"/>
      <c r="Q654" s="7"/>
      <c r="R654" s="78"/>
      <c r="S654" s="7"/>
      <c r="T654" s="7"/>
      <c r="U654" s="7"/>
      <c r="V654" s="14"/>
      <c r="W654" s="13"/>
      <c r="X654" s="14"/>
      <c r="Y654" s="14"/>
      <c r="Z654" s="43"/>
      <c r="AA654" s="14"/>
      <c r="AB654" s="14"/>
      <c r="AC654" s="8"/>
      <c r="AD654" s="8"/>
      <c r="AE654" s="8"/>
      <c r="AF654" s="8"/>
      <c r="AG654" s="8"/>
      <c r="AH654" s="72"/>
      <c r="AI654" s="8"/>
      <c r="AJ654" s="251"/>
      <c r="AK654" s="23"/>
      <c r="AL654" s="81"/>
      <c r="AM654" s="81"/>
      <c r="AN654" s="81"/>
      <c r="AO654" s="81"/>
      <c r="AP654" s="81"/>
      <c r="AQ654" s="81"/>
      <c r="AR654" s="81"/>
      <c r="AS654" s="81"/>
      <c r="AT654" s="81"/>
    </row>
    <row r="655" ht="22.5" customHeight="1">
      <c r="A655" s="87"/>
      <c r="B655" s="87"/>
      <c r="C655" s="87"/>
      <c r="D655" s="87"/>
      <c r="E655" s="87"/>
      <c r="F655" s="87"/>
      <c r="G655" s="277"/>
      <c r="H655" s="277"/>
      <c r="I655" s="117"/>
      <c r="J655" s="118"/>
      <c r="K655" s="87"/>
      <c r="L655" s="94"/>
      <c r="M655" s="87"/>
      <c r="N655" s="278"/>
      <c r="O655" s="135"/>
      <c r="P655" s="136"/>
      <c r="Q655" s="87"/>
      <c r="R655" s="95"/>
      <c r="S655" s="87"/>
      <c r="T655" s="87"/>
      <c r="U655" s="87"/>
      <c r="V655" s="97"/>
      <c r="W655" s="98"/>
      <c r="X655" s="99"/>
      <c r="Y655" s="99"/>
      <c r="Z655" s="119"/>
      <c r="AA655" s="99"/>
      <c r="AB655" s="99"/>
      <c r="AC655" s="101"/>
      <c r="AD655" s="101"/>
      <c r="AE655" s="101"/>
      <c r="AF655" s="101"/>
      <c r="AG655" s="101"/>
      <c r="AH655" s="102"/>
      <c r="AI655" s="101"/>
      <c r="AJ655" s="273"/>
      <c r="AK655" s="274"/>
      <c r="AL655" s="105"/>
      <c r="AM655" s="105"/>
      <c r="AN655" s="75"/>
      <c r="AO655" s="75"/>
      <c r="AP655" s="75"/>
      <c r="AQ655" s="75"/>
      <c r="AR655" s="75"/>
      <c r="AS655" s="75"/>
      <c r="AT655" s="75"/>
    </row>
    <row r="656" ht="22.5" customHeight="1">
      <c r="A656" s="139"/>
      <c r="B656" s="139"/>
      <c r="C656" s="7"/>
      <c r="D656" s="7"/>
      <c r="E656" s="7"/>
      <c r="F656" s="7"/>
      <c r="G656" s="112"/>
      <c r="H656" s="112"/>
      <c r="I656" s="111"/>
      <c r="J656" s="9"/>
      <c r="K656" s="7"/>
      <c r="L656" s="10"/>
      <c r="M656" s="7"/>
      <c r="N656" s="7"/>
      <c r="O656" s="7"/>
      <c r="P656" s="14"/>
      <c r="Q656" s="7"/>
      <c r="R656" s="78"/>
      <c r="S656" s="7"/>
      <c r="T656" s="7"/>
      <c r="U656" s="7"/>
      <c r="V656" s="27"/>
      <c r="W656" s="13"/>
      <c r="X656" s="14"/>
      <c r="Y656" s="14"/>
      <c r="Z656" s="43"/>
      <c r="AA656" s="14"/>
      <c r="AB656" s="14"/>
      <c r="AC656" s="8"/>
      <c r="AD656" s="8"/>
      <c r="AE656" s="8"/>
      <c r="AF656" s="8"/>
      <c r="AG656" s="8"/>
      <c r="AH656" s="72"/>
      <c r="AI656" s="8"/>
      <c r="AJ656" s="251"/>
      <c r="AK656" s="275"/>
      <c r="AL656" s="81"/>
      <c r="AM656" s="81"/>
      <c r="AN656" s="81"/>
      <c r="AO656" s="81"/>
      <c r="AP656" s="81"/>
      <c r="AQ656" s="81"/>
      <c r="AR656" s="81"/>
      <c r="AS656" s="81"/>
      <c r="AT656" s="81"/>
    </row>
    <row r="657" ht="22.5" customHeight="1">
      <c r="A657" s="139"/>
      <c r="B657" s="139"/>
      <c r="C657" s="7"/>
      <c r="D657" s="7"/>
      <c r="E657" s="7"/>
      <c r="F657" s="7"/>
      <c r="G657" s="112"/>
      <c r="H657" s="112"/>
      <c r="I657" s="111"/>
      <c r="J657" s="9"/>
      <c r="K657" s="7"/>
      <c r="L657" s="10"/>
      <c r="M657" s="7"/>
      <c r="N657" s="7"/>
      <c r="O657" s="84"/>
      <c r="P657" s="14"/>
      <c r="Q657" s="7"/>
      <c r="R657" s="78"/>
      <c r="S657" s="7"/>
      <c r="T657" s="7"/>
      <c r="U657" s="7"/>
      <c r="V657" s="14"/>
      <c r="W657" s="13"/>
      <c r="X657" s="14"/>
      <c r="Y657" s="14"/>
      <c r="Z657" s="43"/>
      <c r="AA657" s="14"/>
      <c r="AB657" s="14"/>
      <c r="AC657" s="8"/>
      <c r="AD657" s="8"/>
      <c r="AE657" s="8"/>
      <c r="AF657" s="8"/>
      <c r="AG657" s="8"/>
      <c r="AH657" s="72"/>
      <c r="AI657" s="8"/>
      <c r="AJ657" s="251"/>
      <c r="AK657" s="275"/>
      <c r="AL657" s="81"/>
      <c r="AM657" s="81"/>
      <c r="AN657" s="81"/>
      <c r="AO657" s="81"/>
      <c r="AP657" s="81"/>
      <c r="AQ657" s="81"/>
      <c r="AR657" s="81"/>
      <c r="AS657" s="81"/>
      <c r="AT657" s="81"/>
    </row>
    <row r="658" ht="22.5" customHeight="1">
      <c r="A658" s="240"/>
      <c r="B658" s="7"/>
      <c r="C658" s="7"/>
      <c r="D658" s="7"/>
      <c r="E658" s="7"/>
      <c r="F658" s="7"/>
      <c r="G658" s="112"/>
      <c r="H658" s="112"/>
      <c r="I658" s="111"/>
      <c r="J658" s="9"/>
      <c r="K658" s="7"/>
      <c r="L658" s="10"/>
      <c r="M658" s="7"/>
      <c r="N658" s="7"/>
      <c r="O658" s="216"/>
      <c r="P658" s="14"/>
      <c r="Q658" s="7"/>
      <c r="R658" s="78"/>
      <c r="S658" s="7"/>
      <c r="T658" s="7"/>
      <c r="U658" s="7"/>
      <c r="V658" s="14"/>
      <c r="W658" s="13"/>
      <c r="X658" s="14"/>
      <c r="Y658" s="14"/>
      <c r="Z658" s="43"/>
      <c r="AA658" s="14"/>
      <c r="AB658" s="14"/>
      <c r="AC658" s="8"/>
      <c r="AD658" s="8"/>
      <c r="AE658" s="8"/>
      <c r="AF658" s="8"/>
      <c r="AG658" s="8"/>
      <c r="AH658" s="72"/>
      <c r="AI658" s="8"/>
      <c r="AJ658" s="251"/>
      <c r="AK658" s="275"/>
      <c r="AL658" s="81"/>
      <c r="AM658" s="81"/>
      <c r="AN658" s="81"/>
      <c r="AO658" s="81"/>
      <c r="AP658" s="81"/>
      <c r="AQ658" s="81"/>
      <c r="AR658" s="81"/>
      <c r="AS658" s="81"/>
      <c r="AT658" s="81"/>
    </row>
    <row r="659" ht="22.5" customHeight="1">
      <c r="A659" s="87"/>
      <c r="B659" s="224"/>
      <c r="C659" s="87"/>
      <c r="D659" s="87"/>
      <c r="E659" s="87"/>
      <c r="F659" s="87"/>
      <c r="G659" s="116"/>
      <c r="H659" s="116"/>
      <c r="I659" s="89"/>
      <c r="J659" s="118"/>
      <c r="K659" s="87"/>
      <c r="L659" s="94"/>
      <c r="M659" s="87"/>
      <c r="N659" s="134"/>
      <c r="O659" s="135"/>
      <c r="P659" s="120"/>
      <c r="Q659" s="87"/>
      <c r="R659" s="279"/>
      <c r="S659" s="87"/>
      <c r="T659" s="87"/>
      <c r="U659" s="87"/>
      <c r="V659" s="97"/>
      <c r="W659" s="98"/>
      <c r="X659" s="99"/>
      <c r="Y659" s="99"/>
      <c r="Z659" s="119"/>
      <c r="AA659" s="99"/>
      <c r="AB659" s="99"/>
      <c r="AC659" s="101"/>
      <c r="AD659" s="101"/>
      <c r="AE659" s="101"/>
      <c r="AF659" s="101"/>
      <c r="AG659" s="101"/>
      <c r="AH659" s="102"/>
      <c r="AI659" s="101"/>
      <c r="AJ659" s="273"/>
      <c r="AK659" s="280"/>
      <c r="AL659" s="105"/>
      <c r="AM659" s="105"/>
      <c r="AN659" s="105"/>
      <c r="AO659" s="105"/>
      <c r="AP659" s="105"/>
      <c r="AQ659" s="105"/>
      <c r="AR659" s="105"/>
      <c r="AS659" s="105"/>
      <c r="AT659" s="105"/>
    </row>
    <row r="660" ht="22.5" customHeight="1">
      <c r="A660" s="7"/>
      <c r="B660" s="7"/>
      <c r="C660" s="7"/>
      <c r="D660" s="7"/>
      <c r="E660" s="7"/>
      <c r="F660" s="7"/>
      <c r="G660" s="112"/>
      <c r="H660" s="112"/>
      <c r="I660" s="111"/>
      <c r="J660" s="9"/>
      <c r="K660" s="7"/>
      <c r="L660" s="10"/>
      <c r="M660" s="7"/>
      <c r="N660" s="7"/>
      <c r="O660" s="7"/>
      <c r="P660" s="14"/>
      <c r="Q660" s="7"/>
      <c r="R660" s="78"/>
      <c r="S660" s="7"/>
      <c r="T660" s="7"/>
      <c r="U660" s="7"/>
      <c r="V660" s="14"/>
      <c r="W660" s="13"/>
      <c r="X660" s="14"/>
      <c r="Y660" s="14"/>
      <c r="Z660" s="43"/>
      <c r="AA660" s="14"/>
      <c r="AB660" s="14"/>
      <c r="AC660" s="8"/>
      <c r="AD660" s="8"/>
      <c r="AE660" s="8"/>
      <c r="AF660" s="8"/>
      <c r="AG660" s="8"/>
      <c r="AH660" s="72"/>
      <c r="AI660" s="8"/>
      <c r="AJ660" s="251"/>
      <c r="AK660" s="272"/>
      <c r="AL660" s="81"/>
      <c r="AM660" s="81"/>
      <c r="AN660" s="81"/>
      <c r="AO660" s="81"/>
      <c r="AP660" s="81"/>
      <c r="AQ660" s="81"/>
      <c r="AR660" s="81"/>
      <c r="AS660" s="81"/>
      <c r="AT660" s="81"/>
    </row>
    <row r="661" ht="22.5" customHeight="1">
      <c r="A661" s="281"/>
      <c r="B661" s="281"/>
      <c r="C661" s="281"/>
      <c r="D661" s="281"/>
      <c r="E661" s="281"/>
      <c r="F661" s="281"/>
      <c r="G661" s="282"/>
      <c r="H661" s="282"/>
      <c r="I661" s="283"/>
      <c r="J661" s="284"/>
      <c r="K661" s="281"/>
      <c r="L661" s="285"/>
      <c r="M661" s="281"/>
      <c r="N661" s="281"/>
      <c r="O661" s="286"/>
      <c r="P661" s="287"/>
      <c r="Q661" s="281"/>
      <c r="R661" s="288"/>
      <c r="S661" s="281"/>
      <c r="T661" s="281"/>
      <c r="U661" s="281"/>
      <c r="V661" s="289"/>
      <c r="W661" s="290"/>
      <c r="X661" s="281"/>
      <c r="Y661" s="281"/>
      <c r="Z661" s="291"/>
      <c r="AA661" s="281"/>
      <c r="AB661" s="281"/>
      <c r="AC661" s="292"/>
      <c r="AD661" s="292"/>
      <c r="AE661" s="292"/>
      <c r="AF661" s="292"/>
      <c r="AG661" s="292"/>
      <c r="AH661" s="293"/>
      <c r="AI661" s="292"/>
      <c r="AJ661" s="294"/>
      <c r="AK661" s="295"/>
      <c r="AL661" s="294"/>
      <c r="AM661" s="294"/>
      <c r="AN661" s="296"/>
      <c r="AO661" s="296"/>
      <c r="AP661" s="296"/>
      <c r="AQ661" s="296"/>
      <c r="AR661" s="296"/>
      <c r="AS661" s="296"/>
      <c r="AT661" s="296"/>
    </row>
    <row r="662" ht="22.5" customHeight="1">
      <c r="A662" s="7"/>
      <c r="B662" s="7"/>
      <c r="C662" s="7"/>
      <c r="D662" s="7"/>
      <c r="E662" s="7"/>
      <c r="F662" s="7"/>
      <c r="G662" s="49"/>
      <c r="H662" s="49"/>
      <c r="I662" s="111"/>
      <c r="J662" s="9"/>
      <c r="K662" s="7"/>
      <c r="L662" s="10"/>
      <c r="M662" s="7"/>
      <c r="N662" s="7"/>
      <c r="O662" s="7"/>
      <c r="P662" s="14"/>
      <c r="Q662" s="7"/>
      <c r="R662" s="78"/>
      <c r="S662" s="7"/>
      <c r="T662" s="7"/>
      <c r="U662" s="7"/>
      <c r="V662" s="14"/>
      <c r="W662" s="13"/>
      <c r="X662" s="14"/>
      <c r="Y662" s="14"/>
      <c r="Z662" s="43"/>
      <c r="AA662" s="14"/>
      <c r="AB662" s="14"/>
      <c r="AC662" s="8"/>
      <c r="AD662" s="8"/>
      <c r="AE662" s="8"/>
      <c r="AF662" s="8"/>
      <c r="AG662" s="8"/>
      <c r="AH662" s="72"/>
      <c r="AI662" s="8"/>
      <c r="AJ662" s="251"/>
      <c r="AK662" s="272"/>
      <c r="AL662" s="81"/>
      <c r="AM662" s="81"/>
      <c r="AN662" s="81"/>
      <c r="AO662" s="81"/>
      <c r="AP662" s="81"/>
      <c r="AQ662" s="81"/>
      <c r="AR662" s="81"/>
      <c r="AS662" s="81"/>
      <c r="AT662" s="81"/>
    </row>
    <row r="663" ht="22.5" customHeight="1">
      <c r="A663" s="7"/>
      <c r="B663" s="7"/>
      <c r="C663" s="7"/>
      <c r="D663" s="7"/>
      <c r="E663" s="7"/>
      <c r="F663" s="7"/>
      <c r="G663" s="49"/>
      <c r="H663" s="49"/>
      <c r="I663" s="111"/>
      <c r="J663" s="9"/>
      <c r="K663" s="7"/>
      <c r="L663" s="10"/>
      <c r="M663" s="7"/>
      <c r="N663" s="7"/>
      <c r="O663" s="7"/>
      <c r="P663" s="10"/>
      <c r="Q663" s="7"/>
      <c r="R663" s="11"/>
      <c r="S663" s="7"/>
      <c r="T663" s="7"/>
      <c r="U663" s="7"/>
      <c r="V663" s="27"/>
      <c r="W663" s="13"/>
      <c r="X663" s="14"/>
      <c r="Y663" s="14"/>
      <c r="Z663" s="43"/>
      <c r="AA663" s="14"/>
      <c r="AB663" s="14"/>
      <c r="AC663" s="8"/>
      <c r="AD663" s="8"/>
      <c r="AE663" s="8"/>
      <c r="AF663" s="8"/>
      <c r="AG663" s="8"/>
      <c r="AH663" s="72"/>
      <c r="AI663" s="8"/>
      <c r="AJ663" s="251"/>
      <c r="AK663" s="272"/>
      <c r="AL663" s="75"/>
      <c r="AM663" s="75"/>
      <c r="AN663" s="75"/>
      <c r="AO663" s="75"/>
      <c r="AP663" s="75"/>
      <c r="AQ663" s="75"/>
      <c r="AR663" s="75"/>
      <c r="AS663" s="75"/>
      <c r="AT663" s="75"/>
    </row>
    <row r="664" ht="22.5" customHeight="1">
      <c r="A664" s="87"/>
      <c r="B664" s="87"/>
      <c r="C664" s="87"/>
      <c r="D664" s="87"/>
      <c r="E664" s="87"/>
      <c r="F664" s="87"/>
      <c r="G664" s="88"/>
      <c r="H664" s="88"/>
      <c r="I664" s="89"/>
      <c r="J664" s="90"/>
      <c r="K664" s="87"/>
      <c r="L664" s="94"/>
      <c r="M664" s="87"/>
      <c r="N664" s="87"/>
      <c r="O664" s="135"/>
      <c r="P664" s="136"/>
      <c r="Q664" s="297"/>
      <c r="R664" s="95"/>
      <c r="S664" s="141"/>
      <c r="T664" s="87"/>
      <c r="U664" s="87"/>
      <c r="V664" s="97"/>
      <c r="W664" s="98"/>
      <c r="X664" s="99"/>
      <c r="Y664" s="99"/>
      <c r="Z664" s="119"/>
      <c r="AA664" s="99"/>
      <c r="AB664" s="99"/>
      <c r="AC664" s="101"/>
      <c r="AD664" s="101"/>
      <c r="AE664" s="101"/>
      <c r="AF664" s="101"/>
      <c r="AG664" s="101"/>
      <c r="AH664" s="102"/>
      <c r="AI664" s="101"/>
      <c r="AJ664" s="273"/>
      <c r="AK664" s="273"/>
      <c r="AL664" s="105"/>
      <c r="AM664" s="105"/>
      <c r="AN664" s="105"/>
      <c r="AO664" s="105"/>
      <c r="AP664" s="105"/>
      <c r="AQ664" s="105"/>
      <c r="AR664" s="105"/>
      <c r="AS664" s="105"/>
      <c r="AT664" s="105"/>
    </row>
    <row r="665" ht="22.5" customHeight="1">
      <c r="A665" s="7"/>
      <c r="B665" s="7"/>
      <c r="C665" s="7"/>
      <c r="D665" s="7"/>
      <c r="E665" s="7"/>
      <c r="F665" s="7"/>
      <c r="G665" s="107"/>
      <c r="H665" s="107"/>
      <c r="I665" s="51"/>
      <c r="J665" s="108"/>
      <c r="K665" s="7"/>
      <c r="L665" s="10"/>
      <c r="M665" s="7"/>
      <c r="N665" s="7"/>
      <c r="O665" s="84"/>
      <c r="P665" s="7"/>
      <c r="Q665" s="7"/>
      <c r="R665" s="78"/>
      <c r="S665" s="7"/>
      <c r="T665" s="7"/>
      <c r="U665" s="7"/>
      <c r="V665" s="14"/>
      <c r="W665" s="13"/>
      <c r="X665" s="14"/>
      <c r="Y665" s="14"/>
      <c r="Z665" s="43"/>
      <c r="AA665" s="14"/>
      <c r="AB665" s="14"/>
      <c r="AC665" s="8"/>
      <c r="AD665" s="8"/>
      <c r="AE665" s="8"/>
      <c r="AF665" s="8"/>
      <c r="AG665" s="8"/>
      <c r="AH665" s="72"/>
      <c r="AI665" s="8"/>
      <c r="AJ665" s="251"/>
      <c r="AK665" s="251"/>
      <c r="AL665" s="81"/>
      <c r="AM665" s="81"/>
      <c r="AN665" s="81"/>
      <c r="AO665" s="81"/>
      <c r="AP665" s="81"/>
      <c r="AQ665" s="81"/>
      <c r="AR665" s="81"/>
      <c r="AS665" s="81"/>
      <c r="AT665" s="81"/>
    </row>
    <row r="666" ht="22.5" customHeight="1">
      <c r="A666" s="7"/>
      <c r="B666" s="7"/>
      <c r="C666" s="7"/>
      <c r="D666" s="7"/>
      <c r="E666" s="7"/>
      <c r="F666" s="7"/>
      <c r="G666" s="107"/>
      <c r="H666" s="107"/>
      <c r="I666" s="51"/>
      <c r="J666" s="108"/>
      <c r="K666" s="7"/>
      <c r="L666" s="10"/>
      <c r="M666" s="7"/>
      <c r="N666" s="192"/>
      <c r="O666" s="7"/>
      <c r="P666" s="10"/>
      <c r="Q666" s="7"/>
      <c r="R666" s="11"/>
      <c r="S666" s="85"/>
      <c r="T666" s="7"/>
      <c r="U666" s="7"/>
      <c r="V666" s="27"/>
      <c r="W666" s="13"/>
      <c r="X666" s="14"/>
      <c r="Y666" s="14"/>
      <c r="Z666" s="43"/>
      <c r="AA666" s="14"/>
      <c r="AB666" s="14"/>
      <c r="AC666" s="8"/>
      <c r="AD666" s="8"/>
      <c r="AE666" s="8"/>
      <c r="AF666" s="8"/>
      <c r="AG666" s="8"/>
      <c r="AH666" s="72"/>
      <c r="AI666" s="8"/>
      <c r="AJ666" s="251"/>
      <c r="AK666" s="23"/>
      <c r="AL666" s="75"/>
      <c r="AM666" s="75"/>
      <c r="AN666" s="75"/>
      <c r="AO666" s="75"/>
      <c r="AP666" s="75"/>
      <c r="AQ666" s="75"/>
      <c r="AR666" s="75"/>
      <c r="AS666" s="75"/>
      <c r="AT666" s="75"/>
    </row>
    <row r="667" ht="22.5" customHeight="1">
      <c r="A667" s="7"/>
      <c r="B667" s="7"/>
      <c r="C667" s="7"/>
      <c r="D667" s="7"/>
      <c r="E667" s="7"/>
      <c r="F667" s="7"/>
      <c r="G667" s="107"/>
      <c r="H667" s="107"/>
      <c r="I667" s="51"/>
      <c r="J667" s="108"/>
      <c r="K667" s="7"/>
      <c r="L667" s="10"/>
      <c r="M667" s="7"/>
      <c r="N667" s="7"/>
      <c r="O667" s="7"/>
      <c r="P667" s="14"/>
      <c r="Q667" s="7"/>
      <c r="R667" s="78"/>
      <c r="S667" s="7"/>
      <c r="T667" s="7"/>
      <c r="U667" s="7"/>
      <c r="V667" s="27"/>
      <c r="W667" s="13"/>
      <c r="X667" s="14"/>
      <c r="Y667" s="14"/>
      <c r="Z667" s="43"/>
      <c r="AA667" s="14"/>
      <c r="AB667" s="14"/>
      <c r="AC667" s="8"/>
      <c r="AD667" s="8"/>
      <c r="AE667" s="8"/>
      <c r="AF667" s="8"/>
      <c r="AG667" s="8"/>
      <c r="AH667" s="72"/>
      <c r="AI667" s="8"/>
      <c r="AJ667" s="251"/>
      <c r="AK667" s="23"/>
      <c r="AL667" s="81"/>
      <c r="AM667" s="81"/>
      <c r="AN667" s="81"/>
      <c r="AO667" s="81"/>
      <c r="AP667" s="81"/>
      <c r="AQ667" s="81"/>
      <c r="AR667" s="81"/>
      <c r="AS667" s="81"/>
      <c r="AT667" s="81"/>
    </row>
    <row r="668" ht="22.5" customHeight="1">
      <c r="A668" s="7"/>
      <c r="B668" s="7"/>
      <c r="C668" s="7"/>
      <c r="D668" s="7"/>
      <c r="E668" s="7"/>
      <c r="F668" s="7"/>
      <c r="G668" s="107"/>
      <c r="H668" s="107"/>
      <c r="I668" s="51"/>
      <c r="J668" s="108"/>
      <c r="K668" s="7"/>
      <c r="L668" s="10"/>
      <c r="M668" s="7"/>
      <c r="N668" s="7"/>
      <c r="O668" s="7"/>
      <c r="P668" s="14"/>
      <c r="Q668" s="7"/>
      <c r="R668" s="78"/>
      <c r="S668" s="7"/>
      <c r="T668" s="7"/>
      <c r="U668" s="7"/>
      <c r="V668" s="27"/>
      <c r="W668" s="13"/>
      <c r="X668" s="14"/>
      <c r="Y668" s="14"/>
      <c r="Z668" s="43"/>
      <c r="AA668" s="14"/>
      <c r="AB668" s="14"/>
      <c r="AC668" s="8"/>
      <c r="AD668" s="8"/>
      <c r="AE668" s="8"/>
      <c r="AF668" s="8"/>
      <c r="AG668" s="8"/>
      <c r="AH668" s="72"/>
      <c r="AI668" s="8"/>
      <c r="AJ668" s="251"/>
      <c r="AK668" s="23"/>
      <c r="AL668" s="81"/>
      <c r="AM668" s="81"/>
      <c r="AN668" s="81"/>
      <c r="AO668" s="81"/>
      <c r="AP668" s="81"/>
      <c r="AQ668" s="81"/>
      <c r="AR668" s="81"/>
      <c r="AS668" s="81"/>
      <c r="AT668" s="81"/>
    </row>
    <row r="669" ht="22.5" customHeight="1">
      <c r="A669" s="7"/>
      <c r="B669" s="7"/>
      <c r="C669" s="7"/>
      <c r="D669" s="7"/>
      <c r="E669" s="7"/>
      <c r="F669" s="7"/>
      <c r="G669" s="107"/>
      <c r="H669" s="107"/>
      <c r="I669" s="51"/>
      <c r="J669" s="108"/>
      <c r="K669" s="7"/>
      <c r="L669" s="10"/>
      <c r="M669" s="7"/>
      <c r="N669" s="7"/>
      <c r="O669" s="7"/>
      <c r="P669" s="14"/>
      <c r="Q669" s="7"/>
      <c r="R669" s="78"/>
      <c r="S669" s="7"/>
      <c r="T669" s="7"/>
      <c r="U669" s="7"/>
      <c r="V669" s="14"/>
      <c r="W669" s="13"/>
      <c r="X669" s="14"/>
      <c r="Y669" s="14"/>
      <c r="Z669" s="43"/>
      <c r="AA669" s="14"/>
      <c r="AB669" s="14"/>
      <c r="AC669" s="8"/>
      <c r="AD669" s="8"/>
      <c r="AE669" s="8"/>
      <c r="AF669" s="8"/>
      <c r="AG669" s="8"/>
      <c r="AH669" s="72"/>
      <c r="AI669" s="8"/>
      <c r="AJ669" s="251"/>
      <c r="AK669" s="23"/>
      <c r="AL669" s="81"/>
      <c r="AM669" s="81"/>
      <c r="AN669" s="81"/>
      <c r="AO669" s="81"/>
      <c r="AP669" s="81"/>
      <c r="AQ669" s="81"/>
      <c r="AR669" s="81"/>
      <c r="AS669" s="81"/>
      <c r="AT669" s="81"/>
    </row>
    <row r="670" ht="22.5" customHeight="1">
      <c r="A670" s="7"/>
      <c r="B670" s="7"/>
      <c r="C670" s="7"/>
      <c r="D670" s="7"/>
      <c r="E670" s="7"/>
      <c r="F670" s="7"/>
      <c r="G670" s="107"/>
      <c r="H670" s="107"/>
      <c r="I670" s="51"/>
      <c r="J670" s="108"/>
      <c r="K670" s="7"/>
      <c r="L670" s="10"/>
      <c r="M670" s="7"/>
      <c r="N670" s="7"/>
      <c r="O670" s="7"/>
      <c r="P670" s="14"/>
      <c r="Q670" s="7"/>
      <c r="R670" s="78"/>
      <c r="S670" s="7"/>
      <c r="T670" s="7"/>
      <c r="U670" s="7"/>
      <c r="V670" s="14"/>
      <c r="W670" s="13"/>
      <c r="X670" s="14"/>
      <c r="Y670" s="14"/>
      <c r="Z670" s="43"/>
      <c r="AA670" s="14"/>
      <c r="AB670" s="14"/>
      <c r="AC670" s="8"/>
      <c r="AD670" s="8"/>
      <c r="AE670" s="8"/>
      <c r="AF670" s="8"/>
      <c r="AG670" s="8"/>
      <c r="AH670" s="72"/>
      <c r="AI670" s="8"/>
      <c r="AJ670" s="251"/>
      <c r="AK670" s="23"/>
      <c r="AL670" s="81"/>
      <c r="AM670" s="81"/>
      <c r="AN670" s="81"/>
      <c r="AO670" s="81"/>
      <c r="AP670" s="81"/>
      <c r="AQ670" s="81"/>
      <c r="AR670" s="81"/>
      <c r="AS670" s="81"/>
      <c r="AT670" s="81"/>
    </row>
    <row r="671" ht="22.5" customHeight="1">
      <c r="A671" s="7"/>
      <c r="B671" s="7"/>
      <c r="C671" s="7"/>
      <c r="D671" s="7"/>
      <c r="E671" s="7"/>
      <c r="F671" s="7"/>
      <c r="G671" s="107"/>
      <c r="H671" s="107"/>
      <c r="I671" s="51"/>
      <c r="J671" s="108"/>
      <c r="K671" s="7"/>
      <c r="L671" s="10"/>
      <c r="M671" s="7"/>
      <c r="N671" s="7"/>
      <c r="O671" s="7"/>
      <c r="P671" s="14"/>
      <c r="Q671" s="7"/>
      <c r="R671" s="78"/>
      <c r="S671" s="7"/>
      <c r="T671" s="7"/>
      <c r="U671" s="7"/>
      <c r="V671" s="27"/>
      <c r="W671" s="13"/>
      <c r="X671" s="14"/>
      <c r="Y671" s="14"/>
      <c r="Z671" s="43"/>
      <c r="AA671" s="14"/>
      <c r="AB671" s="14"/>
      <c r="AC671" s="8"/>
      <c r="AD671" s="8"/>
      <c r="AE671" s="8"/>
      <c r="AF671" s="8"/>
      <c r="AG671" s="8"/>
      <c r="AH671" s="72"/>
      <c r="AI671" s="8"/>
      <c r="AJ671" s="251"/>
      <c r="AK671" s="23"/>
      <c r="AL671" s="81"/>
      <c r="AM671" s="81"/>
      <c r="AN671" s="81"/>
      <c r="AO671" s="81"/>
      <c r="AP671" s="81"/>
      <c r="AQ671" s="81"/>
      <c r="AR671" s="81"/>
      <c r="AS671" s="81"/>
      <c r="AT671" s="81"/>
    </row>
    <row r="672" ht="22.5" customHeight="1">
      <c r="A672" s="7"/>
      <c r="B672" s="7"/>
      <c r="C672" s="7"/>
      <c r="D672" s="7"/>
      <c r="E672" s="7"/>
      <c r="F672" s="7"/>
      <c r="G672" s="107"/>
      <c r="H672" s="107"/>
      <c r="I672" s="51"/>
      <c r="J672" s="108"/>
      <c r="K672" s="7"/>
      <c r="L672" s="10"/>
      <c r="M672" s="7"/>
      <c r="N672" s="7"/>
      <c r="O672" s="7"/>
      <c r="P672" s="14"/>
      <c r="Q672" s="7"/>
      <c r="R672" s="78"/>
      <c r="S672" s="7"/>
      <c r="T672" s="7"/>
      <c r="U672" s="7"/>
      <c r="V672" s="14"/>
      <c r="W672" s="13"/>
      <c r="X672" s="14"/>
      <c r="Y672" s="14"/>
      <c r="Z672" s="43"/>
      <c r="AA672" s="14"/>
      <c r="AB672" s="14"/>
      <c r="AC672" s="8"/>
      <c r="AD672" s="8"/>
      <c r="AE672" s="8"/>
      <c r="AF672" s="8"/>
      <c r="AG672" s="8"/>
      <c r="AH672" s="72"/>
      <c r="AI672" s="8"/>
      <c r="AJ672" s="251"/>
      <c r="AK672" s="23"/>
      <c r="AL672" s="81"/>
      <c r="AM672" s="81"/>
      <c r="AN672" s="81"/>
      <c r="AO672" s="81"/>
      <c r="AP672" s="81"/>
      <c r="AQ672" s="81"/>
      <c r="AR672" s="81"/>
      <c r="AS672" s="81"/>
      <c r="AT672" s="81"/>
    </row>
    <row r="673" ht="22.5" customHeight="1">
      <c r="A673" s="7"/>
      <c r="B673" s="7"/>
      <c r="C673" s="7"/>
      <c r="D673" s="7"/>
      <c r="E673" s="7"/>
      <c r="F673" s="7"/>
      <c r="G673" s="107"/>
      <c r="H673" s="107"/>
      <c r="I673" s="51"/>
      <c r="J673" s="108"/>
      <c r="K673" s="7"/>
      <c r="L673" s="10"/>
      <c r="M673" s="7"/>
      <c r="N673" s="7"/>
      <c r="O673" s="7"/>
      <c r="P673" s="14"/>
      <c r="Q673" s="7"/>
      <c r="R673" s="78"/>
      <c r="S673" s="7"/>
      <c r="T673" s="7"/>
      <c r="U673" s="7"/>
      <c r="V673" s="14"/>
      <c r="W673" s="13"/>
      <c r="X673" s="14"/>
      <c r="Y673" s="14"/>
      <c r="Z673" s="43"/>
      <c r="AA673" s="14"/>
      <c r="AB673" s="14"/>
      <c r="AC673" s="8"/>
      <c r="AD673" s="8"/>
      <c r="AE673" s="8"/>
      <c r="AF673" s="8"/>
      <c r="AG673" s="8"/>
      <c r="AH673" s="72"/>
      <c r="AI673" s="8"/>
      <c r="AJ673" s="251"/>
      <c r="AK673" s="23"/>
      <c r="AL673" s="81"/>
      <c r="AM673" s="81"/>
      <c r="AN673" s="81"/>
      <c r="AO673" s="81"/>
      <c r="AP673" s="81"/>
      <c r="AQ673" s="81"/>
      <c r="AR673" s="81"/>
      <c r="AS673" s="81"/>
      <c r="AT673" s="81"/>
    </row>
    <row r="674" ht="22.5" customHeight="1">
      <c r="A674" s="139"/>
      <c r="B674" s="139"/>
      <c r="C674" s="7"/>
      <c r="D674" s="7"/>
      <c r="E674" s="7"/>
      <c r="F674" s="7"/>
      <c r="G674" s="107"/>
      <c r="H674" s="107"/>
      <c r="I674" s="51"/>
      <c r="J674" s="108"/>
      <c r="K674" s="7"/>
      <c r="L674" s="10"/>
      <c r="M674" s="7"/>
      <c r="N674" s="7"/>
      <c r="O674" s="7"/>
      <c r="P674" s="14"/>
      <c r="Q674" s="7"/>
      <c r="R674" s="78"/>
      <c r="S674" s="7"/>
      <c r="T674" s="7"/>
      <c r="U674" s="7"/>
      <c r="V674" s="14"/>
      <c r="W674" s="13"/>
      <c r="X674" s="14"/>
      <c r="Y674" s="14"/>
      <c r="Z674" s="43"/>
      <c r="AA674" s="14"/>
      <c r="AB674" s="14"/>
      <c r="AC674" s="8"/>
      <c r="AD674" s="8"/>
      <c r="AE674" s="8"/>
      <c r="AF674" s="8"/>
      <c r="AG674" s="8"/>
      <c r="AH674" s="72"/>
      <c r="AI674" s="8"/>
      <c r="AJ674" s="251"/>
      <c r="AK674" s="23"/>
      <c r="AL674" s="81"/>
      <c r="AM674" s="81"/>
      <c r="AN674" s="81"/>
      <c r="AO674" s="81"/>
      <c r="AP674" s="81"/>
      <c r="AQ674" s="81"/>
      <c r="AR674" s="81"/>
      <c r="AS674" s="81"/>
      <c r="AT674" s="81"/>
    </row>
    <row r="675" ht="22.5" customHeight="1">
      <c r="A675" s="7"/>
      <c r="B675" s="7"/>
      <c r="C675" s="7"/>
      <c r="D675" s="7"/>
      <c r="E675" s="7"/>
      <c r="F675" s="7"/>
      <c r="G675" s="107"/>
      <c r="H675" s="107"/>
      <c r="I675" s="51"/>
      <c r="J675" s="108"/>
      <c r="K675" s="7"/>
      <c r="L675" s="10"/>
      <c r="M675" s="7"/>
      <c r="N675" s="7"/>
      <c r="O675" s="7"/>
      <c r="P675" s="7"/>
      <c r="Q675" s="7"/>
      <c r="R675" s="78"/>
      <c r="S675" s="7"/>
      <c r="T675" s="7"/>
      <c r="U675" s="7"/>
      <c r="V675" s="27"/>
      <c r="W675" s="13"/>
      <c r="X675" s="14"/>
      <c r="Y675" s="14"/>
      <c r="Z675" s="14"/>
      <c r="AA675" s="14"/>
      <c r="AB675" s="14"/>
      <c r="AC675" s="8"/>
      <c r="AD675" s="8"/>
      <c r="AE675" s="8"/>
      <c r="AF675" s="8"/>
      <c r="AG675" s="8"/>
      <c r="AH675" s="72"/>
      <c r="AI675" s="8"/>
      <c r="AJ675" s="251"/>
      <c r="AK675" s="251"/>
      <c r="AL675" s="81"/>
      <c r="AM675" s="81"/>
      <c r="AN675" s="81"/>
      <c r="AO675" s="81"/>
      <c r="AP675" s="81"/>
      <c r="AQ675" s="81"/>
      <c r="AR675" s="81"/>
      <c r="AS675" s="81"/>
      <c r="AT675" s="81"/>
    </row>
    <row r="676" ht="22.5" customHeight="1">
      <c r="A676" s="139"/>
      <c r="B676" s="139"/>
      <c r="C676" s="7"/>
      <c r="D676" s="7"/>
      <c r="E676" s="7"/>
      <c r="F676" s="7"/>
      <c r="G676" s="49"/>
      <c r="H676" s="49"/>
      <c r="I676" s="51"/>
      <c r="J676" s="108"/>
      <c r="K676" s="7"/>
      <c r="L676" s="10"/>
      <c r="M676" s="7"/>
      <c r="N676" s="7"/>
      <c r="O676" s="7"/>
      <c r="P676" s="14"/>
      <c r="Q676" s="7"/>
      <c r="R676" s="78"/>
      <c r="S676" s="85"/>
      <c r="T676" s="7"/>
      <c r="U676" s="7"/>
      <c r="V676" s="27"/>
      <c r="W676" s="13"/>
      <c r="X676" s="14"/>
      <c r="Y676" s="14"/>
      <c r="Z676" s="43"/>
      <c r="AA676" s="14"/>
      <c r="AB676" s="14"/>
      <c r="AC676" s="8"/>
      <c r="AD676" s="8"/>
      <c r="AE676" s="8"/>
      <c r="AF676" s="8"/>
      <c r="AG676" s="8"/>
      <c r="AH676" s="72"/>
      <c r="AI676" s="8"/>
      <c r="AJ676" s="251"/>
      <c r="AK676" s="23"/>
      <c r="AL676" s="81"/>
      <c r="AM676" s="81"/>
      <c r="AN676" s="81"/>
      <c r="AO676" s="81"/>
      <c r="AP676" s="81"/>
      <c r="AQ676" s="81"/>
      <c r="AR676" s="81"/>
      <c r="AS676" s="81"/>
      <c r="AT676" s="81"/>
    </row>
    <row r="677" ht="22.5" customHeight="1">
      <c r="A677" s="298"/>
      <c r="B677" s="7"/>
      <c r="C677" s="7"/>
      <c r="D677" s="7"/>
      <c r="E677" s="7"/>
      <c r="F677" s="7"/>
      <c r="G677" s="107"/>
      <c r="H677" s="107"/>
      <c r="I677" s="51"/>
      <c r="J677" s="108"/>
      <c r="K677" s="7"/>
      <c r="L677" s="10"/>
      <c r="M677" s="7"/>
      <c r="N677" s="7"/>
      <c r="O677" s="84"/>
      <c r="P677" s="7"/>
      <c r="Q677" s="7"/>
      <c r="R677" s="78"/>
      <c r="S677" s="7"/>
      <c r="T677" s="7"/>
      <c r="U677" s="7"/>
      <c r="V677" s="14"/>
      <c r="W677" s="13"/>
      <c r="X677" s="14"/>
      <c r="Y677" s="14"/>
      <c r="Z677" s="43"/>
      <c r="AA677" s="14"/>
      <c r="AB677" s="14"/>
      <c r="AC677" s="8"/>
      <c r="AD677" s="8"/>
      <c r="AE677" s="8"/>
      <c r="AF677" s="8"/>
      <c r="AG677" s="8"/>
      <c r="AH677" s="72"/>
      <c r="AI677" s="8"/>
      <c r="AJ677" s="251"/>
      <c r="AK677" s="23"/>
      <c r="AL677" s="81"/>
      <c r="AM677" s="81"/>
      <c r="AN677" s="81"/>
      <c r="AO677" s="81"/>
      <c r="AP677" s="81"/>
      <c r="AQ677" s="81"/>
      <c r="AR677" s="81"/>
      <c r="AS677" s="81"/>
      <c r="AT677" s="81"/>
    </row>
    <row r="678" ht="22.5" customHeight="1">
      <c r="A678" s="7"/>
      <c r="B678" s="7"/>
      <c r="C678" s="7"/>
      <c r="D678" s="7"/>
      <c r="E678" s="7"/>
      <c r="F678" s="7"/>
      <c r="G678" s="107"/>
      <c r="H678" s="107"/>
      <c r="I678" s="51"/>
      <c r="J678" s="108"/>
      <c r="K678" s="7"/>
      <c r="L678" s="10"/>
      <c r="M678" s="7"/>
      <c r="N678" s="7"/>
      <c r="O678" s="7"/>
      <c r="P678" s="14"/>
      <c r="Q678" s="7"/>
      <c r="R678" s="78"/>
      <c r="S678" s="7"/>
      <c r="T678" s="7"/>
      <c r="U678" s="7"/>
      <c r="V678" s="14"/>
      <c r="W678" s="13"/>
      <c r="X678" s="14"/>
      <c r="Y678" s="14"/>
      <c r="Z678" s="43"/>
      <c r="AA678" s="14"/>
      <c r="AB678" s="14"/>
      <c r="AC678" s="8"/>
      <c r="AD678" s="8"/>
      <c r="AE678" s="8"/>
      <c r="AF678" s="8"/>
      <c r="AG678" s="8"/>
      <c r="AH678" s="72"/>
      <c r="AI678" s="8"/>
      <c r="AJ678" s="251"/>
      <c r="AK678" s="23"/>
      <c r="AL678" s="81"/>
      <c r="AM678" s="81"/>
      <c r="AN678" s="81"/>
      <c r="AO678" s="81"/>
      <c r="AP678" s="81"/>
      <c r="AQ678" s="81"/>
      <c r="AR678" s="81"/>
      <c r="AS678" s="81"/>
      <c r="AT678" s="81"/>
    </row>
    <row r="679" ht="22.5" customHeight="1">
      <c r="A679" s="7"/>
      <c r="B679" s="7"/>
      <c r="C679" s="7"/>
      <c r="D679" s="7"/>
      <c r="E679" s="7"/>
      <c r="F679" s="7"/>
      <c r="G679" s="107"/>
      <c r="H679" s="107"/>
      <c r="I679" s="51"/>
      <c r="J679" s="108"/>
      <c r="K679" s="7"/>
      <c r="L679" s="10"/>
      <c r="M679" s="7"/>
      <c r="N679" s="7"/>
      <c r="O679" s="252"/>
      <c r="P679" s="14"/>
      <c r="Q679" s="7"/>
      <c r="R679" s="78"/>
      <c r="S679" s="7"/>
      <c r="T679" s="7"/>
      <c r="U679" s="7"/>
      <c r="V679" s="14"/>
      <c r="W679" s="13"/>
      <c r="X679" s="14"/>
      <c r="Y679" s="14"/>
      <c r="Z679" s="43"/>
      <c r="AA679" s="14"/>
      <c r="AB679" s="14"/>
      <c r="AC679" s="8"/>
      <c r="AD679" s="8"/>
      <c r="AE679" s="8"/>
      <c r="AF679" s="8"/>
      <c r="AG679" s="8"/>
      <c r="AH679" s="72"/>
      <c r="AI679" s="8"/>
      <c r="AJ679" s="251"/>
      <c r="AK679" s="23"/>
      <c r="AL679" s="81"/>
      <c r="AM679" s="81"/>
      <c r="AN679" s="81"/>
      <c r="AO679" s="81"/>
      <c r="AP679" s="81"/>
      <c r="AQ679" s="81"/>
      <c r="AR679" s="81"/>
      <c r="AS679" s="81"/>
      <c r="AT679" s="81"/>
    </row>
    <row r="680" ht="22.5" customHeight="1">
      <c r="A680" s="87"/>
      <c r="B680" s="87"/>
      <c r="C680" s="87"/>
      <c r="D680" s="87"/>
      <c r="E680" s="87"/>
      <c r="F680" s="87"/>
      <c r="G680" s="88"/>
      <c r="H680" s="88"/>
      <c r="I680" s="89"/>
      <c r="J680" s="90"/>
      <c r="K680" s="87"/>
      <c r="L680" s="94"/>
      <c r="M680" s="87"/>
      <c r="N680" s="87"/>
      <c r="O680" s="299"/>
      <c r="P680" s="94"/>
      <c r="Q680" s="87"/>
      <c r="R680" s="95"/>
      <c r="S680" s="141"/>
      <c r="T680" s="87"/>
      <c r="U680" s="87"/>
      <c r="V680" s="97"/>
      <c r="W680" s="98"/>
      <c r="X680" s="99"/>
      <c r="Y680" s="99"/>
      <c r="Z680" s="119"/>
      <c r="AA680" s="99"/>
      <c r="AB680" s="99"/>
      <c r="AC680" s="101"/>
      <c r="AD680" s="101"/>
      <c r="AE680" s="101"/>
      <c r="AF680" s="101"/>
      <c r="AG680" s="101"/>
      <c r="AH680" s="102"/>
      <c r="AI680" s="101"/>
      <c r="AJ680" s="273"/>
      <c r="AK680" s="274"/>
      <c r="AL680" s="105"/>
      <c r="AM680" s="105"/>
      <c r="AN680" s="105"/>
      <c r="AO680" s="105"/>
      <c r="AP680" s="105"/>
      <c r="AQ680" s="105"/>
      <c r="AR680" s="105"/>
      <c r="AS680" s="105"/>
      <c r="AT680" s="105"/>
    </row>
    <row r="681" ht="22.5" customHeight="1">
      <c r="A681" s="87"/>
      <c r="B681" s="87"/>
      <c r="C681" s="87"/>
      <c r="D681" s="87"/>
      <c r="E681" s="87"/>
      <c r="F681" s="87"/>
      <c r="G681" s="88"/>
      <c r="H681" s="88"/>
      <c r="I681" s="89"/>
      <c r="J681" s="90"/>
      <c r="K681" s="87"/>
      <c r="L681" s="94"/>
      <c r="M681" s="87"/>
      <c r="N681" s="278"/>
      <c r="O681" s="87"/>
      <c r="P681" s="94"/>
      <c r="Q681" s="87"/>
      <c r="R681" s="95"/>
      <c r="S681" s="87"/>
      <c r="T681" s="87"/>
      <c r="U681" s="87"/>
      <c r="V681" s="97"/>
      <c r="W681" s="98"/>
      <c r="X681" s="99"/>
      <c r="Y681" s="99"/>
      <c r="Z681" s="99"/>
      <c r="AA681" s="99"/>
      <c r="AB681" s="99"/>
      <c r="AC681" s="101"/>
      <c r="AD681" s="101"/>
      <c r="AE681" s="101"/>
      <c r="AF681" s="101"/>
      <c r="AG681" s="101"/>
      <c r="AH681" s="102"/>
      <c r="AI681" s="101"/>
      <c r="AJ681" s="273"/>
      <c r="AK681" s="274"/>
      <c r="AL681" s="105"/>
      <c r="AM681" s="105"/>
      <c r="AN681" s="75"/>
      <c r="AO681" s="75"/>
      <c r="AP681" s="75"/>
      <c r="AQ681" s="75"/>
      <c r="AR681" s="75"/>
      <c r="AS681" s="75"/>
      <c r="AT681" s="75"/>
    </row>
    <row r="682" ht="22.5" customHeight="1">
      <c r="A682" s="139"/>
      <c r="B682" s="139"/>
      <c r="C682" s="139"/>
      <c r="D682" s="139"/>
      <c r="E682" s="7"/>
      <c r="F682" s="7"/>
      <c r="G682" s="107"/>
      <c r="H682" s="107"/>
      <c r="I682" s="51"/>
      <c r="J682" s="108"/>
      <c r="K682" s="7"/>
      <c r="L682" s="10"/>
      <c r="M682" s="7"/>
      <c r="N682" s="192"/>
      <c r="O682" s="7"/>
      <c r="P682" s="10"/>
      <c r="Q682" s="7"/>
      <c r="R682" s="11"/>
      <c r="S682" s="7"/>
      <c r="T682" s="7"/>
      <c r="U682" s="7"/>
      <c r="V682" s="27"/>
      <c r="W682" s="13"/>
      <c r="X682" s="14"/>
      <c r="Y682" s="14"/>
      <c r="Z682" s="14"/>
      <c r="AA682" s="14"/>
      <c r="AB682" s="14"/>
      <c r="AC682" s="8"/>
      <c r="AD682" s="8"/>
      <c r="AE682" s="8"/>
      <c r="AF682" s="8"/>
      <c r="AG682" s="8"/>
      <c r="AH682" s="72"/>
      <c r="AI682" s="8"/>
      <c r="AJ682" s="251"/>
      <c r="AK682" s="23"/>
      <c r="AL682" s="75"/>
      <c r="AM682" s="75"/>
      <c r="AN682" s="105"/>
      <c r="AO682" s="105"/>
      <c r="AP682" s="105"/>
      <c r="AQ682" s="105"/>
      <c r="AR682" s="105"/>
      <c r="AS682" s="105"/>
      <c r="AT682" s="105"/>
    </row>
    <row r="683" ht="22.5" customHeight="1">
      <c r="A683" s="7"/>
      <c r="B683" s="7"/>
      <c r="C683" s="7"/>
      <c r="D683" s="7"/>
      <c r="E683" s="7"/>
      <c r="F683" s="7"/>
      <c r="G683" s="107"/>
      <c r="H683" s="107"/>
      <c r="I683" s="51"/>
      <c r="J683" s="108"/>
      <c r="K683" s="7"/>
      <c r="L683" s="10"/>
      <c r="M683" s="7"/>
      <c r="N683" s="7"/>
      <c r="O683" s="252"/>
      <c r="P683" s="14"/>
      <c r="Q683" s="7"/>
      <c r="R683" s="78"/>
      <c r="S683" s="7"/>
      <c r="T683" s="7"/>
      <c r="U683" s="7"/>
      <c r="V683" s="14"/>
      <c r="W683" s="13"/>
      <c r="X683" s="14"/>
      <c r="Y683" s="14"/>
      <c r="Z683" s="14"/>
      <c r="AA683" s="14"/>
      <c r="AB683" s="14"/>
      <c r="AC683" s="8"/>
      <c r="AD683" s="8"/>
      <c r="AE683" s="8"/>
      <c r="AF683" s="8"/>
      <c r="AG683" s="8"/>
      <c r="AH683" s="72"/>
      <c r="AI683" s="8"/>
      <c r="AJ683" s="251"/>
      <c r="AK683" s="23"/>
      <c r="AL683" s="81"/>
      <c r="AM683" s="81"/>
      <c r="AN683" s="81"/>
      <c r="AO683" s="81"/>
      <c r="AP683" s="81"/>
      <c r="AQ683" s="81"/>
      <c r="AR683" s="81"/>
      <c r="AS683" s="81"/>
      <c r="AT683" s="81"/>
    </row>
    <row r="684" ht="22.5" customHeight="1">
      <c r="A684" s="7"/>
      <c r="B684" s="7"/>
      <c r="C684" s="7"/>
      <c r="D684" s="7"/>
      <c r="E684" s="7"/>
      <c r="F684" s="7"/>
      <c r="G684" s="107"/>
      <c r="H684" s="107"/>
      <c r="I684" s="51"/>
      <c r="J684" s="108"/>
      <c r="K684" s="7"/>
      <c r="L684" s="10"/>
      <c r="M684" s="7"/>
      <c r="N684" s="7"/>
      <c r="O684" s="7"/>
      <c r="P684" s="14"/>
      <c r="Q684" s="7"/>
      <c r="R684" s="78"/>
      <c r="S684" s="7"/>
      <c r="T684" s="7"/>
      <c r="U684" s="7"/>
      <c r="V684" s="14"/>
      <c r="W684" s="13"/>
      <c r="X684" s="14"/>
      <c r="Y684" s="14"/>
      <c r="Z684" s="14"/>
      <c r="AA684" s="14"/>
      <c r="AB684" s="14"/>
      <c r="AC684" s="8"/>
      <c r="AD684" s="8"/>
      <c r="AE684" s="8"/>
      <c r="AF684" s="8"/>
      <c r="AG684" s="8"/>
      <c r="AH684" s="72"/>
      <c r="AI684" s="8"/>
      <c r="AJ684" s="251"/>
      <c r="AK684" s="23"/>
      <c r="AL684" s="81"/>
      <c r="AM684" s="81"/>
      <c r="AN684" s="81"/>
      <c r="AO684" s="81"/>
      <c r="AP684" s="81"/>
      <c r="AQ684" s="81"/>
      <c r="AR684" s="81"/>
      <c r="AS684" s="81"/>
      <c r="AT684" s="81"/>
    </row>
    <row r="685" ht="22.5" customHeight="1">
      <c r="A685" s="139"/>
      <c r="B685" s="139"/>
      <c r="C685" s="7"/>
      <c r="D685" s="7"/>
      <c r="E685" s="7"/>
      <c r="F685" s="7"/>
      <c r="G685" s="112"/>
      <c r="H685" s="112"/>
      <c r="I685" s="51"/>
      <c r="J685" s="9"/>
      <c r="K685" s="7"/>
      <c r="L685" s="10"/>
      <c r="M685" s="7"/>
      <c r="N685" s="7"/>
      <c r="O685" s="84"/>
      <c r="P685" s="10"/>
      <c r="Q685" s="7"/>
      <c r="R685" s="11"/>
      <c r="S685" s="7"/>
      <c r="T685" s="7"/>
      <c r="U685" s="7"/>
      <c r="V685" s="14"/>
      <c r="W685" s="13"/>
      <c r="X685" s="14"/>
      <c r="Y685" s="14"/>
      <c r="Z685" s="43"/>
      <c r="AA685" s="14"/>
      <c r="AB685" s="14"/>
      <c r="AC685" s="8"/>
      <c r="AD685" s="8"/>
      <c r="AE685" s="8"/>
      <c r="AF685" s="8"/>
      <c r="AG685" s="8"/>
      <c r="AH685" s="72"/>
      <c r="AI685" s="8"/>
      <c r="AJ685" s="251"/>
      <c r="AK685" s="275"/>
      <c r="AL685" s="75"/>
      <c r="AM685" s="75"/>
      <c r="AN685" s="75"/>
      <c r="AO685" s="75"/>
      <c r="AP685" s="75"/>
      <c r="AQ685" s="75"/>
      <c r="AR685" s="75"/>
      <c r="AS685" s="75"/>
      <c r="AT685" s="75"/>
    </row>
    <row r="686" ht="22.5" customHeight="1">
      <c r="A686" s="7"/>
      <c r="B686" s="7"/>
      <c r="C686" s="7"/>
      <c r="D686" s="7"/>
      <c r="E686" s="7"/>
      <c r="F686" s="7"/>
      <c r="G686" s="112"/>
      <c r="H686" s="112"/>
      <c r="I686" s="51"/>
      <c r="J686" s="108"/>
      <c r="K686" s="7"/>
      <c r="L686" s="10"/>
      <c r="M686" s="7"/>
      <c r="N686" s="192"/>
      <c r="O686" s="7"/>
      <c r="P686" s="10"/>
      <c r="Q686" s="7"/>
      <c r="R686" s="11"/>
      <c r="S686" s="7"/>
      <c r="T686" s="7"/>
      <c r="U686" s="7"/>
      <c r="V686" s="27"/>
      <c r="W686" s="13"/>
      <c r="X686" s="14"/>
      <c r="Y686" s="14"/>
      <c r="Z686" s="14"/>
      <c r="AA686" s="14"/>
      <c r="AB686" s="14"/>
      <c r="AC686" s="8"/>
      <c r="AD686" s="8"/>
      <c r="AE686" s="8"/>
      <c r="AF686" s="8"/>
      <c r="AG686" s="8"/>
      <c r="AH686" s="72"/>
      <c r="AI686" s="8"/>
      <c r="AJ686" s="251"/>
      <c r="AK686" s="23"/>
      <c r="AL686" s="75"/>
      <c r="AM686" s="75"/>
      <c r="AN686" s="75"/>
      <c r="AO686" s="75"/>
      <c r="AP686" s="75"/>
      <c r="AQ686" s="75"/>
      <c r="AR686" s="75"/>
      <c r="AS686" s="75"/>
      <c r="AT686" s="75"/>
    </row>
    <row r="687" ht="22.5" customHeight="1">
      <c r="A687" s="7"/>
      <c r="B687" s="7"/>
      <c r="C687" s="7"/>
      <c r="D687" s="7"/>
      <c r="E687" s="7"/>
      <c r="F687" s="7"/>
      <c r="G687" s="88"/>
      <c r="H687" s="88"/>
      <c r="I687" s="51"/>
      <c r="J687" s="108"/>
      <c r="K687" s="7"/>
      <c r="L687" s="10"/>
      <c r="M687" s="7"/>
      <c r="N687" s="7"/>
      <c r="O687" s="7"/>
      <c r="P687" s="10"/>
      <c r="Q687" s="7"/>
      <c r="R687" s="11"/>
      <c r="S687" s="7"/>
      <c r="T687" s="7"/>
      <c r="U687" s="7"/>
      <c r="V687" s="27"/>
      <c r="W687" s="13"/>
      <c r="X687" s="14"/>
      <c r="Y687" s="14"/>
      <c r="Z687" s="14"/>
      <c r="AA687" s="14"/>
      <c r="AB687" s="14"/>
      <c r="AC687" s="8"/>
      <c r="AD687" s="8"/>
      <c r="AE687" s="8"/>
      <c r="AF687" s="8"/>
      <c r="AG687" s="8"/>
      <c r="AH687" s="72"/>
      <c r="AI687" s="8"/>
      <c r="AJ687" s="251"/>
      <c r="AK687" s="23"/>
      <c r="AL687" s="75"/>
      <c r="AM687" s="75"/>
      <c r="AN687" s="75"/>
      <c r="AO687" s="75"/>
      <c r="AP687" s="75"/>
      <c r="AQ687" s="75"/>
      <c r="AR687" s="75"/>
      <c r="AS687" s="75"/>
      <c r="AT687" s="75"/>
    </row>
    <row r="688" ht="22.5" customHeight="1">
      <c r="A688" s="7"/>
      <c r="B688" s="7"/>
      <c r="C688" s="7"/>
      <c r="D688" s="7"/>
      <c r="E688" s="7"/>
      <c r="F688" s="7"/>
      <c r="G688" s="88"/>
      <c r="H688" s="88"/>
      <c r="I688" s="51"/>
      <c r="J688" s="108"/>
      <c r="K688" s="7"/>
      <c r="L688" s="10"/>
      <c r="M688" s="7"/>
      <c r="N688" s="7"/>
      <c r="O688" s="7"/>
      <c r="P688" s="10"/>
      <c r="Q688" s="7"/>
      <c r="R688" s="11"/>
      <c r="S688" s="7"/>
      <c r="T688" s="7"/>
      <c r="U688" s="7"/>
      <c r="V688" s="27"/>
      <c r="W688" s="13"/>
      <c r="X688" s="14"/>
      <c r="Y688" s="14"/>
      <c r="Z688" s="14"/>
      <c r="AA688" s="14"/>
      <c r="AB688" s="14"/>
      <c r="AC688" s="8"/>
      <c r="AD688" s="8"/>
      <c r="AE688" s="8"/>
      <c r="AF688" s="8"/>
      <c r="AG688" s="8"/>
      <c r="AH688" s="72"/>
      <c r="AI688" s="8"/>
      <c r="AJ688" s="251"/>
      <c r="AK688" s="23"/>
      <c r="AL688" s="75"/>
      <c r="AM688" s="75"/>
      <c r="AN688" s="75"/>
      <c r="AO688" s="75"/>
      <c r="AP688" s="75"/>
      <c r="AQ688" s="75"/>
      <c r="AR688" s="75"/>
      <c r="AS688" s="75"/>
      <c r="AT688" s="75"/>
    </row>
    <row r="689" ht="22.5" customHeight="1">
      <c r="A689" s="7"/>
      <c r="B689" s="7"/>
      <c r="C689" s="7"/>
      <c r="D689" s="7"/>
      <c r="E689" s="7"/>
      <c r="F689" s="7"/>
      <c r="G689" s="88"/>
      <c r="H689" s="88"/>
      <c r="I689" s="51"/>
      <c r="J689" s="108"/>
      <c r="K689" s="7"/>
      <c r="L689" s="17"/>
      <c r="M689" s="7"/>
      <c r="N689" s="7"/>
      <c r="O689" s="7"/>
      <c r="P689" s="10"/>
      <c r="Q689" s="7"/>
      <c r="R689" s="11"/>
      <c r="S689" s="7"/>
      <c r="T689" s="7"/>
      <c r="U689" s="7"/>
      <c r="V689" s="27"/>
      <c r="W689" s="13"/>
      <c r="X689" s="14"/>
      <c r="Y689" s="14"/>
      <c r="Z689" s="14"/>
      <c r="AA689" s="14"/>
      <c r="AB689" s="14"/>
      <c r="AC689" s="8"/>
      <c r="AD689" s="8"/>
      <c r="AE689" s="8"/>
      <c r="AF689" s="8"/>
      <c r="AG689" s="8"/>
      <c r="AH689" s="72"/>
      <c r="AI689" s="8"/>
      <c r="AJ689" s="251"/>
      <c r="AK689" s="23"/>
      <c r="AL689" s="121"/>
      <c r="AM689" s="75"/>
      <c r="AN689" s="105"/>
      <c r="AO689" s="105"/>
      <c r="AP689" s="105"/>
      <c r="AQ689" s="105"/>
      <c r="AR689" s="105"/>
      <c r="AS689" s="105"/>
      <c r="AT689" s="105"/>
    </row>
    <row r="690" ht="22.5" customHeight="1">
      <c r="A690" s="7"/>
      <c r="B690" s="7"/>
      <c r="C690" s="7"/>
      <c r="D690" s="7"/>
      <c r="E690" s="7"/>
      <c r="F690" s="7"/>
      <c r="G690" s="112"/>
      <c r="H690" s="112"/>
      <c r="I690" s="51"/>
      <c r="J690" s="108"/>
      <c r="K690" s="7"/>
      <c r="L690" s="10"/>
      <c r="M690" s="87"/>
      <c r="N690" s="300"/>
      <c r="O690" s="7"/>
      <c r="P690" s="10"/>
      <c r="Q690" s="7"/>
      <c r="R690" s="11"/>
      <c r="S690" s="7"/>
      <c r="T690" s="7"/>
      <c r="U690" s="7"/>
      <c r="V690" s="27"/>
      <c r="W690" s="13"/>
      <c r="X690" s="14"/>
      <c r="Y690" s="14"/>
      <c r="Z690" s="14"/>
      <c r="AA690" s="14"/>
      <c r="AB690" s="14"/>
      <c r="AC690" s="8"/>
      <c r="AD690" s="8"/>
      <c r="AE690" s="8"/>
      <c r="AF690" s="8"/>
      <c r="AG690" s="8"/>
      <c r="AH690" s="72"/>
      <c r="AI690" s="8"/>
      <c r="AJ690" s="251"/>
      <c r="AK690" s="23"/>
      <c r="AL690" s="75"/>
      <c r="AM690" s="75"/>
      <c r="AN690" s="75"/>
      <c r="AO690" s="75"/>
      <c r="AP690" s="75"/>
      <c r="AQ690" s="75"/>
      <c r="AR690" s="75"/>
      <c r="AS690" s="75"/>
      <c r="AT690" s="75"/>
    </row>
    <row r="691" ht="22.5" customHeight="1">
      <c r="A691" s="7"/>
      <c r="B691" s="7"/>
      <c r="C691" s="7"/>
      <c r="D691" s="7"/>
      <c r="E691" s="7"/>
      <c r="F691" s="7"/>
      <c r="G691" s="49"/>
      <c r="H691" s="49"/>
      <c r="I691" s="165"/>
      <c r="J691" s="108"/>
      <c r="K691" s="7"/>
      <c r="L691" s="10"/>
      <c r="M691" s="7"/>
      <c r="N691" s="83"/>
      <c r="O691" s="210"/>
      <c r="P691" s="7"/>
      <c r="Q691" s="7"/>
      <c r="R691" s="11"/>
      <c r="S691" s="7"/>
      <c r="T691" s="211"/>
      <c r="U691" s="7"/>
      <c r="V691" s="14"/>
      <c r="W691" s="212"/>
      <c r="X691" s="7"/>
      <c r="Y691" s="14"/>
      <c r="Z691" s="213"/>
      <c r="AA691" s="7"/>
      <c r="AB691" s="7"/>
      <c r="AC691" s="21"/>
      <c r="AD691" s="21"/>
      <c r="AE691" s="123"/>
      <c r="AF691" s="8"/>
      <c r="AG691" s="8"/>
      <c r="AH691" s="72"/>
      <c r="AI691" s="8"/>
      <c r="AJ691" s="251"/>
      <c r="AK691" s="251"/>
      <c r="AL691" s="81"/>
      <c r="AM691" s="81"/>
      <c r="AN691" s="81"/>
      <c r="AO691" s="81"/>
      <c r="AP691" s="81"/>
      <c r="AQ691" s="81"/>
      <c r="AR691" s="81"/>
      <c r="AS691" s="81"/>
      <c r="AT691" s="81"/>
    </row>
    <row r="692" ht="22.5" customHeight="1">
      <c r="A692" s="7"/>
      <c r="B692" s="7"/>
      <c r="C692" s="7"/>
      <c r="D692" s="7"/>
      <c r="E692" s="7"/>
      <c r="F692" s="7"/>
      <c r="G692" s="49"/>
      <c r="H692" s="49"/>
      <c r="I692" s="165"/>
      <c r="J692" s="108"/>
      <c r="K692" s="7"/>
      <c r="L692" s="10"/>
      <c r="M692" s="7"/>
      <c r="N692" s="83"/>
      <c r="O692" s="210"/>
      <c r="P692" s="7"/>
      <c r="Q692" s="7"/>
      <c r="R692" s="11"/>
      <c r="S692" s="7"/>
      <c r="T692" s="7"/>
      <c r="U692" s="7"/>
      <c r="V692" s="14"/>
      <c r="W692" s="212"/>
      <c r="X692" s="7"/>
      <c r="Y692" s="14"/>
      <c r="Z692" s="213"/>
      <c r="AA692" s="7"/>
      <c r="AB692" s="14"/>
      <c r="AC692" s="8"/>
      <c r="AD692" s="8"/>
      <c r="AE692" s="8"/>
      <c r="AF692" s="8"/>
      <c r="AG692" s="8"/>
      <c r="AH692" s="72"/>
      <c r="AI692" s="8"/>
      <c r="AJ692" s="251"/>
      <c r="AK692" s="251"/>
      <c r="AL692" s="81"/>
      <c r="AM692" s="81"/>
      <c r="AN692" s="81"/>
      <c r="AO692" s="81"/>
      <c r="AP692" s="81"/>
      <c r="AQ692" s="81"/>
      <c r="AR692" s="81"/>
      <c r="AS692" s="81"/>
      <c r="AT692" s="81"/>
    </row>
    <row r="693" ht="22.5" customHeight="1">
      <c r="A693" s="7"/>
      <c r="B693" s="7"/>
      <c r="C693" s="7"/>
      <c r="D693" s="7"/>
      <c r="E693" s="7"/>
      <c r="F693" s="7"/>
      <c r="G693" s="49"/>
      <c r="H693" s="49"/>
      <c r="I693" s="165"/>
      <c r="J693" s="108"/>
      <c r="K693" s="7"/>
      <c r="L693" s="10"/>
      <c r="M693" s="7"/>
      <c r="N693" s="83"/>
      <c r="O693" s="210"/>
      <c r="P693" s="7"/>
      <c r="Q693" s="7"/>
      <c r="R693" s="11"/>
      <c r="S693" s="7"/>
      <c r="T693" s="7"/>
      <c r="U693" s="7"/>
      <c r="V693" s="14"/>
      <c r="W693" s="212"/>
      <c r="X693" s="7"/>
      <c r="Y693" s="14"/>
      <c r="Z693" s="213"/>
      <c r="AA693" s="7"/>
      <c r="AB693" s="109"/>
      <c r="AC693" s="21"/>
      <c r="AD693" s="21"/>
      <c r="AE693" s="21"/>
      <c r="AF693" s="8"/>
      <c r="AG693" s="8"/>
      <c r="AH693" s="72"/>
      <c r="AI693" s="8"/>
      <c r="AJ693" s="251"/>
      <c r="AK693" s="251"/>
      <c r="AL693" s="81"/>
      <c r="AM693" s="81"/>
      <c r="AN693" s="81"/>
      <c r="AO693" s="81"/>
      <c r="AP693" s="81"/>
      <c r="AQ693" s="81"/>
      <c r="AR693" s="81"/>
      <c r="AS693" s="81"/>
      <c r="AT693" s="81"/>
    </row>
    <row r="694" ht="22.5" customHeight="1">
      <c r="A694" s="7"/>
      <c r="B694" s="7"/>
      <c r="C694" s="7"/>
      <c r="D694" s="7"/>
      <c r="E694" s="7"/>
      <c r="F694" s="7"/>
      <c r="G694" s="49"/>
      <c r="H694" s="49"/>
      <c r="I694" s="165"/>
      <c r="J694" s="108"/>
      <c r="K694" s="7"/>
      <c r="L694" s="10"/>
      <c r="M694" s="7"/>
      <c r="N694" s="83"/>
      <c r="O694" s="210"/>
      <c r="P694" s="7"/>
      <c r="Q694" s="7"/>
      <c r="R694" s="11"/>
      <c r="S694" s="7"/>
      <c r="T694" s="7"/>
      <c r="U694" s="7"/>
      <c r="V694" s="14"/>
      <c r="W694" s="212"/>
      <c r="X694" s="7"/>
      <c r="Y694" s="14"/>
      <c r="Z694" s="213"/>
      <c r="AA694" s="7"/>
      <c r="AB694" s="109"/>
      <c r="AC694" s="21"/>
      <c r="AD694" s="21"/>
      <c r="AE694" s="21"/>
      <c r="AF694" s="8"/>
      <c r="AG694" s="8"/>
      <c r="AH694" s="72"/>
      <c r="AI694" s="8"/>
      <c r="AJ694" s="251"/>
      <c r="AK694" s="251"/>
      <c r="AL694" s="81"/>
      <c r="AM694" s="81"/>
      <c r="AN694" s="81"/>
      <c r="AO694" s="81"/>
      <c r="AP694" s="81"/>
      <c r="AQ694" s="81"/>
      <c r="AR694" s="81"/>
      <c r="AS694" s="81"/>
      <c r="AT694" s="81"/>
    </row>
    <row r="695" ht="22.5" customHeight="1">
      <c r="A695" s="7"/>
      <c r="B695" s="7"/>
      <c r="C695" s="7"/>
      <c r="D695" s="7"/>
      <c r="E695" s="7"/>
      <c r="F695" s="7"/>
      <c r="G695" s="49"/>
      <c r="H695" s="49"/>
      <c r="I695" s="165"/>
      <c r="J695" s="108"/>
      <c r="K695" s="7"/>
      <c r="L695" s="10"/>
      <c r="M695" s="7"/>
      <c r="N695" s="83"/>
      <c r="O695" s="210"/>
      <c r="P695" s="7"/>
      <c r="Q695" s="7"/>
      <c r="R695" s="11"/>
      <c r="S695" s="7"/>
      <c r="T695" s="211"/>
      <c r="U695" s="7"/>
      <c r="V695" s="14"/>
      <c r="W695" s="212"/>
      <c r="X695" s="7"/>
      <c r="Y695" s="14"/>
      <c r="Z695" s="213"/>
      <c r="AA695" s="7"/>
      <c r="AB695" s="7"/>
      <c r="AC695" s="21"/>
      <c r="AD695" s="21"/>
      <c r="AE695" s="21"/>
      <c r="AF695" s="8"/>
      <c r="AG695" s="8"/>
      <c r="AH695" s="72"/>
      <c r="AI695" s="8"/>
      <c r="AJ695" s="21"/>
      <c r="AK695" s="21"/>
      <c r="AL695" s="81"/>
      <c r="AM695" s="81"/>
      <c r="AN695" s="81"/>
      <c r="AO695" s="81"/>
      <c r="AP695" s="81"/>
      <c r="AQ695" s="81"/>
      <c r="AR695" s="81"/>
      <c r="AS695" s="81"/>
      <c r="AT695" s="81"/>
    </row>
    <row r="696" ht="22.5" customHeight="1">
      <c r="A696" s="7"/>
      <c r="B696" s="7"/>
      <c r="C696" s="7"/>
      <c r="D696" s="7"/>
      <c r="E696" s="7"/>
      <c r="F696" s="7"/>
      <c r="G696" s="49"/>
      <c r="H696" s="49"/>
      <c r="I696" s="51"/>
      <c r="J696" s="82"/>
      <c r="K696" s="7"/>
      <c r="L696" s="10"/>
      <c r="M696" s="7"/>
      <c r="N696" s="83"/>
      <c r="O696" s="84"/>
      <c r="P696" s="7"/>
      <c r="Q696" s="7"/>
      <c r="R696" s="78"/>
      <c r="S696" s="7"/>
      <c r="T696" s="7"/>
      <c r="U696" s="7"/>
      <c r="V696" s="14"/>
      <c r="W696" s="13"/>
      <c r="X696" s="14"/>
      <c r="Y696" s="14"/>
      <c r="Z696" s="43"/>
      <c r="AA696" s="14"/>
      <c r="AB696" s="14"/>
      <c r="AC696" s="8"/>
      <c r="AD696" s="8"/>
      <c r="AE696" s="8"/>
      <c r="AF696" s="8"/>
      <c r="AG696" s="8"/>
      <c r="AH696" s="72"/>
      <c r="AI696" s="8"/>
      <c r="AJ696" s="21"/>
      <c r="AK696" s="86"/>
      <c r="AL696" s="227"/>
      <c r="AM696" s="227"/>
      <c r="AN696" s="81"/>
      <c r="AO696" s="81"/>
      <c r="AP696" s="81"/>
      <c r="AQ696" s="81"/>
      <c r="AR696" s="81"/>
      <c r="AS696" s="81"/>
      <c r="AT696" s="81"/>
    </row>
    <row r="697" ht="22.5" customHeight="1">
      <c r="A697" s="106"/>
      <c r="B697" s="106"/>
      <c r="C697" s="7"/>
      <c r="D697" s="7"/>
      <c r="E697" s="7"/>
      <c r="F697" s="7"/>
      <c r="G697" s="49"/>
      <c r="H697" s="49"/>
      <c r="I697" s="51"/>
      <c r="J697" s="215"/>
      <c r="K697" s="1"/>
      <c r="L697" s="10"/>
      <c r="M697" s="7"/>
      <c r="N697" s="7"/>
      <c r="O697" s="84"/>
      <c r="P697" s="7"/>
      <c r="Q697" s="7"/>
      <c r="R697" s="11"/>
      <c r="S697" s="7"/>
      <c r="T697" s="7"/>
      <c r="U697" s="7"/>
      <c r="V697" s="14"/>
      <c r="W697" s="212"/>
      <c r="X697" s="7"/>
      <c r="Y697" s="14"/>
      <c r="Z697" s="7"/>
      <c r="AA697" s="7"/>
      <c r="AB697" s="109"/>
      <c r="AC697" s="21"/>
      <c r="AD697" s="21"/>
      <c r="AE697" s="21"/>
      <c r="AF697" s="8"/>
      <c r="AG697" s="8"/>
      <c r="AH697" s="72"/>
      <c r="AI697" s="8"/>
      <c r="AJ697" s="21"/>
      <c r="AK697" s="301"/>
      <c r="AL697" s="227"/>
      <c r="AM697" s="227"/>
      <c r="AN697" s="81"/>
      <c r="AO697" s="81"/>
      <c r="AP697" s="81"/>
      <c r="AQ697" s="81"/>
      <c r="AR697" s="81"/>
      <c r="AS697" s="81"/>
      <c r="AT697" s="81"/>
    </row>
    <row r="698" ht="22.5" customHeight="1">
      <c r="A698" s="106"/>
      <c r="B698" s="106"/>
      <c r="C698" s="7"/>
      <c r="D698" s="7"/>
      <c r="E698" s="7"/>
      <c r="F698" s="7"/>
      <c r="G698" s="49"/>
      <c r="H698" s="49"/>
      <c r="I698" s="51"/>
      <c r="J698" s="113"/>
      <c r="K698" s="1"/>
      <c r="L698" s="10"/>
      <c r="M698" s="7"/>
      <c r="N698" s="7"/>
      <c r="O698" s="7"/>
      <c r="P698" s="7"/>
      <c r="Q698" s="7"/>
      <c r="R698" s="78"/>
      <c r="S698" s="85"/>
      <c r="T698" s="7"/>
      <c r="U698" s="7"/>
      <c r="V698" s="14"/>
      <c r="W698" s="13"/>
      <c r="X698" s="14"/>
      <c r="Y698" s="14"/>
      <c r="Z698" s="43"/>
      <c r="AA698" s="14"/>
      <c r="AB698" s="14"/>
      <c r="AC698" s="8"/>
      <c r="AD698" s="8"/>
      <c r="AE698" s="8"/>
      <c r="AF698" s="8"/>
      <c r="AG698" s="8"/>
      <c r="AH698" s="72"/>
      <c r="AI698" s="8"/>
      <c r="AJ698" s="21"/>
      <c r="AK698" s="21"/>
      <c r="AL698" s="227"/>
      <c r="AM698" s="227"/>
      <c r="AN698" s="81"/>
      <c r="AO698" s="81"/>
      <c r="AP698" s="81"/>
      <c r="AQ698" s="81"/>
      <c r="AR698" s="81"/>
      <c r="AS698" s="81"/>
      <c r="AT698" s="81"/>
    </row>
    <row r="699" ht="22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ht="22.5" customHeight="1">
      <c r="A700" s="219"/>
      <c r="B700" s="219"/>
      <c r="C700" s="219"/>
      <c r="D700" s="219"/>
      <c r="E700" s="219"/>
      <c r="F700" s="219"/>
      <c r="G700" s="219"/>
      <c r="H700" s="219"/>
      <c r="I700" s="249"/>
      <c r="J700" s="243"/>
      <c r="K700" s="219"/>
      <c r="L700" s="244"/>
      <c r="M700" s="219"/>
      <c r="N700" s="219"/>
      <c r="O700" s="219"/>
      <c r="P700" s="244"/>
      <c r="Q700" s="219"/>
      <c r="R700" s="302"/>
      <c r="S700" s="219"/>
      <c r="T700" s="219"/>
      <c r="U700" s="219"/>
      <c r="V700" s="303"/>
      <c r="W700" s="247"/>
      <c r="X700" s="245"/>
      <c r="Y700" s="245"/>
      <c r="Z700" s="245"/>
      <c r="AA700" s="245"/>
      <c r="AB700" s="245"/>
      <c r="AC700" s="249"/>
      <c r="AD700" s="249"/>
      <c r="AE700" s="249"/>
      <c r="AF700" s="8"/>
      <c r="AG700" s="8"/>
      <c r="AH700" s="72"/>
      <c r="AI700" s="8"/>
      <c r="AJ700" s="251"/>
      <c r="AK700" s="23"/>
      <c r="AL700" s="75"/>
      <c r="AM700" s="75" t="str">
        <f t="shared" ref="AM700:AM1500" si="141">if(J700="","",datedif(J700,$AM$2,"M"))</f>
        <v/>
      </c>
      <c r="AN700" s="75"/>
      <c r="AO700" s="75"/>
      <c r="AP700" s="75"/>
      <c r="AQ700" s="75"/>
      <c r="AR700" s="75"/>
      <c r="AS700" s="75"/>
      <c r="AT700" s="75"/>
    </row>
    <row r="701" ht="22.5" customHeight="1">
      <c r="A701" s="219"/>
      <c r="B701" s="219"/>
      <c r="C701" s="219"/>
      <c r="D701" s="219"/>
      <c r="E701" s="219"/>
      <c r="F701" s="219"/>
      <c r="G701" s="219"/>
      <c r="H701" s="219"/>
      <c r="I701" s="249"/>
      <c r="J701" s="243"/>
      <c r="K701" s="219"/>
      <c r="L701" s="244"/>
      <c r="M701" s="219"/>
      <c r="N701" s="219"/>
      <c r="O701" s="219"/>
      <c r="P701" s="244"/>
      <c r="Q701" s="219"/>
      <c r="R701" s="302"/>
      <c r="S701" s="219"/>
      <c r="T701" s="219"/>
      <c r="U701" s="219"/>
      <c r="V701" s="303"/>
      <c r="W701" s="247"/>
      <c r="X701" s="245"/>
      <c r="Y701" s="245"/>
      <c r="Z701" s="245"/>
      <c r="AA701" s="245"/>
      <c r="AB701" s="245"/>
      <c r="AC701" s="249"/>
      <c r="AD701" s="249"/>
      <c r="AE701" s="249"/>
      <c r="AF701" s="8"/>
      <c r="AG701" s="8"/>
      <c r="AH701" s="72"/>
      <c r="AI701" s="8"/>
      <c r="AJ701" s="251"/>
      <c r="AK701" s="23"/>
      <c r="AL701" s="75"/>
      <c r="AM701" s="75" t="str">
        <f t="shared" si="141"/>
        <v/>
      </c>
      <c r="AN701" s="75"/>
      <c r="AO701" s="75"/>
      <c r="AP701" s="75"/>
      <c r="AQ701" s="75"/>
      <c r="AR701" s="75"/>
      <c r="AS701" s="75"/>
      <c r="AT701" s="75"/>
    </row>
    <row r="702" ht="22.5" customHeight="1">
      <c r="A702" s="219"/>
      <c r="B702" s="219"/>
      <c r="C702" s="219"/>
      <c r="D702" s="219"/>
      <c r="E702" s="219"/>
      <c r="F702" s="219"/>
      <c r="G702" s="219"/>
      <c r="H702" s="219"/>
      <c r="I702" s="249"/>
      <c r="J702" s="243"/>
      <c r="K702" s="219"/>
      <c r="L702" s="244"/>
      <c r="M702" s="219"/>
      <c r="N702" s="219"/>
      <c r="O702" s="219"/>
      <c r="P702" s="244"/>
      <c r="Q702" s="219"/>
      <c r="R702" s="302"/>
      <c r="S702" s="219"/>
      <c r="T702" s="219"/>
      <c r="U702" s="219"/>
      <c r="V702" s="303"/>
      <c r="W702" s="247"/>
      <c r="X702" s="245"/>
      <c r="Y702" s="245"/>
      <c r="Z702" s="245"/>
      <c r="AA702" s="245"/>
      <c r="AB702" s="245"/>
      <c r="AC702" s="249"/>
      <c r="AD702" s="249"/>
      <c r="AE702" s="249"/>
      <c r="AF702" s="8"/>
      <c r="AG702" s="8"/>
      <c r="AH702" s="72"/>
      <c r="AI702" s="8"/>
      <c r="AJ702" s="251"/>
      <c r="AK702" s="23"/>
      <c r="AL702" s="75"/>
      <c r="AM702" s="75" t="str">
        <f t="shared" si="141"/>
        <v/>
      </c>
      <c r="AN702" s="75"/>
      <c r="AO702" s="75"/>
      <c r="AP702" s="75"/>
      <c r="AQ702" s="75"/>
      <c r="AR702" s="75"/>
      <c r="AS702" s="75"/>
      <c r="AT702" s="75"/>
    </row>
    <row r="703" ht="22.5" customHeight="1">
      <c r="A703" s="219"/>
      <c r="B703" s="219"/>
      <c r="C703" s="219"/>
      <c r="D703" s="219"/>
      <c r="E703" s="219"/>
      <c r="F703" s="219"/>
      <c r="G703" s="219"/>
      <c r="H703" s="219"/>
      <c r="I703" s="249"/>
      <c r="J703" s="243"/>
      <c r="K703" s="219"/>
      <c r="L703" s="244"/>
      <c r="M703" s="219"/>
      <c r="N703" s="219"/>
      <c r="O703" s="219"/>
      <c r="P703" s="244"/>
      <c r="Q703" s="219"/>
      <c r="R703" s="302"/>
      <c r="S703" s="219"/>
      <c r="T703" s="219"/>
      <c r="U703" s="219"/>
      <c r="V703" s="303"/>
      <c r="W703" s="247"/>
      <c r="X703" s="245"/>
      <c r="Y703" s="245"/>
      <c r="Z703" s="245"/>
      <c r="AA703" s="245"/>
      <c r="AB703" s="245"/>
      <c r="AC703" s="249"/>
      <c r="AD703" s="249"/>
      <c r="AE703" s="249"/>
      <c r="AF703" s="8"/>
      <c r="AG703" s="8"/>
      <c r="AH703" s="72"/>
      <c r="AI703" s="8"/>
      <c r="AJ703" s="251"/>
      <c r="AK703" s="23"/>
      <c r="AL703" s="75"/>
      <c r="AM703" s="75" t="str">
        <f t="shared" si="141"/>
        <v/>
      </c>
      <c r="AN703" s="75"/>
      <c r="AO703" s="75"/>
      <c r="AP703" s="75"/>
      <c r="AQ703" s="75"/>
      <c r="AR703" s="75"/>
      <c r="AS703" s="75"/>
      <c r="AT703" s="75"/>
    </row>
    <row r="704" ht="22.5" customHeight="1">
      <c r="A704" s="219"/>
      <c r="B704" s="219"/>
      <c r="C704" s="219"/>
      <c r="D704" s="219"/>
      <c r="E704" s="219"/>
      <c r="F704" s="219"/>
      <c r="G704" s="219"/>
      <c r="H704" s="219"/>
      <c r="I704" s="249"/>
      <c r="J704" s="243"/>
      <c r="K704" s="219"/>
      <c r="L704" s="244"/>
      <c r="M704" s="219"/>
      <c r="N704" s="219"/>
      <c r="O704" s="219"/>
      <c r="P704" s="244"/>
      <c r="Q704" s="219"/>
      <c r="R704" s="302"/>
      <c r="S704" s="219"/>
      <c r="T704" s="219"/>
      <c r="U704" s="219"/>
      <c r="V704" s="303"/>
      <c r="W704" s="247"/>
      <c r="X704" s="245"/>
      <c r="Y704" s="245"/>
      <c r="Z704" s="245"/>
      <c r="AA704" s="245"/>
      <c r="AB704" s="245"/>
      <c r="AC704" s="249"/>
      <c r="AD704" s="249"/>
      <c r="AE704" s="249"/>
      <c r="AF704" s="8"/>
      <c r="AG704" s="8"/>
      <c r="AH704" s="72"/>
      <c r="AI704" s="8"/>
      <c r="AJ704" s="251"/>
      <c r="AK704" s="23"/>
      <c r="AL704" s="75"/>
      <c r="AM704" s="75" t="str">
        <f t="shared" si="141"/>
        <v/>
      </c>
      <c r="AN704" s="75"/>
      <c r="AO704" s="75"/>
      <c r="AP704" s="75"/>
      <c r="AQ704" s="75"/>
      <c r="AR704" s="75"/>
      <c r="AS704" s="75"/>
      <c r="AT704" s="75"/>
    </row>
    <row r="705" ht="22.5" customHeight="1">
      <c r="A705" s="219"/>
      <c r="B705" s="219"/>
      <c r="C705" s="219"/>
      <c r="D705" s="219"/>
      <c r="E705" s="219"/>
      <c r="F705" s="219"/>
      <c r="G705" s="219"/>
      <c r="H705" s="219"/>
      <c r="I705" s="249"/>
      <c r="J705" s="243"/>
      <c r="K705" s="219"/>
      <c r="L705" s="244"/>
      <c r="M705" s="219"/>
      <c r="N705" s="219"/>
      <c r="O705" s="219"/>
      <c r="P705" s="244"/>
      <c r="Q705" s="219"/>
      <c r="R705" s="302"/>
      <c r="S705" s="219"/>
      <c r="T705" s="219"/>
      <c r="U705" s="219"/>
      <c r="V705" s="303"/>
      <c r="W705" s="247"/>
      <c r="X705" s="245"/>
      <c r="Y705" s="245"/>
      <c r="Z705" s="245"/>
      <c r="AA705" s="245"/>
      <c r="AB705" s="245"/>
      <c r="AC705" s="249"/>
      <c r="AD705" s="249"/>
      <c r="AE705" s="249"/>
      <c r="AF705" s="8"/>
      <c r="AG705" s="8"/>
      <c r="AH705" s="72"/>
      <c r="AI705" s="8"/>
      <c r="AJ705" s="251"/>
      <c r="AK705" s="23"/>
      <c r="AL705" s="75"/>
      <c r="AM705" s="75" t="str">
        <f t="shared" si="141"/>
        <v/>
      </c>
      <c r="AN705" s="75"/>
      <c r="AO705" s="75"/>
      <c r="AP705" s="75"/>
      <c r="AQ705" s="75"/>
      <c r="AR705" s="75"/>
      <c r="AS705" s="75"/>
      <c r="AT705" s="75"/>
    </row>
    <row r="706" ht="22.5" customHeight="1">
      <c r="A706" s="219"/>
      <c r="B706" s="219"/>
      <c r="C706" s="219"/>
      <c r="D706" s="219"/>
      <c r="E706" s="219"/>
      <c r="F706" s="219"/>
      <c r="G706" s="219"/>
      <c r="H706" s="219"/>
      <c r="I706" s="249"/>
      <c r="J706" s="243"/>
      <c r="K706" s="219"/>
      <c r="L706" s="244"/>
      <c r="M706" s="219"/>
      <c r="N706" s="219"/>
      <c r="O706" s="219"/>
      <c r="P706" s="244"/>
      <c r="Q706" s="219"/>
      <c r="R706" s="302"/>
      <c r="S706" s="219"/>
      <c r="T706" s="219"/>
      <c r="U706" s="219"/>
      <c r="V706" s="303"/>
      <c r="W706" s="247"/>
      <c r="X706" s="245"/>
      <c r="Y706" s="245"/>
      <c r="Z706" s="245"/>
      <c r="AA706" s="245"/>
      <c r="AB706" s="245"/>
      <c r="AC706" s="249"/>
      <c r="AD706" s="249"/>
      <c r="AE706" s="249"/>
      <c r="AF706" s="8"/>
      <c r="AG706" s="8"/>
      <c r="AH706" s="72"/>
      <c r="AI706" s="8"/>
      <c r="AJ706" s="251"/>
      <c r="AK706" s="23"/>
      <c r="AL706" s="75"/>
      <c r="AM706" s="75" t="str">
        <f t="shared" si="141"/>
        <v/>
      </c>
      <c r="AN706" s="75"/>
      <c r="AO706" s="75"/>
      <c r="AP706" s="75"/>
      <c r="AQ706" s="75"/>
      <c r="AR706" s="75"/>
      <c r="AS706" s="75"/>
      <c r="AT706" s="75"/>
    </row>
    <row r="707" ht="22.5" customHeight="1">
      <c r="A707" s="219"/>
      <c r="B707" s="219"/>
      <c r="C707" s="219"/>
      <c r="D707" s="219"/>
      <c r="E707" s="219"/>
      <c r="F707" s="219"/>
      <c r="G707" s="219"/>
      <c r="H707" s="219"/>
      <c r="I707" s="249"/>
      <c r="J707" s="243"/>
      <c r="K707" s="219"/>
      <c r="L707" s="244"/>
      <c r="M707" s="219"/>
      <c r="N707" s="219"/>
      <c r="O707" s="219"/>
      <c r="P707" s="244"/>
      <c r="Q707" s="219"/>
      <c r="R707" s="302"/>
      <c r="S707" s="219"/>
      <c r="T707" s="219"/>
      <c r="U707" s="219"/>
      <c r="V707" s="303"/>
      <c r="W707" s="247"/>
      <c r="X707" s="245"/>
      <c r="Y707" s="245"/>
      <c r="Z707" s="245"/>
      <c r="AA707" s="245"/>
      <c r="AB707" s="245"/>
      <c r="AC707" s="249"/>
      <c r="AD707" s="249"/>
      <c r="AE707" s="249"/>
      <c r="AF707" s="8"/>
      <c r="AG707" s="8"/>
      <c r="AH707" s="72"/>
      <c r="AI707" s="8"/>
      <c r="AJ707" s="251"/>
      <c r="AK707" s="23"/>
      <c r="AL707" s="75"/>
      <c r="AM707" s="75" t="str">
        <f t="shared" si="141"/>
        <v/>
      </c>
      <c r="AN707" s="75"/>
      <c r="AO707" s="75"/>
      <c r="AP707" s="75"/>
      <c r="AQ707" s="75"/>
      <c r="AR707" s="75"/>
      <c r="AS707" s="75"/>
      <c r="AT707" s="75"/>
    </row>
    <row r="708" ht="22.5" customHeight="1">
      <c r="A708" s="219"/>
      <c r="B708" s="219"/>
      <c r="C708" s="219"/>
      <c r="D708" s="219"/>
      <c r="E708" s="219"/>
      <c r="F708" s="219"/>
      <c r="G708" s="219"/>
      <c r="H708" s="219"/>
      <c r="I708" s="249"/>
      <c r="J708" s="243"/>
      <c r="K708" s="219"/>
      <c r="L708" s="244"/>
      <c r="M708" s="219"/>
      <c r="N708" s="219"/>
      <c r="O708" s="219"/>
      <c r="P708" s="244"/>
      <c r="Q708" s="219"/>
      <c r="R708" s="302"/>
      <c r="S708" s="219"/>
      <c r="T708" s="219"/>
      <c r="U708" s="219"/>
      <c r="V708" s="303"/>
      <c r="W708" s="247"/>
      <c r="X708" s="245"/>
      <c r="Y708" s="245"/>
      <c r="Z708" s="245"/>
      <c r="AA708" s="245"/>
      <c r="AB708" s="245"/>
      <c r="AC708" s="249"/>
      <c r="AD708" s="249"/>
      <c r="AE708" s="249"/>
      <c r="AF708" s="8"/>
      <c r="AG708" s="8"/>
      <c r="AH708" s="72"/>
      <c r="AI708" s="8"/>
      <c r="AJ708" s="251"/>
      <c r="AK708" s="23"/>
      <c r="AL708" s="75"/>
      <c r="AM708" s="75" t="str">
        <f t="shared" si="141"/>
        <v/>
      </c>
      <c r="AN708" s="75"/>
      <c r="AO708" s="75"/>
      <c r="AP708" s="75"/>
      <c r="AQ708" s="75"/>
      <c r="AR708" s="75"/>
      <c r="AS708" s="75"/>
      <c r="AT708" s="75"/>
    </row>
    <row r="709" ht="22.5" customHeight="1">
      <c r="A709" s="219"/>
      <c r="B709" s="219"/>
      <c r="C709" s="219"/>
      <c r="D709" s="219"/>
      <c r="E709" s="219"/>
      <c r="F709" s="219"/>
      <c r="G709" s="219"/>
      <c r="H709" s="219"/>
      <c r="I709" s="249"/>
      <c r="J709" s="243"/>
      <c r="K709" s="219"/>
      <c r="L709" s="244"/>
      <c r="M709" s="219"/>
      <c r="N709" s="219"/>
      <c r="O709" s="219"/>
      <c r="P709" s="244"/>
      <c r="Q709" s="219"/>
      <c r="R709" s="302"/>
      <c r="S709" s="219"/>
      <c r="T709" s="219"/>
      <c r="U709" s="219"/>
      <c r="V709" s="303"/>
      <c r="W709" s="247"/>
      <c r="X709" s="245"/>
      <c r="Y709" s="245"/>
      <c r="Z709" s="245"/>
      <c r="AA709" s="245"/>
      <c r="AB709" s="245"/>
      <c r="AC709" s="249"/>
      <c r="AD709" s="249"/>
      <c r="AE709" s="249"/>
      <c r="AF709" s="8"/>
      <c r="AG709" s="8"/>
      <c r="AH709" s="72"/>
      <c r="AI709" s="8"/>
      <c r="AJ709" s="251"/>
      <c r="AK709" s="23"/>
      <c r="AL709" s="75"/>
      <c r="AM709" s="75" t="str">
        <f t="shared" si="141"/>
        <v/>
      </c>
      <c r="AN709" s="75"/>
      <c r="AO709" s="75"/>
      <c r="AP709" s="75"/>
      <c r="AQ709" s="75"/>
      <c r="AR709" s="75"/>
      <c r="AS709" s="75"/>
      <c r="AT709" s="75"/>
    </row>
    <row r="710" ht="22.5" customHeight="1">
      <c r="A710" s="219"/>
      <c r="B710" s="219"/>
      <c r="C710" s="219"/>
      <c r="D710" s="219"/>
      <c r="E710" s="219"/>
      <c r="F710" s="219"/>
      <c r="G710" s="219"/>
      <c r="H710" s="219"/>
      <c r="I710" s="249"/>
      <c r="J710" s="243"/>
      <c r="K710" s="219"/>
      <c r="L710" s="244"/>
      <c r="M710" s="219"/>
      <c r="N710" s="219"/>
      <c r="O710" s="219"/>
      <c r="P710" s="244"/>
      <c r="Q710" s="219"/>
      <c r="R710" s="302"/>
      <c r="S710" s="219"/>
      <c r="T710" s="219"/>
      <c r="U710" s="219"/>
      <c r="V710" s="303"/>
      <c r="W710" s="247"/>
      <c r="X710" s="245"/>
      <c r="Y710" s="245"/>
      <c r="Z710" s="245"/>
      <c r="AA710" s="245"/>
      <c r="AB710" s="245"/>
      <c r="AC710" s="249"/>
      <c r="AD710" s="249"/>
      <c r="AE710" s="249"/>
      <c r="AF710" s="8"/>
      <c r="AG710" s="8"/>
      <c r="AH710" s="72"/>
      <c r="AI710" s="8"/>
      <c r="AJ710" s="251"/>
      <c r="AK710" s="23"/>
      <c r="AL710" s="75"/>
      <c r="AM710" s="75" t="str">
        <f t="shared" si="141"/>
        <v/>
      </c>
      <c r="AN710" s="75"/>
      <c r="AO710" s="75"/>
      <c r="AP710" s="75"/>
      <c r="AQ710" s="75"/>
      <c r="AR710" s="75"/>
      <c r="AS710" s="75"/>
      <c r="AT710" s="75"/>
    </row>
    <row r="711" ht="22.5" customHeight="1">
      <c r="A711" s="219"/>
      <c r="B711" s="219"/>
      <c r="C711" s="219"/>
      <c r="D711" s="219"/>
      <c r="E711" s="219"/>
      <c r="F711" s="219"/>
      <c r="G711" s="219"/>
      <c r="H711" s="219"/>
      <c r="I711" s="249"/>
      <c r="J711" s="243"/>
      <c r="K711" s="219"/>
      <c r="L711" s="244"/>
      <c r="M711" s="219"/>
      <c r="N711" s="219"/>
      <c r="O711" s="219"/>
      <c r="P711" s="244"/>
      <c r="Q711" s="219"/>
      <c r="R711" s="302"/>
      <c r="S711" s="219"/>
      <c r="T711" s="219"/>
      <c r="U711" s="219"/>
      <c r="V711" s="303"/>
      <c r="W711" s="247"/>
      <c r="X711" s="245"/>
      <c r="Y711" s="245"/>
      <c r="Z711" s="245"/>
      <c r="AA711" s="245"/>
      <c r="AB711" s="245"/>
      <c r="AC711" s="249"/>
      <c r="AD711" s="249"/>
      <c r="AE711" s="249"/>
      <c r="AF711" s="8"/>
      <c r="AG711" s="8"/>
      <c r="AH711" s="72"/>
      <c r="AI711" s="8"/>
      <c r="AJ711" s="251"/>
      <c r="AK711" s="23"/>
      <c r="AL711" s="75"/>
      <c r="AM711" s="75" t="str">
        <f t="shared" si="141"/>
        <v/>
      </c>
      <c r="AN711" s="75"/>
      <c r="AO711" s="75"/>
      <c r="AP711" s="75"/>
      <c r="AQ711" s="75"/>
      <c r="AR711" s="75"/>
      <c r="AS711" s="75"/>
      <c r="AT711" s="75"/>
    </row>
    <row r="712" ht="22.5" customHeight="1">
      <c r="A712" s="219"/>
      <c r="B712" s="219"/>
      <c r="C712" s="219"/>
      <c r="D712" s="219"/>
      <c r="E712" s="219"/>
      <c r="F712" s="219"/>
      <c r="G712" s="219"/>
      <c r="H712" s="219"/>
      <c r="I712" s="249"/>
      <c r="J712" s="243"/>
      <c r="K712" s="219"/>
      <c r="L712" s="244"/>
      <c r="M712" s="219"/>
      <c r="N712" s="219"/>
      <c r="O712" s="219"/>
      <c r="P712" s="244"/>
      <c r="Q712" s="219"/>
      <c r="R712" s="302"/>
      <c r="S712" s="219"/>
      <c r="T712" s="219"/>
      <c r="U712" s="219"/>
      <c r="V712" s="303"/>
      <c r="W712" s="247"/>
      <c r="X712" s="245"/>
      <c r="Y712" s="245"/>
      <c r="Z712" s="245"/>
      <c r="AA712" s="245"/>
      <c r="AB712" s="245"/>
      <c r="AC712" s="249"/>
      <c r="AD712" s="249"/>
      <c r="AE712" s="249"/>
      <c r="AF712" s="8"/>
      <c r="AG712" s="8"/>
      <c r="AH712" s="72"/>
      <c r="AI712" s="8"/>
      <c r="AJ712" s="251"/>
      <c r="AK712" s="23"/>
      <c r="AL712" s="75"/>
      <c r="AM712" s="75" t="str">
        <f t="shared" si="141"/>
        <v/>
      </c>
      <c r="AN712" s="75"/>
      <c r="AO712" s="75"/>
      <c r="AP712" s="75"/>
      <c r="AQ712" s="75"/>
      <c r="AR712" s="75"/>
      <c r="AS712" s="75"/>
      <c r="AT712" s="75"/>
    </row>
    <row r="713" ht="22.5" customHeight="1">
      <c r="A713" s="219"/>
      <c r="B713" s="219"/>
      <c r="C713" s="219"/>
      <c r="D713" s="219"/>
      <c r="E713" s="219"/>
      <c r="F713" s="219"/>
      <c r="G713" s="219"/>
      <c r="H713" s="219"/>
      <c r="I713" s="249"/>
      <c r="J713" s="243"/>
      <c r="K713" s="219"/>
      <c r="L713" s="244"/>
      <c r="M713" s="219"/>
      <c r="N713" s="219"/>
      <c r="O713" s="219"/>
      <c r="P713" s="244"/>
      <c r="Q713" s="219"/>
      <c r="R713" s="302"/>
      <c r="S713" s="219"/>
      <c r="T713" s="219"/>
      <c r="U713" s="219"/>
      <c r="V713" s="303"/>
      <c r="W713" s="247"/>
      <c r="X713" s="245"/>
      <c r="Y713" s="245"/>
      <c r="Z713" s="245"/>
      <c r="AA713" s="245"/>
      <c r="AB713" s="245"/>
      <c r="AC713" s="249"/>
      <c r="AD713" s="249"/>
      <c r="AE713" s="249"/>
      <c r="AF713" s="8"/>
      <c r="AG713" s="8"/>
      <c r="AH713" s="72"/>
      <c r="AI713" s="8"/>
      <c r="AJ713" s="251"/>
      <c r="AK713" s="23"/>
      <c r="AL713" s="75"/>
      <c r="AM713" s="75" t="str">
        <f t="shared" si="141"/>
        <v/>
      </c>
      <c r="AN713" s="75"/>
      <c r="AO713" s="75"/>
      <c r="AP713" s="75"/>
      <c r="AQ713" s="75"/>
      <c r="AR713" s="75"/>
      <c r="AS713" s="75"/>
      <c r="AT713" s="75"/>
    </row>
    <row r="714" ht="22.5" customHeight="1">
      <c r="A714" s="219"/>
      <c r="B714" s="219"/>
      <c r="C714" s="219"/>
      <c r="D714" s="219"/>
      <c r="E714" s="219"/>
      <c r="F714" s="219"/>
      <c r="G714" s="219"/>
      <c r="H714" s="219"/>
      <c r="I714" s="249"/>
      <c r="J714" s="243"/>
      <c r="K714" s="219"/>
      <c r="L714" s="244"/>
      <c r="M714" s="219"/>
      <c r="N714" s="219"/>
      <c r="O714" s="219"/>
      <c r="P714" s="244"/>
      <c r="Q714" s="219"/>
      <c r="R714" s="302"/>
      <c r="S714" s="219"/>
      <c r="T714" s="219"/>
      <c r="U714" s="219"/>
      <c r="V714" s="303"/>
      <c r="W714" s="247"/>
      <c r="X714" s="245"/>
      <c r="Y714" s="245"/>
      <c r="Z714" s="245"/>
      <c r="AA714" s="245"/>
      <c r="AB714" s="245"/>
      <c r="AC714" s="249"/>
      <c r="AD714" s="249"/>
      <c r="AE714" s="249"/>
      <c r="AF714" s="8"/>
      <c r="AG714" s="8"/>
      <c r="AH714" s="72"/>
      <c r="AI714" s="8"/>
      <c r="AJ714" s="251"/>
      <c r="AK714" s="23"/>
      <c r="AL714" s="75"/>
      <c r="AM714" s="75" t="str">
        <f t="shared" si="141"/>
        <v/>
      </c>
      <c r="AN714" s="75"/>
      <c r="AO714" s="75"/>
      <c r="AP714" s="75"/>
      <c r="AQ714" s="75"/>
      <c r="AR714" s="75"/>
      <c r="AS714" s="75"/>
      <c r="AT714" s="75"/>
    </row>
    <row r="715" ht="22.5" customHeight="1">
      <c r="A715" s="219"/>
      <c r="B715" s="219"/>
      <c r="C715" s="219"/>
      <c r="D715" s="219"/>
      <c r="E715" s="219"/>
      <c r="F715" s="219"/>
      <c r="G715" s="219"/>
      <c r="H715" s="219"/>
      <c r="I715" s="249"/>
      <c r="J715" s="243"/>
      <c r="K715" s="219"/>
      <c r="L715" s="244"/>
      <c r="M715" s="219"/>
      <c r="N715" s="219"/>
      <c r="O715" s="219"/>
      <c r="P715" s="244"/>
      <c r="Q715" s="219"/>
      <c r="R715" s="302"/>
      <c r="S715" s="219"/>
      <c r="T715" s="219"/>
      <c r="U715" s="219"/>
      <c r="V715" s="303"/>
      <c r="W715" s="247"/>
      <c r="X715" s="245"/>
      <c r="Y715" s="245"/>
      <c r="Z715" s="245"/>
      <c r="AA715" s="245"/>
      <c r="AB715" s="245"/>
      <c r="AC715" s="249"/>
      <c r="AD715" s="249"/>
      <c r="AE715" s="249"/>
      <c r="AF715" s="8"/>
      <c r="AG715" s="8"/>
      <c r="AH715" s="72"/>
      <c r="AI715" s="8"/>
      <c r="AJ715" s="251"/>
      <c r="AK715" s="23"/>
      <c r="AL715" s="75"/>
      <c r="AM715" s="75" t="str">
        <f t="shared" si="141"/>
        <v/>
      </c>
      <c r="AN715" s="75"/>
      <c r="AO715" s="75"/>
      <c r="AP715" s="75"/>
      <c r="AQ715" s="75"/>
      <c r="AR715" s="75"/>
      <c r="AS715" s="75"/>
      <c r="AT715" s="75"/>
    </row>
    <row r="716" ht="22.5" customHeight="1">
      <c r="A716" s="219"/>
      <c r="B716" s="219"/>
      <c r="C716" s="219"/>
      <c r="D716" s="219"/>
      <c r="E716" s="219"/>
      <c r="F716" s="219"/>
      <c r="G716" s="219"/>
      <c r="H716" s="219"/>
      <c r="I716" s="249"/>
      <c r="J716" s="243"/>
      <c r="K716" s="219"/>
      <c r="L716" s="244"/>
      <c r="M716" s="219"/>
      <c r="N716" s="219"/>
      <c r="O716" s="219"/>
      <c r="P716" s="244"/>
      <c r="Q716" s="219"/>
      <c r="R716" s="302"/>
      <c r="S716" s="219"/>
      <c r="T716" s="219"/>
      <c r="U716" s="219"/>
      <c r="V716" s="303"/>
      <c r="W716" s="247"/>
      <c r="X716" s="245"/>
      <c r="Y716" s="245"/>
      <c r="Z716" s="245"/>
      <c r="AA716" s="245"/>
      <c r="AB716" s="245"/>
      <c r="AC716" s="249"/>
      <c r="AD716" s="249"/>
      <c r="AE716" s="249"/>
      <c r="AF716" s="8"/>
      <c r="AG716" s="8"/>
      <c r="AH716" s="72"/>
      <c r="AI716" s="8"/>
      <c r="AJ716" s="251"/>
      <c r="AK716" s="23"/>
      <c r="AL716" s="75"/>
      <c r="AM716" s="75" t="str">
        <f t="shared" si="141"/>
        <v/>
      </c>
      <c r="AN716" s="75"/>
      <c r="AO716" s="75"/>
      <c r="AP716" s="75"/>
      <c r="AQ716" s="75"/>
      <c r="AR716" s="75"/>
      <c r="AS716" s="75"/>
      <c r="AT716" s="75"/>
    </row>
    <row r="717" ht="22.5" customHeight="1">
      <c r="A717" s="219"/>
      <c r="B717" s="219"/>
      <c r="C717" s="219"/>
      <c r="D717" s="219"/>
      <c r="E717" s="219"/>
      <c r="F717" s="219"/>
      <c r="G717" s="219"/>
      <c r="H717" s="219"/>
      <c r="I717" s="249"/>
      <c r="J717" s="243"/>
      <c r="K717" s="219"/>
      <c r="L717" s="244"/>
      <c r="M717" s="219"/>
      <c r="N717" s="219"/>
      <c r="O717" s="219"/>
      <c r="P717" s="244"/>
      <c r="Q717" s="219"/>
      <c r="R717" s="302"/>
      <c r="S717" s="219"/>
      <c r="T717" s="219"/>
      <c r="U717" s="219"/>
      <c r="V717" s="303"/>
      <c r="W717" s="247"/>
      <c r="X717" s="245"/>
      <c r="Y717" s="245"/>
      <c r="Z717" s="245"/>
      <c r="AA717" s="245"/>
      <c r="AB717" s="245"/>
      <c r="AC717" s="249"/>
      <c r="AD717" s="249"/>
      <c r="AE717" s="249"/>
      <c r="AF717" s="8"/>
      <c r="AG717" s="8"/>
      <c r="AH717" s="72"/>
      <c r="AI717" s="8"/>
      <c r="AJ717" s="251"/>
      <c r="AK717" s="23"/>
      <c r="AL717" s="75"/>
      <c r="AM717" s="75" t="str">
        <f t="shared" si="141"/>
        <v/>
      </c>
      <c r="AN717" s="75"/>
      <c r="AO717" s="75"/>
      <c r="AP717" s="75"/>
      <c r="AQ717" s="75"/>
      <c r="AR717" s="75"/>
      <c r="AS717" s="75"/>
      <c r="AT717" s="75"/>
    </row>
    <row r="718" ht="22.5" customHeight="1">
      <c r="A718" s="219"/>
      <c r="B718" s="219"/>
      <c r="C718" s="219"/>
      <c r="D718" s="219"/>
      <c r="E718" s="219"/>
      <c r="F718" s="219"/>
      <c r="G718" s="219"/>
      <c r="H718" s="219"/>
      <c r="I718" s="249"/>
      <c r="J718" s="243"/>
      <c r="K718" s="219"/>
      <c r="L718" s="244"/>
      <c r="M718" s="219"/>
      <c r="N718" s="219"/>
      <c r="O718" s="219"/>
      <c r="P718" s="244"/>
      <c r="Q718" s="219"/>
      <c r="R718" s="302"/>
      <c r="S718" s="219"/>
      <c r="T718" s="219"/>
      <c r="U718" s="219"/>
      <c r="V718" s="303"/>
      <c r="W718" s="247"/>
      <c r="X718" s="245"/>
      <c r="Y718" s="245"/>
      <c r="Z718" s="245"/>
      <c r="AA718" s="245"/>
      <c r="AB718" s="245"/>
      <c r="AC718" s="249"/>
      <c r="AD718" s="249"/>
      <c r="AE718" s="249"/>
      <c r="AF718" s="8"/>
      <c r="AG718" s="8"/>
      <c r="AH718" s="72"/>
      <c r="AI718" s="8"/>
      <c r="AJ718" s="251"/>
      <c r="AK718" s="23"/>
      <c r="AL718" s="75"/>
      <c r="AM718" s="75" t="str">
        <f t="shared" si="141"/>
        <v/>
      </c>
      <c r="AN718" s="75"/>
      <c r="AO718" s="75"/>
      <c r="AP718" s="75"/>
      <c r="AQ718" s="75"/>
      <c r="AR718" s="75"/>
      <c r="AS718" s="75"/>
      <c r="AT718" s="75"/>
    </row>
    <row r="719" ht="22.5" customHeight="1">
      <c r="A719" s="219"/>
      <c r="B719" s="219"/>
      <c r="C719" s="219"/>
      <c r="D719" s="219"/>
      <c r="E719" s="219"/>
      <c r="F719" s="219"/>
      <c r="G719" s="219"/>
      <c r="H719" s="219"/>
      <c r="I719" s="249"/>
      <c r="J719" s="243"/>
      <c r="K719" s="219"/>
      <c r="L719" s="244"/>
      <c r="M719" s="219"/>
      <c r="N719" s="219"/>
      <c r="O719" s="219"/>
      <c r="P719" s="244"/>
      <c r="Q719" s="219"/>
      <c r="R719" s="302"/>
      <c r="S719" s="219"/>
      <c r="T719" s="219"/>
      <c r="U719" s="219"/>
      <c r="V719" s="303"/>
      <c r="W719" s="247"/>
      <c r="X719" s="245"/>
      <c r="Y719" s="245"/>
      <c r="Z719" s="245"/>
      <c r="AA719" s="245"/>
      <c r="AB719" s="245"/>
      <c r="AC719" s="249"/>
      <c r="AD719" s="249"/>
      <c r="AE719" s="249"/>
      <c r="AF719" s="8"/>
      <c r="AG719" s="8"/>
      <c r="AH719" s="72"/>
      <c r="AI719" s="8"/>
      <c r="AJ719" s="251"/>
      <c r="AK719" s="23"/>
      <c r="AL719" s="75"/>
      <c r="AM719" s="75" t="str">
        <f t="shared" si="141"/>
        <v/>
      </c>
      <c r="AN719" s="75"/>
      <c r="AO719" s="75"/>
      <c r="AP719" s="75"/>
      <c r="AQ719" s="75"/>
      <c r="AR719" s="75"/>
      <c r="AS719" s="75"/>
      <c r="AT719" s="75"/>
    </row>
    <row r="720" ht="22.5" customHeight="1">
      <c r="A720" s="219"/>
      <c r="B720" s="219"/>
      <c r="C720" s="219"/>
      <c r="D720" s="219"/>
      <c r="E720" s="219"/>
      <c r="F720" s="219"/>
      <c r="G720" s="219"/>
      <c r="H720" s="219"/>
      <c r="I720" s="249"/>
      <c r="J720" s="243"/>
      <c r="K720" s="219"/>
      <c r="L720" s="244"/>
      <c r="M720" s="219"/>
      <c r="N720" s="219"/>
      <c r="O720" s="219"/>
      <c r="P720" s="244"/>
      <c r="Q720" s="219"/>
      <c r="R720" s="302"/>
      <c r="S720" s="219"/>
      <c r="T720" s="219"/>
      <c r="U720" s="219"/>
      <c r="V720" s="303"/>
      <c r="W720" s="247"/>
      <c r="X720" s="245"/>
      <c r="Y720" s="245"/>
      <c r="Z720" s="245"/>
      <c r="AA720" s="245"/>
      <c r="AB720" s="245"/>
      <c r="AC720" s="249"/>
      <c r="AD720" s="249"/>
      <c r="AE720" s="249"/>
      <c r="AF720" s="8"/>
      <c r="AG720" s="8"/>
      <c r="AH720" s="72"/>
      <c r="AI720" s="8"/>
      <c r="AJ720" s="251"/>
      <c r="AK720" s="23"/>
      <c r="AL720" s="75"/>
      <c r="AM720" s="75" t="str">
        <f t="shared" si="141"/>
        <v/>
      </c>
      <c r="AN720" s="75"/>
      <c r="AO720" s="75"/>
      <c r="AP720" s="75"/>
      <c r="AQ720" s="75"/>
      <c r="AR720" s="75"/>
      <c r="AS720" s="75"/>
      <c r="AT720" s="75"/>
    </row>
    <row r="721" ht="22.5" customHeight="1">
      <c r="A721" s="219"/>
      <c r="B721" s="219"/>
      <c r="C721" s="219"/>
      <c r="D721" s="219"/>
      <c r="E721" s="219"/>
      <c r="F721" s="219"/>
      <c r="G721" s="219"/>
      <c r="H721" s="219"/>
      <c r="I721" s="249"/>
      <c r="J721" s="243"/>
      <c r="K721" s="219"/>
      <c r="L721" s="244"/>
      <c r="M721" s="219"/>
      <c r="N721" s="219"/>
      <c r="O721" s="219"/>
      <c r="P721" s="244"/>
      <c r="Q721" s="219"/>
      <c r="R721" s="302"/>
      <c r="S721" s="219"/>
      <c r="T721" s="219"/>
      <c r="U721" s="219"/>
      <c r="V721" s="303"/>
      <c r="W721" s="247"/>
      <c r="X721" s="245"/>
      <c r="Y721" s="245"/>
      <c r="Z721" s="245"/>
      <c r="AA721" s="245"/>
      <c r="AB721" s="245"/>
      <c r="AC721" s="249"/>
      <c r="AD721" s="249"/>
      <c r="AE721" s="249"/>
      <c r="AF721" s="8"/>
      <c r="AG721" s="8"/>
      <c r="AH721" s="72"/>
      <c r="AI721" s="8"/>
      <c r="AJ721" s="251"/>
      <c r="AK721" s="23"/>
      <c r="AL721" s="75"/>
      <c r="AM721" s="75" t="str">
        <f t="shared" si="141"/>
        <v/>
      </c>
      <c r="AN721" s="75"/>
      <c r="AO721" s="75"/>
      <c r="AP721" s="75"/>
      <c r="AQ721" s="75"/>
      <c r="AR721" s="75"/>
      <c r="AS721" s="75"/>
      <c r="AT721" s="75"/>
    </row>
    <row r="722" ht="22.5" customHeight="1">
      <c r="A722" s="219"/>
      <c r="B722" s="219"/>
      <c r="C722" s="219"/>
      <c r="D722" s="219"/>
      <c r="E722" s="219"/>
      <c r="F722" s="219"/>
      <c r="G722" s="219"/>
      <c r="H722" s="219"/>
      <c r="I722" s="249"/>
      <c r="J722" s="243"/>
      <c r="K722" s="219"/>
      <c r="L722" s="244"/>
      <c r="M722" s="219"/>
      <c r="N722" s="219"/>
      <c r="O722" s="219"/>
      <c r="P722" s="244"/>
      <c r="Q722" s="219"/>
      <c r="R722" s="302"/>
      <c r="S722" s="219"/>
      <c r="T722" s="219"/>
      <c r="U722" s="219"/>
      <c r="V722" s="303"/>
      <c r="W722" s="247"/>
      <c r="X722" s="245"/>
      <c r="Y722" s="245"/>
      <c r="Z722" s="245"/>
      <c r="AA722" s="245"/>
      <c r="AB722" s="245"/>
      <c r="AC722" s="249"/>
      <c r="AD722" s="249"/>
      <c r="AE722" s="249"/>
      <c r="AF722" s="8"/>
      <c r="AG722" s="8"/>
      <c r="AH722" s="72"/>
      <c r="AI722" s="8"/>
      <c r="AJ722" s="251"/>
      <c r="AK722" s="23"/>
      <c r="AL722" s="75"/>
      <c r="AM722" s="75" t="str">
        <f t="shared" si="141"/>
        <v/>
      </c>
      <c r="AN722" s="75"/>
      <c r="AO722" s="75"/>
      <c r="AP722" s="75"/>
      <c r="AQ722" s="75"/>
      <c r="AR722" s="75"/>
      <c r="AS722" s="75"/>
      <c r="AT722" s="75"/>
    </row>
    <row r="723" ht="22.5" customHeight="1">
      <c r="A723" s="219"/>
      <c r="B723" s="219"/>
      <c r="C723" s="219"/>
      <c r="D723" s="219"/>
      <c r="E723" s="219"/>
      <c r="F723" s="219"/>
      <c r="G723" s="219"/>
      <c r="H723" s="219"/>
      <c r="I723" s="249"/>
      <c r="J723" s="243"/>
      <c r="K723" s="219"/>
      <c r="L723" s="244"/>
      <c r="M723" s="219"/>
      <c r="N723" s="219"/>
      <c r="O723" s="219"/>
      <c r="P723" s="244"/>
      <c r="Q723" s="219"/>
      <c r="R723" s="302"/>
      <c r="S723" s="219"/>
      <c r="T723" s="219"/>
      <c r="U723" s="219"/>
      <c r="V723" s="303"/>
      <c r="W723" s="247"/>
      <c r="X723" s="245"/>
      <c r="Y723" s="245"/>
      <c r="Z723" s="245"/>
      <c r="AA723" s="245"/>
      <c r="AB723" s="245"/>
      <c r="AC723" s="249"/>
      <c r="AD723" s="249"/>
      <c r="AE723" s="249"/>
      <c r="AF723" s="8"/>
      <c r="AG723" s="8"/>
      <c r="AH723" s="72"/>
      <c r="AI723" s="8"/>
      <c r="AJ723" s="251"/>
      <c r="AK723" s="23"/>
      <c r="AL723" s="75"/>
      <c r="AM723" s="75" t="str">
        <f t="shared" si="141"/>
        <v/>
      </c>
      <c r="AN723" s="75"/>
      <c r="AO723" s="75"/>
      <c r="AP723" s="75"/>
      <c r="AQ723" s="75"/>
      <c r="AR723" s="75"/>
      <c r="AS723" s="75"/>
      <c r="AT723" s="75"/>
    </row>
    <row r="724" ht="22.5" customHeight="1">
      <c r="A724" s="219"/>
      <c r="B724" s="219"/>
      <c r="C724" s="219"/>
      <c r="D724" s="219"/>
      <c r="E724" s="219"/>
      <c r="F724" s="219"/>
      <c r="G724" s="219"/>
      <c r="H724" s="219"/>
      <c r="I724" s="249"/>
      <c r="J724" s="243"/>
      <c r="K724" s="219"/>
      <c r="L724" s="244"/>
      <c r="M724" s="219"/>
      <c r="N724" s="219"/>
      <c r="O724" s="219"/>
      <c r="P724" s="244"/>
      <c r="Q724" s="219"/>
      <c r="R724" s="302"/>
      <c r="S724" s="219"/>
      <c r="T724" s="219"/>
      <c r="U724" s="219"/>
      <c r="V724" s="303"/>
      <c r="W724" s="247"/>
      <c r="X724" s="245"/>
      <c r="Y724" s="245"/>
      <c r="Z724" s="245"/>
      <c r="AA724" s="245"/>
      <c r="AB724" s="245"/>
      <c r="AC724" s="249"/>
      <c r="AD724" s="249"/>
      <c r="AE724" s="249"/>
      <c r="AF724" s="8"/>
      <c r="AG724" s="8"/>
      <c r="AH724" s="72"/>
      <c r="AI724" s="8"/>
      <c r="AJ724" s="251"/>
      <c r="AK724" s="23"/>
      <c r="AL724" s="75"/>
      <c r="AM724" s="75" t="str">
        <f t="shared" si="141"/>
        <v/>
      </c>
      <c r="AN724" s="75"/>
      <c r="AO724" s="75"/>
      <c r="AP724" s="75"/>
      <c r="AQ724" s="75"/>
      <c r="AR724" s="75"/>
      <c r="AS724" s="75"/>
      <c r="AT724" s="75"/>
    </row>
    <row r="725" ht="22.5" customHeight="1">
      <c r="A725" s="219"/>
      <c r="B725" s="219"/>
      <c r="C725" s="219"/>
      <c r="D725" s="219"/>
      <c r="E725" s="219"/>
      <c r="F725" s="219"/>
      <c r="G725" s="219"/>
      <c r="H725" s="219"/>
      <c r="I725" s="249"/>
      <c r="J725" s="243"/>
      <c r="K725" s="219"/>
      <c r="L725" s="244"/>
      <c r="M725" s="219"/>
      <c r="N725" s="219"/>
      <c r="O725" s="219"/>
      <c r="P725" s="244"/>
      <c r="Q725" s="219"/>
      <c r="R725" s="302"/>
      <c r="S725" s="219"/>
      <c r="T725" s="219"/>
      <c r="U725" s="219"/>
      <c r="V725" s="303"/>
      <c r="W725" s="247"/>
      <c r="X725" s="245"/>
      <c r="Y725" s="245"/>
      <c r="Z725" s="245"/>
      <c r="AA725" s="245"/>
      <c r="AB725" s="245"/>
      <c r="AC725" s="249"/>
      <c r="AD725" s="249"/>
      <c r="AE725" s="249"/>
      <c r="AF725" s="8"/>
      <c r="AG725" s="8"/>
      <c r="AH725" s="72"/>
      <c r="AI725" s="8"/>
      <c r="AJ725" s="251"/>
      <c r="AK725" s="23"/>
      <c r="AL725" s="75"/>
      <c r="AM725" s="75" t="str">
        <f t="shared" si="141"/>
        <v/>
      </c>
      <c r="AN725" s="75"/>
      <c r="AO725" s="75"/>
      <c r="AP725" s="75"/>
      <c r="AQ725" s="75"/>
      <c r="AR725" s="75"/>
      <c r="AS725" s="75"/>
      <c r="AT725" s="75"/>
    </row>
    <row r="726" ht="22.5" customHeight="1">
      <c r="A726" s="219"/>
      <c r="B726" s="219"/>
      <c r="C726" s="219"/>
      <c r="D726" s="219"/>
      <c r="E726" s="219"/>
      <c r="F726" s="219"/>
      <c r="G726" s="219"/>
      <c r="H726" s="219"/>
      <c r="I726" s="249"/>
      <c r="J726" s="243"/>
      <c r="K726" s="219"/>
      <c r="L726" s="244"/>
      <c r="M726" s="219"/>
      <c r="N726" s="219"/>
      <c r="O726" s="219"/>
      <c r="P726" s="244"/>
      <c r="Q726" s="219"/>
      <c r="R726" s="302"/>
      <c r="S726" s="219"/>
      <c r="T726" s="219"/>
      <c r="U726" s="219"/>
      <c r="V726" s="303"/>
      <c r="W726" s="247"/>
      <c r="X726" s="245"/>
      <c r="Y726" s="245"/>
      <c r="Z726" s="245"/>
      <c r="AA726" s="245"/>
      <c r="AB726" s="245"/>
      <c r="AC726" s="249"/>
      <c r="AD726" s="249"/>
      <c r="AE726" s="249"/>
      <c r="AF726" s="8"/>
      <c r="AG726" s="8"/>
      <c r="AH726" s="72"/>
      <c r="AI726" s="8"/>
      <c r="AJ726" s="251"/>
      <c r="AK726" s="23"/>
      <c r="AL726" s="75"/>
      <c r="AM726" s="75" t="str">
        <f t="shared" si="141"/>
        <v/>
      </c>
      <c r="AN726" s="75"/>
      <c r="AO726" s="75"/>
      <c r="AP726" s="75"/>
      <c r="AQ726" s="75"/>
      <c r="AR726" s="75"/>
      <c r="AS726" s="75"/>
      <c r="AT726" s="75"/>
    </row>
    <row r="727" ht="22.5" customHeight="1">
      <c r="A727" s="219"/>
      <c r="B727" s="219"/>
      <c r="C727" s="219"/>
      <c r="D727" s="219"/>
      <c r="E727" s="219"/>
      <c r="F727" s="219"/>
      <c r="G727" s="219"/>
      <c r="H727" s="219"/>
      <c r="I727" s="249"/>
      <c r="J727" s="243"/>
      <c r="K727" s="219"/>
      <c r="L727" s="244"/>
      <c r="M727" s="219"/>
      <c r="N727" s="219"/>
      <c r="O727" s="219"/>
      <c r="P727" s="244"/>
      <c r="Q727" s="219"/>
      <c r="R727" s="302"/>
      <c r="S727" s="219"/>
      <c r="T727" s="219"/>
      <c r="U727" s="219"/>
      <c r="V727" s="303"/>
      <c r="W727" s="247"/>
      <c r="X727" s="245"/>
      <c r="Y727" s="245"/>
      <c r="Z727" s="245"/>
      <c r="AA727" s="245"/>
      <c r="AB727" s="245"/>
      <c r="AC727" s="249"/>
      <c r="AD727" s="249"/>
      <c r="AE727" s="249"/>
      <c r="AF727" s="8"/>
      <c r="AG727" s="8"/>
      <c r="AH727" s="72"/>
      <c r="AI727" s="8"/>
      <c r="AJ727" s="251"/>
      <c r="AK727" s="23"/>
      <c r="AL727" s="75"/>
      <c r="AM727" s="75" t="str">
        <f t="shared" si="141"/>
        <v/>
      </c>
      <c r="AN727" s="75"/>
      <c r="AO727" s="75"/>
      <c r="AP727" s="75"/>
      <c r="AQ727" s="75"/>
      <c r="AR727" s="75"/>
      <c r="AS727" s="75"/>
      <c r="AT727" s="75"/>
    </row>
    <row r="728" ht="22.5" customHeight="1">
      <c r="A728" s="219"/>
      <c r="B728" s="219"/>
      <c r="C728" s="219"/>
      <c r="D728" s="219"/>
      <c r="E728" s="219"/>
      <c r="F728" s="219"/>
      <c r="G728" s="219"/>
      <c r="H728" s="219"/>
      <c r="I728" s="249"/>
      <c r="J728" s="243"/>
      <c r="K728" s="219"/>
      <c r="L728" s="244"/>
      <c r="M728" s="219"/>
      <c r="N728" s="219"/>
      <c r="O728" s="219"/>
      <c r="P728" s="244"/>
      <c r="Q728" s="219"/>
      <c r="R728" s="302"/>
      <c r="S728" s="219"/>
      <c r="T728" s="219"/>
      <c r="U728" s="219"/>
      <c r="V728" s="303"/>
      <c r="W728" s="247"/>
      <c r="X728" s="245"/>
      <c r="Y728" s="245"/>
      <c r="Z728" s="245"/>
      <c r="AA728" s="245"/>
      <c r="AB728" s="245"/>
      <c r="AC728" s="249"/>
      <c r="AD728" s="249"/>
      <c r="AE728" s="249"/>
      <c r="AF728" s="8"/>
      <c r="AG728" s="8"/>
      <c r="AH728" s="72"/>
      <c r="AI728" s="8"/>
      <c r="AJ728" s="251"/>
      <c r="AK728" s="23"/>
      <c r="AL728" s="75"/>
      <c r="AM728" s="75" t="str">
        <f t="shared" si="141"/>
        <v/>
      </c>
      <c r="AN728" s="75"/>
      <c r="AO728" s="75"/>
      <c r="AP728" s="75"/>
      <c r="AQ728" s="75"/>
      <c r="AR728" s="75"/>
      <c r="AS728" s="75"/>
      <c r="AT728" s="75"/>
    </row>
    <row r="729" ht="22.5" customHeight="1">
      <c r="A729" s="219"/>
      <c r="B729" s="219"/>
      <c r="C729" s="219"/>
      <c r="D729" s="219"/>
      <c r="E729" s="219"/>
      <c r="F729" s="219"/>
      <c r="G729" s="219"/>
      <c r="H729" s="219"/>
      <c r="I729" s="249"/>
      <c r="J729" s="243"/>
      <c r="K729" s="219"/>
      <c r="L729" s="244"/>
      <c r="M729" s="219"/>
      <c r="N729" s="219"/>
      <c r="O729" s="219"/>
      <c r="P729" s="244"/>
      <c r="Q729" s="219"/>
      <c r="R729" s="302"/>
      <c r="S729" s="219"/>
      <c r="T729" s="219"/>
      <c r="U729" s="219"/>
      <c r="V729" s="303"/>
      <c r="W729" s="247"/>
      <c r="X729" s="245"/>
      <c r="Y729" s="245"/>
      <c r="Z729" s="245"/>
      <c r="AA729" s="245"/>
      <c r="AB729" s="245"/>
      <c r="AC729" s="249"/>
      <c r="AD729" s="249"/>
      <c r="AE729" s="249"/>
      <c r="AF729" s="8"/>
      <c r="AG729" s="8"/>
      <c r="AH729" s="72"/>
      <c r="AI729" s="8"/>
      <c r="AJ729" s="251"/>
      <c r="AK729" s="23"/>
      <c r="AL729" s="75"/>
      <c r="AM729" s="75" t="str">
        <f t="shared" si="141"/>
        <v/>
      </c>
      <c r="AN729" s="75"/>
      <c r="AO729" s="75"/>
      <c r="AP729" s="75"/>
      <c r="AQ729" s="75"/>
      <c r="AR729" s="75"/>
      <c r="AS729" s="75"/>
      <c r="AT729" s="75"/>
    </row>
    <row r="730" ht="22.5" customHeight="1">
      <c r="A730" s="219"/>
      <c r="B730" s="219"/>
      <c r="C730" s="219"/>
      <c r="D730" s="219"/>
      <c r="E730" s="219"/>
      <c r="F730" s="219"/>
      <c r="G730" s="219"/>
      <c r="H730" s="219"/>
      <c r="I730" s="249"/>
      <c r="J730" s="243"/>
      <c r="K730" s="219"/>
      <c r="L730" s="244"/>
      <c r="M730" s="219"/>
      <c r="N730" s="219"/>
      <c r="O730" s="219"/>
      <c r="P730" s="244"/>
      <c r="Q730" s="219"/>
      <c r="R730" s="302"/>
      <c r="S730" s="219"/>
      <c r="T730" s="219"/>
      <c r="U730" s="219"/>
      <c r="V730" s="303"/>
      <c r="W730" s="247"/>
      <c r="X730" s="245"/>
      <c r="Y730" s="245"/>
      <c r="Z730" s="245"/>
      <c r="AA730" s="245"/>
      <c r="AB730" s="245"/>
      <c r="AC730" s="249"/>
      <c r="AD730" s="249"/>
      <c r="AE730" s="249"/>
      <c r="AF730" s="8"/>
      <c r="AG730" s="8"/>
      <c r="AH730" s="72"/>
      <c r="AI730" s="8"/>
      <c r="AJ730" s="251"/>
      <c r="AK730" s="23"/>
      <c r="AL730" s="75"/>
      <c r="AM730" s="75" t="str">
        <f t="shared" si="141"/>
        <v/>
      </c>
      <c r="AN730" s="75"/>
      <c r="AO730" s="75"/>
      <c r="AP730" s="75"/>
      <c r="AQ730" s="75"/>
      <c r="AR730" s="75"/>
      <c r="AS730" s="75"/>
      <c r="AT730" s="75"/>
    </row>
    <row r="731" ht="22.5" customHeight="1">
      <c r="A731" s="219"/>
      <c r="B731" s="219"/>
      <c r="C731" s="219"/>
      <c r="D731" s="219"/>
      <c r="E731" s="219"/>
      <c r="F731" s="219"/>
      <c r="G731" s="219"/>
      <c r="H731" s="219"/>
      <c r="I731" s="249"/>
      <c r="J731" s="243"/>
      <c r="K731" s="219"/>
      <c r="L731" s="244"/>
      <c r="M731" s="219"/>
      <c r="N731" s="219"/>
      <c r="O731" s="219"/>
      <c r="P731" s="244"/>
      <c r="Q731" s="219"/>
      <c r="R731" s="302"/>
      <c r="S731" s="219"/>
      <c r="T731" s="219"/>
      <c r="U731" s="219"/>
      <c r="V731" s="303"/>
      <c r="W731" s="247"/>
      <c r="X731" s="245"/>
      <c r="Y731" s="245"/>
      <c r="Z731" s="245"/>
      <c r="AA731" s="245"/>
      <c r="AB731" s="245"/>
      <c r="AC731" s="249"/>
      <c r="AD731" s="249"/>
      <c r="AE731" s="249"/>
      <c r="AF731" s="8"/>
      <c r="AG731" s="8"/>
      <c r="AH731" s="72"/>
      <c r="AI731" s="8"/>
      <c r="AJ731" s="251"/>
      <c r="AK731" s="23"/>
      <c r="AL731" s="75"/>
      <c r="AM731" s="75" t="str">
        <f t="shared" si="141"/>
        <v/>
      </c>
      <c r="AN731" s="75"/>
      <c r="AO731" s="75"/>
      <c r="AP731" s="75"/>
      <c r="AQ731" s="75"/>
      <c r="AR731" s="75"/>
      <c r="AS731" s="75"/>
      <c r="AT731" s="75"/>
    </row>
    <row r="732" ht="22.5" customHeight="1">
      <c r="A732" s="219"/>
      <c r="B732" s="219"/>
      <c r="C732" s="219"/>
      <c r="D732" s="219"/>
      <c r="E732" s="219"/>
      <c r="F732" s="219"/>
      <c r="G732" s="219"/>
      <c r="H732" s="219"/>
      <c r="I732" s="249"/>
      <c r="J732" s="243"/>
      <c r="K732" s="219"/>
      <c r="L732" s="244"/>
      <c r="M732" s="219"/>
      <c r="N732" s="219"/>
      <c r="O732" s="219"/>
      <c r="P732" s="244"/>
      <c r="Q732" s="219"/>
      <c r="R732" s="302"/>
      <c r="S732" s="219"/>
      <c r="T732" s="219"/>
      <c r="U732" s="219"/>
      <c r="V732" s="303"/>
      <c r="W732" s="247"/>
      <c r="X732" s="245"/>
      <c r="Y732" s="245"/>
      <c r="Z732" s="245"/>
      <c r="AA732" s="245"/>
      <c r="AB732" s="245"/>
      <c r="AC732" s="249"/>
      <c r="AD732" s="249"/>
      <c r="AE732" s="249"/>
      <c r="AF732" s="8"/>
      <c r="AG732" s="8"/>
      <c r="AH732" s="72"/>
      <c r="AI732" s="8"/>
      <c r="AJ732" s="251"/>
      <c r="AK732" s="23"/>
      <c r="AL732" s="75"/>
      <c r="AM732" s="75" t="str">
        <f t="shared" si="141"/>
        <v/>
      </c>
      <c r="AN732" s="75"/>
      <c r="AO732" s="75"/>
      <c r="AP732" s="75"/>
      <c r="AQ732" s="75"/>
      <c r="AR732" s="75"/>
      <c r="AS732" s="75"/>
      <c r="AT732" s="75"/>
    </row>
    <row r="733" ht="22.5" customHeight="1">
      <c r="A733" s="219"/>
      <c r="B733" s="219"/>
      <c r="C733" s="219"/>
      <c r="D733" s="219"/>
      <c r="E733" s="219"/>
      <c r="F733" s="219"/>
      <c r="G733" s="219"/>
      <c r="H733" s="219"/>
      <c r="I733" s="249"/>
      <c r="J733" s="243"/>
      <c r="K733" s="219"/>
      <c r="L733" s="244"/>
      <c r="M733" s="219"/>
      <c r="N733" s="219"/>
      <c r="O733" s="219"/>
      <c r="P733" s="244"/>
      <c r="Q733" s="219"/>
      <c r="R733" s="302"/>
      <c r="S733" s="219"/>
      <c r="T733" s="219"/>
      <c r="U733" s="219"/>
      <c r="V733" s="303"/>
      <c r="W733" s="247"/>
      <c r="X733" s="245"/>
      <c r="Y733" s="245"/>
      <c r="Z733" s="245"/>
      <c r="AA733" s="245"/>
      <c r="AB733" s="245"/>
      <c r="AC733" s="249"/>
      <c r="AD733" s="249"/>
      <c r="AE733" s="249"/>
      <c r="AF733" s="8"/>
      <c r="AG733" s="8"/>
      <c r="AH733" s="72"/>
      <c r="AI733" s="8"/>
      <c r="AJ733" s="251"/>
      <c r="AK733" s="23"/>
      <c r="AL733" s="75"/>
      <c r="AM733" s="75" t="str">
        <f t="shared" si="141"/>
        <v/>
      </c>
      <c r="AN733" s="75"/>
      <c r="AO733" s="75"/>
      <c r="AP733" s="75"/>
      <c r="AQ733" s="75"/>
      <c r="AR733" s="75"/>
      <c r="AS733" s="75"/>
      <c r="AT733" s="75"/>
    </row>
    <row r="734" ht="22.5" customHeight="1">
      <c r="A734" s="219"/>
      <c r="B734" s="219"/>
      <c r="C734" s="219"/>
      <c r="D734" s="219"/>
      <c r="E734" s="219"/>
      <c r="F734" s="219"/>
      <c r="G734" s="219"/>
      <c r="H734" s="219"/>
      <c r="I734" s="249"/>
      <c r="J734" s="243"/>
      <c r="K734" s="219"/>
      <c r="L734" s="244"/>
      <c r="M734" s="219"/>
      <c r="N734" s="219"/>
      <c r="O734" s="219"/>
      <c r="P734" s="244"/>
      <c r="Q734" s="219"/>
      <c r="R734" s="302"/>
      <c r="S734" s="219"/>
      <c r="T734" s="219"/>
      <c r="U734" s="219"/>
      <c r="V734" s="303"/>
      <c r="W734" s="247"/>
      <c r="X734" s="245"/>
      <c r="Y734" s="245"/>
      <c r="Z734" s="245"/>
      <c r="AA734" s="245"/>
      <c r="AB734" s="245"/>
      <c r="AC734" s="249"/>
      <c r="AD734" s="249"/>
      <c r="AE734" s="249"/>
      <c r="AF734" s="8"/>
      <c r="AG734" s="8"/>
      <c r="AH734" s="72"/>
      <c r="AI734" s="8"/>
      <c r="AJ734" s="251"/>
      <c r="AK734" s="23"/>
      <c r="AL734" s="75"/>
      <c r="AM734" s="75" t="str">
        <f t="shared" si="141"/>
        <v/>
      </c>
      <c r="AN734" s="75"/>
      <c r="AO734" s="75"/>
      <c r="AP734" s="75"/>
      <c r="AQ734" s="75"/>
      <c r="AR734" s="75"/>
      <c r="AS734" s="75"/>
      <c r="AT734" s="75"/>
    </row>
    <row r="735" ht="22.5" customHeight="1">
      <c r="A735" s="219"/>
      <c r="B735" s="219"/>
      <c r="C735" s="219"/>
      <c r="D735" s="219"/>
      <c r="E735" s="219"/>
      <c r="F735" s="219"/>
      <c r="G735" s="219"/>
      <c r="H735" s="219"/>
      <c r="I735" s="249"/>
      <c r="J735" s="243"/>
      <c r="K735" s="219"/>
      <c r="L735" s="244"/>
      <c r="M735" s="219"/>
      <c r="N735" s="219"/>
      <c r="O735" s="219"/>
      <c r="P735" s="244"/>
      <c r="Q735" s="219"/>
      <c r="R735" s="302"/>
      <c r="S735" s="219"/>
      <c r="T735" s="219"/>
      <c r="U735" s="219"/>
      <c r="V735" s="303"/>
      <c r="W735" s="247"/>
      <c r="X735" s="245"/>
      <c r="Y735" s="245"/>
      <c r="Z735" s="245"/>
      <c r="AA735" s="245"/>
      <c r="AB735" s="245"/>
      <c r="AC735" s="249"/>
      <c r="AD735" s="249"/>
      <c r="AE735" s="249"/>
      <c r="AF735" s="8"/>
      <c r="AG735" s="8"/>
      <c r="AH735" s="72"/>
      <c r="AI735" s="8"/>
      <c r="AJ735" s="251"/>
      <c r="AK735" s="23"/>
      <c r="AL735" s="75"/>
      <c r="AM735" s="75" t="str">
        <f t="shared" si="141"/>
        <v/>
      </c>
      <c r="AN735" s="75"/>
      <c r="AO735" s="75"/>
      <c r="AP735" s="75"/>
      <c r="AQ735" s="75"/>
      <c r="AR735" s="75"/>
      <c r="AS735" s="75"/>
      <c r="AT735" s="75"/>
    </row>
    <row r="736" ht="22.5" customHeight="1">
      <c r="A736" s="219"/>
      <c r="B736" s="219"/>
      <c r="C736" s="219"/>
      <c r="D736" s="219"/>
      <c r="E736" s="219"/>
      <c r="F736" s="219"/>
      <c r="G736" s="219"/>
      <c r="H736" s="219"/>
      <c r="I736" s="249"/>
      <c r="J736" s="243"/>
      <c r="K736" s="219"/>
      <c r="L736" s="244"/>
      <c r="M736" s="219"/>
      <c r="N736" s="219"/>
      <c r="O736" s="219"/>
      <c r="P736" s="244"/>
      <c r="Q736" s="219"/>
      <c r="R736" s="302"/>
      <c r="S736" s="219"/>
      <c r="T736" s="219"/>
      <c r="U736" s="219"/>
      <c r="V736" s="303"/>
      <c r="W736" s="247"/>
      <c r="X736" s="245"/>
      <c r="Y736" s="245"/>
      <c r="Z736" s="245"/>
      <c r="AA736" s="245"/>
      <c r="AB736" s="245"/>
      <c r="AC736" s="249"/>
      <c r="AD736" s="249"/>
      <c r="AE736" s="249"/>
      <c r="AF736" s="8"/>
      <c r="AG736" s="8"/>
      <c r="AH736" s="72"/>
      <c r="AI736" s="8"/>
      <c r="AJ736" s="251"/>
      <c r="AK736" s="23"/>
      <c r="AL736" s="75"/>
      <c r="AM736" s="75" t="str">
        <f t="shared" si="141"/>
        <v/>
      </c>
      <c r="AN736" s="75"/>
      <c r="AO736" s="75"/>
      <c r="AP736" s="75"/>
      <c r="AQ736" s="75"/>
      <c r="AR736" s="75"/>
      <c r="AS736" s="75"/>
      <c r="AT736" s="75"/>
    </row>
    <row r="737" ht="22.5" customHeight="1">
      <c r="A737" s="219"/>
      <c r="B737" s="219"/>
      <c r="C737" s="219"/>
      <c r="D737" s="219"/>
      <c r="E737" s="219"/>
      <c r="F737" s="219"/>
      <c r="G737" s="219"/>
      <c r="H737" s="219"/>
      <c r="I737" s="249"/>
      <c r="J737" s="243"/>
      <c r="K737" s="219"/>
      <c r="L737" s="244"/>
      <c r="M737" s="219"/>
      <c r="N737" s="219"/>
      <c r="O737" s="219"/>
      <c r="P737" s="244"/>
      <c r="Q737" s="219"/>
      <c r="R737" s="302"/>
      <c r="S737" s="219"/>
      <c r="T737" s="219"/>
      <c r="U737" s="219"/>
      <c r="V737" s="303"/>
      <c r="W737" s="247"/>
      <c r="X737" s="245"/>
      <c r="Y737" s="245"/>
      <c r="Z737" s="245"/>
      <c r="AA737" s="245"/>
      <c r="AB737" s="245"/>
      <c r="AC737" s="249"/>
      <c r="AD737" s="249"/>
      <c r="AE737" s="249"/>
      <c r="AF737" s="8"/>
      <c r="AG737" s="8"/>
      <c r="AH737" s="72"/>
      <c r="AI737" s="8"/>
      <c r="AJ737" s="251"/>
      <c r="AK737" s="23"/>
      <c r="AL737" s="75"/>
      <c r="AM737" s="75" t="str">
        <f t="shared" si="141"/>
        <v/>
      </c>
      <c r="AN737" s="75"/>
      <c r="AO737" s="75"/>
      <c r="AP737" s="75"/>
      <c r="AQ737" s="75"/>
      <c r="AR737" s="75"/>
      <c r="AS737" s="75"/>
      <c r="AT737" s="75"/>
    </row>
    <row r="738" ht="22.5" customHeight="1">
      <c r="A738" s="219"/>
      <c r="B738" s="219"/>
      <c r="C738" s="219"/>
      <c r="D738" s="219"/>
      <c r="E738" s="219"/>
      <c r="F738" s="219"/>
      <c r="G738" s="219"/>
      <c r="H738" s="219"/>
      <c r="I738" s="249"/>
      <c r="J738" s="243"/>
      <c r="K738" s="219"/>
      <c r="L738" s="244"/>
      <c r="M738" s="219"/>
      <c r="N738" s="219"/>
      <c r="O738" s="219"/>
      <c r="P738" s="244"/>
      <c r="Q738" s="219"/>
      <c r="R738" s="302"/>
      <c r="S738" s="219"/>
      <c r="T738" s="219"/>
      <c r="U738" s="219"/>
      <c r="V738" s="303"/>
      <c r="W738" s="247"/>
      <c r="X738" s="245"/>
      <c r="Y738" s="245"/>
      <c r="Z738" s="245"/>
      <c r="AA738" s="245"/>
      <c r="AB738" s="245"/>
      <c r="AC738" s="249"/>
      <c r="AD738" s="249"/>
      <c r="AE738" s="249"/>
      <c r="AF738" s="8"/>
      <c r="AG738" s="8"/>
      <c r="AH738" s="72"/>
      <c r="AI738" s="8"/>
      <c r="AJ738" s="251"/>
      <c r="AK738" s="23"/>
      <c r="AL738" s="75"/>
      <c r="AM738" s="75" t="str">
        <f t="shared" si="141"/>
        <v/>
      </c>
      <c r="AN738" s="75"/>
      <c r="AO738" s="75"/>
      <c r="AP738" s="75"/>
      <c r="AQ738" s="75"/>
      <c r="AR738" s="75"/>
      <c r="AS738" s="75"/>
      <c r="AT738" s="75"/>
    </row>
    <row r="739" ht="22.5" customHeight="1">
      <c r="A739" s="219"/>
      <c r="B739" s="219"/>
      <c r="C739" s="219"/>
      <c r="D739" s="219"/>
      <c r="E739" s="219"/>
      <c r="F739" s="219"/>
      <c r="G739" s="219"/>
      <c r="H739" s="219"/>
      <c r="I739" s="249"/>
      <c r="J739" s="243"/>
      <c r="K739" s="219"/>
      <c r="L739" s="244"/>
      <c r="M739" s="219"/>
      <c r="N739" s="219"/>
      <c r="O739" s="219"/>
      <c r="P739" s="244"/>
      <c r="Q739" s="219"/>
      <c r="R739" s="302"/>
      <c r="S739" s="219"/>
      <c r="T739" s="219"/>
      <c r="U739" s="219"/>
      <c r="V739" s="303"/>
      <c r="W739" s="247"/>
      <c r="X739" s="245"/>
      <c r="Y739" s="245"/>
      <c r="Z739" s="245"/>
      <c r="AA739" s="245"/>
      <c r="AB739" s="245"/>
      <c r="AC739" s="249"/>
      <c r="AD739" s="249"/>
      <c r="AE739" s="249"/>
      <c r="AF739" s="8"/>
      <c r="AG739" s="8"/>
      <c r="AH739" s="72"/>
      <c r="AI739" s="8"/>
      <c r="AJ739" s="251"/>
      <c r="AK739" s="23"/>
      <c r="AL739" s="75"/>
      <c r="AM739" s="75" t="str">
        <f t="shared" si="141"/>
        <v/>
      </c>
      <c r="AN739" s="75"/>
      <c r="AO739" s="75"/>
      <c r="AP739" s="75"/>
      <c r="AQ739" s="75"/>
      <c r="AR739" s="75"/>
      <c r="AS739" s="75"/>
      <c r="AT739" s="75"/>
    </row>
    <row r="740" ht="22.5" customHeight="1">
      <c r="A740" s="219"/>
      <c r="B740" s="219"/>
      <c r="C740" s="219"/>
      <c r="D740" s="219"/>
      <c r="E740" s="219"/>
      <c r="F740" s="219"/>
      <c r="G740" s="219"/>
      <c r="H740" s="219"/>
      <c r="I740" s="249"/>
      <c r="J740" s="243"/>
      <c r="K740" s="219"/>
      <c r="L740" s="244"/>
      <c r="M740" s="219"/>
      <c r="N740" s="219"/>
      <c r="O740" s="219"/>
      <c r="P740" s="244"/>
      <c r="Q740" s="219"/>
      <c r="R740" s="302"/>
      <c r="S740" s="219"/>
      <c r="T740" s="219"/>
      <c r="U740" s="219"/>
      <c r="V740" s="303"/>
      <c r="W740" s="247"/>
      <c r="X740" s="245"/>
      <c r="Y740" s="245"/>
      <c r="Z740" s="245"/>
      <c r="AA740" s="245"/>
      <c r="AB740" s="245"/>
      <c r="AC740" s="249"/>
      <c r="AD740" s="249"/>
      <c r="AE740" s="249"/>
      <c r="AF740" s="8"/>
      <c r="AG740" s="8"/>
      <c r="AH740" s="72"/>
      <c r="AI740" s="8"/>
      <c r="AJ740" s="251"/>
      <c r="AK740" s="23"/>
      <c r="AL740" s="75"/>
      <c r="AM740" s="75" t="str">
        <f t="shared" si="141"/>
        <v/>
      </c>
      <c r="AN740" s="75"/>
      <c r="AO740" s="75"/>
      <c r="AP740" s="75"/>
      <c r="AQ740" s="75"/>
      <c r="AR740" s="75"/>
      <c r="AS740" s="75"/>
      <c r="AT740" s="75"/>
    </row>
    <row r="741" ht="22.5" customHeight="1">
      <c r="A741" s="219"/>
      <c r="B741" s="219"/>
      <c r="C741" s="219"/>
      <c r="D741" s="219"/>
      <c r="E741" s="219"/>
      <c r="F741" s="219"/>
      <c r="G741" s="219"/>
      <c r="H741" s="219"/>
      <c r="I741" s="249"/>
      <c r="J741" s="243"/>
      <c r="K741" s="219"/>
      <c r="L741" s="244"/>
      <c r="M741" s="219"/>
      <c r="N741" s="219"/>
      <c r="O741" s="219"/>
      <c r="P741" s="244"/>
      <c r="Q741" s="219"/>
      <c r="R741" s="302"/>
      <c r="S741" s="219"/>
      <c r="T741" s="219"/>
      <c r="U741" s="219"/>
      <c r="V741" s="303"/>
      <c r="W741" s="247"/>
      <c r="X741" s="245"/>
      <c r="Y741" s="245"/>
      <c r="Z741" s="245"/>
      <c r="AA741" s="245"/>
      <c r="AB741" s="245"/>
      <c r="AC741" s="249"/>
      <c r="AD741" s="249"/>
      <c r="AE741" s="249"/>
      <c r="AF741" s="8"/>
      <c r="AG741" s="8"/>
      <c r="AH741" s="72"/>
      <c r="AI741" s="8"/>
      <c r="AJ741" s="251"/>
      <c r="AK741" s="23"/>
      <c r="AL741" s="75"/>
      <c r="AM741" s="75" t="str">
        <f t="shared" si="141"/>
        <v/>
      </c>
      <c r="AN741" s="75"/>
      <c r="AO741" s="75"/>
      <c r="AP741" s="75"/>
      <c r="AQ741" s="75"/>
      <c r="AR741" s="75"/>
      <c r="AS741" s="75"/>
      <c r="AT741" s="75"/>
    </row>
    <row r="742" ht="22.5" customHeight="1">
      <c r="A742" s="219"/>
      <c r="B742" s="219"/>
      <c r="C742" s="219"/>
      <c r="D742" s="219"/>
      <c r="E742" s="219"/>
      <c r="F742" s="219"/>
      <c r="G742" s="219"/>
      <c r="H742" s="219"/>
      <c r="I742" s="249"/>
      <c r="J742" s="243"/>
      <c r="K742" s="219"/>
      <c r="L742" s="244"/>
      <c r="M742" s="219"/>
      <c r="N742" s="219"/>
      <c r="O742" s="219"/>
      <c r="P742" s="244"/>
      <c r="Q742" s="219"/>
      <c r="R742" s="302"/>
      <c r="S742" s="219"/>
      <c r="T742" s="219"/>
      <c r="U742" s="219"/>
      <c r="V742" s="303"/>
      <c r="W742" s="247"/>
      <c r="X742" s="245"/>
      <c r="Y742" s="245"/>
      <c r="Z742" s="245"/>
      <c r="AA742" s="245"/>
      <c r="AB742" s="245"/>
      <c r="AC742" s="249"/>
      <c r="AD742" s="249"/>
      <c r="AE742" s="249"/>
      <c r="AF742" s="8"/>
      <c r="AG742" s="8"/>
      <c r="AH742" s="72"/>
      <c r="AI742" s="8"/>
      <c r="AJ742" s="251"/>
      <c r="AK742" s="23"/>
      <c r="AL742" s="75"/>
      <c r="AM742" s="75" t="str">
        <f t="shared" si="141"/>
        <v/>
      </c>
      <c r="AN742" s="75"/>
      <c r="AO742" s="75"/>
      <c r="AP742" s="75"/>
      <c r="AQ742" s="75"/>
      <c r="AR742" s="75"/>
      <c r="AS742" s="75"/>
      <c r="AT742" s="75"/>
    </row>
    <row r="743" ht="22.5" customHeight="1">
      <c r="A743" s="219"/>
      <c r="B743" s="219"/>
      <c r="C743" s="219"/>
      <c r="D743" s="219"/>
      <c r="E743" s="219"/>
      <c r="F743" s="219"/>
      <c r="G743" s="219"/>
      <c r="H743" s="219"/>
      <c r="I743" s="249"/>
      <c r="J743" s="243"/>
      <c r="K743" s="219"/>
      <c r="L743" s="244"/>
      <c r="M743" s="219"/>
      <c r="N743" s="219"/>
      <c r="O743" s="219"/>
      <c r="P743" s="244"/>
      <c r="Q743" s="219"/>
      <c r="R743" s="302"/>
      <c r="S743" s="219"/>
      <c r="T743" s="219"/>
      <c r="U743" s="219"/>
      <c r="V743" s="303"/>
      <c r="W743" s="247"/>
      <c r="X743" s="245"/>
      <c r="Y743" s="245"/>
      <c r="Z743" s="245"/>
      <c r="AA743" s="245"/>
      <c r="AB743" s="245"/>
      <c r="AC743" s="249"/>
      <c r="AD743" s="249"/>
      <c r="AE743" s="249"/>
      <c r="AF743" s="8"/>
      <c r="AG743" s="8"/>
      <c r="AH743" s="72"/>
      <c r="AI743" s="8"/>
      <c r="AJ743" s="251"/>
      <c r="AK743" s="23"/>
      <c r="AL743" s="75"/>
      <c r="AM743" s="75" t="str">
        <f t="shared" si="141"/>
        <v/>
      </c>
      <c r="AN743" s="75"/>
      <c r="AO743" s="75"/>
      <c r="AP743" s="75"/>
      <c r="AQ743" s="75"/>
      <c r="AR743" s="75"/>
      <c r="AS743" s="75"/>
      <c r="AT743" s="75"/>
    </row>
    <row r="744" ht="22.5" customHeight="1">
      <c r="A744" s="219"/>
      <c r="B744" s="219"/>
      <c r="C744" s="219"/>
      <c r="D744" s="219"/>
      <c r="E744" s="219"/>
      <c r="F744" s="219"/>
      <c r="G744" s="219"/>
      <c r="H744" s="219"/>
      <c r="I744" s="249"/>
      <c r="J744" s="243"/>
      <c r="K744" s="219"/>
      <c r="L744" s="244"/>
      <c r="M744" s="219"/>
      <c r="N744" s="219"/>
      <c r="O744" s="219"/>
      <c r="P744" s="244"/>
      <c r="Q744" s="219"/>
      <c r="R744" s="302"/>
      <c r="S744" s="219"/>
      <c r="T744" s="219"/>
      <c r="U744" s="219"/>
      <c r="V744" s="303"/>
      <c r="W744" s="247"/>
      <c r="X744" s="245"/>
      <c r="Y744" s="245"/>
      <c r="Z744" s="245"/>
      <c r="AA744" s="245"/>
      <c r="AB744" s="245"/>
      <c r="AC744" s="249"/>
      <c r="AD744" s="249"/>
      <c r="AE744" s="249"/>
      <c r="AF744" s="8"/>
      <c r="AG744" s="8"/>
      <c r="AH744" s="72"/>
      <c r="AI744" s="8"/>
      <c r="AJ744" s="251"/>
      <c r="AK744" s="23"/>
      <c r="AL744" s="75"/>
      <c r="AM744" s="75" t="str">
        <f t="shared" si="141"/>
        <v/>
      </c>
      <c r="AN744" s="75"/>
      <c r="AO744" s="75"/>
      <c r="AP744" s="75"/>
      <c r="AQ744" s="75"/>
      <c r="AR744" s="75"/>
      <c r="AS744" s="75"/>
      <c r="AT744" s="75"/>
    </row>
    <row r="745" ht="22.5" customHeight="1">
      <c r="A745" s="219"/>
      <c r="B745" s="219"/>
      <c r="C745" s="219"/>
      <c r="D745" s="219"/>
      <c r="E745" s="219"/>
      <c r="F745" s="219"/>
      <c r="G745" s="219"/>
      <c r="H745" s="219"/>
      <c r="I745" s="249"/>
      <c r="J745" s="243"/>
      <c r="K745" s="219"/>
      <c r="L745" s="244"/>
      <c r="M745" s="219"/>
      <c r="N745" s="219"/>
      <c r="O745" s="219"/>
      <c r="P745" s="244"/>
      <c r="Q745" s="219"/>
      <c r="R745" s="302"/>
      <c r="S745" s="219"/>
      <c r="T745" s="219"/>
      <c r="U745" s="219"/>
      <c r="V745" s="303"/>
      <c r="W745" s="247"/>
      <c r="X745" s="245"/>
      <c r="Y745" s="245"/>
      <c r="Z745" s="245"/>
      <c r="AA745" s="245"/>
      <c r="AB745" s="245"/>
      <c r="AC745" s="249"/>
      <c r="AD745" s="249"/>
      <c r="AE745" s="249"/>
      <c r="AF745" s="8"/>
      <c r="AG745" s="8"/>
      <c r="AH745" s="72"/>
      <c r="AI745" s="8"/>
      <c r="AJ745" s="251"/>
      <c r="AK745" s="23"/>
      <c r="AL745" s="75"/>
      <c r="AM745" s="75" t="str">
        <f t="shared" si="141"/>
        <v/>
      </c>
      <c r="AN745" s="75"/>
      <c r="AO745" s="75"/>
      <c r="AP745" s="75"/>
      <c r="AQ745" s="75"/>
      <c r="AR745" s="75"/>
      <c r="AS745" s="75"/>
      <c r="AT745" s="75"/>
    </row>
    <row r="746" ht="22.5" customHeight="1">
      <c r="A746" s="219"/>
      <c r="B746" s="219"/>
      <c r="C746" s="219"/>
      <c r="D746" s="219"/>
      <c r="E746" s="219"/>
      <c r="F746" s="219"/>
      <c r="G746" s="219"/>
      <c r="H746" s="219"/>
      <c r="I746" s="249"/>
      <c r="J746" s="243"/>
      <c r="K746" s="219"/>
      <c r="L746" s="244"/>
      <c r="M746" s="219"/>
      <c r="N746" s="219"/>
      <c r="O746" s="219"/>
      <c r="P746" s="244"/>
      <c r="Q746" s="219"/>
      <c r="R746" s="302"/>
      <c r="S746" s="219"/>
      <c r="T746" s="219"/>
      <c r="U746" s="219"/>
      <c r="V746" s="303"/>
      <c r="W746" s="247"/>
      <c r="X746" s="245"/>
      <c r="Y746" s="245"/>
      <c r="Z746" s="245"/>
      <c r="AA746" s="245"/>
      <c r="AB746" s="245"/>
      <c r="AC746" s="249"/>
      <c r="AD746" s="249"/>
      <c r="AE746" s="249"/>
      <c r="AF746" s="8"/>
      <c r="AG746" s="8"/>
      <c r="AH746" s="72"/>
      <c r="AI746" s="8"/>
      <c r="AJ746" s="251"/>
      <c r="AK746" s="23"/>
      <c r="AL746" s="75"/>
      <c r="AM746" s="75" t="str">
        <f t="shared" si="141"/>
        <v/>
      </c>
      <c r="AN746" s="75"/>
      <c r="AO746" s="75"/>
      <c r="AP746" s="75"/>
      <c r="AQ746" s="75"/>
      <c r="AR746" s="75"/>
      <c r="AS746" s="75"/>
      <c r="AT746" s="75"/>
    </row>
    <row r="747" ht="22.5" customHeight="1">
      <c r="A747" s="219"/>
      <c r="B747" s="219"/>
      <c r="C747" s="219"/>
      <c r="D747" s="219"/>
      <c r="E747" s="219"/>
      <c r="F747" s="219"/>
      <c r="G747" s="219"/>
      <c r="H747" s="219"/>
      <c r="I747" s="249"/>
      <c r="J747" s="243"/>
      <c r="K747" s="219"/>
      <c r="L747" s="244"/>
      <c r="M747" s="219"/>
      <c r="N747" s="219"/>
      <c r="O747" s="219"/>
      <c r="P747" s="244"/>
      <c r="Q747" s="219"/>
      <c r="R747" s="302"/>
      <c r="S747" s="219"/>
      <c r="T747" s="219"/>
      <c r="U747" s="219"/>
      <c r="V747" s="303"/>
      <c r="W747" s="247"/>
      <c r="X747" s="245"/>
      <c r="Y747" s="245"/>
      <c r="Z747" s="245"/>
      <c r="AA747" s="245"/>
      <c r="AB747" s="245"/>
      <c r="AC747" s="249"/>
      <c r="AD747" s="249"/>
      <c r="AE747" s="249"/>
      <c r="AF747" s="8"/>
      <c r="AG747" s="8"/>
      <c r="AH747" s="72"/>
      <c r="AI747" s="8"/>
      <c r="AJ747" s="251"/>
      <c r="AK747" s="23"/>
      <c r="AL747" s="75"/>
      <c r="AM747" s="75" t="str">
        <f t="shared" si="141"/>
        <v/>
      </c>
      <c r="AN747" s="75"/>
      <c r="AO747" s="75"/>
      <c r="AP747" s="75"/>
      <c r="AQ747" s="75"/>
      <c r="AR747" s="75"/>
      <c r="AS747" s="75"/>
      <c r="AT747" s="75"/>
    </row>
    <row r="748" ht="22.5" customHeight="1">
      <c r="A748" s="219"/>
      <c r="B748" s="219"/>
      <c r="C748" s="219"/>
      <c r="D748" s="219"/>
      <c r="E748" s="219"/>
      <c r="F748" s="219"/>
      <c r="G748" s="219"/>
      <c r="H748" s="219"/>
      <c r="I748" s="249"/>
      <c r="J748" s="243"/>
      <c r="K748" s="219"/>
      <c r="L748" s="244"/>
      <c r="M748" s="219"/>
      <c r="N748" s="219"/>
      <c r="O748" s="219"/>
      <c r="P748" s="244"/>
      <c r="Q748" s="219"/>
      <c r="R748" s="302"/>
      <c r="S748" s="219"/>
      <c r="T748" s="219"/>
      <c r="U748" s="219"/>
      <c r="V748" s="303"/>
      <c r="W748" s="247"/>
      <c r="X748" s="245"/>
      <c r="Y748" s="245"/>
      <c r="Z748" s="245"/>
      <c r="AA748" s="245"/>
      <c r="AB748" s="245"/>
      <c r="AC748" s="249"/>
      <c r="AD748" s="249"/>
      <c r="AE748" s="249"/>
      <c r="AF748" s="8"/>
      <c r="AG748" s="8"/>
      <c r="AH748" s="72"/>
      <c r="AI748" s="8"/>
      <c r="AJ748" s="251"/>
      <c r="AK748" s="23"/>
      <c r="AL748" s="75"/>
      <c r="AM748" s="75" t="str">
        <f t="shared" si="141"/>
        <v/>
      </c>
      <c r="AN748" s="75"/>
      <c r="AO748" s="75"/>
      <c r="AP748" s="75"/>
      <c r="AQ748" s="75"/>
      <c r="AR748" s="75"/>
      <c r="AS748" s="75"/>
      <c r="AT748" s="75"/>
    </row>
    <row r="749" ht="22.5" customHeight="1">
      <c r="A749" s="219"/>
      <c r="B749" s="219"/>
      <c r="C749" s="219"/>
      <c r="D749" s="219"/>
      <c r="E749" s="219"/>
      <c r="F749" s="219"/>
      <c r="G749" s="219"/>
      <c r="H749" s="219"/>
      <c r="I749" s="249"/>
      <c r="J749" s="243"/>
      <c r="K749" s="219"/>
      <c r="L749" s="244"/>
      <c r="M749" s="219"/>
      <c r="N749" s="219"/>
      <c r="O749" s="219"/>
      <c r="P749" s="244"/>
      <c r="Q749" s="219"/>
      <c r="R749" s="302"/>
      <c r="S749" s="219"/>
      <c r="T749" s="219"/>
      <c r="U749" s="219"/>
      <c r="V749" s="303"/>
      <c r="W749" s="247"/>
      <c r="X749" s="245"/>
      <c r="Y749" s="245"/>
      <c r="Z749" s="245"/>
      <c r="AA749" s="245"/>
      <c r="AB749" s="245"/>
      <c r="AC749" s="249"/>
      <c r="AD749" s="249"/>
      <c r="AE749" s="249"/>
      <c r="AF749" s="8"/>
      <c r="AG749" s="8"/>
      <c r="AH749" s="72"/>
      <c r="AI749" s="8"/>
      <c r="AJ749" s="251"/>
      <c r="AK749" s="23"/>
      <c r="AL749" s="75"/>
      <c r="AM749" s="75" t="str">
        <f t="shared" si="141"/>
        <v/>
      </c>
      <c r="AN749" s="75"/>
      <c r="AO749" s="75"/>
      <c r="AP749" s="75"/>
      <c r="AQ749" s="75"/>
      <c r="AR749" s="75"/>
      <c r="AS749" s="75"/>
      <c r="AT749" s="75"/>
    </row>
    <row r="750" ht="22.5" customHeight="1">
      <c r="A750" s="219"/>
      <c r="B750" s="219"/>
      <c r="C750" s="219"/>
      <c r="D750" s="219"/>
      <c r="E750" s="219"/>
      <c r="F750" s="219"/>
      <c r="G750" s="219"/>
      <c r="H750" s="219"/>
      <c r="I750" s="249"/>
      <c r="J750" s="243"/>
      <c r="K750" s="219"/>
      <c r="L750" s="244"/>
      <c r="M750" s="219"/>
      <c r="N750" s="219"/>
      <c r="O750" s="219"/>
      <c r="P750" s="244"/>
      <c r="Q750" s="219"/>
      <c r="R750" s="302"/>
      <c r="S750" s="219"/>
      <c r="T750" s="219"/>
      <c r="U750" s="219"/>
      <c r="V750" s="303"/>
      <c r="W750" s="247"/>
      <c r="X750" s="245"/>
      <c r="Y750" s="245"/>
      <c r="Z750" s="245"/>
      <c r="AA750" s="245"/>
      <c r="AB750" s="245"/>
      <c r="AC750" s="249"/>
      <c r="AD750" s="249"/>
      <c r="AE750" s="249"/>
      <c r="AF750" s="8"/>
      <c r="AG750" s="8"/>
      <c r="AH750" s="72"/>
      <c r="AI750" s="8"/>
      <c r="AJ750" s="251"/>
      <c r="AK750" s="23"/>
      <c r="AL750" s="75"/>
      <c r="AM750" s="75" t="str">
        <f t="shared" si="141"/>
        <v/>
      </c>
      <c r="AN750" s="75"/>
      <c r="AO750" s="75"/>
      <c r="AP750" s="75"/>
      <c r="AQ750" s="75"/>
      <c r="AR750" s="75"/>
      <c r="AS750" s="75"/>
      <c r="AT750" s="75"/>
    </row>
    <row r="751" ht="22.5" customHeight="1">
      <c r="A751" s="219"/>
      <c r="B751" s="219"/>
      <c r="C751" s="219"/>
      <c r="D751" s="219"/>
      <c r="E751" s="219"/>
      <c r="F751" s="219"/>
      <c r="G751" s="219"/>
      <c r="H751" s="219"/>
      <c r="I751" s="249"/>
      <c r="J751" s="243"/>
      <c r="K751" s="219"/>
      <c r="L751" s="244"/>
      <c r="M751" s="219"/>
      <c r="N751" s="219"/>
      <c r="O751" s="219"/>
      <c r="P751" s="244"/>
      <c r="Q751" s="219"/>
      <c r="R751" s="302"/>
      <c r="S751" s="219"/>
      <c r="T751" s="219"/>
      <c r="U751" s="219"/>
      <c r="V751" s="303"/>
      <c r="W751" s="247"/>
      <c r="X751" s="245"/>
      <c r="Y751" s="245"/>
      <c r="Z751" s="245"/>
      <c r="AA751" s="245"/>
      <c r="AB751" s="245"/>
      <c r="AC751" s="249"/>
      <c r="AD751" s="249"/>
      <c r="AE751" s="249"/>
      <c r="AF751" s="8"/>
      <c r="AG751" s="8"/>
      <c r="AH751" s="72"/>
      <c r="AI751" s="8"/>
      <c r="AJ751" s="251"/>
      <c r="AK751" s="23"/>
      <c r="AL751" s="75"/>
      <c r="AM751" s="75" t="str">
        <f t="shared" si="141"/>
        <v/>
      </c>
      <c r="AN751" s="75"/>
      <c r="AO751" s="75"/>
      <c r="AP751" s="75"/>
      <c r="AQ751" s="75"/>
      <c r="AR751" s="75"/>
      <c r="AS751" s="75"/>
      <c r="AT751" s="75"/>
    </row>
    <row r="752" ht="22.5" customHeight="1">
      <c r="A752" s="219"/>
      <c r="B752" s="219"/>
      <c r="C752" s="219"/>
      <c r="D752" s="219"/>
      <c r="E752" s="219"/>
      <c r="F752" s="219"/>
      <c r="G752" s="219"/>
      <c r="H752" s="219"/>
      <c r="I752" s="249"/>
      <c r="J752" s="243"/>
      <c r="K752" s="219"/>
      <c r="L752" s="244"/>
      <c r="M752" s="219"/>
      <c r="N752" s="219"/>
      <c r="O752" s="219"/>
      <c r="P752" s="244"/>
      <c r="Q752" s="219"/>
      <c r="R752" s="302"/>
      <c r="S752" s="219"/>
      <c r="T752" s="219"/>
      <c r="U752" s="219"/>
      <c r="V752" s="303"/>
      <c r="W752" s="247"/>
      <c r="X752" s="245"/>
      <c r="Y752" s="245"/>
      <c r="Z752" s="245"/>
      <c r="AA752" s="245"/>
      <c r="AB752" s="245"/>
      <c r="AC752" s="249"/>
      <c r="AD752" s="249"/>
      <c r="AE752" s="249"/>
      <c r="AF752" s="8"/>
      <c r="AG752" s="8"/>
      <c r="AH752" s="72"/>
      <c r="AI752" s="8"/>
      <c r="AJ752" s="251"/>
      <c r="AK752" s="23"/>
      <c r="AL752" s="75"/>
      <c r="AM752" s="75" t="str">
        <f t="shared" si="141"/>
        <v/>
      </c>
      <c r="AN752" s="75"/>
      <c r="AO752" s="75"/>
      <c r="AP752" s="75"/>
      <c r="AQ752" s="75"/>
      <c r="AR752" s="75"/>
      <c r="AS752" s="75"/>
      <c r="AT752" s="75"/>
    </row>
    <row r="753" ht="22.5" customHeight="1">
      <c r="A753" s="219"/>
      <c r="B753" s="219"/>
      <c r="C753" s="219"/>
      <c r="D753" s="219"/>
      <c r="E753" s="219"/>
      <c r="F753" s="219"/>
      <c r="G753" s="219"/>
      <c r="H753" s="219"/>
      <c r="I753" s="249"/>
      <c r="J753" s="243"/>
      <c r="K753" s="219"/>
      <c r="L753" s="244"/>
      <c r="M753" s="219"/>
      <c r="N753" s="219"/>
      <c r="O753" s="219"/>
      <c r="P753" s="244"/>
      <c r="Q753" s="219"/>
      <c r="R753" s="302"/>
      <c r="S753" s="219"/>
      <c r="T753" s="219"/>
      <c r="U753" s="219"/>
      <c r="V753" s="303"/>
      <c r="W753" s="247"/>
      <c r="X753" s="245"/>
      <c r="Y753" s="245"/>
      <c r="Z753" s="245"/>
      <c r="AA753" s="245"/>
      <c r="AB753" s="245"/>
      <c r="AC753" s="249"/>
      <c r="AD753" s="249"/>
      <c r="AE753" s="249"/>
      <c r="AF753" s="8"/>
      <c r="AG753" s="8"/>
      <c r="AH753" s="72"/>
      <c r="AI753" s="8"/>
      <c r="AJ753" s="251"/>
      <c r="AK753" s="23"/>
      <c r="AL753" s="75"/>
      <c r="AM753" s="75" t="str">
        <f t="shared" si="141"/>
        <v/>
      </c>
      <c r="AN753" s="75"/>
      <c r="AO753" s="75"/>
      <c r="AP753" s="75"/>
      <c r="AQ753" s="75"/>
      <c r="AR753" s="75"/>
      <c r="AS753" s="75"/>
      <c r="AT753" s="75"/>
    </row>
    <row r="754" ht="22.5" customHeight="1">
      <c r="A754" s="219"/>
      <c r="B754" s="219"/>
      <c r="C754" s="219"/>
      <c r="D754" s="219"/>
      <c r="E754" s="219"/>
      <c r="F754" s="219"/>
      <c r="G754" s="219"/>
      <c r="H754" s="219"/>
      <c r="I754" s="249"/>
      <c r="J754" s="243"/>
      <c r="K754" s="219"/>
      <c r="L754" s="244"/>
      <c r="M754" s="219"/>
      <c r="N754" s="219"/>
      <c r="O754" s="219"/>
      <c r="P754" s="244"/>
      <c r="Q754" s="219"/>
      <c r="R754" s="302"/>
      <c r="S754" s="219"/>
      <c r="T754" s="219"/>
      <c r="U754" s="219"/>
      <c r="V754" s="303"/>
      <c r="W754" s="247"/>
      <c r="X754" s="245"/>
      <c r="Y754" s="245"/>
      <c r="Z754" s="245"/>
      <c r="AA754" s="245"/>
      <c r="AB754" s="245"/>
      <c r="AC754" s="249"/>
      <c r="AD754" s="249"/>
      <c r="AE754" s="249"/>
      <c r="AF754" s="8"/>
      <c r="AG754" s="8"/>
      <c r="AH754" s="72"/>
      <c r="AI754" s="8"/>
      <c r="AJ754" s="251"/>
      <c r="AK754" s="23"/>
      <c r="AL754" s="75"/>
      <c r="AM754" s="75" t="str">
        <f t="shared" si="141"/>
        <v/>
      </c>
      <c r="AN754" s="75"/>
      <c r="AO754" s="75"/>
      <c r="AP754" s="75"/>
      <c r="AQ754" s="75"/>
      <c r="AR754" s="75"/>
      <c r="AS754" s="75"/>
      <c r="AT754" s="75"/>
    </row>
    <row r="755" ht="22.5" customHeight="1">
      <c r="A755" s="219"/>
      <c r="B755" s="219"/>
      <c r="C755" s="219"/>
      <c r="D755" s="219"/>
      <c r="E755" s="219"/>
      <c r="F755" s="219"/>
      <c r="G755" s="219"/>
      <c r="H755" s="219"/>
      <c r="I755" s="249"/>
      <c r="J755" s="243"/>
      <c r="K755" s="219"/>
      <c r="L755" s="244"/>
      <c r="M755" s="219"/>
      <c r="N755" s="219"/>
      <c r="O755" s="219"/>
      <c r="P755" s="244"/>
      <c r="Q755" s="219"/>
      <c r="R755" s="302"/>
      <c r="S755" s="219"/>
      <c r="T755" s="219"/>
      <c r="U755" s="219"/>
      <c r="V755" s="303"/>
      <c r="W755" s="247"/>
      <c r="X755" s="245"/>
      <c r="Y755" s="245"/>
      <c r="Z755" s="245"/>
      <c r="AA755" s="245"/>
      <c r="AB755" s="245"/>
      <c r="AC755" s="249"/>
      <c r="AD755" s="249"/>
      <c r="AE755" s="249"/>
      <c r="AF755" s="8"/>
      <c r="AG755" s="8"/>
      <c r="AH755" s="72"/>
      <c r="AI755" s="8"/>
      <c r="AJ755" s="251"/>
      <c r="AK755" s="23"/>
      <c r="AL755" s="75"/>
      <c r="AM755" s="75" t="str">
        <f t="shared" si="141"/>
        <v/>
      </c>
      <c r="AN755" s="75"/>
      <c r="AO755" s="75"/>
      <c r="AP755" s="75"/>
      <c r="AQ755" s="75"/>
      <c r="AR755" s="75"/>
      <c r="AS755" s="75"/>
      <c r="AT755" s="75"/>
    </row>
    <row r="756" ht="22.5" customHeight="1">
      <c r="A756" s="219"/>
      <c r="B756" s="219"/>
      <c r="C756" s="219"/>
      <c r="D756" s="219"/>
      <c r="E756" s="219"/>
      <c r="F756" s="219"/>
      <c r="G756" s="219"/>
      <c r="H756" s="219"/>
      <c r="I756" s="249"/>
      <c r="J756" s="243"/>
      <c r="K756" s="219"/>
      <c r="L756" s="244"/>
      <c r="M756" s="219"/>
      <c r="N756" s="219"/>
      <c r="O756" s="219"/>
      <c r="P756" s="244"/>
      <c r="Q756" s="219"/>
      <c r="R756" s="302"/>
      <c r="S756" s="219"/>
      <c r="T756" s="219"/>
      <c r="U756" s="219"/>
      <c r="V756" s="303"/>
      <c r="W756" s="247"/>
      <c r="X756" s="245"/>
      <c r="Y756" s="245"/>
      <c r="Z756" s="245"/>
      <c r="AA756" s="245"/>
      <c r="AB756" s="245"/>
      <c r="AC756" s="249"/>
      <c r="AD756" s="249"/>
      <c r="AE756" s="249"/>
      <c r="AF756" s="8"/>
      <c r="AG756" s="8"/>
      <c r="AH756" s="72"/>
      <c r="AI756" s="8"/>
      <c r="AJ756" s="251"/>
      <c r="AK756" s="23"/>
      <c r="AL756" s="75"/>
      <c r="AM756" s="75" t="str">
        <f t="shared" si="141"/>
        <v/>
      </c>
      <c r="AN756" s="75"/>
      <c r="AO756" s="75"/>
      <c r="AP756" s="75"/>
      <c r="AQ756" s="75"/>
      <c r="AR756" s="75"/>
      <c r="AS756" s="75"/>
      <c r="AT756" s="75"/>
    </row>
    <row r="757" ht="22.5" customHeight="1">
      <c r="A757" s="219"/>
      <c r="B757" s="219"/>
      <c r="C757" s="219"/>
      <c r="D757" s="219"/>
      <c r="E757" s="219"/>
      <c r="F757" s="219"/>
      <c r="G757" s="219"/>
      <c r="H757" s="219"/>
      <c r="I757" s="249"/>
      <c r="J757" s="243"/>
      <c r="K757" s="219"/>
      <c r="L757" s="244"/>
      <c r="M757" s="219"/>
      <c r="N757" s="219"/>
      <c r="O757" s="219"/>
      <c r="P757" s="244"/>
      <c r="Q757" s="219"/>
      <c r="R757" s="302"/>
      <c r="S757" s="219"/>
      <c r="T757" s="219"/>
      <c r="U757" s="219"/>
      <c r="V757" s="303"/>
      <c r="W757" s="247"/>
      <c r="X757" s="245"/>
      <c r="Y757" s="245"/>
      <c r="Z757" s="245"/>
      <c r="AA757" s="245"/>
      <c r="AB757" s="245"/>
      <c r="AC757" s="249"/>
      <c r="AD757" s="249"/>
      <c r="AE757" s="249"/>
      <c r="AF757" s="8"/>
      <c r="AG757" s="8"/>
      <c r="AH757" s="72"/>
      <c r="AI757" s="8"/>
      <c r="AJ757" s="251"/>
      <c r="AK757" s="23"/>
      <c r="AL757" s="75"/>
      <c r="AM757" s="75" t="str">
        <f t="shared" si="141"/>
        <v/>
      </c>
      <c r="AN757" s="75"/>
      <c r="AO757" s="75"/>
      <c r="AP757" s="75"/>
      <c r="AQ757" s="75"/>
      <c r="AR757" s="75"/>
      <c r="AS757" s="75"/>
      <c r="AT757" s="75"/>
    </row>
    <row r="758" ht="22.5" customHeight="1">
      <c r="A758" s="219"/>
      <c r="B758" s="219"/>
      <c r="C758" s="219"/>
      <c r="D758" s="219"/>
      <c r="E758" s="219"/>
      <c r="F758" s="219"/>
      <c r="G758" s="219"/>
      <c r="H758" s="219"/>
      <c r="I758" s="249"/>
      <c r="J758" s="243"/>
      <c r="K758" s="219"/>
      <c r="L758" s="244"/>
      <c r="M758" s="219"/>
      <c r="N758" s="219"/>
      <c r="O758" s="219"/>
      <c r="P758" s="244"/>
      <c r="Q758" s="219"/>
      <c r="R758" s="302"/>
      <c r="S758" s="219"/>
      <c r="T758" s="219"/>
      <c r="U758" s="219"/>
      <c r="V758" s="303"/>
      <c r="W758" s="247"/>
      <c r="X758" s="245"/>
      <c r="Y758" s="245"/>
      <c r="Z758" s="245"/>
      <c r="AA758" s="245"/>
      <c r="AB758" s="245"/>
      <c r="AC758" s="249"/>
      <c r="AD758" s="249"/>
      <c r="AE758" s="249"/>
      <c r="AF758" s="8"/>
      <c r="AG758" s="8"/>
      <c r="AH758" s="72"/>
      <c r="AI758" s="8"/>
      <c r="AJ758" s="251"/>
      <c r="AK758" s="23"/>
      <c r="AL758" s="75"/>
      <c r="AM758" s="75" t="str">
        <f t="shared" si="141"/>
        <v/>
      </c>
      <c r="AN758" s="75"/>
      <c r="AO758" s="75"/>
      <c r="AP758" s="75"/>
      <c r="AQ758" s="75"/>
      <c r="AR758" s="75"/>
      <c r="AS758" s="75"/>
      <c r="AT758" s="75"/>
    </row>
    <row r="759" ht="22.5" customHeight="1">
      <c r="A759" s="219"/>
      <c r="B759" s="219"/>
      <c r="C759" s="219"/>
      <c r="D759" s="219"/>
      <c r="E759" s="219"/>
      <c r="F759" s="219"/>
      <c r="G759" s="219"/>
      <c r="H759" s="219"/>
      <c r="I759" s="249"/>
      <c r="J759" s="243"/>
      <c r="K759" s="219"/>
      <c r="L759" s="244"/>
      <c r="M759" s="219"/>
      <c r="N759" s="219"/>
      <c r="O759" s="219"/>
      <c r="P759" s="244"/>
      <c r="Q759" s="219"/>
      <c r="R759" s="302"/>
      <c r="S759" s="219"/>
      <c r="T759" s="219"/>
      <c r="U759" s="219"/>
      <c r="V759" s="303"/>
      <c r="W759" s="247"/>
      <c r="X759" s="245"/>
      <c r="Y759" s="245"/>
      <c r="Z759" s="245"/>
      <c r="AA759" s="245"/>
      <c r="AB759" s="245"/>
      <c r="AC759" s="249"/>
      <c r="AD759" s="249"/>
      <c r="AE759" s="249"/>
      <c r="AF759" s="8"/>
      <c r="AG759" s="8"/>
      <c r="AH759" s="72"/>
      <c r="AI759" s="8"/>
      <c r="AJ759" s="251"/>
      <c r="AK759" s="23"/>
      <c r="AL759" s="75"/>
      <c r="AM759" s="75" t="str">
        <f t="shared" si="141"/>
        <v/>
      </c>
      <c r="AN759" s="75"/>
      <c r="AO759" s="75"/>
      <c r="AP759" s="75"/>
      <c r="AQ759" s="75"/>
      <c r="AR759" s="75"/>
      <c r="AS759" s="75"/>
      <c r="AT759" s="75"/>
    </row>
    <row r="760" ht="22.5" customHeight="1">
      <c r="A760" s="219"/>
      <c r="B760" s="219"/>
      <c r="C760" s="219"/>
      <c r="D760" s="219"/>
      <c r="E760" s="219"/>
      <c r="F760" s="219"/>
      <c r="G760" s="219"/>
      <c r="H760" s="219"/>
      <c r="I760" s="249"/>
      <c r="J760" s="243"/>
      <c r="K760" s="219"/>
      <c r="L760" s="244"/>
      <c r="M760" s="219"/>
      <c r="N760" s="219"/>
      <c r="O760" s="219"/>
      <c r="P760" s="244"/>
      <c r="Q760" s="219"/>
      <c r="R760" s="302"/>
      <c r="S760" s="219"/>
      <c r="T760" s="219"/>
      <c r="U760" s="219"/>
      <c r="V760" s="303"/>
      <c r="W760" s="247"/>
      <c r="X760" s="245"/>
      <c r="Y760" s="245"/>
      <c r="Z760" s="245"/>
      <c r="AA760" s="245"/>
      <c r="AB760" s="245"/>
      <c r="AC760" s="249"/>
      <c r="AD760" s="249"/>
      <c r="AE760" s="249"/>
      <c r="AF760" s="8"/>
      <c r="AG760" s="8"/>
      <c r="AH760" s="72"/>
      <c r="AI760" s="8"/>
      <c r="AJ760" s="251"/>
      <c r="AK760" s="23"/>
      <c r="AL760" s="75"/>
      <c r="AM760" s="75" t="str">
        <f t="shared" si="141"/>
        <v/>
      </c>
      <c r="AN760" s="75"/>
      <c r="AO760" s="75"/>
      <c r="AP760" s="75"/>
      <c r="AQ760" s="75"/>
      <c r="AR760" s="75"/>
      <c r="AS760" s="75"/>
      <c r="AT760" s="75"/>
    </row>
    <row r="761" ht="22.5" customHeight="1">
      <c r="A761" s="219"/>
      <c r="B761" s="219"/>
      <c r="C761" s="219"/>
      <c r="D761" s="219"/>
      <c r="E761" s="219"/>
      <c r="F761" s="219"/>
      <c r="G761" s="219"/>
      <c r="H761" s="219"/>
      <c r="I761" s="249"/>
      <c r="J761" s="243"/>
      <c r="K761" s="219"/>
      <c r="L761" s="244"/>
      <c r="M761" s="219"/>
      <c r="N761" s="219"/>
      <c r="O761" s="219"/>
      <c r="P761" s="244"/>
      <c r="Q761" s="219"/>
      <c r="R761" s="302"/>
      <c r="S761" s="219"/>
      <c r="T761" s="219"/>
      <c r="U761" s="219"/>
      <c r="V761" s="303"/>
      <c r="W761" s="247"/>
      <c r="X761" s="245"/>
      <c r="Y761" s="245"/>
      <c r="Z761" s="245"/>
      <c r="AA761" s="245"/>
      <c r="AB761" s="245"/>
      <c r="AC761" s="249"/>
      <c r="AD761" s="249"/>
      <c r="AE761" s="249"/>
      <c r="AF761" s="8"/>
      <c r="AG761" s="8"/>
      <c r="AH761" s="72"/>
      <c r="AI761" s="8"/>
      <c r="AJ761" s="251"/>
      <c r="AK761" s="23"/>
      <c r="AL761" s="75"/>
      <c r="AM761" s="75" t="str">
        <f t="shared" si="141"/>
        <v/>
      </c>
      <c r="AN761" s="75"/>
      <c r="AO761" s="75"/>
      <c r="AP761" s="75"/>
      <c r="AQ761" s="75"/>
      <c r="AR761" s="75"/>
      <c r="AS761" s="75"/>
      <c r="AT761" s="75"/>
    </row>
    <row r="762" ht="22.5" customHeight="1">
      <c r="A762" s="219"/>
      <c r="B762" s="219"/>
      <c r="C762" s="219"/>
      <c r="D762" s="219"/>
      <c r="E762" s="219"/>
      <c r="F762" s="219"/>
      <c r="G762" s="219"/>
      <c r="H762" s="219"/>
      <c r="I762" s="249"/>
      <c r="J762" s="243"/>
      <c r="K762" s="219"/>
      <c r="L762" s="244"/>
      <c r="M762" s="219"/>
      <c r="N762" s="219"/>
      <c r="O762" s="219"/>
      <c r="P762" s="244"/>
      <c r="Q762" s="219"/>
      <c r="R762" s="302"/>
      <c r="S762" s="219"/>
      <c r="T762" s="219"/>
      <c r="U762" s="219"/>
      <c r="V762" s="303"/>
      <c r="W762" s="247"/>
      <c r="X762" s="245"/>
      <c r="Y762" s="245"/>
      <c r="Z762" s="245"/>
      <c r="AA762" s="245"/>
      <c r="AB762" s="245"/>
      <c r="AC762" s="249"/>
      <c r="AD762" s="249"/>
      <c r="AE762" s="249"/>
      <c r="AF762" s="8"/>
      <c r="AG762" s="8"/>
      <c r="AH762" s="72"/>
      <c r="AI762" s="8"/>
      <c r="AJ762" s="251"/>
      <c r="AK762" s="23"/>
      <c r="AL762" s="75"/>
      <c r="AM762" s="75" t="str">
        <f t="shared" si="141"/>
        <v/>
      </c>
      <c r="AN762" s="75"/>
      <c r="AO762" s="75"/>
      <c r="AP762" s="75"/>
      <c r="AQ762" s="75"/>
      <c r="AR762" s="75"/>
      <c r="AS762" s="75"/>
      <c r="AT762" s="75"/>
    </row>
    <row r="763" ht="22.5" customHeight="1">
      <c r="A763" s="219"/>
      <c r="B763" s="219"/>
      <c r="C763" s="219"/>
      <c r="D763" s="219"/>
      <c r="E763" s="219"/>
      <c r="F763" s="219"/>
      <c r="G763" s="219"/>
      <c r="H763" s="219"/>
      <c r="I763" s="249"/>
      <c r="J763" s="243"/>
      <c r="K763" s="219"/>
      <c r="L763" s="244"/>
      <c r="M763" s="219"/>
      <c r="N763" s="219"/>
      <c r="O763" s="219"/>
      <c r="P763" s="244"/>
      <c r="Q763" s="219"/>
      <c r="R763" s="302"/>
      <c r="S763" s="219"/>
      <c r="T763" s="219"/>
      <c r="U763" s="219"/>
      <c r="V763" s="303"/>
      <c r="W763" s="247"/>
      <c r="X763" s="245"/>
      <c r="Y763" s="245"/>
      <c r="Z763" s="245"/>
      <c r="AA763" s="245"/>
      <c r="AB763" s="245"/>
      <c r="AC763" s="249"/>
      <c r="AD763" s="249"/>
      <c r="AE763" s="249"/>
      <c r="AF763" s="8"/>
      <c r="AG763" s="8"/>
      <c r="AH763" s="72"/>
      <c r="AI763" s="8"/>
      <c r="AJ763" s="251"/>
      <c r="AK763" s="23"/>
      <c r="AL763" s="75"/>
      <c r="AM763" s="75" t="str">
        <f t="shared" si="141"/>
        <v/>
      </c>
      <c r="AN763" s="75"/>
      <c r="AO763" s="75"/>
      <c r="AP763" s="75"/>
      <c r="AQ763" s="75"/>
      <c r="AR763" s="75"/>
      <c r="AS763" s="75"/>
      <c r="AT763" s="75"/>
    </row>
    <row r="764" ht="22.5" customHeight="1">
      <c r="A764" s="219"/>
      <c r="B764" s="219"/>
      <c r="C764" s="219"/>
      <c r="D764" s="219"/>
      <c r="E764" s="219"/>
      <c r="F764" s="219"/>
      <c r="G764" s="219"/>
      <c r="H764" s="219"/>
      <c r="I764" s="249"/>
      <c r="J764" s="243"/>
      <c r="K764" s="219"/>
      <c r="L764" s="244"/>
      <c r="M764" s="219"/>
      <c r="N764" s="219"/>
      <c r="O764" s="219"/>
      <c r="P764" s="244"/>
      <c r="Q764" s="219"/>
      <c r="R764" s="302"/>
      <c r="S764" s="219"/>
      <c r="T764" s="219"/>
      <c r="U764" s="219"/>
      <c r="V764" s="303"/>
      <c r="W764" s="247"/>
      <c r="X764" s="245"/>
      <c r="Y764" s="245"/>
      <c r="Z764" s="245"/>
      <c r="AA764" s="245"/>
      <c r="AB764" s="245"/>
      <c r="AC764" s="249"/>
      <c r="AD764" s="249"/>
      <c r="AE764" s="249"/>
      <c r="AF764" s="8"/>
      <c r="AG764" s="8"/>
      <c r="AH764" s="72"/>
      <c r="AI764" s="8"/>
      <c r="AJ764" s="251"/>
      <c r="AK764" s="23"/>
      <c r="AL764" s="75"/>
      <c r="AM764" s="75" t="str">
        <f t="shared" si="141"/>
        <v/>
      </c>
      <c r="AN764" s="75"/>
      <c r="AO764" s="75"/>
      <c r="AP764" s="75"/>
      <c r="AQ764" s="75"/>
      <c r="AR764" s="75"/>
      <c r="AS764" s="75"/>
      <c r="AT764" s="75"/>
    </row>
    <row r="765" ht="22.5" customHeight="1">
      <c r="A765" s="219"/>
      <c r="B765" s="219"/>
      <c r="C765" s="219"/>
      <c r="D765" s="219"/>
      <c r="E765" s="219"/>
      <c r="F765" s="219"/>
      <c r="G765" s="219"/>
      <c r="H765" s="219"/>
      <c r="I765" s="249"/>
      <c r="J765" s="243"/>
      <c r="K765" s="219"/>
      <c r="L765" s="244"/>
      <c r="M765" s="219"/>
      <c r="N765" s="219"/>
      <c r="O765" s="219"/>
      <c r="P765" s="244"/>
      <c r="Q765" s="219"/>
      <c r="R765" s="302"/>
      <c r="S765" s="219"/>
      <c r="T765" s="219"/>
      <c r="U765" s="219"/>
      <c r="V765" s="303"/>
      <c r="W765" s="247"/>
      <c r="X765" s="245"/>
      <c r="Y765" s="245"/>
      <c r="Z765" s="245"/>
      <c r="AA765" s="245"/>
      <c r="AB765" s="245"/>
      <c r="AC765" s="249"/>
      <c r="AD765" s="249"/>
      <c r="AE765" s="249"/>
      <c r="AF765" s="8"/>
      <c r="AG765" s="8"/>
      <c r="AH765" s="72"/>
      <c r="AI765" s="8"/>
      <c r="AJ765" s="251"/>
      <c r="AK765" s="23"/>
      <c r="AL765" s="75"/>
      <c r="AM765" s="75" t="str">
        <f t="shared" si="141"/>
        <v/>
      </c>
      <c r="AN765" s="75"/>
      <c r="AO765" s="75"/>
      <c r="AP765" s="75"/>
      <c r="AQ765" s="75"/>
      <c r="AR765" s="75"/>
      <c r="AS765" s="75"/>
      <c r="AT765" s="75"/>
    </row>
    <row r="766" ht="22.5" customHeight="1">
      <c r="A766" s="219"/>
      <c r="B766" s="219"/>
      <c r="C766" s="219"/>
      <c r="D766" s="219"/>
      <c r="E766" s="219"/>
      <c r="F766" s="219"/>
      <c r="G766" s="219"/>
      <c r="H766" s="219"/>
      <c r="I766" s="249"/>
      <c r="J766" s="243"/>
      <c r="K766" s="219"/>
      <c r="L766" s="244"/>
      <c r="M766" s="219"/>
      <c r="N766" s="219"/>
      <c r="O766" s="219"/>
      <c r="P766" s="244"/>
      <c r="Q766" s="219"/>
      <c r="R766" s="302"/>
      <c r="S766" s="219"/>
      <c r="T766" s="219"/>
      <c r="U766" s="219"/>
      <c r="V766" s="303"/>
      <c r="W766" s="247"/>
      <c r="X766" s="245"/>
      <c r="Y766" s="245"/>
      <c r="Z766" s="245"/>
      <c r="AA766" s="245"/>
      <c r="AB766" s="245"/>
      <c r="AC766" s="249"/>
      <c r="AD766" s="249"/>
      <c r="AE766" s="249"/>
      <c r="AF766" s="8"/>
      <c r="AG766" s="8"/>
      <c r="AH766" s="72"/>
      <c r="AI766" s="8"/>
      <c r="AJ766" s="251"/>
      <c r="AK766" s="23"/>
      <c r="AL766" s="75"/>
      <c r="AM766" s="75" t="str">
        <f t="shared" si="141"/>
        <v/>
      </c>
      <c r="AN766" s="75"/>
      <c r="AO766" s="75"/>
      <c r="AP766" s="75"/>
      <c r="AQ766" s="75"/>
      <c r="AR766" s="75"/>
      <c r="AS766" s="75"/>
      <c r="AT766" s="75"/>
    </row>
    <row r="767" ht="22.5" customHeight="1">
      <c r="A767" s="219"/>
      <c r="B767" s="219"/>
      <c r="C767" s="219"/>
      <c r="D767" s="219"/>
      <c r="E767" s="219"/>
      <c r="F767" s="219"/>
      <c r="G767" s="219"/>
      <c r="H767" s="219"/>
      <c r="I767" s="249"/>
      <c r="J767" s="243"/>
      <c r="K767" s="219"/>
      <c r="L767" s="244"/>
      <c r="M767" s="219"/>
      <c r="N767" s="219"/>
      <c r="O767" s="219"/>
      <c r="P767" s="244"/>
      <c r="Q767" s="219"/>
      <c r="R767" s="302"/>
      <c r="S767" s="219"/>
      <c r="T767" s="219"/>
      <c r="U767" s="219"/>
      <c r="V767" s="303"/>
      <c r="W767" s="247"/>
      <c r="X767" s="245"/>
      <c r="Y767" s="245"/>
      <c r="Z767" s="245"/>
      <c r="AA767" s="245"/>
      <c r="AB767" s="245"/>
      <c r="AC767" s="249"/>
      <c r="AD767" s="249"/>
      <c r="AE767" s="249"/>
      <c r="AF767" s="8"/>
      <c r="AG767" s="8"/>
      <c r="AH767" s="72"/>
      <c r="AI767" s="8"/>
      <c r="AJ767" s="251"/>
      <c r="AK767" s="23"/>
      <c r="AL767" s="75"/>
      <c r="AM767" s="75" t="str">
        <f t="shared" si="141"/>
        <v/>
      </c>
      <c r="AN767" s="75"/>
      <c r="AO767" s="75"/>
      <c r="AP767" s="75"/>
      <c r="AQ767" s="75"/>
      <c r="AR767" s="75"/>
      <c r="AS767" s="75"/>
      <c r="AT767" s="75"/>
    </row>
    <row r="768" ht="22.5" customHeight="1">
      <c r="A768" s="219"/>
      <c r="B768" s="219"/>
      <c r="C768" s="219"/>
      <c r="D768" s="219"/>
      <c r="E768" s="219"/>
      <c r="F768" s="219"/>
      <c r="G768" s="219"/>
      <c r="H768" s="219"/>
      <c r="I768" s="249"/>
      <c r="J768" s="243"/>
      <c r="K768" s="219"/>
      <c r="L768" s="244"/>
      <c r="M768" s="219"/>
      <c r="N768" s="219"/>
      <c r="O768" s="219"/>
      <c r="P768" s="244"/>
      <c r="Q768" s="219"/>
      <c r="R768" s="302"/>
      <c r="S768" s="219"/>
      <c r="T768" s="219"/>
      <c r="U768" s="219"/>
      <c r="V768" s="303"/>
      <c r="W768" s="247"/>
      <c r="X768" s="245"/>
      <c r="Y768" s="245"/>
      <c r="Z768" s="245"/>
      <c r="AA768" s="245"/>
      <c r="AB768" s="245"/>
      <c r="AC768" s="249"/>
      <c r="AD768" s="249"/>
      <c r="AE768" s="249"/>
      <c r="AF768" s="8"/>
      <c r="AG768" s="8"/>
      <c r="AH768" s="72"/>
      <c r="AI768" s="8"/>
      <c r="AJ768" s="251"/>
      <c r="AK768" s="23"/>
      <c r="AL768" s="75"/>
      <c r="AM768" s="75" t="str">
        <f t="shared" si="141"/>
        <v/>
      </c>
      <c r="AN768" s="75"/>
      <c r="AO768" s="75"/>
      <c r="AP768" s="75"/>
      <c r="AQ768" s="75"/>
      <c r="AR768" s="75"/>
      <c r="AS768" s="75"/>
      <c r="AT768" s="75"/>
    </row>
    <row r="769" ht="22.5" customHeight="1">
      <c r="A769" s="219"/>
      <c r="B769" s="219"/>
      <c r="C769" s="219"/>
      <c r="D769" s="219"/>
      <c r="E769" s="219"/>
      <c r="F769" s="219"/>
      <c r="G769" s="219"/>
      <c r="H769" s="219"/>
      <c r="I769" s="249"/>
      <c r="J769" s="243"/>
      <c r="K769" s="219"/>
      <c r="L769" s="244"/>
      <c r="M769" s="219"/>
      <c r="N769" s="219"/>
      <c r="O769" s="219"/>
      <c r="P769" s="244"/>
      <c r="Q769" s="219"/>
      <c r="R769" s="302"/>
      <c r="S769" s="219"/>
      <c r="T769" s="219"/>
      <c r="U769" s="219"/>
      <c r="V769" s="303"/>
      <c r="W769" s="247"/>
      <c r="X769" s="245"/>
      <c r="Y769" s="245"/>
      <c r="Z769" s="245"/>
      <c r="AA769" s="245"/>
      <c r="AB769" s="245"/>
      <c r="AC769" s="249"/>
      <c r="AD769" s="249"/>
      <c r="AE769" s="249"/>
      <c r="AF769" s="8"/>
      <c r="AG769" s="8"/>
      <c r="AH769" s="72"/>
      <c r="AI769" s="8"/>
      <c r="AJ769" s="251"/>
      <c r="AK769" s="23"/>
      <c r="AL769" s="75"/>
      <c r="AM769" s="75" t="str">
        <f t="shared" si="141"/>
        <v/>
      </c>
      <c r="AN769" s="75"/>
      <c r="AO769" s="75"/>
      <c r="AP769" s="75"/>
      <c r="AQ769" s="75"/>
      <c r="AR769" s="75"/>
      <c r="AS769" s="75"/>
      <c r="AT769" s="75"/>
    </row>
    <row r="770" ht="22.5" customHeight="1">
      <c r="A770" s="219"/>
      <c r="B770" s="219"/>
      <c r="C770" s="219"/>
      <c r="D770" s="219"/>
      <c r="E770" s="219"/>
      <c r="F770" s="219"/>
      <c r="G770" s="219"/>
      <c r="H770" s="219"/>
      <c r="I770" s="249"/>
      <c r="J770" s="243"/>
      <c r="K770" s="219"/>
      <c r="L770" s="244"/>
      <c r="M770" s="219"/>
      <c r="N770" s="219"/>
      <c r="O770" s="219"/>
      <c r="P770" s="244"/>
      <c r="Q770" s="219"/>
      <c r="R770" s="302"/>
      <c r="S770" s="219"/>
      <c r="T770" s="219"/>
      <c r="U770" s="219"/>
      <c r="V770" s="303"/>
      <c r="W770" s="247"/>
      <c r="X770" s="245"/>
      <c r="Y770" s="245"/>
      <c r="Z770" s="245"/>
      <c r="AA770" s="245"/>
      <c r="AB770" s="245"/>
      <c r="AC770" s="249"/>
      <c r="AD770" s="249"/>
      <c r="AE770" s="249"/>
      <c r="AF770" s="8"/>
      <c r="AG770" s="8"/>
      <c r="AH770" s="72"/>
      <c r="AI770" s="8"/>
      <c r="AJ770" s="251"/>
      <c r="AK770" s="23"/>
      <c r="AL770" s="75"/>
      <c r="AM770" s="75" t="str">
        <f t="shared" si="141"/>
        <v/>
      </c>
      <c r="AN770" s="75"/>
      <c r="AO770" s="75"/>
      <c r="AP770" s="75"/>
      <c r="AQ770" s="75"/>
      <c r="AR770" s="75"/>
      <c r="AS770" s="75"/>
      <c r="AT770" s="75"/>
    </row>
    <row r="771" ht="22.5" customHeight="1">
      <c r="A771" s="219"/>
      <c r="B771" s="219"/>
      <c r="C771" s="219"/>
      <c r="D771" s="219"/>
      <c r="E771" s="219"/>
      <c r="F771" s="219"/>
      <c r="G771" s="219"/>
      <c r="H771" s="219"/>
      <c r="I771" s="249"/>
      <c r="J771" s="243"/>
      <c r="K771" s="219"/>
      <c r="L771" s="244"/>
      <c r="M771" s="219"/>
      <c r="N771" s="219"/>
      <c r="O771" s="219"/>
      <c r="P771" s="244"/>
      <c r="Q771" s="219"/>
      <c r="R771" s="302"/>
      <c r="S771" s="219"/>
      <c r="T771" s="219"/>
      <c r="U771" s="219"/>
      <c r="V771" s="303"/>
      <c r="W771" s="247"/>
      <c r="X771" s="245"/>
      <c r="Y771" s="245"/>
      <c r="Z771" s="245"/>
      <c r="AA771" s="245"/>
      <c r="AB771" s="245"/>
      <c r="AC771" s="249"/>
      <c r="AD771" s="249"/>
      <c r="AE771" s="249"/>
      <c r="AF771" s="8"/>
      <c r="AG771" s="8"/>
      <c r="AH771" s="72"/>
      <c r="AI771" s="8"/>
      <c r="AJ771" s="251"/>
      <c r="AK771" s="23"/>
      <c r="AL771" s="75"/>
      <c r="AM771" s="75" t="str">
        <f t="shared" si="141"/>
        <v/>
      </c>
      <c r="AN771" s="75"/>
      <c r="AO771" s="75"/>
      <c r="AP771" s="75"/>
      <c r="AQ771" s="75"/>
      <c r="AR771" s="75"/>
      <c r="AS771" s="75"/>
      <c r="AT771" s="75"/>
    </row>
    <row r="772" ht="22.5" customHeight="1">
      <c r="A772" s="219"/>
      <c r="B772" s="219"/>
      <c r="C772" s="219"/>
      <c r="D772" s="219"/>
      <c r="E772" s="219"/>
      <c r="F772" s="219"/>
      <c r="G772" s="219"/>
      <c r="H772" s="219"/>
      <c r="I772" s="249"/>
      <c r="J772" s="243"/>
      <c r="K772" s="219"/>
      <c r="L772" s="244"/>
      <c r="M772" s="219"/>
      <c r="N772" s="219"/>
      <c r="O772" s="219"/>
      <c r="P772" s="244"/>
      <c r="Q772" s="219"/>
      <c r="R772" s="302"/>
      <c r="S772" s="219"/>
      <c r="T772" s="219"/>
      <c r="U772" s="219"/>
      <c r="V772" s="303"/>
      <c r="W772" s="247"/>
      <c r="X772" s="245"/>
      <c r="Y772" s="245"/>
      <c r="Z772" s="245"/>
      <c r="AA772" s="245"/>
      <c r="AB772" s="245"/>
      <c r="AC772" s="249"/>
      <c r="AD772" s="249"/>
      <c r="AE772" s="249"/>
      <c r="AF772" s="8"/>
      <c r="AG772" s="8"/>
      <c r="AH772" s="72"/>
      <c r="AI772" s="8"/>
      <c r="AJ772" s="251"/>
      <c r="AK772" s="23"/>
      <c r="AL772" s="75"/>
      <c r="AM772" s="75" t="str">
        <f t="shared" si="141"/>
        <v/>
      </c>
      <c r="AN772" s="75"/>
      <c r="AO772" s="75"/>
      <c r="AP772" s="75"/>
      <c r="AQ772" s="75"/>
      <c r="AR772" s="75"/>
      <c r="AS772" s="75"/>
      <c r="AT772" s="75"/>
    </row>
    <row r="773" ht="22.5" customHeight="1">
      <c r="A773" s="219"/>
      <c r="B773" s="219"/>
      <c r="C773" s="219"/>
      <c r="D773" s="219"/>
      <c r="E773" s="219"/>
      <c r="F773" s="219"/>
      <c r="G773" s="219"/>
      <c r="H773" s="219"/>
      <c r="I773" s="249"/>
      <c r="J773" s="243"/>
      <c r="K773" s="219"/>
      <c r="L773" s="244"/>
      <c r="M773" s="219"/>
      <c r="N773" s="219"/>
      <c r="O773" s="219"/>
      <c r="P773" s="244"/>
      <c r="Q773" s="219"/>
      <c r="R773" s="302"/>
      <c r="S773" s="219"/>
      <c r="T773" s="219"/>
      <c r="U773" s="219"/>
      <c r="V773" s="303"/>
      <c r="W773" s="247"/>
      <c r="X773" s="245"/>
      <c r="Y773" s="245"/>
      <c r="Z773" s="245"/>
      <c r="AA773" s="245"/>
      <c r="AB773" s="245"/>
      <c r="AC773" s="249"/>
      <c r="AD773" s="249"/>
      <c r="AE773" s="249"/>
      <c r="AF773" s="8"/>
      <c r="AG773" s="8"/>
      <c r="AH773" s="72"/>
      <c r="AI773" s="8"/>
      <c r="AJ773" s="251"/>
      <c r="AK773" s="23"/>
      <c r="AL773" s="75"/>
      <c r="AM773" s="75" t="str">
        <f t="shared" si="141"/>
        <v/>
      </c>
      <c r="AN773" s="75"/>
      <c r="AO773" s="75"/>
      <c r="AP773" s="75"/>
      <c r="AQ773" s="75"/>
      <c r="AR773" s="75"/>
      <c r="AS773" s="75"/>
      <c r="AT773" s="75"/>
    </row>
    <row r="774" ht="22.5" customHeight="1">
      <c r="A774" s="219"/>
      <c r="B774" s="219"/>
      <c r="C774" s="219"/>
      <c r="D774" s="219"/>
      <c r="E774" s="219"/>
      <c r="F774" s="219"/>
      <c r="G774" s="219"/>
      <c r="H774" s="219"/>
      <c r="I774" s="249"/>
      <c r="J774" s="243"/>
      <c r="K774" s="219"/>
      <c r="L774" s="244"/>
      <c r="M774" s="219"/>
      <c r="N774" s="219"/>
      <c r="O774" s="219"/>
      <c r="P774" s="244"/>
      <c r="Q774" s="219"/>
      <c r="R774" s="302"/>
      <c r="S774" s="219"/>
      <c r="T774" s="219"/>
      <c r="U774" s="219"/>
      <c r="V774" s="303"/>
      <c r="W774" s="247"/>
      <c r="X774" s="245"/>
      <c r="Y774" s="245"/>
      <c r="Z774" s="245"/>
      <c r="AA774" s="245"/>
      <c r="AB774" s="245"/>
      <c r="AC774" s="249"/>
      <c r="AD774" s="249"/>
      <c r="AE774" s="249"/>
      <c r="AF774" s="8"/>
      <c r="AG774" s="8"/>
      <c r="AH774" s="72"/>
      <c r="AI774" s="8"/>
      <c r="AJ774" s="251"/>
      <c r="AK774" s="23"/>
      <c r="AL774" s="75"/>
      <c r="AM774" s="75" t="str">
        <f t="shared" si="141"/>
        <v/>
      </c>
      <c r="AN774" s="75"/>
      <c r="AO774" s="75"/>
      <c r="AP774" s="75"/>
      <c r="AQ774" s="75"/>
      <c r="AR774" s="75"/>
      <c r="AS774" s="75"/>
      <c r="AT774" s="75"/>
    </row>
    <row r="775" ht="22.5" customHeight="1">
      <c r="A775" s="219"/>
      <c r="B775" s="219"/>
      <c r="C775" s="219"/>
      <c r="D775" s="219"/>
      <c r="E775" s="219"/>
      <c r="F775" s="219"/>
      <c r="G775" s="219"/>
      <c r="H775" s="219"/>
      <c r="I775" s="249"/>
      <c r="J775" s="243"/>
      <c r="K775" s="219"/>
      <c r="L775" s="244"/>
      <c r="M775" s="219"/>
      <c r="N775" s="219"/>
      <c r="O775" s="219"/>
      <c r="P775" s="244"/>
      <c r="Q775" s="219"/>
      <c r="R775" s="302"/>
      <c r="S775" s="219"/>
      <c r="T775" s="219"/>
      <c r="U775" s="219"/>
      <c r="V775" s="303"/>
      <c r="W775" s="247"/>
      <c r="X775" s="245"/>
      <c r="Y775" s="245"/>
      <c r="Z775" s="245"/>
      <c r="AA775" s="245"/>
      <c r="AB775" s="245"/>
      <c r="AC775" s="249"/>
      <c r="AD775" s="249"/>
      <c r="AE775" s="249"/>
      <c r="AF775" s="8"/>
      <c r="AG775" s="8"/>
      <c r="AH775" s="72"/>
      <c r="AI775" s="8"/>
      <c r="AJ775" s="251"/>
      <c r="AK775" s="23"/>
      <c r="AL775" s="75"/>
      <c r="AM775" s="75" t="str">
        <f t="shared" si="141"/>
        <v/>
      </c>
      <c r="AN775" s="75"/>
      <c r="AO775" s="75"/>
      <c r="AP775" s="75"/>
      <c r="AQ775" s="75"/>
      <c r="AR775" s="75"/>
      <c r="AS775" s="75"/>
      <c r="AT775" s="75"/>
    </row>
    <row r="776" ht="22.5" customHeight="1">
      <c r="A776" s="219"/>
      <c r="B776" s="219"/>
      <c r="C776" s="219"/>
      <c r="D776" s="219"/>
      <c r="E776" s="219"/>
      <c r="F776" s="219"/>
      <c r="G776" s="219"/>
      <c r="H776" s="219"/>
      <c r="I776" s="249"/>
      <c r="J776" s="243"/>
      <c r="K776" s="219"/>
      <c r="L776" s="244"/>
      <c r="M776" s="219"/>
      <c r="N776" s="219"/>
      <c r="O776" s="219"/>
      <c r="P776" s="244"/>
      <c r="Q776" s="219"/>
      <c r="R776" s="302"/>
      <c r="S776" s="219"/>
      <c r="T776" s="219"/>
      <c r="U776" s="219"/>
      <c r="V776" s="303"/>
      <c r="W776" s="247"/>
      <c r="X776" s="245"/>
      <c r="Y776" s="245"/>
      <c r="Z776" s="245"/>
      <c r="AA776" s="245"/>
      <c r="AB776" s="245"/>
      <c r="AC776" s="249"/>
      <c r="AD776" s="249"/>
      <c r="AE776" s="249"/>
      <c r="AF776" s="8"/>
      <c r="AG776" s="8"/>
      <c r="AH776" s="72"/>
      <c r="AI776" s="8"/>
      <c r="AJ776" s="251"/>
      <c r="AK776" s="23"/>
      <c r="AL776" s="75"/>
      <c r="AM776" s="75" t="str">
        <f t="shared" si="141"/>
        <v/>
      </c>
      <c r="AN776" s="75"/>
      <c r="AO776" s="75"/>
      <c r="AP776" s="75"/>
      <c r="AQ776" s="75"/>
      <c r="AR776" s="75"/>
      <c r="AS776" s="75"/>
      <c r="AT776" s="75"/>
    </row>
    <row r="777" ht="22.5" customHeight="1">
      <c r="A777" s="219"/>
      <c r="B777" s="219"/>
      <c r="C777" s="219"/>
      <c r="D777" s="219"/>
      <c r="E777" s="219"/>
      <c r="F777" s="219"/>
      <c r="G777" s="219"/>
      <c r="H777" s="219"/>
      <c r="I777" s="249"/>
      <c r="J777" s="243"/>
      <c r="K777" s="219"/>
      <c r="L777" s="244"/>
      <c r="M777" s="219"/>
      <c r="N777" s="219"/>
      <c r="O777" s="219"/>
      <c r="P777" s="244"/>
      <c r="Q777" s="219"/>
      <c r="R777" s="302"/>
      <c r="S777" s="219"/>
      <c r="T777" s="219"/>
      <c r="U777" s="219"/>
      <c r="V777" s="303"/>
      <c r="W777" s="247"/>
      <c r="X777" s="245"/>
      <c r="Y777" s="245"/>
      <c r="Z777" s="245"/>
      <c r="AA777" s="245"/>
      <c r="AB777" s="245"/>
      <c r="AC777" s="249"/>
      <c r="AD777" s="249"/>
      <c r="AE777" s="249"/>
      <c r="AF777" s="8"/>
      <c r="AG777" s="8"/>
      <c r="AH777" s="72"/>
      <c r="AI777" s="8"/>
      <c r="AJ777" s="251"/>
      <c r="AK777" s="23"/>
      <c r="AL777" s="75"/>
      <c r="AM777" s="75" t="str">
        <f t="shared" si="141"/>
        <v/>
      </c>
      <c r="AN777" s="75"/>
      <c r="AO777" s="75"/>
      <c r="AP777" s="75"/>
      <c r="AQ777" s="75"/>
      <c r="AR777" s="75"/>
      <c r="AS777" s="75"/>
      <c r="AT777" s="75"/>
    </row>
    <row r="778" ht="22.5" customHeight="1">
      <c r="A778" s="219"/>
      <c r="B778" s="219"/>
      <c r="C778" s="219"/>
      <c r="D778" s="219"/>
      <c r="E778" s="219"/>
      <c r="F778" s="219"/>
      <c r="G778" s="219"/>
      <c r="H778" s="219"/>
      <c r="I778" s="249"/>
      <c r="J778" s="243"/>
      <c r="K778" s="219"/>
      <c r="L778" s="244"/>
      <c r="M778" s="219"/>
      <c r="N778" s="219"/>
      <c r="O778" s="219"/>
      <c r="P778" s="244"/>
      <c r="Q778" s="219"/>
      <c r="R778" s="302"/>
      <c r="S778" s="219"/>
      <c r="T778" s="219"/>
      <c r="U778" s="219"/>
      <c r="V778" s="303"/>
      <c r="W778" s="247"/>
      <c r="X778" s="245"/>
      <c r="Y778" s="245"/>
      <c r="Z778" s="245"/>
      <c r="AA778" s="245"/>
      <c r="AB778" s="245"/>
      <c r="AC778" s="249"/>
      <c r="AD778" s="249"/>
      <c r="AE778" s="249"/>
      <c r="AF778" s="8"/>
      <c r="AG778" s="8"/>
      <c r="AH778" s="72"/>
      <c r="AI778" s="8"/>
      <c r="AJ778" s="251"/>
      <c r="AK778" s="23"/>
      <c r="AL778" s="75"/>
      <c r="AM778" s="75" t="str">
        <f t="shared" si="141"/>
        <v/>
      </c>
      <c r="AN778" s="75"/>
      <c r="AO778" s="75"/>
      <c r="AP778" s="75"/>
      <c r="AQ778" s="75"/>
      <c r="AR778" s="75"/>
      <c r="AS778" s="75"/>
      <c r="AT778" s="75"/>
    </row>
    <row r="779" ht="22.5" customHeight="1">
      <c r="A779" s="219"/>
      <c r="B779" s="219"/>
      <c r="C779" s="219"/>
      <c r="D779" s="219"/>
      <c r="E779" s="219"/>
      <c r="F779" s="219"/>
      <c r="G779" s="219"/>
      <c r="H779" s="219"/>
      <c r="I779" s="249"/>
      <c r="J779" s="243"/>
      <c r="K779" s="219"/>
      <c r="L779" s="244"/>
      <c r="M779" s="219"/>
      <c r="N779" s="219"/>
      <c r="O779" s="219"/>
      <c r="P779" s="244"/>
      <c r="Q779" s="219"/>
      <c r="R779" s="302"/>
      <c r="S779" s="219"/>
      <c r="T779" s="219"/>
      <c r="U779" s="219"/>
      <c r="V779" s="303"/>
      <c r="W779" s="247"/>
      <c r="X779" s="245"/>
      <c r="Y779" s="245"/>
      <c r="Z779" s="245"/>
      <c r="AA779" s="245"/>
      <c r="AB779" s="245"/>
      <c r="AC779" s="249"/>
      <c r="AD779" s="249"/>
      <c r="AE779" s="249"/>
      <c r="AF779" s="8"/>
      <c r="AG779" s="8"/>
      <c r="AH779" s="72"/>
      <c r="AI779" s="8"/>
      <c r="AJ779" s="251"/>
      <c r="AK779" s="23"/>
      <c r="AL779" s="75"/>
      <c r="AM779" s="75" t="str">
        <f t="shared" si="141"/>
        <v/>
      </c>
      <c r="AN779" s="75"/>
      <c r="AO779" s="75"/>
      <c r="AP779" s="75"/>
      <c r="AQ779" s="75"/>
      <c r="AR779" s="75"/>
      <c r="AS779" s="75"/>
      <c r="AT779" s="75"/>
    </row>
    <row r="780" ht="22.5" customHeight="1">
      <c r="A780" s="219"/>
      <c r="B780" s="219"/>
      <c r="C780" s="219"/>
      <c r="D780" s="219"/>
      <c r="E780" s="219"/>
      <c r="F780" s="219"/>
      <c r="G780" s="219"/>
      <c r="H780" s="219"/>
      <c r="I780" s="249"/>
      <c r="J780" s="243"/>
      <c r="K780" s="219"/>
      <c r="L780" s="244"/>
      <c r="M780" s="219"/>
      <c r="N780" s="219"/>
      <c r="O780" s="219"/>
      <c r="P780" s="244"/>
      <c r="Q780" s="219"/>
      <c r="R780" s="302"/>
      <c r="S780" s="219"/>
      <c r="T780" s="219"/>
      <c r="U780" s="219"/>
      <c r="V780" s="303"/>
      <c r="W780" s="247"/>
      <c r="X780" s="245"/>
      <c r="Y780" s="245"/>
      <c r="Z780" s="245"/>
      <c r="AA780" s="245"/>
      <c r="AB780" s="245"/>
      <c r="AC780" s="249"/>
      <c r="AD780" s="249"/>
      <c r="AE780" s="249"/>
      <c r="AF780" s="8"/>
      <c r="AG780" s="8"/>
      <c r="AH780" s="72"/>
      <c r="AI780" s="8"/>
      <c r="AJ780" s="251"/>
      <c r="AK780" s="23"/>
      <c r="AL780" s="75"/>
      <c r="AM780" s="75" t="str">
        <f t="shared" si="141"/>
        <v/>
      </c>
      <c r="AN780" s="75"/>
      <c r="AO780" s="75"/>
      <c r="AP780" s="75"/>
      <c r="AQ780" s="75"/>
      <c r="AR780" s="75"/>
      <c r="AS780" s="75"/>
      <c r="AT780" s="75"/>
    </row>
    <row r="781" ht="22.5" customHeight="1">
      <c r="A781" s="219"/>
      <c r="B781" s="219"/>
      <c r="C781" s="219"/>
      <c r="D781" s="219"/>
      <c r="E781" s="219"/>
      <c r="F781" s="219"/>
      <c r="G781" s="219"/>
      <c r="H781" s="219"/>
      <c r="I781" s="249"/>
      <c r="J781" s="243"/>
      <c r="K781" s="219"/>
      <c r="L781" s="244"/>
      <c r="M781" s="219"/>
      <c r="N781" s="219"/>
      <c r="O781" s="219"/>
      <c r="P781" s="244"/>
      <c r="Q781" s="219"/>
      <c r="R781" s="302"/>
      <c r="S781" s="219"/>
      <c r="T781" s="219"/>
      <c r="U781" s="219"/>
      <c r="V781" s="303"/>
      <c r="W781" s="247"/>
      <c r="X781" s="245"/>
      <c r="Y781" s="245"/>
      <c r="Z781" s="245"/>
      <c r="AA781" s="245"/>
      <c r="AB781" s="245"/>
      <c r="AC781" s="249"/>
      <c r="AD781" s="249"/>
      <c r="AE781" s="249"/>
      <c r="AF781" s="8"/>
      <c r="AG781" s="8"/>
      <c r="AH781" s="72"/>
      <c r="AI781" s="8"/>
      <c r="AJ781" s="251"/>
      <c r="AK781" s="23"/>
      <c r="AL781" s="75"/>
      <c r="AM781" s="75" t="str">
        <f t="shared" si="141"/>
        <v/>
      </c>
      <c r="AN781" s="75"/>
      <c r="AO781" s="75"/>
      <c r="AP781" s="75"/>
      <c r="AQ781" s="75"/>
      <c r="AR781" s="75"/>
      <c r="AS781" s="75"/>
      <c r="AT781" s="75"/>
    </row>
    <row r="782" ht="22.5" customHeight="1">
      <c r="A782" s="219"/>
      <c r="B782" s="219"/>
      <c r="C782" s="219"/>
      <c r="D782" s="219"/>
      <c r="E782" s="219"/>
      <c r="F782" s="219"/>
      <c r="G782" s="219"/>
      <c r="H782" s="219"/>
      <c r="I782" s="249"/>
      <c r="J782" s="243"/>
      <c r="K782" s="219"/>
      <c r="L782" s="244"/>
      <c r="M782" s="219"/>
      <c r="N782" s="219"/>
      <c r="O782" s="219"/>
      <c r="P782" s="244"/>
      <c r="Q782" s="219"/>
      <c r="R782" s="302"/>
      <c r="S782" s="219"/>
      <c r="T782" s="219"/>
      <c r="U782" s="219"/>
      <c r="V782" s="303"/>
      <c r="W782" s="247"/>
      <c r="X782" s="245"/>
      <c r="Y782" s="245"/>
      <c r="Z782" s="245"/>
      <c r="AA782" s="245"/>
      <c r="AB782" s="245"/>
      <c r="AC782" s="249"/>
      <c r="AD782" s="249"/>
      <c r="AE782" s="249"/>
      <c r="AF782" s="8"/>
      <c r="AG782" s="8"/>
      <c r="AH782" s="72"/>
      <c r="AI782" s="8"/>
      <c r="AJ782" s="251"/>
      <c r="AK782" s="23"/>
      <c r="AL782" s="75"/>
      <c r="AM782" s="75" t="str">
        <f t="shared" si="141"/>
        <v/>
      </c>
      <c r="AN782" s="75"/>
      <c r="AO782" s="75"/>
      <c r="AP782" s="75"/>
      <c r="AQ782" s="75"/>
      <c r="AR782" s="75"/>
      <c r="AS782" s="75"/>
      <c r="AT782" s="75"/>
    </row>
    <row r="783" ht="22.5" customHeight="1">
      <c r="A783" s="219"/>
      <c r="B783" s="219"/>
      <c r="C783" s="219"/>
      <c r="D783" s="219"/>
      <c r="E783" s="219"/>
      <c r="F783" s="219"/>
      <c r="G783" s="219"/>
      <c r="H783" s="219"/>
      <c r="I783" s="249"/>
      <c r="J783" s="243"/>
      <c r="K783" s="219"/>
      <c r="L783" s="244"/>
      <c r="M783" s="219"/>
      <c r="N783" s="219"/>
      <c r="O783" s="219"/>
      <c r="P783" s="244"/>
      <c r="Q783" s="219"/>
      <c r="R783" s="302"/>
      <c r="S783" s="219"/>
      <c r="T783" s="219"/>
      <c r="U783" s="219"/>
      <c r="V783" s="303"/>
      <c r="W783" s="247"/>
      <c r="X783" s="245"/>
      <c r="Y783" s="245"/>
      <c r="Z783" s="245"/>
      <c r="AA783" s="245"/>
      <c r="AB783" s="245"/>
      <c r="AC783" s="249"/>
      <c r="AD783" s="249"/>
      <c r="AE783" s="249"/>
      <c r="AF783" s="8"/>
      <c r="AG783" s="8"/>
      <c r="AH783" s="72"/>
      <c r="AI783" s="8"/>
      <c r="AJ783" s="251"/>
      <c r="AK783" s="23"/>
      <c r="AL783" s="75"/>
      <c r="AM783" s="75" t="str">
        <f t="shared" si="141"/>
        <v/>
      </c>
      <c r="AN783" s="75"/>
      <c r="AO783" s="75"/>
      <c r="AP783" s="75"/>
      <c r="AQ783" s="75"/>
      <c r="AR783" s="75"/>
      <c r="AS783" s="75"/>
      <c r="AT783" s="75"/>
    </row>
    <row r="784" ht="22.5" customHeight="1">
      <c r="A784" s="219"/>
      <c r="B784" s="219"/>
      <c r="C784" s="219"/>
      <c r="D784" s="219"/>
      <c r="E784" s="219"/>
      <c r="F784" s="219"/>
      <c r="G784" s="219"/>
      <c r="H784" s="219"/>
      <c r="I784" s="249"/>
      <c r="J784" s="243"/>
      <c r="K784" s="219"/>
      <c r="L784" s="244"/>
      <c r="M784" s="219"/>
      <c r="N784" s="219"/>
      <c r="O784" s="219"/>
      <c r="P784" s="244"/>
      <c r="Q784" s="219"/>
      <c r="R784" s="302"/>
      <c r="S784" s="219"/>
      <c r="T784" s="219"/>
      <c r="U784" s="219"/>
      <c r="V784" s="303"/>
      <c r="W784" s="247"/>
      <c r="X784" s="245"/>
      <c r="Y784" s="245"/>
      <c r="Z784" s="245"/>
      <c r="AA784" s="245"/>
      <c r="AB784" s="245"/>
      <c r="AC784" s="249"/>
      <c r="AD784" s="249"/>
      <c r="AE784" s="249"/>
      <c r="AF784" s="8"/>
      <c r="AG784" s="8"/>
      <c r="AH784" s="72"/>
      <c r="AI784" s="8"/>
      <c r="AJ784" s="251"/>
      <c r="AK784" s="23"/>
      <c r="AL784" s="75"/>
      <c r="AM784" s="75" t="str">
        <f t="shared" si="141"/>
        <v/>
      </c>
      <c r="AN784" s="75"/>
      <c r="AO784" s="75"/>
      <c r="AP784" s="75"/>
      <c r="AQ784" s="75"/>
      <c r="AR784" s="75"/>
      <c r="AS784" s="75"/>
      <c r="AT784" s="75"/>
    </row>
    <row r="785" ht="22.5" customHeight="1">
      <c r="A785" s="219"/>
      <c r="B785" s="219"/>
      <c r="C785" s="219"/>
      <c r="D785" s="219"/>
      <c r="E785" s="219"/>
      <c r="F785" s="219"/>
      <c r="G785" s="219"/>
      <c r="H785" s="219"/>
      <c r="I785" s="249"/>
      <c r="J785" s="243"/>
      <c r="K785" s="219"/>
      <c r="L785" s="244"/>
      <c r="M785" s="219"/>
      <c r="N785" s="219"/>
      <c r="O785" s="219"/>
      <c r="P785" s="244"/>
      <c r="Q785" s="219"/>
      <c r="R785" s="302"/>
      <c r="S785" s="219"/>
      <c r="T785" s="219"/>
      <c r="U785" s="219"/>
      <c r="V785" s="303"/>
      <c r="W785" s="247"/>
      <c r="X785" s="245"/>
      <c r="Y785" s="245"/>
      <c r="Z785" s="245"/>
      <c r="AA785" s="245"/>
      <c r="AB785" s="245"/>
      <c r="AC785" s="249"/>
      <c r="AD785" s="249"/>
      <c r="AE785" s="249"/>
      <c r="AF785" s="8"/>
      <c r="AG785" s="8"/>
      <c r="AH785" s="72"/>
      <c r="AI785" s="8"/>
      <c r="AJ785" s="251"/>
      <c r="AK785" s="23"/>
      <c r="AL785" s="75"/>
      <c r="AM785" s="75" t="str">
        <f t="shared" si="141"/>
        <v/>
      </c>
      <c r="AN785" s="75"/>
      <c r="AO785" s="75"/>
      <c r="AP785" s="75"/>
      <c r="AQ785" s="75"/>
      <c r="AR785" s="75"/>
      <c r="AS785" s="75"/>
      <c r="AT785" s="75"/>
    </row>
    <row r="786" ht="22.5" customHeight="1">
      <c r="A786" s="219"/>
      <c r="B786" s="219"/>
      <c r="C786" s="219"/>
      <c r="D786" s="219"/>
      <c r="E786" s="219"/>
      <c r="F786" s="219"/>
      <c r="G786" s="219"/>
      <c r="H786" s="219"/>
      <c r="I786" s="249"/>
      <c r="J786" s="243"/>
      <c r="K786" s="219"/>
      <c r="L786" s="244"/>
      <c r="M786" s="219"/>
      <c r="N786" s="219"/>
      <c r="O786" s="219"/>
      <c r="P786" s="244"/>
      <c r="Q786" s="219"/>
      <c r="R786" s="302"/>
      <c r="S786" s="219"/>
      <c r="T786" s="219"/>
      <c r="U786" s="219"/>
      <c r="V786" s="303"/>
      <c r="W786" s="247"/>
      <c r="X786" s="245"/>
      <c r="Y786" s="245"/>
      <c r="Z786" s="245"/>
      <c r="AA786" s="245"/>
      <c r="AB786" s="245"/>
      <c r="AC786" s="249"/>
      <c r="AD786" s="249"/>
      <c r="AE786" s="249"/>
      <c r="AF786" s="8"/>
      <c r="AG786" s="8"/>
      <c r="AH786" s="72"/>
      <c r="AI786" s="8"/>
      <c r="AJ786" s="251"/>
      <c r="AK786" s="23"/>
      <c r="AL786" s="75"/>
      <c r="AM786" s="75" t="str">
        <f t="shared" si="141"/>
        <v/>
      </c>
      <c r="AN786" s="75"/>
      <c r="AO786" s="75"/>
      <c r="AP786" s="75"/>
      <c r="AQ786" s="75"/>
      <c r="AR786" s="75"/>
      <c r="AS786" s="75"/>
      <c r="AT786" s="75"/>
    </row>
    <row r="787" ht="22.5" customHeight="1">
      <c r="A787" s="219"/>
      <c r="B787" s="219"/>
      <c r="C787" s="219"/>
      <c r="D787" s="219"/>
      <c r="E787" s="219"/>
      <c r="F787" s="219"/>
      <c r="G787" s="219"/>
      <c r="H787" s="219"/>
      <c r="I787" s="249"/>
      <c r="J787" s="243"/>
      <c r="K787" s="219"/>
      <c r="L787" s="244"/>
      <c r="M787" s="219"/>
      <c r="N787" s="219"/>
      <c r="O787" s="219"/>
      <c r="P787" s="244"/>
      <c r="Q787" s="219"/>
      <c r="R787" s="302"/>
      <c r="S787" s="219"/>
      <c r="T787" s="219"/>
      <c r="U787" s="219"/>
      <c r="V787" s="303"/>
      <c r="W787" s="247"/>
      <c r="X787" s="245"/>
      <c r="Y787" s="245"/>
      <c r="Z787" s="245"/>
      <c r="AA787" s="245"/>
      <c r="AB787" s="245"/>
      <c r="AC787" s="249"/>
      <c r="AD787" s="249"/>
      <c r="AE787" s="249"/>
      <c r="AF787" s="8"/>
      <c r="AG787" s="8"/>
      <c r="AH787" s="72"/>
      <c r="AI787" s="8"/>
      <c r="AJ787" s="251"/>
      <c r="AK787" s="23"/>
      <c r="AL787" s="75"/>
      <c r="AM787" s="75" t="str">
        <f t="shared" si="141"/>
        <v/>
      </c>
      <c r="AN787" s="75"/>
      <c r="AO787" s="75"/>
      <c r="AP787" s="75"/>
      <c r="AQ787" s="75"/>
      <c r="AR787" s="75"/>
      <c r="AS787" s="75"/>
      <c r="AT787" s="75"/>
    </row>
    <row r="788" ht="22.5" customHeight="1">
      <c r="A788" s="219"/>
      <c r="B788" s="219"/>
      <c r="C788" s="219"/>
      <c r="D788" s="219"/>
      <c r="E788" s="219"/>
      <c r="F788" s="219"/>
      <c r="G788" s="219"/>
      <c r="H788" s="219"/>
      <c r="I788" s="249"/>
      <c r="J788" s="243"/>
      <c r="K788" s="219"/>
      <c r="L788" s="244"/>
      <c r="M788" s="219"/>
      <c r="N788" s="219"/>
      <c r="O788" s="219"/>
      <c r="P788" s="244"/>
      <c r="Q788" s="219"/>
      <c r="R788" s="302"/>
      <c r="S788" s="219"/>
      <c r="T788" s="219"/>
      <c r="U788" s="219"/>
      <c r="V788" s="303"/>
      <c r="W788" s="247"/>
      <c r="X788" s="245"/>
      <c r="Y788" s="245"/>
      <c r="Z788" s="245"/>
      <c r="AA788" s="245"/>
      <c r="AB788" s="245"/>
      <c r="AC788" s="249"/>
      <c r="AD788" s="249"/>
      <c r="AE788" s="249"/>
      <c r="AF788" s="8"/>
      <c r="AG788" s="8"/>
      <c r="AH788" s="72"/>
      <c r="AI788" s="8"/>
      <c r="AJ788" s="251"/>
      <c r="AK788" s="23"/>
      <c r="AL788" s="75"/>
      <c r="AM788" s="75" t="str">
        <f t="shared" si="141"/>
        <v/>
      </c>
      <c r="AN788" s="75"/>
      <c r="AO788" s="75"/>
      <c r="AP788" s="75"/>
      <c r="AQ788" s="75"/>
      <c r="AR788" s="75"/>
      <c r="AS788" s="75"/>
      <c r="AT788" s="75"/>
    </row>
    <row r="789" ht="22.5" customHeight="1">
      <c r="A789" s="219"/>
      <c r="B789" s="219"/>
      <c r="C789" s="219"/>
      <c r="D789" s="219"/>
      <c r="E789" s="219"/>
      <c r="F789" s="219"/>
      <c r="G789" s="219"/>
      <c r="H789" s="219"/>
      <c r="I789" s="249"/>
      <c r="J789" s="243"/>
      <c r="K789" s="219"/>
      <c r="L789" s="244"/>
      <c r="M789" s="219"/>
      <c r="N789" s="219"/>
      <c r="O789" s="219"/>
      <c r="P789" s="244"/>
      <c r="Q789" s="219"/>
      <c r="R789" s="302"/>
      <c r="S789" s="219"/>
      <c r="T789" s="219"/>
      <c r="U789" s="219"/>
      <c r="V789" s="303"/>
      <c r="W789" s="247"/>
      <c r="X789" s="245"/>
      <c r="Y789" s="245"/>
      <c r="Z789" s="245"/>
      <c r="AA789" s="245"/>
      <c r="AB789" s="245"/>
      <c r="AC789" s="249"/>
      <c r="AD789" s="249"/>
      <c r="AE789" s="249"/>
      <c r="AF789" s="8"/>
      <c r="AG789" s="8"/>
      <c r="AH789" s="72"/>
      <c r="AI789" s="8"/>
      <c r="AJ789" s="251"/>
      <c r="AK789" s="23"/>
      <c r="AL789" s="75"/>
      <c r="AM789" s="75" t="str">
        <f t="shared" si="141"/>
        <v/>
      </c>
      <c r="AN789" s="75"/>
      <c r="AO789" s="75"/>
      <c r="AP789" s="75"/>
      <c r="AQ789" s="75"/>
      <c r="AR789" s="75"/>
      <c r="AS789" s="75"/>
      <c r="AT789" s="75"/>
    </row>
    <row r="790" ht="22.5" customHeight="1">
      <c r="A790" s="219"/>
      <c r="B790" s="219"/>
      <c r="C790" s="219"/>
      <c r="D790" s="219"/>
      <c r="E790" s="219"/>
      <c r="F790" s="219"/>
      <c r="G790" s="219"/>
      <c r="H790" s="219"/>
      <c r="I790" s="249"/>
      <c r="J790" s="243"/>
      <c r="K790" s="219"/>
      <c r="L790" s="244"/>
      <c r="M790" s="219"/>
      <c r="N790" s="219"/>
      <c r="O790" s="219"/>
      <c r="P790" s="244"/>
      <c r="Q790" s="219"/>
      <c r="R790" s="302"/>
      <c r="S790" s="219"/>
      <c r="T790" s="219"/>
      <c r="U790" s="219"/>
      <c r="V790" s="303"/>
      <c r="W790" s="247"/>
      <c r="X790" s="245"/>
      <c r="Y790" s="245"/>
      <c r="Z790" s="245"/>
      <c r="AA790" s="245"/>
      <c r="AB790" s="245"/>
      <c r="AC790" s="249"/>
      <c r="AD790" s="249"/>
      <c r="AE790" s="249"/>
      <c r="AF790" s="8"/>
      <c r="AG790" s="8"/>
      <c r="AH790" s="72"/>
      <c r="AI790" s="8"/>
      <c r="AJ790" s="251"/>
      <c r="AK790" s="23"/>
      <c r="AL790" s="75"/>
      <c r="AM790" s="75" t="str">
        <f t="shared" si="141"/>
        <v/>
      </c>
      <c r="AN790" s="75"/>
      <c r="AO790" s="75"/>
      <c r="AP790" s="75"/>
      <c r="AQ790" s="75"/>
      <c r="AR790" s="75"/>
      <c r="AS790" s="75"/>
      <c r="AT790" s="75"/>
    </row>
    <row r="791" ht="22.5" customHeight="1">
      <c r="A791" s="219"/>
      <c r="B791" s="219"/>
      <c r="C791" s="219"/>
      <c r="D791" s="219"/>
      <c r="E791" s="219"/>
      <c r="F791" s="219"/>
      <c r="G791" s="219"/>
      <c r="H791" s="219"/>
      <c r="I791" s="249"/>
      <c r="J791" s="243"/>
      <c r="K791" s="219"/>
      <c r="L791" s="244"/>
      <c r="M791" s="219"/>
      <c r="N791" s="219"/>
      <c r="O791" s="219"/>
      <c r="P791" s="244"/>
      <c r="Q791" s="219"/>
      <c r="R791" s="302"/>
      <c r="S791" s="219"/>
      <c r="T791" s="219"/>
      <c r="U791" s="219"/>
      <c r="V791" s="303"/>
      <c r="W791" s="247"/>
      <c r="X791" s="245"/>
      <c r="Y791" s="245"/>
      <c r="Z791" s="245"/>
      <c r="AA791" s="245"/>
      <c r="AB791" s="245"/>
      <c r="AC791" s="249"/>
      <c r="AD791" s="249"/>
      <c r="AE791" s="249"/>
      <c r="AF791" s="8"/>
      <c r="AG791" s="8"/>
      <c r="AH791" s="72"/>
      <c r="AI791" s="8"/>
      <c r="AJ791" s="251"/>
      <c r="AK791" s="23"/>
      <c r="AL791" s="75"/>
      <c r="AM791" s="75" t="str">
        <f t="shared" si="141"/>
        <v/>
      </c>
      <c r="AN791" s="75"/>
      <c r="AO791" s="75"/>
      <c r="AP791" s="75"/>
      <c r="AQ791" s="75"/>
      <c r="AR791" s="75"/>
      <c r="AS791" s="75"/>
      <c r="AT791" s="75"/>
    </row>
    <row r="792" ht="22.5" customHeight="1">
      <c r="A792" s="219"/>
      <c r="B792" s="219"/>
      <c r="C792" s="219"/>
      <c r="D792" s="219"/>
      <c r="E792" s="219"/>
      <c r="F792" s="219"/>
      <c r="G792" s="219"/>
      <c r="H792" s="219"/>
      <c r="I792" s="249"/>
      <c r="J792" s="243"/>
      <c r="K792" s="219"/>
      <c r="L792" s="244"/>
      <c r="M792" s="219"/>
      <c r="N792" s="219"/>
      <c r="O792" s="219"/>
      <c r="P792" s="244"/>
      <c r="Q792" s="219"/>
      <c r="R792" s="302"/>
      <c r="S792" s="219"/>
      <c r="T792" s="219"/>
      <c r="U792" s="219"/>
      <c r="V792" s="303"/>
      <c r="W792" s="247"/>
      <c r="X792" s="245"/>
      <c r="Y792" s="245"/>
      <c r="Z792" s="245"/>
      <c r="AA792" s="245"/>
      <c r="AB792" s="245"/>
      <c r="AC792" s="249"/>
      <c r="AD792" s="249"/>
      <c r="AE792" s="249"/>
      <c r="AF792" s="8"/>
      <c r="AG792" s="8"/>
      <c r="AH792" s="72"/>
      <c r="AI792" s="8"/>
      <c r="AJ792" s="251"/>
      <c r="AK792" s="23"/>
      <c r="AL792" s="75"/>
      <c r="AM792" s="75" t="str">
        <f t="shared" si="141"/>
        <v/>
      </c>
      <c r="AN792" s="75"/>
      <c r="AO792" s="75"/>
      <c r="AP792" s="75"/>
      <c r="AQ792" s="75"/>
      <c r="AR792" s="75"/>
      <c r="AS792" s="75"/>
      <c r="AT792" s="75"/>
    </row>
    <row r="793" ht="22.5" customHeight="1">
      <c r="A793" s="219"/>
      <c r="B793" s="219"/>
      <c r="C793" s="219"/>
      <c r="D793" s="219"/>
      <c r="E793" s="219"/>
      <c r="F793" s="219"/>
      <c r="G793" s="219"/>
      <c r="H793" s="219"/>
      <c r="I793" s="249"/>
      <c r="J793" s="243"/>
      <c r="K793" s="219"/>
      <c r="L793" s="244"/>
      <c r="M793" s="219"/>
      <c r="N793" s="219"/>
      <c r="O793" s="219"/>
      <c r="P793" s="244"/>
      <c r="Q793" s="219"/>
      <c r="R793" s="302"/>
      <c r="S793" s="219"/>
      <c r="T793" s="219"/>
      <c r="U793" s="219"/>
      <c r="V793" s="303"/>
      <c r="W793" s="247"/>
      <c r="X793" s="245"/>
      <c r="Y793" s="245"/>
      <c r="Z793" s="245"/>
      <c r="AA793" s="245"/>
      <c r="AB793" s="245"/>
      <c r="AC793" s="249"/>
      <c r="AD793" s="249"/>
      <c r="AE793" s="249"/>
      <c r="AF793" s="8"/>
      <c r="AG793" s="8"/>
      <c r="AH793" s="72"/>
      <c r="AI793" s="8"/>
      <c r="AJ793" s="251"/>
      <c r="AK793" s="23"/>
      <c r="AL793" s="75"/>
      <c r="AM793" s="75" t="str">
        <f t="shared" si="141"/>
        <v/>
      </c>
      <c r="AN793" s="75"/>
      <c r="AO793" s="75"/>
      <c r="AP793" s="75"/>
      <c r="AQ793" s="75"/>
      <c r="AR793" s="75"/>
      <c r="AS793" s="75"/>
      <c r="AT793" s="75"/>
    </row>
    <row r="794" ht="22.5" customHeight="1">
      <c r="A794" s="219"/>
      <c r="B794" s="219"/>
      <c r="C794" s="219"/>
      <c r="D794" s="219"/>
      <c r="E794" s="219"/>
      <c r="F794" s="219"/>
      <c r="G794" s="219"/>
      <c r="H794" s="219"/>
      <c r="I794" s="249"/>
      <c r="J794" s="243"/>
      <c r="K794" s="219"/>
      <c r="L794" s="244"/>
      <c r="M794" s="219"/>
      <c r="N794" s="219"/>
      <c r="O794" s="219"/>
      <c r="P794" s="244"/>
      <c r="Q794" s="219"/>
      <c r="R794" s="302"/>
      <c r="S794" s="219"/>
      <c r="T794" s="219"/>
      <c r="U794" s="219"/>
      <c r="V794" s="303"/>
      <c r="W794" s="247"/>
      <c r="X794" s="245"/>
      <c r="Y794" s="245"/>
      <c r="Z794" s="245"/>
      <c r="AA794" s="245"/>
      <c r="AB794" s="245"/>
      <c r="AC794" s="249"/>
      <c r="AD794" s="249"/>
      <c r="AE794" s="249"/>
      <c r="AF794" s="8"/>
      <c r="AG794" s="8"/>
      <c r="AH794" s="72"/>
      <c r="AI794" s="8"/>
      <c r="AJ794" s="251"/>
      <c r="AK794" s="23"/>
      <c r="AL794" s="75"/>
      <c r="AM794" s="75" t="str">
        <f t="shared" si="141"/>
        <v/>
      </c>
      <c r="AN794" s="75"/>
      <c r="AO794" s="75"/>
      <c r="AP794" s="75"/>
      <c r="AQ794" s="75"/>
      <c r="AR794" s="75"/>
      <c r="AS794" s="75"/>
      <c r="AT794" s="75"/>
    </row>
    <row r="795" ht="22.5" customHeight="1">
      <c r="A795" s="219"/>
      <c r="B795" s="219"/>
      <c r="C795" s="219"/>
      <c r="D795" s="219"/>
      <c r="E795" s="219"/>
      <c r="F795" s="219"/>
      <c r="G795" s="219"/>
      <c r="H795" s="219"/>
      <c r="I795" s="249"/>
      <c r="J795" s="243"/>
      <c r="K795" s="219"/>
      <c r="L795" s="244"/>
      <c r="M795" s="219"/>
      <c r="N795" s="219"/>
      <c r="O795" s="219"/>
      <c r="P795" s="244"/>
      <c r="Q795" s="219"/>
      <c r="R795" s="302"/>
      <c r="S795" s="219"/>
      <c r="T795" s="219"/>
      <c r="U795" s="219"/>
      <c r="V795" s="303"/>
      <c r="W795" s="247"/>
      <c r="X795" s="245"/>
      <c r="Y795" s="245"/>
      <c r="Z795" s="245"/>
      <c r="AA795" s="245"/>
      <c r="AB795" s="245"/>
      <c r="AC795" s="249"/>
      <c r="AD795" s="249"/>
      <c r="AE795" s="249"/>
      <c r="AF795" s="8"/>
      <c r="AG795" s="8"/>
      <c r="AH795" s="72"/>
      <c r="AI795" s="8"/>
      <c r="AJ795" s="251"/>
      <c r="AK795" s="23"/>
      <c r="AL795" s="75"/>
      <c r="AM795" s="75" t="str">
        <f t="shared" si="141"/>
        <v/>
      </c>
      <c r="AN795" s="75"/>
      <c r="AO795" s="75"/>
      <c r="AP795" s="75"/>
      <c r="AQ795" s="75"/>
      <c r="AR795" s="75"/>
      <c r="AS795" s="75"/>
      <c r="AT795" s="75"/>
    </row>
    <row r="796" ht="22.5" customHeight="1">
      <c r="A796" s="219"/>
      <c r="B796" s="219"/>
      <c r="C796" s="219"/>
      <c r="D796" s="219"/>
      <c r="E796" s="219"/>
      <c r="F796" s="219"/>
      <c r="G796" s="219"/>
      <c r="H796" s="219"/>
      <c r="I796" s="249"/>
      <c r="J796" s="243"/>
      <c r="K796" s="219"/>
      <c r="L796" s="244"/>
      <c r="M796" s="219"/>
      <c r="N796" s="219"/>
      <c r="O796" s="219"/>
      <c r="P796" s="244"/>
      <c r="Q796" s="219"/>
      <c r="R796" s="302"/>
      <c r="S796" s="219"/>
      <c r="T796" s="219"/>
      <c r="U796" s="219"/>
      <c r="V796" s="303"/>
      <c r="W796" s="247"/>
      <c r="X796" s="245"/>
      <c r="Y796" s="245"/>
      <c r="Z796" s="245"/>
      <c r="AA796" s="245"/>
      <c r="AB796" s="245"/>
      <c r="AC796" s="249"/>
      <c r="AD796" s="249"/>
      <c r="AE796" s="249"/>
      <c r="AF796" s="8"/>
      <c r="AG796" s="8"/>
      <c r="AH796" s="72"/>
      <c r="AI796" s="8"/>
      <c r="AJ796" s="251"/>
      <c r="AK796" s="23"/>
      <c r="AL796" s="75"/>
      <c r="AM796" s="75" t="str">
        <f t="shared" si="141"/>
        <v/>
      </c>
      <c r="AN796" s="75"/>
      <c r="AO796" s="75"/>
      <c r="AP796" s="75"/>
      <c r="AQ796" s="75"/>
      <c r="AR796" s="75"/>
      <c r="AS796" s="75"/>
      <c r="AT796" s="75"/>
    </row>
    <row r="797" ht="22.5" customHeight="1">
      <c r="A797" s="219"/>
      <c r="B797" s="219"/>
      <c r="C797" s="219"/>
      <c r="D797" s="219"/>
      <c r="E797" s="219"/>
      <c r="F797" s="219"/>
      <c r="G797" s="219"/>
      <c r="H797" s="219"/>
      <c r="I797" s="249"/>
      <c r="J797" s="243"/>
      <c r="K797" s="219"/>
      <c r="L797" s="244"/>
      <c r="M797" s="219"/>
      <c r="N797" s="219"/>
      <c r="O797" s="219"/>
      <c r="P797" s="244"/>
      <c r="Q797" s="219"/>
      <c r="R797" s="302"/>
      <c r="S797" s="219"/>
      <c r="T797" s="219"/>
      <c r="U797" s="219"/>
      <c r="V797" s="303"/>
      <c r="W797" s="247"/>
      <c r="X797" s="245"/>
      <c r="Y797" s="245"/>
      <c r="Z797" s="245"/>
      <c r="AA797" s="245"/>
      <c r="AB797" s="245"/>
      <c r="AC797" s="249"/>
      <c r="AD797" s="249"/>
      <c r="AE797" s="249"/>
      <c r="AF797" s="8"/>
      <c r="AG797" s="8"/>
      <c r="AH797" s="72"/>
      <c r="AI797" s="8"/>
      <c r="AJ797" s="251"/>
      <c r="AK797" s="23"/>
      <c r="AL797" s="75"/>
      <c r="AM797" s="75" t="str">
        <f t="shared" si="141"/>
        <v/>
      </c>
      <c r="AN797" s="75"/>
      <c r="AO797" s="75"/>
      <c r="AP797" s="75"/>
      <c r="AQ797" s="75"/>
      <c r="AR797" s="75"/>
      <c r="AS797" s="75"/>
      <c r="AT797" s="75"/>
    </row>
    <row r="798" ht="22.5" customHeight="1">
      <c r="A798" s="219"/>
      <c r="B798" s="219"/>
      <c r="C798" s="219"/>
      <c r="D798" s="219"/>
      <c r="E798" s="219"/>
      <c r="F798" s="219"/>
      <c r="G798" s="219"/>
      <c r="H798" s="219"/>
      <c r="I798" s="249"/>
      <c r="J798" s="243"/>
      <c r="K798" s="219"/>
      <c r="L798" s="244"/>
      <c r="M798" s="219"/>
      <c r="N798" s="219"/>
      <c r="O798" s="219"/>
      <c r="P798" s="244"/>
      <c r="Q798" s="219"/>
      <c r="R798" s="302"/>
      <c r="S798" s="219"/>
      <c r="T798" s="219"/>
      <c r="U798" s="219"/>
      <c r="V798" s="303"/>
      <c r="W798" s="247"/>
      <c r="X798" s="245"/>
      <c r="Y798" s="245"/>
      <c r="Z798" s="245"/>
      <c r="AA798" s="245"/>
      <c r="AB798" s="245"/>
      <c r="AC798" s="249"/>
      <c r="AD798" s="249"/>
      <c r="AE798" s="249"/>
      <c r="AF798" s="8"/>
      <c r="AG798" s="8"/>
      <c r="AH798" s="72"/>
      <c r="AI798" s="8"/>
      <c r="AJ798" s="251"/>
      <c r="AK798" s="23"/>
      <c r="AL798" s="75"/>
      <c r="AM798" s="75" t="str">
        <f t="shared" si="141"/>
        <v/>
      </c>
      <c r="AN798" s="75"/>
      <c r="AO798" s="75"/>
      <c r="AP798" s="75"/>
      <c r="AQ798" s="75"/>
      <c r="AR798" s="75"/>
      <c r="AS798" s="75"/>
      <c r="AT798" s="75"/>
    </row>
    <row r="799" ht="22.5" customHeight="1">
      <c r="A799" s="219"/>
      <c r="B799" s="219"/>
      <c r="C799" s="219"/>
      <c r="D799" s="219"/>
      <c r="E799" s="219"/>
      <c r="F799" s="219"/>
      <c r="G799" s="219"/>
      <c r="H799" s="219"/>
      <c r="I799" s="249"/>
      <c r="J799" s="243"/>
      <c r="K799" s="219"/>
      <c r="L799" s="244"/>
      <c r="M799" s="219"/>
      <c r="N799" s="219"/>
      <c r="O799" s="219"/>
      <c r="P799" s="244"/>
      <c r="Q799" s="219"/>
      <c r="R799" s="302"/>
      <c r="S799" s="219"/>
      <c r="T799" s="219"/>
      <c r="U799" s="219"/>
      <c r="V799" s="303"/>
      <c r="W799" s="247"/>
      <c r="X799" s="245"/>
      <c r="Y799" s="245"/>
      <c r="Z799" s="245"/>
      <c r="AA799" s="245"/>
      <c r="AB799" s="245"/>
      <c r="AC799" s="249"/>
      <c r="AD799" s="249"/>
      <c r="AE799" s="249"/>
      <c r="AF799" s="8"/>
      <c r="AG799" s="8"/>
      <c r="AH799" s="72"/>
      <c r="AI799" s="8"/>
      <c r="AJ799" s="251"/>
      <c r="AK799" s="23"/>
      <c r="AL799" s="75"/>
      <c r="AM799" s="75" t="str">
        <f t="shared" si="141"/>
        <v/>
      </c>
      <c r="AN799" s="75"/>
      <c r="AO799" s="75"/>
      <c r="AP799" s="75"/>
      <c r="AQ799" s="75"/>
      <c r="AR799" s="75"/>
      <c r="AS799" s="75"/>
      <c r="AT799" s="75"/>
    </row>
    <row r="800" ht="22.5" customHeight="1">
      <c r="A800" s="219"/>
      <c r="B800" s="219"/>
      <c r="C800" s="219"/>
      <c r="D800" s="219"/>
      <c r="E800" s="219"/>
      <c r="F800" s="219"/>
      <c r="G800" s="219"/>
      <c r="H800" s="219"/>
      <c r="I800" s="249"/>
      <c r="J800" s="243"/>
      <c r="K800" s="219"/>
      <c r="L800" s="244"/>
      <c r="M800" s="219"/>
      <c r="N800" s="219"/>
      <c r="O800" s="219"/>
      <c r="P800" s="244"/>
      <c r="Q800" s="219"/>
      <c r="R800" s="302"/>
      <c r="S800" s="219"/>
      <c r="T800" s="219"/>
      <c r="U800" s="219"/>
      <c r="V800" s="303"/>
      <c r="W800" s="247"/>
      <c r="X800" s="245"/>
      <c r="Y800" s="245"/>
      <c r="Z800" s="245"/>
      <c r="AA800" s="245"/>
      <c r="AB800" s="245"/>
      <c r="AC800" s="249"/>
      <c r="AD800" s="249"/>
      <c r="AE800" s="249"/>
      <c r="AF800" s="8"/>
      <c r="AG800" s="8"/>
      <c r="AH800" s="72"/>
      <c r="AI800" s="8"/>
      <c r="AJ800" s="251"/>
      <c r="AK800" s="23"/>
      <c r="AL800" s="75"/>
      <c r="AM800" s="75" t="str">
        <f t="shared" si="141"/>
        <v/>
      </c>
      <c r="AN800" s="75"/>
      <c r="AO800" s="75"/>
      <c r="AP800" s="75"/>
      <c r="AQ800" s="75"/>
      <c r="AR800" s="75"/>
      <c r="AS800" s="75"/>
      <c r="AT800" s="75"/>
    </row>
    <row r="801" ht="22.5" customHeight="1">
      <c r="A801" s="219"/>
      <c r="B801" s="219"/>
      <c r="C801" s="219"/>
      <c r="D801" s="219"/>
      <c r="E801" s="219"/>
      <c r="F801" s="219"/>
      <c r="G801" s="219"/>
      <c r="H801" s="219"/>
      <c r="I801" s="249"/>
      <c r="J801" s="243"/>
      <c r="K801" s="219"/>
      <c r="L801" s="244"/>
      <c r="M801" s="219"/>
      <c r="N801" s="219"/>
      <c r="O801" s="219"/>
      <c r="P801" s="244"/>
      <c r="Q801" s="219"/>
      <c r="R801" s="302"/>
      <c r="S801" s="219"/>
      <c r="T801" s="219"/>
      <c r="U801" s="219"/>
      <c r="V801" s="303"/>
      <c r="W801" s="247"/>
      <c r="X801" s="245"/>
      <c r="Y801" s="245"/>
      <c r="Z801" s="245"/>
      <c r="AA801" s="245"/>
      <c r="AB801" s="245"/>
      <c r="AC801" s="249"/>
      <c r="AD801" s="249"/>
      <c r="AE801" s="249"/>
      <c r="AF801" s="8"/>
      <c r="AG801" s="8"/>
      <c r="AH801" s="72"/>
      <c r="AI801" s="8"/>
      <c r="AJ801" s="251"/>
      <c r="AK801" s="23"/>
      <c r="AL801" s="75"/>
      <c r="AM801" s="75" t="str">
        <f t="shared" si="141"/>
        <v/>
      </c>
      <c r="AN801" s="75"/>
      <c r="AO801" s="75"/>
      <c r="AP801" s="75"/>
      <c r="AQ801" s="75"/>
      <c r="AR801" s="75"/>
      <c r="AS801" s="75"/>
      <c r="AT801" s="75"/>
    </row>
    <row r="802" ht="22.5" customHeight="1">
      <c r="A802" s="219"/>
      <c r="B802" s="219"/>
      <c r="C802" s="219"/>
      <c r="D802" s="219"/>
      <c r="E802" s="219"/>
      <c r="F802" s="219"/>
      <c r="G802" s="219"/>
      <c r="H802" s="219"/>
      <c r="I802" s="249"/>
      <c r="J802" s="243"/>
      <c r="K802" s="219"/>
      <c r="L802" s="244"/>
      <c r="M802" s="219"/>
      <c r="N802" s="219"/>
      <c r="O802" s="219"/>
      <c r="P802" s="244"/>
      <c r="Q802" s="219"/>
      <c r="R802" s="302"/>
      <c r="S802" s="219"/>
      <c r="T802" s="219"/>
      <c r="U802" s="219"/>
      <c r="V802" s="303"/>
      <c r="W802" s="247"/>
      <c r="X802" s="245"/>
      <c r="Y802" s="245"/>
      <c r="Z802" s="245"/>
      <c r="AA802" s="245"/>
      <c r="AB802" s="245"/>
      <c r="AC802" s="249"/>
      <c r="AD802" s="249"/>
      <c r="AE802" s="249"/>
      <c r="AF802" s="8"/>
      <c r="AG802" s="8"/>
      <c r="AH802" s="72"/>
      <c r="AI802" s="8"/>
      <c r="AJ802" s="251"/>
      <c r="AK802" s="23"/>
      <c r="AL802" s="75"/>
      <c r="AM802" s="75" t="str">
        <f t="shared" si="141"/>
        <v/>
      </c>
      <c r="AN802" s="75"/>
      <c r="AO802" s="75"/>
      <c r="AP802" s="75"/>
      <c r="AQ802" s="75"/>
      <c r="AR802" s="75"/>
      <c r="AS802" s="75"/>
      <c r="AT802" s="75"/>
    </row>
    <row r="803" ht="22.5" customHeight="1">
      <c r="A803" s="219"/>
      <c r="B803" s="219"/>
      <c r="C803" s="219"/>
      <c r="D803" s="219"/>
      <c r="E803" s="219"/>
      <c r="F803" s="219"/>
      <c r="G803" s="219"/>
      <c r="H803" s="219"/>
      <c r="I803" s="249"/>
      <c r="J803" s="243"/>
      <c r="K803" s="219"/>
      <c r="L803" s="244"/>
      <c r="M803" s="219"/>
      <c r="N803" s="219"/>
      <c r="O803" s="219"/>
      <c r="P803" s="244"/>
      <c r="Q803" s="219"/>
      <c r="R803" s="302"/>
      <c r="S803" s="219"/>
      <c r="T803" s="219"/>
      <c r="U803" s="219"/>
      <c r="V803" s="303"/>
      <c r="W803" s="247"/>
      <c r="X803" s="245"/>
      <c r="Y803" s="245"/>
      <c r="Z803" s="245"/>
      <c r="AA803" s="245"/>
      <c r="AB803" s="245"/>
      <c r="AC803" s="249"/>
      <c r="AD803" s="249"/>
      <c r="AE803" s="249"/>
      <c r="AF803" s="8"/>
      <c r="AG803" s="8"/>
      <c r="AH803" s="72"/>
      <c r="AI803" s="8"/>
      <c r="AJ803" s="251"/>
      <c r="AK803" s="23"/>
      <c r="AL803" s="75"/>
      <c r="AM803" s="75" t="str">
        <f t="shared" si="141"/>
        <v/>
      </c>
      <c r="AN803" s="75"/>
      <c r="AO803" s="75"/>
      <c r="AP803" s="75"/>
      <c r="AQ803" s="75"/>
      <c r="AR803" s="75"/>
      <c r="AS803" s="75"/>
      <c r="AT803" s="75"/>
    </row>
    <row r="804" ht="22.5" customHeight="1">
      <c r="A804" s="219"/>
      <c r="B804" s="219"/>
      <c r="C804" s="219"/>
      <c r="D804" s="219"/>
      <c r="E804" s="219"/>
      <c r="F804" s="219"/>
      <c r="G804" s="219"/>
      <c r="H804" s="219"/>
      <c r="I804" s="249"/>
      <c r="J804" s="243"/>
      <c r="K804" s="219"/>
      <c r="L804" s="244"/>
      <c r="M804" s="219"/>
      <c r="N804" s="219"/>
      <c r="O804" s="219"/>
      <c r="P804" s="244"/>
      <c r="Q804" s="219"/>
      <c r="R804" s="302"/>
      <c r="S804" s="219"/>
      <c r="T804" s="219"/>
      <c r="U804" s="219"/>
      <c r="V804" s="303"/>
      <c r="W804" s="247"/>
      <c r="X804" s="245"/>
      <c r="Y804" s="245"/>
      <c r="Z804" s="245"/>
      <c r="AA804" s="245"/>
      <c r="AB804" s="245"/>
      <c r="AC804" s="249"/>
      <c r="AD804" s="249"/>
      <c r="AE804" s="249"/>
      <c r="AF804" s="8"/>
      <c r="AG804" s="8"/>
      <c r="AH804" s="72"/>
      <c r="AI804" s="8"/>
      <c r="AJ804" s="251"/>
      <c r="AK804" s="23"/>
      <c r="AL804" s="75"/>
      <c r="AM804" s="75" t="str">
        <f t="shared" si="141"/>
        <v/>
      </c>
      <c r="AN804" s="75"/>
      <c r="AO804" s="75"/>
      <c r="AP804" s="75"/>
      <c r="AQ804" s="75"/>
      <c r="AR804" s="75"/>
      <c r="AS804" s="75"/>
      <c r="AT804" s="75"/>
    </row>
    <row r="805" ht="22.5" customHeight="1">
      <c r="A805" s="219"/>
      <c r="B805" s="219"/>
      <c r="C805" s="219"/>
      <c r="D805" s="219"/>
      <c r="E805" s="219"/>
      <c r="F805" s="219"/>
      <c r="G805" s="219"/>
      <c r="H805" s="219"/>
      <c r="I805" s="249"/>
      <c r="J805" s="243"/>
      <c r="K805" s="219"/>
      <c r="L805" s="244"/>
      <c r="M805" s="219"/>
      <c r="N805" s="219"/>
      <c r="O805" s="219"/>
      <c r="P805" s="244"/>
      <c r="Q805" s="219"/>
      <c r="R805" s="302"/>
      <c r="S805" s="219"/>
      <c r="T805" s="219"/>
      <c r="U805" s="219"/>
      <c r="V805" s="303"/>
      <c r="W805" s="247"/>
      <c r="X805" s="245"/>
      <c r="Y805" s="245"/>
      <c r="Z805" s="245"/>
      <c r="AA805" s="245"/>
      <c r="AB805" s="245"/>
      <c r="AC805" s="249"/>
      <c r="AD805" s="249"/>
      <c r="AE805" s="249"/>
      <c r="AF805" s="8"/>
      <c r="AG805" s="8"/>
      <c r="AH805" s="72"/>
      <c r="AI805" s="8"/>
      <c r="AJ805" s="251"/>
      <c r="AK805" s="23"/>
      <c r="AL805" s="75"/>
      <c r="AM805" s="75" t="str">
        <f t="shared" si="141"/>
        <v/>
      </c>
      <c r="AN805" s="75"/>
      <c r="AO805" s="75"/>
      <c r="AP805" s="75"/>
      <c r="AQ805" s="75"/>
      <c r="AR805" s="75"/>
      <c r="AS805" s="75"/>
      <c r="AT805" s="75"/>
    </row>
    <row r="806" ht="22.5" customHeight="1">
      <c r="A806" s="219"/>
      <c r="B806" s="219"/>
      <c r="C806" s="219"/>
      <c r="D806" s="219"/>
      <c r="E806" s="219"/>
      <c r="F806" s="219"/>
      <c r="G806" s="219"/>
      <c r="H806" s="219"/>
      <c r="I806" s="249"/>
      <c r="J806" s="243"/>
      <c r="K806" s="219"/>
      <c r="L806" s="244"/>
      <c r="M806" s="219"/>
      <c r="N806" s="219"/>
      <c r="O806" s="219"/>
      <c r="P806" s="244"/>
      <c r="Q806" s="219"/>
      <c r="R806" s="302"/>
      <c r="S806" s="219"/>
      <c r="T806" s="219"/>
      <c r="U806" s="219"/>
      <c r="V806" s="303"/>
      <c r="W806" s="247"/>
      <c r="X806" s="245"/>
      <c r="Y806" s="245"/>
      <c r="Z806" s="245"/>
      <c r="AA806" s="245"/>
      <c r="AB806" s="245"/>
      <c r="AC806" s="249"/>
      <c r="AD806" s="249"/>
      <c r="AE806" s="249"/>
      <c r="AF806" s="8"/>
      <c r="AG806" s="8"/>
      <c r="AH806" s="72"/>
      <c r="AI806" s="8"/>
      <c r="AJ806" s="251"/>
      <c r="AK806" s="23"/>
      <c r="AL806" s="75"/>
      <c r="AM806" s="75" t="str">
        <f t="shared" si="141"/>
        <v/>
      </c>
      <c r="AN806" s="75"/>
      <c r="AO806" s="75"/>
      <c r="AP806" s="75"/>
      <c r="AQ806" s="75"/>
      <c r="AR806" s="75"/>
      <c r="AS806" s="75"/>
      <c r="AT806" s="75"/>
    </row>
    <row r="807" ht="22.5" customHeight="1">
      <c r="A807" s="219"/>
      <c r="B807" s="219"/>
      <c r="C807" s="219"/>
      <c r="D807" s="219"/>
      <c r="E807" s="219"/>
      <c r="F807" s="219"/>
      <c r="G807" s="219"/>
      <c r="H807" s="219"/>
      <c r="I807" s="249"/>
      <c r="J807" s="243"/>
      <c r="K807" s="219"/>
      <c r="L807" s="244"/>
      <c r="M807" s="219"/>
      <c r="N807" s="219"/>
      <c r="O807" s="219"/>
      <c r="P807" s="244"/>
      <c r="Q807" s="219"/>
      <c r="R807" s="302"/>
      <c r="S807" s="219"/>
      <c r="T807" s="219"/>
      <c r="U807" s="219"/>
      <c r="V807" s="303"/>
      <c r="W807" s="247"/>
      <c r="X807" s="245"/>
      <c r="Y807" s="245"/>
      <c r="Z807" s="245"/>
      <c r="AA807" s="245"/>
      <c r="AB807" s="245"/>
      <c r="AC807" s="249"/>
      <c r="AD807" s="249"/>
      <c r="AE807" s="249"/>
      <c r="AF807" s="8"/>
      <c r="AG807" s="8"/>
      <c r="AH807" s="72"/>
      <c r="AI807" s="8"/>
      <c r="AJ807" s="251"/>
      <c r="AK807" s="23"/>
      <c r="AL807" s="75"/>
      <c r="AM807" s="75" t="str">
        <f t="shared" si="141"/>
        <v/>
      </c>
      <c r="AN807" s="75"/>
      <c r="AO807" s="75"/>
      <c r="AP807" s="75"/>
      <c r="AQ807" s="75"/>
      <c r="AR807" s="75"/>
      <c r="AS807" s="75"/>
      <c r="AT807" s="75"/>
    </row>
    <row r="808" ht="22.5" customHeight="1">
      <c r="A808" s="219"/>
      <c r="B808" s="219"/>
      <c r="C808" s="219"/>
      <c r="D808" s="219"/>
      <c r="E808" s="219"/>
      <c r="F808" s="219"/>
      <c r="G808" s="219"/>
      <c r="H808" s="219"/>
      <c r="I808" s="249"/>
      <c r="J808" s="243"/>
      <c r="K808" s="219"/>
      <c r="L808" s="244"/>
      <c r="M808" s="219"/>
      <c r="N808" s="219"/>
      <c r="O808" s="219"/>
      <c r="P808" s="244"/>
      <c r="Q808" s="219"/>
      <c r="R808" s="302"/>
      <c r="S808" s="219"/>
      <c r="T808" s="219"/>
      <c r="U808" s="219"/>
      <c r="V808" s="303"/>
      <c r="W808" s="247"/>
      <c r="X808" s="245"/>
      <c r="Y808" s="245"/>
      <c r="Z808" s="245"/>
      <c r="AA808" s="245"/>
      <c r="AB808" s="245"/>
      <c r="AC808" s="249"/>
      <c r="AD808" s="249"/>
      <c r="AE808" s="249"/>
      <c r="AF808" s="8"/>
      <c r="AG808" s="8"/>
      <c r="AH808" s="72"/>
      <c r="AI808" s="8"/>
      <c r="AJ808" s="251"/>
      <c r="AK808" s="23"/>
      <c r="AL808" s="75"/>
      <c r="AM808" s="75" t="str">
        <f t="shared" si="141"/>
        <v/>
      </c>
      <c r="AN808" s="75"/>
      <c r="AO808" s="75"/>
      <c r="AP808" s="75"/>
      <c r="AQ808" s="75"/>
      <c r="AR808" s="75"/>
      <c r="AS808" s="75"/>
      <c r="AT808" s="75"/>
    </row>
    <row r="809" ht="22.5" customHeight="1">
      <c r="A809" s="219"/>
      <c r="B809" s="219"/>
      <c r="C809" s="219"/>
      <c r="D809" s="219"/>
      <c r="E809" s="219"/>
      <c r="F809" s="219"/>
      <c r="G809" s="219"/>
      <c r="H809" s="219"/>
      <c r="I809" s="249"/>
      <c r="J809" s="243"/>
      <c r="K809" s="219"/>
      <c r="L809" s="244"/>
      <c r="M809" s="219"/>
      <c r="N809" s="219"/>
      <c r="O809" s="219"/>
      <c r="P809" s="244"/>
      <c r="Q809" s="219"/>
      <c r="R809" s="302"/>
      <c r="S809" s="219"/>
      <c r="T809" s="219"/>
      <c r="U809" s="219"/>
      <c r="V809" s="303"/>
      <c r="W809" s="247"/>
      <c r="X809" s="245"/>
      <c r="Y809" s="245"/>
      <c r="Z809" s="245"/>
      <c r="AA809" s="245"/>
      <c r="AB809" s="245"/>
      <c r="AC809" s="249"/>
      <c r="AD809" s="249"/>
      <c r="AE809" s="249"/>
      <c r="AF809" s="8"/>
      <c r="AG809" s="8"/>
      <c r="AH809" s="72"/>
      <c r="AI809" s="8"/>
      <c r="AJ809" s="251"/>
      <c r="AK809" s="23"/>
      <c r="AL809" s="75"/>
      <c r="AM809" s="75" t="str">
        <f t="shared" si="141"/>
        <v/>
      </c>
      <c r="AN809" s="75"/>
      <c r="AO809" s="75"/>
      <c r="AP809" s="75"/>
      <c r="AQ809" s="75"/>
      <c r="AR809" s="75"/>
      <c r="AS809" s="75"/>
      <c r="AT809" s="75"/>
    </row>
    <row r="810" ht="22.5" customHeight="1">
      <c r="A810" s="219"/>
      <c r="B810" s="219"/>
      <c r="C810" s="219"/>
      <c r="D810" s="219"/>
      <c r="E810" s="219"/>
      <c r="F810" s="219"/>
      <c r="G810" s="219"/>
      <c r="H810" s="219"/>
      <c r="I810" s="249"/>
      <c r="J810" s="243"/>
      <c r="K810" s="219"/>
      <c r="L810" s="244"/>
      <c r="M810" s="219"/>
      <c r="N810" s="219"/>
      <c r="O810" s="219"/>
      <c r="P810" s="244"/>
      <c r="Q810" s="219"/>
      <c r="R810" s="302"/>
      <c r="S810" s="219"/>
      <c r="T810" s="219"/>
      <c r="U810" s="219"/>
      <c r="V810" s="303"/>
      <c r="W810" s="247"/>
      <c r="X810" s="245"/>
      <c r="Y810" s="245"/>
      <c r="Z810" s="245"/>
      <c r="AA810" s="245"/>
      <c r="AB810" s="245"/>
      <c r="AC810" s="249"/>
      <c r="AD810" s="249"/>
      <c r="AE810" s="249"/>
      <c r="AF810" s="8"/>
      <c r="AG810" s="8"/>
      <c r="AH810" s="72"/>
      <c r="AI810" s="8"/>
      <c r="AJ810" s="251"/>
      <c r="AK810" s="23"/>
      <c r="AL810" s="75"/>
      <c r="AM810" s="75" t="str">
        <f t="shared" si="141"/>
        <v/>
      </c>
      <c r="AN810" s="75"/>
      <c r="AO810" s="75"/>
      <c r="AP810" s="75"/>
      <c r="AQ810" s="75"/>
      <c r="AR810" s="75"/>
      <c r="AS810" s="75"/>
      <c r="AT810" s="75"/>
    </row>
    <row r="811" ht="22.5" customHeight="1">
      <c r="A811" s="219"/>
      <c r="B811" s="219"/>
      <c r="C811" s="219"/>
      <c r="D811" s="219"/>
      <c r="E811" s="219"/>
      <c r="F811" s="219"/>
      <c r="G811" s="219"/>
      <c r="H811" s="219"/>
      <c r="I811" s="249"/>
      <c r="J811" s="243"/>
      <c r="K811" s="219"/>
      <c r="L811" s="244"/>
      <c r="M811" s="219"/>
      <c r="N811" s="219"/>
      <c r="O811" s="219"/>
      <c r="P811" s="244"/>
      <c r="Q811" s="219"/>
      <c r="R811" s="302"/>
      <c r="S811" s="219"/>
      <c r="T811" s="219"/>
      <c r="U811" s="219"/>
      <c r="V811" s="303"/>
      <c r="W811" s="247"/>
      <c r="X811" s="245"/>
      <c r="Y811" s="245"/>
      <c r="Z811" s="245"/>
      <c r="AA811" s="245"/>
      <c r="AB811" s="245"/>
      <c r="AC811" s="249"/>
      <c r="AD811" s="249"/>
      <c r="AE811" s="249"/>
      <c r="AF811" s="8"/>
      <c r="AG811" s="8"/>
      <c r="AH811" s="72"/>
      <c r="AI811" s="8"/>
      <c r="AJ811" s="251"/>
      <c r="AK811" s="23"/>
      <c r="AL811" s="75"/>
      <c r="AM811" s="75" t="str">
        <f t="shared" si="141"/>
        <v/>
      </c>
      <c r="AN811" s="75"/>
      <c r="AO811" s="75"/>
      <c r="AP811" s="75"/>
      <c r="AQ811" s="75"/>
      <c r="AR811" s="75"/>
      <c r="AS811" s="75"/>
      <c r="AT811" s="75"/>
    </row>
    <row r="812" ht="22.5" customHeight="1">
      <c r="A812" s="219"/>
      <c r="B812" s="219"/>
      <c r="C812" s="219"/>
      <c r="D812" s="219"/>
      <c r="E812" s="219"/>
      <c r="F812" s="219"/>
      <c r="G812" s="219"/>
      <c r="H812" s="219"/>
      <c r="I812" s="249"/>
      <c r="J812" s="243"/>
      <c r="K812" s="219"/>
      <c r="L812" s="244"/>
      <c r="M812" s="219"/>
      <c r="N812" s="219"/>
      <c r="O812" s="219"/>
      <c r="P812" s="244"/>
      <c r="Q812" s="219"/>
      <c r="R812" s="302"/>
      <c r="S812" s="219"/>
      <c r="T812" s="219"/>
      <c r="U812" s="219"/>
      <c r="V812" s="303"/>
      <c r="W812" s="247"/>
      <c r="X812" s="245"/>
      <c r="Y812" s="245"/>
      <c r="Z812" s="245"/>
      <c r="AA812" s="245"/>
      <c r="AB812" s="245"/>
      <c r="AC812" s="249"/>
      <c r="AD812" s="249"/>
      <c r="AE812" s="249"/>
      <c r="AF812" s="8"/>
      <c r="AG812" s="8"/>
      <c r="AH812" s="72"/>
      <c r="AI812" s="8"/>
      <c r="AJ812" s="251"/>
      <c r="AK812" s="23"/>
      <c r="AL812" s="75"/>
      <c r="AM812" s="75" t="str">
        <f t="shared" si="141"/>
        <v/>
      </c>
      <c r="AN812" s="75"/>
      <c r="AO812" s="75"/>
      <c r="AP812" s="75"/>
      <c r="AQ812" s="75"/>
      <c r="AR812" s="75"/>
      <c r="AS812" s="75"/>
      <c r="AT812" s="75"/>
    </row>
    <row r="813" ht="22.5" customHeight="1">
      <c r="A813" s="219"/>
      <c r="B813" s="219"/>
      <c r="C813" s="219"/>
      <c r="D813" s="219"/>
      <c r="E813" s="219"/>
      <c r="F813" s="219"/>
      <c r="G813" s="219"/>
      <c r="H813" s="219"/>
      <c r="I813" s="249"/>
      <c r="J813" s="243"/>
      <c r="K813" s="219"/>
      <c r="L813" s="244"/>
      <c r="M813" s="219"/>
      <c r="N813" s="219"/>
      <c r="O813" s="219"/>
      <c r="P813" s="244"/>
      <c r="Q813" s="219"/>
      <c r="R813" s="302"/>
      <c r="S813" s="219"/>
      <c r="T813" s="219"/>
      <c r="U813" s="219"/>
      <c r="V813" s="303"/>
      <c r="W813" s="247"/>
      <c r="X813" s="245"/>
      <c r="Y813" s="245"/>
      <c r="Z813" s="245"/>
      <c r="AA813" s="245"/>
      <c r="AB813" s="245"/>
      <c r="AC813" s="249"/>
      <c r="AD813" s="249"/>
      <c r="AE813" s="249"/>
      <c r="AF813" s="8"/>
      <c r="AG813" s="8"/>
      <c r="AH813" s="72"/>
      <c r="AI813" s="8"/>
      <c r="AJ813" s="251"/>
      <c r="AK813" s="23"/>
      <c r="AL813" s="75"/>
      <c r="AM813" s="75" t="str">
        <f t="shared" si="141"/>
        <v/>
      </c>
      <c r="AN813" s="75"/>
      <c r="AO813" s="75"/>
      <c r="AP813" s="75"/>
      <c r="AQ813" s="75"/>
      <c r="AR813" s="75"/>
      <c r="AS813" s="75"/>
      <c r="AT813" s="75"/>
    </row>
    <row r="814" ht="22.5" customHeight="1">
      <c r="A814" s="219"/>
      <c r="B814" s="219"/>
      <c r="C814" s="219"/>
      <c r="D814" s="219"/>
      <c r="E814" s="219"/>
      <c r="F814" s="219"/>
      <c r="G814" s="219"/>
      <c r="H814" s="219"/>
      <c r="I814" s="249"/>
      <c r="J814" s="243"/>
      <c r="K814" s="219"/>
      <c r="L814" s="244"/>
      <c r="M814" s="219"/>
      <c r="N814" s="219"/>
      <c r="O814" s="219"/>
      <c r="P814" s="244"/>
      <c r="Q814" s="219"/>
      <c r="R814" s="302"/>
      <c r="S814" s="219"/>
      <c r="T814" s="219"/>
      <c r="U814" s="219"/>
      <c r="V814" s="303"/>
      <c r="W814" s="247"/>
      <c r="X814" s="245"/>
      <c r="Y814" s="245"/>
      <c r="Z814" s="245"/>
      <c r="AA814" s="245"/>
      <c r="AB814" s="245"/>
      <c r="AC814" s="249"/>
      <c r="AD814" s="249"/>
      <c r="AE814" s="249"/>
      <c r="AF814" s="8"/>
      <c r="AG814" s="8"/>
      <c r="AH814" s="72"/>
      <c r="AI814" s="8"/>
      <c r="AJ814" s="251"/>
      <c r="AK814" s="23"/>
      <c r="AL814" s="75"/>
      <c r="AM814" s="75" t="str">
        <f t="shared" si="141"/>
        <v/>
      </c>
      <c r="AN814" s="75"/>
      <c r="AO814" s="75"/>
      <c r="AP814" s="75"/>
      <c r="AQ814" s="75"/>
      <c r="AR814" s="75"/>
      <c r="AS814" s="75"/>
      <c r="AT814" s="75"/>
    </row>
    <row r="815" ht="22.5" customHeight="1">
      <c r="A815" s="219"/>
      <c r="B815" s="219"/>
      <c r="C815" s="219"/>
      <c r="D815" s="219"/>
      <c r="E815" s="219"/>
      <c r="F815" s="219"/>
      <c r="G815" s="219"/>
      <c r="H815" s="219"/>
      <c r="I815" s="249"/>
      <c r="J815" s="243"/>
      <c r="K815" s="219"/>
      <c r="L815" s="244"/>
      <c r="M815" s="219"/>
      <c r="N815" s="219"/>
      <c r="O815" s="219"/>
      <c r="P815" s="244"/>
      <c r="Q815" s="219"/>
      <c r="R815" s="302"/>
      <c r="S815" s="219"/>
      <c r="T815" s="219"/>
      <c r="U815" s="219"/>
      <c r="V815" s="303"/>
      <c r="W815" s="247"/>
      <c r="X815" s="245"/>
      <c r="Y815" s="245"/>
      <c r="Z815" s="245"/>
      <c r="AA815" s="245"/>
      <c r="AB815" s="245"/>
      <c r="AC815" s="249"/>
      <c r="AD815" s="249"/>
      <c r="AE815" s="249"/>
      <c r="AF815" s="8"/>
      <c r="AG815" s="8"/>
      <c r="AH815" s="72"/>
      <c r="AI815" s="8"/>
      <c r="AJ815" s="251"/>
      <c r="AK815" s="23"/>
      <c r="AL815" s="75"/>
      <c r="AM815" s="75" t="str">
        <f t="shared" si="141"/>
        <v/>
      </c>
      <c r="AN815" s="75"/>
      <c r="AO815" s="75"/>
      <c r="AP815" s="75"/>
      <c r="AQ815" s="75"/>
      <c r="AR815" s="75"/>
      <c r="AS815" s="75"/>
      <c r="AT815" s="75"/>
    </row>
    <row r="816" ht="22.5" customHeight="1">
      <c r="A816" s="219"/>
      <c r="B816" s="219"/>
      <c r="C816" s="219"/>
      <c r="D816" s="219"/>
      <c r="E816" s="219"/>
      <c r="F816" s="219"/>
      <c r="G816" s="219"/>
      <c r="H816" s="219"/>
      <c r="I816" s="249"/>
      <c r="J816" s="243"/>
      <c r="K816" s="219"/>
      <c r="L816" s="244"/>
      <c r="M816" s="219"/>
      <c r="N816" s="219"/>
      <c r="O816" s="219"/>
      <c r="P816" s="244"/>
      <c r="Q816" s="219"/>
      <c r="R816" s="302"/>
      <c r="S816" s="219"/>
      <c r="T816" s="219"/>
      <c r="U816" s="219"/>
      <c r="V816" s="303"/>
      <c r="W816" s="247"/>
      <c r="X816" s="245"/>
      <c r="Y816" s="245"/>
      <c r="Z816" s="245"/>
      <c r="AA816" s="245"/>
      <c r="AB816" s="245"/>
      <c r="AC816" s="249"/>
      <c r="AD816" s="249"/>
      <c r="AE816" s="249"/>
      <c r="AF816" s="8"/>
      <c r="AG816" s="8"/>
      <c r="AH816" s="72"/>
      <c r="AI816" s="8"/>
      <c r="AJ816" s="251"/>
      <c r="AK816" s="23"/>
      <c r="AL816" s="75"/>
      <c r="AM816" s="75" t="str">
        <f t="shared" si="141"/>
        <v/>
      </c>
      <c r="AN816" s="75"/>
      <c r="AO816" s="75"/>
      <c r="AP816" s="75"/>
      <c r="AQ816" s="75"/>
      <c r="AR816" s="75"/>
      <c r="AS816" s="75"/>
      <c r="AT816" s="75"/>
    </row>
    <row r="817" ht="22.5" customHeight="1">
      <c r="A817" s="219"/>
      <c r="B817" s="219"/>
      <c r="C817" s="219"/>
      <c r="D817" s="219"/>
      <c r="E817" s="219"/>
      <c r="F817" s="219"/>
      <c r="G817" s="219"/>
      <c r="H817" s="219"/>
      <c r="I817" s="249"/>
      <c r="J817" s="243"/>
      <c r="K817" s="219"/>
      <c r="L817" s="244"/>
      <c r="M817" s="219"/>
      <c r="N817" s="219"/>
      <c r="O817" s="219"/>
      <c r="P817" s="244"/>
      <c r="Q817" s="219"/>
      <c r="R817" s="302"/>
      <c r="S817" s="219"/>
      <c r="T817" s="219"/>
      <c r="U817" s="219"/>
      <c r="V817" s="303"/>
      <c r="W817" s="247"/>
      <c r="X817" s="245"/>
      <c r="Y817" s="245"/>
      <c r="Z817" s="245"/>
      <c r="AA817" s="245"/>
      <c r="AB817" s="245"/>
      <c r="AC817" s="249"/>
      <c r="AD817" s="249"/>
      <c r="AE817" s="249"/>
      <c r="AF817" s="8"/>
      <c r="AG817" s="8"/>
      <c r="AH817" s="72"/>
      <c r="AI817" s="8"/>
      <c r="AJ817" s="251"/>
      <c r="AK817" s="23"/>
      <c r="AL817" s="75"/>
      <c r="AM817" s="75" t="str">
        <f t="shared" si="141"/>
        <v/>
      </c>
      <c r="AN817" s="75"/>
      <c r="AO817" s="75"/>
      <c r="AP817" s="75"/>
      <c r="AQ817" s="75"/>
      <c r="AR817" s="75"/>
      <c r="AS817" s="75"/>
      <c r="AT817" s="75"/>
    </row>
    <row r="818" ht="22.5" customHeight="1">
      <c r="A818" s="219"/>
      <c r="B818" s="219"/>
      <c r="C818" s="219"/>
      <c r="D818" s="219"/>
      <c r="E818" s="219"/>
      <c r="F818" s="219"/>
      <c r="G818" s="219"/>
      <c r="H818" s="219"/>
      <c r="I818" s="249"/>
      <c r="J818" s="243"/>
      <c r="K818" s="219"/>
      <c r="L818" s="244"/>
      <c r="M818" s="219"/>
      <c r="N818" s="219"/>
      <c r="O818" s="219"/>
      <c r="P818" s="244"/>
      <c r="Q818" s="219"/>
      <c r="R818" s="302"/>
      <c r="S818" s="219"/>
      <c r="T818" s="219"/>
      <c r="U818" s="219"/>
      <c r="V818" s="303"/>
      <c r="W818" s="247"/>
      <c r="X818" s="245"/>
      <c r="Y818" s="245"/>
      <c r="Z818" s="245"/>
      <c r="AA818" s="245"/>
      <c r="AB818" s="245"/>
      <c r="AC818" s="249"/>
      <c r="AD818" s="249"/>
      <c r="AE818" s="249"/>
      <c r="AF818" s="8"/>
      <c r="AG818" s="8"/>
      <c r="AH818" s="72"/>
      <c r="AI818" s="8"/>
      <c r="AJ818" s="251"/>
      <c r="AK818" s="23"/>
      <c r="AL818" s="75"/>
      <c r="AM818" s="75" t="str">
        <f t="shared" si="141"/>
        <v/>
      </c>
      <c r="AN818" s="75"/>
      <c r="AO818" s="75"/>
      <c r="AP818" s="75"/>
      <c r="AQ818" s="75"/>
      <c r="AR818" s="75"/>
      <c r="AS818" s="75"/>
      <c r="AT818" s="75"/>
    </row>
    <row r="819" ht="22.5" customHeight="1">
      <c r="A819" s="219"/>
      <c r="B819" s="219"/>
      <c r="C819" s="219"/>
      <c r="D819" s="219"/>
      <c r="E819" s="219"/>
      <c r="F819" s="219"/>
      <c r="G819" s="219"/>
      <c r="H819" s="219"/>
      <c r="I819" s="249"/>
      <c r="J819" s="243"/>
      <c r="K819" s="219"/>
      <c r="L819" s="244"/>
      <c r="M819" s="219"/>
      <c r="N819" s="219"/>
      <c r="O819" s="219"/>
      <c r="P819" s="244"/>
      <c r="Q819" s="219"/>
      <c r="R819" s="302"/>
      <c r="S819" s="219"/>
      <c r="T819" s="219"/>
      <c r="U819" s="219"/>
      <c r="V819" s="303"/>
      <c r="W819" s="247"/>
      <c r="X819" s="245"/>
      <c r="Y819" s="245"/>
      <c r="Z819" s="245"/>
      <c r="AA819" s="245"/>
      <c r="AB819" s="245"/>
      <c r="AC819" s="249"/>
      <c r="AD819" s="249"/>
      <c r="AE819" s="249"/>
      <c r="AF819" s="8"/>
      <c r="AG819" s="8"/>
      <c r="AH819" s="72"/>
      <c r="AI819" s="8"/>
      <c r="AJ819" s="251"/>
      <c r="AK819" s="23"/>
      <c r="AL819" s="75"/>
      <c r="AM819" s="75" t="str">
        <f t="shared" si="141"/>
        <v/>
      </c>
      <c r="AN819" s="75"/>
      <c r="AO819" s="75"/>
      <c r="AP819" s="75"/>
      <c r="AQ819" s="75"/>
      <c r="AR819" s="75"/>
      <c r="AS819" s="75"/>
      <c r="AT819" s="75"/>
    </row>
    <row r="820" ht="22.5" customHeight="1">
      <c r="A820" s="219"/>
      <c r="B820" s="219"/>
      <c r="C820" s="219"/>
      <c r="D820" s="219"/>
      <c r="E820" s="219"/>
      <c r="F820" s="219"/>
      <c r="G820" s="219"/>
      <c r="H820" s="219"/>
      <c r="I820" s="249"/>
      <c r="J820" s="243"/>
      <c r="K820" s="219"/>
      <c r="L820" s="244"/>
      <c r="M820" s="219"/>
      <c r="N820" s="219"/>
      <c r="O820" s="219"/>
      <c r="P820" s="244"/>
      <c r="Q820" s="219"/>
      <c r="R820" s="302"/>
      <c r="S820" s="219"/>
      <c r="T820" s="219"/>
      <c r="U820" s="219"/>
      <c r="V820" s="303"/>
      <c r="W820" s="247"/>
      <c r="X820" s="245"/>
      <c r="Y820" s="245"/>
      <c r="Z820" s="245"/>
      <c r="AA820" s="245"/>
      <c r="AB820" s="245"/>
      <c r="AC820" s="249"/>
      <c r="AD820" s="249"/>
      <c r="AE820" s="249"/>
      <c r="AF820" s="8"/>
      <c r="AG820" s="8"/>
      <c r="AH820" s="72"/>
      <c r="AI820" s="8"/>
      <c r="AJ820" s="251"/>
      <c r="AK820" s="23"/>
      <c r="AL820" s="75"/>
      <c r="AM820" s="75" t="str">
        <f t="shared" si="141"/>
        <v/>
      </c>
      <c r="AN820" s="75"/>
      <c r="AO820" s="75"/>
      <c r="AP820" s="75"/>
      <c r="AQ820" s="75"/>
      <c r="AR820" s="75"/>
      <c r="AS820" s="75"/>
      <c r="AT820" s="75"/>
    </row>
    <row r="821" ht="22.5" customHeight="1">
      <c r="A821" s="219"/>
      <c r="B821" s="219"/>
      <c r="C821" s="219"/>
      <c r="D821" s="219"/>
      <c r="E821" s="219"/>
      <c r="F821" s="219"/>
      <c r="G821" s="219"/>
      <c r="H821" s="219"/>
      <c r="I821" s="249"/>
      <c r="J821" s="243"/>
      <c r="K821" s="219"/>
      <c r="L821" s="244"/>
      <c r="M821" s="219"/>
      <c r="N821" s="219"/>
      <c r="O821" s="219"/>
      <c r="P821" s="244"/>
      <c r="Q821" s="219"/>
      <c r="R821" s="302"/>
      <c r="S821" s="219"/>
      <c r="T821" s="219"/>
      <c r="U821" s="219"/>
      <c r="V821" s="303"/>
      <c r="W821" s="247"/>
      <c r="X821" s="245"/>
      <c r="Y821" s="245"/>
      <c r="Z821" s="245"/>
      <c r="AA821" s="245"/>
      <c r="AB821" s="245"/>
      <c r="AC821" s="249"/>
      <c r="AD821" s="249"/>
      <c r="AE821" s="249"/>
      <c r="AF821" s="8"/>
      <c r="AG821" s="8"/>
      <c r="AH821" s="72"/>
      <c r="AI821" s="8"/>
      <c r="AJ821" s="251"/>
      <c r="AK821" s="23"/>
      <c r="AL821" s="75"/>
      <c r="AM821" s="75" t="str">
        <f t="shared" si="141"/>
        <v/>
      </c>
      <c r="AN821" s="75"/>
      <c r="AO821" s="75"/>
      <c r="AP821" s="75"/>
      <c r="AQ821" s="75"/>
      <c r="AR821" s="75"/>
      <c r="AS821" s="75"/>
      <c r="AT821" s="75"/>
    </row>
    <row r="822" ht="22.5" customHeight="1">
      <c r="A822" s="219"/>
      <c r="B822" s="219"/>
      <c r="C822" s="219"/>
      <c r="D822" s="219"/>
      <c r="E822" s="219"/>
      <c r="F822" s="219"/>
      <c r="G822" s="219"/>
      <c r="H822" s="219"/>
      <c r="I822" s="249"/>
      <c r="J822" s="243"/>
      <c r="K822" s="219"/>
      <c r="L822" s="244"/>
      <c r="M822" s="219"/>
      <c r="N822" s="219"/>
      <c r="O822" s="219"/>
      <c r="P822" s="244"/>
      <c r="Q822" s="219"/>
      <c r="R822" s="302"/>
      <c r="S822" s="219"/>
      <c r="T822" s="219"/>
      <c r="U822" s="219"/>
      <c r="V822" s="303"/>
      <c r="W822" s="247"/>
      <c r="X822" s="245"/>
      <c r="Y822" s="245"/>
      <c r="Z822" s="245"/>
      <c r="AA822" s="245"/>
      <c r="AB822" s="245"/>
      <c r="AC822" s="249"/>
      <c r="AD822" s="249"/>
      <c r="AE822" s="249"/>
      <c r="AF822" s="8"/>
      <c r="AG822" s="8"/>
      <c r="AH822" s="72"/>
      <c r="AI822" s="8"/>
      <c r="AJ822" s="251"/>
      <c r="AK822" s="23"/>
      <c r="AL822" s="75"/>
      <c r="AM822" s="75" t="str">
        <f t="shared" si="141"/>
        <v/>
      </c>
      <c r="AN822" s="75"/>
      <c r="AO822" s="75"/>
      <c r="AP822" s="75"/>
      <c r="AQ822" s="75"/>
      <c r="AR822" s="75"/>
      <c r="AS822" s="75"/>
      <c r="AT822" s="75"/>
    </row>
    <row r="823" ht="22.5" customHeight="1">
      <c r="A823" s="219"/>
      <c r="B823" s="219"/>
      <c r="C823" s="219"/>
      <c r="D823" s="219"/>
      <c r="E823" s="219"/>
      <c r="F823" s="219"/>
      <c r="G823" s="219"/>
      <c r="H823" s="219"/>
      <c r="I823" s="249"/>
      <c r="J823" s="243"/>
      <c r="K823" s="219"/>
      <c r="L823" s="244"/>
      <c r="M823" s="219"/>
      <c r="N823" s="219"/>
      <c r="O823" s="219"/>
      <c r="P823" s="244"/>
      <c r="Q823" s="219"/>
      <c r="R823" s="302"/>
      <c r="S823" s="219"/>
      <c r="T823" s="219"/>
      <c r="U823" s="219"/>
      <c r="V823" s="303"/>
      <c r="W823" s="247"/>
      <c r="X823" s="245"/>
      <c r="Y823" s="245"/>
      <c r="Z823" s="245"/>
      <c r="AA823" s="245"/>
      <c r="AB823" s="245"/>
      <c r="AC823" s="249"/>
      <c r="AD823" s="249"/>
      <c r="AE823" s="249"/>
      <c r="AF823" s="8"/>
      <c r="AG823" s="8"/>
      <c r="AH823" s="72"/>
      <c r="AI823" s="8"/>
      <c r="AJ823" s="251"/>
      <c r="AK823" s="23"/>
      <c r="AL823" s="75"/>
      <c r="AM823" s="75" t="str">
        <f t="shared" si="141"/>
        <v/>
      </c>
      <c r="AN823" s="75"/>
      <c r="AO823" s="75"/>
      <c r="AP823" s="75"/>
      <c r="AQ823" s="75"/>
      <c r="AR823" s="75"/>
      <c r="AS823" s="75"/>
      <c r="AT823" s="75"/>
    </row>
    <row r="824" ht="22.5" customHeight="1">
      <c r="A824" s="219"/>
      <c r="B824" s="219"/>
      <c r="C824" s="219"/>
      <c r="D824" s="219"/>
      <c r="E824" s="219"/>
      <c r="F824" s="219"/>
      <c r="G824" s="219"/>
      <c r="H824" s="219"/>
      <c r="I824" s="249"/>
      <c r="J824" s="243"/>
      <c r="K824" s="219"/>
      <c r="L824" s="244"/>
      <c r="M824" s="219"/>
      <c r="N824" s="219"/>
      <c r="O824" s="219"/>
      <c r="P824" s="244"/>
      <c r="Q824" s="219"/>
      <c r="R824" s="302"/>
      <c r="S824" s="219"/>
      <c r="T824" s="219"/>
      <c r="U824" s="219"/>
      <c r="V824" s="303"/>
      <c r="W824" s="247"/>
      <c r="X824" s="245"/>
      <c r="Y824" s="245"/>
      <c r="Z824" s="245"/>
      <c r="AA824" s="245"/>
      <c r="AB824" s="245"/>
      <c r="AC824" s="249"/>
      <c r="AD824" s="249"/>
      <c r="AE824" s="249"/>
      <c r="AF824" s="8"/>
      <c r="AG824" s="8"/>
      <c r="AH824" s="72"/>
      <c r="AI824" s="8"/>
      <c r="AJ824" s="251"/>
      <c r="AK824" s="23"/>
      <c r="AL824" s="75"/>
      <c r="AM824" s="75" t="str">
        <f t="shared" si="141"/>
        <v/>
      </c>
      <c r="AN824" s="75"/>
      <c r="AO824" s="75"/>
      <c r="AP824" s="75"/>
      <c r="AQ824" s="75"/>
      <c r="AR824" s="75"/>
      <c r="AS824" s="75"/>
      <c r="AT824" s="75"/>
    </row>
    <row r="825" ht="22.5" customHeight="1">
      <c r="A825" s="219"/>
      <c r="B825" s="219"/>
      <c r="C825" s="219"/>
      <c r="D825" s="219"/>
      <c r="E825" s="219"/>
      <c r="F825" s="219"/>
      <c r="G825" s="219"/>
      <c r="H825" s="219"/>
      <c r="I825" s="249"/>
      <c r="J825" s="243"/>
      <c r="K825" s="219"/>
      <c r="L825" s="244"/>
      <c r="M825" s="219"/>
      <c r="N825" s="219"/>
      <c r="O825" s="219"/>
      <c r="P825" s="244"/>
      <c r="Q825" s="219"/>
      <c r="R825" s="302"/>
      <c r="S825" s="219"/>
      <c r="T825" s="219"/>
      <c r="U825" s="219"/>
      <c r="V825" s="303"/>
      <c r="W825" s="247"/>
      <c r="X825" s="245"/>
      <c r="Y825" s="245"/>
      <c r="Z825" s="245"/>
      <c r="AA825" s="245"/>
      <c r="AB825" s="245"/>
      <c r="AC825" s="249"/>
      <c r="AD825" s="249"/>
      <c r="AE825" s="249"/>
      <c r="AF825" s="8"/>
      <c r="AG825" s="8"/>
      <c r="AH825" s="72"/>
      <c r="AI825" s="8"/>
      <c r="AJ825" s="251"/>
      <c r="AK825" s="23"/>
      <c r="AL825" s="75"/>
      <c r="AM825" s="75" t="str">
        <f t="shared" si="141"/>
        <v/>
      </c>
      <c r="AN825" s="75"/>
      <c r="AO825" s="75"/>
      <c r="AP825" s="75"/>
      <c r="AQ825" s="75"/>
      <c r="AR825" s="75"/>
      <c r="AS825" s="75"/>
      <c r="AT825" s="75"/>
    </row>
    <row r="826" ht="22.5" customHeight="1">
      <c r="A826" s="219"/>
      <c r="B826" s="219"/>
      <c r="C826" s="219"/>
      <c r="D826" s="219"/>
      <c r="E826" s="219"/>
      <c r="F826" s="219"/>
      <c r="G826" s="219"/>
      <c r="H826" s="219"/>
      <c r="I826" s="249"/>
      <c r="J826" s="243"/>
      <c r="K826" s="219"/>
      <c r="L826" s="244"/>
      <c r="M826" s="219"/>
      <c r="N826" s="219"/>
      <c r="O826" s="219"/>
      <c r="P826" s="244"/>
      <c r="Q826" s="219"/>
      <c r="R826" s="302"/>
      <c r="S826" s="219"/>
      <c r="T826" s="219"/>
      <c r="U826" s="219"/>
      <c r="V826" s="303"/>
      <c r="W826" s="247"/>
      <c r="X826" s="245"/>
      <c r="Y826" s="245"/>
      <c r="Z826" s="245"/>
      <c r="AA826" s="245"/>
      <c r="AB826" s="245"/>
      <c r="AC826" s="249"/>
      <c r="AD826" s="249"/>
      <c r="AE826" s="249"/>
      <c r="AF826" s="8"/>
      <c r="AG826" s="8"/>
      <c r="AH826" s="72"/>
      <c r="AI826" s="8"/>
      <c r="AJ826" s="251"/>
      <c r="AK826" s="23"/>
      <c r="AL826" s="75"/>
      <c r="AM826" s="75" t="str">
        <f t="shared" si="141"/>
        <v/>
      </c>
      <c r="AN826" s="75"/>
      <c r="AO826" s="75"/>
      <c r="AP826" s="75"/>
      <c r="AQ826" s="75"/>
      <c r="AR826" s="75"/>
      <c r="AS826" s="75"/>
      <c r="AT826" s="75"/>
    </row>
    <row r="827" ht="22.5" customHeight="1">
      <c r="A827" s="219"/>
      <c r="B827" s="219"/>
      <c r="C827" s="219"/>
      <c r="D827" s="219"/>
      <c r="E827" s="219"/>
      <c r="F827" s="219"/>
      <c r="G827" s="219"/>
      <c r="H827" s="219"/>
      <c r="I827" s="249"/>
      <c r="J827" s="243"/>
      <c r="K827" s="219"/>
      <c r="L827" s="244"/>
      <c r="M827" s="219"/>
      <c r="N827" s="219"/>
      <c r="O827" s="219"/>
      <c r="P827" s="244"/>
      <c r="Q827" s="219"/>
      <c r="R827" s="302"/>
      <c r="S827" s="219"/>
      <c r="T827" s="219"/>
      <c r="U827" s="219"/>
      <c r="V827" s="303"/>
      <c r="W827" s="247"/>
      <c r="X827" s="245"/>
      <c r="Y827" s="245"/>
      <c r="Z827" s="245"/>
      <c r="AA827" s="245"/>
      <c r="AB827" s="245"/>
      <c r="AC827" s="249"/>
      <c r="AD827" s="249"/>
      <c r="AE827" s="249"/>
      <c r="AF827" s="8"/>
      <c r="AG827" s="8"/>
      <c r="AH827" s="72"/>
      <c r="AI827" s="8"/>
      <c r="AJ827" s="251"/>
      <c r="AK827" s="23"/>
      <c r="AL827" s="75"/>
      <c r="AM827" s="75" t="str">
        <f t="shared" si="141"/>
        <v/>
      </c>
      <c r="AN827" s="75"/>
      <c r="AO827" s="75"/>
      <c r="AP827" s="75"/>
      <c r="AQ827" s="75"/>
      <c r="AR827" s="75"/>
      <c r="AS827" s="75"/>
      <c r="AT827" s="75"/>
    </row>
    <row r="828" ht="22.5" customHeight="1">
      <c r="A828" s="219"/>
      <c r="B828" s="219"/>
      <c r="C828" s="219"/>
      <c r="D828" s="219"/>
      <c r="E828" s="219"/>
      <c r="F828" s="219"/>
      <c r="G828" s="219"/>
      <c r="H828" s="219"/>
      <c r="I828" s="249"/>
      <c r="J828" s="243"/>
      <c r="K828" s="219"/>
      <c r="L828" s="244"/>
      <c r="M828" s="219"/>
      <c r="N828" s="219"/>
      <c r="O828" s="219"/>
      <c r="P828" s="244"/>
      <c r="Q828" s="219"/>
      <c r="R828" s="302"/>
      <c r="S828" s="219"/>
      <c r="T828" s="219"/>
      <c r="U828" s="219"/>
      <c r="V828" s="303"/>
      <c r="W828" s="247"/>
      <c r="X828" s="245"/>
      <c r="Y828" s="245"/>
      <c r="Z828" s="245"/>
      <c r="AA828" s="245"/>
      <c r="AB828" s="245"/>
      <c r="AC828" s="249"/>
      <c r="AD828" s="249"/>
      <c r="AE828" s="249"/>
      <c r="AF828" s="8"/>
      <c r="AG828" s="8"/>
      <c r="AH828" s="72"/>
      <c r="AI828" s="8"/>
      <c r="AJ828" s="251"/>
      <c r="AK828" s="23"/>
      <c r="AL828" s="75"/>
      <c r="AM828" s="75" t="str">
        <f t="shared" si="141"/>
        <v/>
      </c>
      <c r="AN828" s="75"/>
      <c r="AO828" s="75"/>
      <c r="AP828" s="75"/>
      <c r="AQ828" s="75"/>
      <c r="AR828" s="75"/>
      <c r="AS828" s="75"/>
      <c r="AT828" s="75"/>
    </row>
    <row r="829" ht="22.5" customHeight="1">
      <c r="A829" s="219"/>
      <c r="B829" s="219"/>
      <c r="C829" s="219"/>
      <c r="D829" s="219"/>
      <c r="E829" s="219"/>
      <c r="F829" s="219"/>
      <c r="G829" s="219"/>
      <c r="H829" s="219"/>
      <c r="I829" s="249"/>
      <c r="J829" s="243"/>
      <c r="K829" s="219"/>
      <c r="L829" s="244"/>
      <c r="M829" s="219"/>
      <c r="N829" s="219"/>
      <c r="O829" s="219"/>
      <c r="P829" s="244"/>
      <c r="Q829" s="219"/>
      <c r="R829" s="302"/>
      <c r="S829" s="219"/>
      <c r="T829" s="219"/>
      <c r="U829" s="219"/>
      <c r="V829" s="303"/>
      <c r="W829" s="247"/>
      <c r="X829" s="245"/>
      <c r="Y829" s="245"/>
      <c r="Z829" s="245"/>
      <c r="AA829" s="245"/>
      <c r="AB829" s="245"/>
      <c r="AC829" s="249"/>
      <c r="AD829" s="249"/>
      <c r="AE829" s="249"/>
      <c r="AF829" s="8"/>
      <c r="AG829" s="8"/>
      <c r="AH829" s="72"/>
      <c r="AI829" s="8"/>
      <c r="AJ829" s="251"/>
      <c r="AK829" s="23"/>
      <c r="AL829" s="75"/>
      <c r="AM829" s="75" t="str">
        <f t="shared" si="141"/>
        <v/>
      </c>
      <c r="AN829" s="75"/>
      <c r="AO829" s="75"/>
      <c r="AP829" s="75"/>
      <c r="AQ829" s="75"/>
      <c r="AR829" s="75"/>
      <c r="AS829" s="75"/>
      <c r="AT829" s="75"/>
    </row>
    <row r="830" ht="22.5" customHeight="1">
      <c r="A830" s="219"/>
      <c r="B830" s="219"/>
      <c r="C830" s="219"/>
      <c r="D830" s="219"/>
      <c r="E830" s="219"/>
      <c r="F830" s="219"/>
      <c r="G830" s="219"/>
      <c r="H830" s="219"/>
      <c r="I830" s="249"/>
      <c r="J830" s="243"/>
      <c r="K830" s="219"/>
      <c r="L830" s="244"/>
      <c r="M830" s="219"/>
      <c r="N830" s="219"/>
      <c r="O830" s="219"/>
      <c r="P830" s="244"/>
      <c r="Q830" s="219"/>
      <c r="R830" s="302"/>
      <c r="S830" s="219"/>
      <c r="T830" s="219"/>
      <c r="U830" s="219"/>
      <c r="V830" s="303"/>
      <c r="W830" s="247"/>
      <c r="X830" s="245"/>
      <c r="Y830" s="245"/>
      <c r="Z830" s="245"/>
      <c r="AA830" s="245"/>
      <c r="AB830" s="245"/>
      <c r="AC830" s="249"/>
      <c r="AD830" s="249"/>
      <c r="AE830" s="249"/>
      <c r="AF830" s="8"/>
      <c r="AG830" s="8"/>
      <c r="AH830" s="72"/>
      <c r="AI830" s="8"/>
      <c r="AJ830" s="251"/>
      <c r="AK830" s="23"/>
      <c r="AL830" s="75"/>
      <c r="AM830" s="75" t="str">
        <f t="shared" si="141"/>
        <v/>
      </c>
      <c r="AN830" s="75"/>
      <c r="AO830" s="75"/>
      <c r="AP830" s="75"/>
      <c r="AQ830" s="75"/>
      <c r="AR830" s="75"/>
      <c r="AS830" s="75"/>
      <c r="AT830" s="75"/>
    </row>
    <row r="831" ht="22.5" customHeight="1">
      <c r="A831" s="219"/>
      <c r="B831" s="219"/>
      <c r="C831" s="219"/>
      <c r="D831" s="219"/>
      <c r="E831" s="219"/>
      <c r="F831" s="219"/>
      <c r="G831" s="219"/>
      <c r="H831" s="219"/>
      <c r="I831" s="249"/>
      <c r="J831" s="243"/>
      <c r="K831" s="219"/>
      <c r="L831" s="244"/>
      <c r="M831" s="219"/>
      <c r="N831" s="219"/>
      <c r="O831" s="219"/>
      <c r="P831" s="244"/>
      <c r="Q831" s="219"/>
      <c r="R831" s="302"/>
      <c r="S831" s="219"/>
      <c r="T831" s="219"/>
      <c r="U831" s="219"/>
      <c r="V831" s="303"/>
      <c r="W831" s="247"/>
      <c r="X831" s="245"/>
      <c r="Y831" s="245"/>
      <c r="Z831" s="245"/>
      <c r="AA831" s="245"/>
      <c r="AB831" s="245"/>
      <c r="AC831" s="249"/>
      <c r="AD831" s="249"/>
      <c r="AE831" s="249"/>
      <c r="AF831" s="8"/>
      <c r="AG831" s="8"/>
      <c r="AH831" s="72"/>
      <c r="AI831" s="8"/>
      <c r="AJ831" s="251"/>
      <c r="AK831" s="23"/>
      <c r="AL831" s="75"/>
      <c r="AM831" s="75" t="str">
        <f t="shared" si="141"/>
        <v/>
      </c>
      <c r="AN831" s="75"/>
      <c r="AO831" s="75"/>
      <c r="AP831" s="75"/>
      <c r="AQ831" s="75"/>
      <c r="AR831" s="75"/>
      <c r="AS831" s="75"/>
      <c r="AT831" s="75"/>
    </row>
    <row r="832" ht="22.5" customHeight="1">
      <c r="A832" s="219"/>
      <c r="B832" s="219"/>
      <c r="C832" s="219"/>
      <c r="D832" s="219"/>
      <c r="E832" s="219"/>
      <c r="F832" s="219"/>
      <c r="G832" s="219"/>
      <c r="H832" s="219"/>
      <c r="I832" s="249"/>
      <c r="J832" s="243"/>
      <c r="K832" s="219"/>
      <c r="L832" s="244"/>
      <c r="M832" s="219"/>
      <c r="N832" s="219"/>
      <c r="O832" s="219"/>
      <c r="P832" s="244"/>
      <c r="Q832" s="219"/>
      <c r="R832" s="302"/>
      <c r="S832" s="219"/>
      <c r="T832" s="219"/>
      <c r="U832" s="219"/>
      <c r="V832" s="303"/>
      <c r="W832" s="247"/>
      <c r="X832" s="245"/>
      <c r="Y832" s="245"/>
      <c r="Z832" s="245"/>
      <c r="AA832" s="245"/>
      <c r="AB832" s="245"/>
      <c r="AC832" s="249"/>
      <c r="AD832" s="249"/>
      <c r="AE832" s="249"/>
      <c r="AF832" s="8"/>
      <c r="AG832" s="8"/>
      <c r="AH832" s="72"/>
      <c r="AI832" s="8"/>
      <c r="AJ832" s="251"/>
      <c r="AK832" s="23"/>
      <c r="AL832" s="75"/>
      <c r="AM832" s="75" t="str">
        <f t="shared" si="141"/>
        <v/>
      </c>
      <c r="AN832" s="75"/>
      <c r="AO832" s="75"/>
      <c r="AP832" s="75"/>
      <c r="AQ832" s="75"/>
      <c r="AR832" s="75"/>
      <c r="AS832" s="75"/>
      <c r="AT832" s="75"/>
    </row>
    <row r="833" ht="22.5" customHeight="1">
      <c r="A833" s="219"/>
      <c r="B833" s="219"/>
      <c r="C833" s="219"/>
      <c r="D833" s="219"/>
      <c r="E833" s="219"/>
      <c r="F833" s="219"/>
      <c r="G833" s="219"/>
      <c r="H833" s="219"/>
      <c r="I833" s="249"/>
      <c r="J833" s="243"/>
      <c r="K833" s="219"/>
      <c r="L833" s="244"/>
      <c r="M833" s="219"/>
      <c r="N833" s="219"/>
      <c r="O833" s="219"/>
      <c r="P833" s="244"/>
      <c r="Q833" s="219"/>
      <c r="R833" s="302"/>
      <c r="S833" s="219"/>
      <c r="T833" s="219"/>
      <c r="U833" s="219"/>
      <c r="V833" s="303"/>
      <c r="W833" s="247"/>
      <c r="X833" s="245"/>
      <c r="Y833" s="245"/>
      <c r="Z833" s="245"/>
      <c r="AA833" s="245"/>
      <c r="AB833" s="245"/>
      <c r="AC833" s="249"/>
      <c r="AD833" s="249"/>
      <c r="AE833" s="249"/>
      <c r="AF833" s="8"/>
      <c r="AG833" s="8"/>
      <c r="AH833" s="72"/>
      <c r="AI833" s="8"/>
      <c r="AJ833" s="251"/>
      <c r="AK833" s="23"/>
      <c r="AL833" s="75"/>
      <c r="AM833" s="75" t="str">
        <f t="shared" si="141"/>
        <v/>
      </c>
      <c r="AN833" s="75"/>
      <c r="AO833" s="75"/>
      <c r="AP833" s="75"/>
      <c r="AQ833" s="75"/>
      <c r="AR833" s="75"/>
      <c r="AS833" s="75"/>
      <c r="AT833" s="75"/>
    </row>
    <row r="834" ht="22.5" customHeight="1">
      <c r="A834" s="219"/>
      <c r="B834" s="219"/>
      <c r="C834" s="219"/>
      <c r="D834" s="219"/>
      <c r="E834" s="219"/>
      <c r="F834" s="219"/>
      <c r="G834" s="219"/>
      <c r="H834" s="219"/>
      <c r="I834" s="249"/>
      <c r="J834" s="243"/>
      <c r="K834" s="219"/>
      <c r="L834" s="244"/>
      <c r="M834" s="219"/>
      <c r="N834" s="219"/>
      <c r="O834" s="219"/>
      <c r="P834" s="244"/>
      <c r="Q834" s="219"/>
      <c r="R834" s="302"/>
      <c r="S834" s="219"/>
      <c r="T834" s="219"/>
      <c r="U834" s="219"/>
      <c r="V834" s="303"/>
      <c r="W834" s="247"/>
      <c r="X834" s="245"/>
      <c r="Y834" s="245"/>
      <c r="Z834" s="245"/>
      <c r="AA834" s="245"/>
      <c r="AB834" s="245"/>
      <c r="AC834" s="249"/>
      <c r="AD834" s="249"/>
      <c r="AE834" s="249"/>
      <c r="AF834" s="8"/>
      <c r="AG834" s="8"/>
      <c r="AH834" s="72"/>
      <c r="AI834" s="8"/>
      <c r="AJ834" s="251"/>
      <c r="AK834" s="23"/>
      <c r="AL834" s="75"/>
      <c r="AM834" s="75" t="str">
        <f t="shared" si="141"/>
        <v/>
      </c>
      <c r="AN834" s="75"/>
      <c r="AO834" s="75"/>
      <c r="AP834" s="75"/>
      <c r="AQ834" s="75"/>
      <c r="AR834" s="75"/>
      <c r="AS834" s="75"/>
      <c r="AT834" s="75"/>
    </row>
    <row r="835" ht="22.5" customHeight="1">
      <c r="A835" s="219"/>
      <c r="B835" s="219"/>
      <c r="C835" s="219"/>
      <c r="D835" s="219"/>
      <c r="E835" s="219"/>
      <c r="F835" s="219"/>
      <c r="G835" s="219"/>
      <c r="H835" s="219"/>
      <c r="I835" s="249"/>
      <c r="J835" s="243"/>
      <c r="K835" s="219"/>
      <c r="L835" s="244"/>
      <c r="M835" s="219"/>
      <c r="N835" s="219"/>
      <c r="O835" s="219"/>
      <c r="P835" s="244"/>
      <c r="Q835" s="219"/>
      <c r="R835" s="302"/>
      <c r="S835" s="219"/>
      <c r="T835" s="219"/>
      <c r="U835" s="219"/>
      <c r="V835" s="303"/>
      <c r="W835" s="247"/>
      <c r="X835" s="245"/>
      <c r="Y835" s="245"/>
      <c r="Z835" s="245"/>
      <c r="AA835" s="245"/>
      <c r="AB835" s="245"/>
      <c r="AC835" s="249"/>
      <c r="AD835" s="249"/>
      <c r="AE835" s="249"/>
      <c r="AF835" s="8"/>
      <c r="AG835" s="8"/>
      <c r="AH835" s="72"/>
      <c r="AI835" s="8"/>
      <c r="AJ835" s="251"/>
      <c r="AK835" s="23"/>
      <c r="AL835" s="75"/>
      <c r="AM835" s="75" t="str">
        <f t="shared" si="141"/>
        <v/>
      </c>
      <c r="AN835" s="75"/>
      <c r="AO835" s="75"/>
      <c r="AP835" s="75"/>
      <c r="AQ835" s="75"/>
      <c r="AR835" s="75"/>
      <c r="AS835" s="75"/>
      <c r="AT835" s="75"/>
    </row>
    <row r="836" ht="22.5" customHeight="1">
      <c r="A836" s="219"/>
      <c r="B836" s="219"/>
      <c r="C836" s="219"/>
      <c r="D836" s="219"/>
      <c r="E836" s="219"/>
      <c r="F836" s="219"/>
      <c r="G836" s="219"/>
      <c r="H836" s="219"/>
      <c r="I836" s="249"/>
      <c r="J836" s="243"/>
      <c r="K836" s="219"/>
      <c r="L836" s="244"/>
      <c r="M836" s="219"/>
      <c r="N836" s="219"/>
      <c r="O836" s="219"/>
      <c r="P836" s="244"/>
      <c r="Q836" s="219"/>
      <c r="R836" s="302"/>
      <c r="S836" s="219"/>
      <c r="T836" s="219"/>
      <c r="U836" s="219"/>
      <c r="V836" s="303"/>
      <c r="W836" s="247"/>
      <c r="X836" s="245"/>
      <c r="Y836" s="245"/>
      <c r="Z836" s="245"/>
      <c r="AA836" s="245"/>
      <c r="AB836" s="245"/>
      <c r="AC836" s="249"/>
      <c r="AD836" s="249"/>
      <c r="AE836" s="249"/>
      <c r="AF836" s="8"/>
      <c r="AG836" s="8"/>
      <c r="AH836" s="72"/>
      <c r="AI836" s="8"/>
      <c r="AJ836" s="251"/>
      <c r="AK836" s="23"/>
      <c r="AL836" s="75"/>
      <c r="AM836" s="75" t="str">
        <f t="shared" si="141"/>
        <v/>
      </c>
      <c r="AN836" s="75"/>
      <c r="AO836" s="75"/>
      <c r="AP836" s="75"/>
      <c r="AQ836" s="75"/>
      <c r="AR836" s="75"/>
      <c r="AS836" s="75"/>
      <c r="AT836" s="75"/>
    </row>
    <row r="837" ht="22.5" customHeight="1">
      <c r="A837" s="219"/>
      <c r="B837" s="219"/>
      <c r="C837" s="219"/>
      <c r="D837" s="219"/>
      <c r="E837" s="219"/>
      <c r="F837" s="219"/>
      <c r="G837" s="219"/>
      <c r="H837" s="219"/>
      <c r="I837" s="249"/>
      <c r="J837" s="243"/>
      <c r="K837" s="219"/>
      <c r="L837" s="244"/>
      <c r="M837" s="219"/>
      <c r="N837" s="219"/>
      <c r="O837" s="219"/>
      <c r="P837" s="244"/>
      <c r="Q837" s="219"/>
      <c r="R837" s="302"/>
      <c r="S837" s="219"/>
      <c r="T837" s="219"/>
      <c r="U837" s="219"/>
      <c r="V837" s="303"/>
      <c r="W837" s="247"/>
      <c r="X837" s="245"/>
      <c r="Y837" s="245"/>
      <c r="Z837" s="245"/>
      <c r="AA837" s="245"/>
      <c r="AB837" s="245"/>
      <c r="AC837" s="249"/>
      <c r="AD837" s="249"/>
      <c r="AE837" s="249"/>
      <c r="AF837" s="8"/>
      <c r="AG837" s="8"/>
      <c r="AH837" s="72"/>
      <c r="AI837" s="8"/>
      <c r="AJ837" s="251"/>
      <c r="AK837" s="23"/>
      <c r="AL837" s="75"/>
      <c r="AM837" s="75" t="str">
        <f t="shared" si="141"/>
        <v/>
      </c>
      <c r="AN837" s="75"/>
      <c r="AO837" s="75"/>
      <c r="AP837" s="75"/>
      <c r="AQ837" s="75"/>
      <c r="AR837" s="75"/>
      <c r="AS837" s="75"/>
      <c r="AT837" s="75"/>
    </row>
    <row r="838" ht="22.5" customHeight="1">
      <c r="A838" s="219"/>
      <c r="B838" s="219"/>
      <c r="C838" s="219"/>
      <c r="D838" s="219"/>
      <c r="E838" s="219"/>
      <c r="F838" s="219"/>
      <c r="G838" s="219"/>
      <c r="H838" s="219"/>
      <c r="I838" s="249"/>
      <c r="J838" s="243"/>
      <c r="K838" s="219"/>
      <c r="L838" s="244"/>
      <c r="M838" s="219"/>
      <c r="N838" s="219"/>
      <c r="O838" s="219"/>
      <c r="P838" s="244"/>
      <c r="Q838" s="219"/>
      <c r="R838" s="302"/>
      <c r="S838" s="219"/>
      <c r="T838" s="219"/>
      <c r="U838" s="219"/>
      <c r="V838" s="303"/>
      <c r="W838" s="247"/>
      <c r="X838" s="245"/>
      <c r="Y838" s="245"/>
      <c r="Z838" s="245"/>
      <c r="AA838" s="245"/>
      <c r="AB838" s="245"/>
      <c r="AC838" s="249"/>
      <c r="AD838" s="249"/>
      <c r="AE838" s="249"/>
      <c r="AF838" s="8"/>
      <c r="AG838" s="8"/>
      <c r="AH838" s="72"/>
      <c r="AI838" s="8"/>
      <c r="AJ838" s="251"/>
      <c r="AK838" s="23"/>
      <c r="AL838" s="75"/>
      <c r="AM838" s="75" t="str">
        <f t="shared" si="141"/>
        <v/>
      </c>
      <c r="AN838" s="75"/>
      <c r="AO838" s="75"/>
      <c r="AP838" s="75"/>
      <c r="AQ838" s="75"/>
      <c r="AR838" s="75"/>
      <c r="AS838" s="75"/>
      <c r="AT838" s="75"/>
    </row>
    <row r="839" ht="22.5" customHeight="1">
      <c r="A839" s="219"/>
      <c r="B839" s="219"/>
      <c r="C839" s="219"/>
      <c r="D839" s="219"/>
      <c r="E839" s="219"/>
      <c r="F839" s="219"/>
      <c r="G839" s="219"/>
      <c r="H839" s="219"/>
      <c r="I839" s="249"/>
      <c r="J839" s="243"/>
      <c r="K839" s="219"/>
      <c r="L839" s="244"/>
      <c r="M839" s="219"/>
      <c r="N839" s="219"/>
      <c r="O839" s="219"/>
      <c r="P839" s="244"/>
      <c r="Q839" s="219"/>
      <c r="R839" s="302"/>
      <c r="S839" s="219"/>
      <c r="T839" s="219"/>
      <c r="U839" s="219"/>
      <c r="V839" s="303"/>
      <c r="W839" s="247"/>
      <c r="X839" s="245"/>
      <c r="Y839" s="245"/>
      <c r="Z839" s="245"/>
      <c r="AA839" s="245"/>
      <c r="AB839" s="245"/>
      <c r="AC839" s="249"/>
      <c r="AD839" s="249"/>
      <c r="AE839" s="249"/>
      <c r="AF839" s="8"/>
      <c r="AG839" s="8"/>
      <c r="AH839" s="72"/>
      <c r="AI839" s="8"/>
      <c r="AJ839" s="251"/>
      <c r="AK839" s="23"/>
      <c r="AL839" s="75"/>
      <c r="AM839" s="75" t="str">
        <f t="shared" si="141"/>
        <v/>
      </c>
      <c r="AN839" s="75"/>
      <c r="AO839" s="75"/>
      <c r="AP839" s="75"/>
      <c r="AQ839" s="75"/>
      <c r="AR839" s="75"/>
      <c r="AS839" s="75"/>
      <c r="AT839" s="75"/>
    </row>
    <row r="840" ht="22.5" customHeight="1">
      <c r="A840" s="219"/>
      <c r="B840" s="219"/>
      <c r="C840" s="219"/>
      <c r="D840" s="219"/>
      <c r="E840" s="219"/>
      <c r="F840" s="219"/>
      <c r="G840" s="219"/>
      <c r="H840" s="219"/>
      <c r="I840" s="249"/>
      <c r="J840" s="243"/>
      <c r="K840" s="219"/>
      <c r="L840" s="244"/>
      <c r="M840" s="219"/>
      <c r="N840" s="219"/>
      <c r="O840" s="219"/>
      <c r="P840" s="244"/>
      <c r="Q840" s="219"/>
      <c r="R840" s="302"/>
      <c r="S840" s="219"/>
      <c r="T840" s="219"/>
      <c r="U840" s="219"/>
      <c r="V840" s="303"/>
      <c r="W840" s="247"/>
      <c r="X840" s="245"/>
      <c r="Y840" s="245"/>
      <c r="Z840" s="245"/>
      <c r="AA840" s="245"/>
      <c r="AB840" s="245"/>
      <c r="AC840" s="249"/>
      <c r="AD840" s="249"/>
      <c r="AE840" s="249"/>
      <c r="AF840" s="8"/>
      <c r="AG840" s="8"/>
      <c r="AH840" s="72"/>
      <c r="AI840" s="8"/>
      <c r="AJ840" s="251"/>
      <c r="AK840" s="23"/>
      <c r="AL840" s="75"/>
      <c r="AM840" s="75" t="str">
        <f t="shared" si="141"/>
        <v/>
      </c>
      <c r="AN840" s="75"/>
      <c r="AO840" s="75"/>
      <c r="AP840" s="75"/>
      <c r="AQ840" s="75"/>
      <c r="AR840" s="75"/>
      <c r="AS840" s="75"/>
      <c r="AT840" s="75"/>
    </row>
    <row r="841" ht="22.5" customHeight="1">
      <c r="A841" s="219"/>
      <c r="B841" s="219"/>
      <c r="C841" s="219"/>
      <c r="D841" s="219"/>
      <c r="E841" s="219"/>
      <c r="F841" s="219"/>
      <c r="G841" s="219"/>
      <c r="H841" s="219"/>
      <c r="I841" s="249"/>
      <c r="J841" s="243"/>
      <c r="K841" s="219"/>
      <c r="L841" s="244"/>
      <c r="M841" s="219"/>
      <c r="N841" s="219"/>
      <c r="O841" s="219"/>
      <c r="P841" s="244"/>
      <c r="Q841" s="219"/>
      <c r="R841" s="302"/>
      <c r="S841" s="219"/>
      <c r="T841" s="219"/>
      <c r="U841" s="219"/>
      <c r="V841" s="303"/>
      <c r="W841" s="247"/>
      <c r="X841" s="245"/>
      <c r="Y841" s="245"/>
      <c r="Z841" s="245"/>
      <c r="AA841" s="245"/>
      <c r="AB841" s="245"/>
      <c r="AC841" s="249"/>
      <c r="AD841" s="249"/>
      <c r="AE841" s="249"/>
      <c r="AF841" s="8"/>
      <c r="AG841" s="8"/>
      <c r="AH841" s="72"/>
      <c r="AI841" s="8"/>
      <c r="AJ841" s="251"/>
      <c r="AK841" s="23"/>
      <c r="AL841" s="75"/>
      <c r="AM841" s="75" t="str">
        <f t="shared" si="141"/>
        <v/>
      </c>
      <c r="AN841" s="75"/>
      <c r="AO841" s="75"/>
      <c r="AP841" s="75"/>
      <c r="AQ841" s="75"/>
      <c r="AR841" s="75"/>
      <c r="AS841" s="75"/>
      <c r="AT841" s="75"/>
    </row>
    <row r="842" ht="22.5" customHeight="1">
      <c r="A842" s="219"/>
      <c r="B842" s="219"/>
      <c r="C842" s="219"/>
      <c r="D842" s="219"/>
      <c r="E842" s="219"/>
      <c r="F842" s="219"/>
      <c r="G842" s="219"/>
      <c r="H842" s="219"/>
      <c r="I842" s="249"/>
      <c r="J842" s="243"/>
      <c r="K842" s="219"/>
      <c r="L842" s="244"/>
      <c r="M842" s="219"/>
      <c r="N842" s="219"/>
      <c r="O842" s="219"/>
      <c r="P842" s="244"/>
      <c r="Q842" s="219"/>
      <c r="R842" s="302"/>
      <c r="S842" s="219"/>
      <c r="T842" s="219"/>
      <c r="U842" s="219"/>
      <c r="V842" s="303"/>
      <c r="W842" s="247"/>
      <c r="X842" s="245"/>
      <c r="Y842" s="245"/>
      <c r="Z842" s="245"/>
      <c r="AA842" s="245"/>
      <c r="AB842" s="245"/>
      <c r="AC842" s="249"/>
      <c r="AD842" s="249"/>
      <c r="AE842" s="249"/>
      <c r="AF842" s="8"/>
      <c r="AG842" s="8"/>
      <c r="AH842" s="72"/>
      <c r="AI842" s="8"/>
      <c r="AJ842" s="251"/>
      <c r="AK842" s="23"/>
      <c r="AL842" s="75"/>
      <c r="AM842" s="75" t="str">
        <f t="shared" si="141"/>
        <v/>
      </c>
      <c r="AN842" s="75"/>
      <c r="AO842" s="75"/>
      <c r="AP842" s="75"/>
      <c r="AQ842" s="75"/>
      <c r="AR842" s="75"/>
      <c r="AS842" s="75"/>
      <c r="AT842" s="75"/>
    </row>
    <row r="843" ht="22.5" customHeight="1">
      <c r="A843" s="219"/>
      <c r="B843" s="219"/>
      <c r="C843" s="219"/>
      <c r="D843" s="219"/>
      <c r="E843" s="219"/>
      <c r="F843" s="219"/>
      <c r="G843" s="219"/>
      <c r="H843" s="219"/>
      <c r="I843" s="249"/>
      <c r="J843" s="243"/>
      <c r="K843" s="219"/>
      <c r="L843" s="244"/>
      <c r="M843" s="219"/>
      <c r="N843" s="219"/>
      <c r="O843" s="219"/>
      <c r="P843" s="244"/>
      <c r="Q843" s="219"/>
      <c r="R843" s="302"/>
      <c r="S843" s="219"/>
      <c r="T843" s="219"/>
      <c r="U843" s="219"/>
      <c r="V843" s="303"/>
      <c r="W843" s="247"/>
      <c r="X843" s="245"/>
      <c r="Y843" s="245"/>
      <c r="Z843" s="245"/>
      <c r="AA843" s="245"/>
      <c r="AB843" s="245"/>
      <c r="AC843" s="249"/>
      <c r="AD843" s="249"/>
      <c r="AE843" s="249"/>
      <c r="AF843" s="8"/>
      <c r="AG843" s="8"/>
      <c r="AH843" s="72"/>
      <c r="AI843" s="8"/>
      <c r="AJ843" s="251"/>
      <c r="AK843" s="23"/>
      <c r="AL843" s="75"/>
      <c r="AM843" s="75" t="str">
        <f t="shared" si="141"/>
        <v/>
      </c>
      <c r="AN843" s="75"/>
      <c r="AO843" s="75"/>
      <c r="AP843" s="75"/>
      <c r="AQ843" s="75"/>
      <c r="AR843" s="75"/>
      <c r="AS843" s="75"/>
      <c r="AT843" s="75"/>
    </row>
    <row r="844" ht="22.5" customHeight="1">
      <c r="A844" s="219"/>
      <c r="B844" s="219"/>
      <c r="C844" s="219"/>
      <c r="D844" s="219"/>
      <c r="E844" s="219"/>
      <c r="F844" s="219"/>
      <c r="G844" s="219"/>
      <c r="H844" s="219"/>
      <c r="I844" s="249"/>
      <c r="J844" s="243"/>
      <c r="K844" s="219"/>
      <c r="L844" s="244"/>
      <c r="M844" s="219"/>
      <c r="N844" s="219"/>
      <c r="O844" s="219"/>
      <c r="P844" s="244"/>
      <c r="Q844" s="219"/>
      <c r="R844" s="302"/>
      <c r="S844" s="219"/>
      <c r="T844" s="219"/>
      <c r="U844" s="219"/>
      <c r="V844" s="303"/>
      <c r="W844" s="247"/>
      <c r="X844" s="245"/>
      <c r="Y844" s="245"/>
      <c r="Z844" s="245"/>
      <c r="AA844" s="245"/>
      <c r="AB844" s="245"/>
      <c r="AC844" s="249"/>
      <c r="AD844" s="249"/>
      <c r="AE844" s="249"/>
      <c r="AF844" s="8"/>
      <c r="AG844" s="8"/>
      <c r="AH844" s="72"/>
      <c r="AI844" s="8"/>
      <c r="AJ844" s="251"/>
      <c r="AK844" s="23"/>
      <c r="AL844" s="75"/>
      <c r="AM844" s="75" t="str">
        <f t="shared" si="141"/>
        <v/>
      </c>
      <c r="AN844" s="75"/>
      <c r="AO844" s="75"/>
      <c r="AP844" s="75"/>
      <c r="AQ844" s="75"/>
      <c r="AR844" s="75"/>
      <c r="AS844" s="75"/>
      <c r="AT844" s="75"/>
    </row>
    <row r="845" ht="22.5" customHeight="1">
      <c r="A845" s="219"/>
      <c r="B845" s="219"/>
      <c r="C845" s="219"/>
      <c r="D845" s="219"/>
      <c r="E845" s="219"/>
      <c r="F845" s="219"/>
      <c r="G845" s="219"/>
      <c r="H845" s="219"/>
      <c r="I845" s="249"/>
      <c r="J845" s="243"/>
      <c r="K845" s="219"/>
      <c r="L845" s="244"/>
      <c r="M845" s="219"/>
      <c r="N845" s="219"/>
      <c r="O845" s="219"/>
      <c r="P845" s="244"/>
      <c r="Q845" s="219"/>
      <c r="R845" s="302"/>
      <c r="S845" s="219"/>
      <c r="T845" s="219"/>
      <c r="U845" s="219"/>
      <c r="V845" s="303"/>
      <c r="W845" s="247"/>
      <c r="X845" s="245"/>
      <c r="Y845" s="245"/>
      <c r="Z845" s="245"/>
      <c r="AA845" s="245"/>
      <c r="AB845" s="245"/>
      <c r="AC845" s="249"/>
      <c r="AD845" s="249"/>
      <c r="AE845" s="249"/>
      <c r="AF845" s="8"/>
      <c r="AG845" s="8"/>
      <c r="AH845" s="72"/>
      <c r="AI845" s="8"/>
      <c r="AJ845" s="251"/>
      <c r="AK845" s="23"/>
      <c r="AL845" s="75"/>
      <c r="AM845" s="75" t="str">
        <f t="shared" si="141"/>
        <v/>
      </c>
      <c r="AN845" s="75"/>
      <c r="AO845" s="75"/>
      <c r="AP845" s="75"/>
      <c r="AQ845" s="75"/>
      <c r="AR845" s="75"/>
      <c r="AS845" s="75"/>
      <c r="AT845" s="75"/>
    </row>
    <row r="846" ht="22.5" customHeight="1">
      <c r="A846" s="219"/>
      <c r="B846" s="219"/>
      <c r="C846" s="219"/>
      <c r="D846" s="219"/>
      <c r="E846" s="219"/>
      <c r="F846" s="219"/>
      <c r="G846" s="219"/>
      <c r="H846" s="219"/>
      <c r="I846" s="249"/>
      <c r="J846" s="243"/>
      <c r="K846" s="219"/>
      <c r="L846" s="244"/>
      <c r="M846" s="219"/>
      <c r="N846" s="219"/>
      <c r="O846" s="219"/>
      <c r="P846" s="244"/>
      <c r="Q846" s="219"/>
      <c r="R846" s="302"/>
      <c r="S846" s="219"/>
      <c r="T846" s="219"/>
      <c r="U846" s="219"/>
      <c r="V846" s="303"/>
      <c r="W846" s="247"/>
      <c r="X846" s="245"/>
      <c r="Y846" s="245"/>
      <c r="Z846" s="245"/>
      <c r="AA846" s="245"/>
      <c r="AB846" s="245"/>
      <c r="AC846" s="249"/>
      <c r="AD846" s="249"/>
      <c r="AE846" s="249"/>
      <c r="AF846" s="8"/>
      <c r="AG846" s="8"/>
      <c r="AH846" s="72"/>
      <c r="AI846" s="8"/>
      <c r="AJ846" s="251"/>
      <c r="AK846" s="23"/>
      <c r="AL846" s="75"/>
      <c r="AM846" s="75" t="str">
        <f t="shared" si="141"/>
        <v/>
      </c>
      <c r="AN846" s="75"/>
      <c r="AO846" s="75"/>
      <c r="AP846" s="75"/>
      <c r="AQ846" s="75"/>
      <c r="AR846" s="75"/>
      <c r="AS846" s="75"/>
      <c r="AT846" s="75"/>
    </row>
    <row r="847" ht="22.5" customHeight="1">
      <c r="A847" s="219"/>
      <c r="B847" s="219"/>
      <c r="C847" s="219"/>
      <c r="D847" s="219"/>
      <c r="E847" s="219"/>
      <c r="F847" s="219"/>
      <c r="G847" s="219"/>
      <c r="H847" s="219"/>
      <c r="I847" s="249"/>
      <c r="J847" s="243"/>
      <c r="K847" s="219"/>
      <c r="L847" s="244"/>
      <c r="M847" s="219"/>
      <c r="N847" s="219"/>
      <c r="O847" s="219"/>
      <c r="P847" s="244"/>
      <c r="Q847" s="219"/>
      <c r="R847" s="302"/>
      <c r="S847" s="219"/>
      <c r="T847" s="219"/>
      <c r="U847" s="219"/>
      <c r="V847" s="303"/>
      <c r="W847" s="247"/>
      <c r="X847" s="245"/>
      <c r="Y847" s="245"/>
      <c r="Z847" s="245"/>
      <c r="AA847" s="245"/>
      <c r="AB847" s="245"/>
      <c r="AC847" s="249"/>
      <c r="AD847" s="249"/>
      <c r="AE847" s="249"/>
      <c r="AF847" s="8"/>
      <c r="AG847" s="8"/>
      <c r="AH847" s="72"/>
      <c r="AI847" s="8"/>
      <c r="AJ847" s="251"/>
      <c r="AK847" s="23"/>
      <c r="AL847" s="75"/>
      <c r="AM847" s="75" t="str">
        <f t="shared" si="141"/>
        <v/>
      </c>
      <c r="AN847" s="75"/>
      <c r="AO847" s="75"/>
      <c r="AP847" s="75"/>
      <c r="AQ847" s="75"/>
      <c r="AR847" s="75"/>
      <c r="AS847" s="75"/>
      <c r="AT847" s="75"/>
    </row>
    <row r="848" ht="22.5" customHeight="1">
      <c r="A848" s="219"/>
      <c r="B848" s="219"/>
      <c r="C848" s="219"/>
      <c r="D848" s="219"/>
      <c r="E848" s="219"/>
      <c r="F848" s="219"/>
      <c r="G848" s="219"/>
      <c r="H848" s="219"/>
      <c r="I848" s="249"/>
      <c r="J848" s="243"/>
      <c r="K848" s="219"/>
      <c r="L848" s="244"/>
      <c r="M848" s="219"/>
      <c r="N848" s="219"/>
      <c r="O848" s="219"/>
      <c r="P848" s="244"/>
      <c r="Q848" s="219"/>
      <c r="R848" s="302"/>
      <c r="S848" s="219"/>
      <c r="T848" s="219"/>
      <c r="U848" s="219"/>
      <c r="V848" s="303"/>
      <c r="W848" s="247"/>
      <c r="X848" s="245"/>
      <c r="Y848" s="245"/>
      <c r="Z848" s="245"/>
      <c r="AA848" s="245"/>
      <c r="AB848" s="245"/>
      <c r="AC848" s="249"/>
      <c r="AD848" s="249"/>
      <c r="AE848" s="249"/>
      <c r="AF848" s="8"/>
      <c r="AG848" s="8"/>
      <c r="AH848" s="72"/>
      <c r="AI848" s="8"/>
      <c r="AJ848" s="251"/>
      <c r="AK848" s="23"/>
      <c r="AL848" s="75"/>
      <c r="AM848" s="75" t="str">
        <f t="shared" si="141"/>
        <v/>
      </c>
      <c r="AN848" s="75"/>
      <c r="AO848" s="75"/>
      <c r="AP848" s="75"/>
      <c r="AQ848" s="75"/>
      <c r="AR848" s="75"/>
      <c r="AS848" s="75"/>
      <c r="AT848" s="75"/>
    </row>
    <row r="849" ht="22.5" customHeight="1">
      <c r="A849" s="219"/>
      <c r="B849" s="219"/>
      <c r="C849" s="219"/>
      <c r="D849" s="219"/>
      <c r="E849" s="219"/>
      <c r="F849" s="219"/>
      <c r="G849" s="219"/>
      <c r="H849" s="219"/>
      <c r="I849" s="249"/>
      <c r="J849" s="243"/>
      <c r="K849" s="219"/>
      <c r="L849" s="244"/>
      <c r="M849" s="219"/>
      <c r="N849" s="219"/>
      <c r="O849" s="219"/>
      <c r="P849" s="244"/>
      <c r="Q849" s="219"/>
      <c r="R849" s="302"/>
      <c r="S849" s="219"/>
      <c r="T849" s="219"/>
      <c r="U849" s="219"/>
      <c r="V849" s="303"/>
      <c r="W849" s="247"/>
      <c r="X849" s="245"/>
      <c r="Y849" s="245"/>
      <c r="Z849" s="245"/>
      <c r="AA849" s="245"/>
      <c r="AB849" s="245"/>
      <c r="AC849" s="249"/>
      <c r="AD849" s="249"/>
      <c r="AE849" s="249"/>
      <c r="AF849" s="8"/>
      <c r="AG849" s="8"/>
      <c r="AH849" s="72"/>
      <c r="AI849" s="8"/>
      <c r="AJ849" s="251"/>
      <c r="AK849" s="23"/>
      <c r="AL849" s="75"/>
      <c r="AM849" s="75" t="str">
        <f t="shared" si="141"/>
        <v/>
      </c>
      <c r="AN849" s="75"/>
      <c r="AO849" s="75"/>
      <c r="AP849" s="75"/>
      <c r="AQ849" s="75"/>
      <c r="AR849" s="75"/>
      <c r="AS849" s="75"/>
      <c r="AT849" s="75"/>
    </row>
    <row r="850" ht="22.5" customHeight="1">
      <c r="A850" s="219"/>
      <c r="B850" s="219"/>
      <c r="C850" s="219"/>
      <c r="D850" s="219"/>
      <c r="E850" s="219"/>
      <c r="F850" s="219"/>
      <c r="G850" s="219"/>
      <c r="H850" s="219"/>
      <c r="I850" s="249"/>
      <c r="J850" s="243"/>
      <c r="K850" s="219"/>
      <c r="L850" s="244"/>
      <c r="M850" s="219"/>
      <c r="N850" s="219"/>
      <c r="O850" s="219"/>
      <c r="P850" s="244"/>
      <c r="Q850" s="219"/>
      <c r="R850" s="302"/>
      <c r="S850" s="219"/>
      <c r="T850" s="219"/>
      <c r="U850" s="219"/>
      <c r="V850" s="303"/>
      <c r="W850" s="247"/>
      <c r="X850" s="245"/>
      <c r="Y850" s="245"/>
      <c r="Z850" s="245"/>
      <c r="AA850" s="245"/>
      <c r="AB850" s="245"/>
      <c r="AC850" s="249"/>
      <c r="AD850" s="249"/>
      <c r="AE850" s="249"/>
      <c r="AF850" s="8"/>
      <c r="AG850" s="8"/>
      <c r="AH850" s="72"/>
      <c r="AI850" s="8"/>
      <c r="AJ850" s="251"/>
      <c r="AK850" s="23"/>
      <c r="AL850" s="75"/>
      <c r="AM850" s="75" t="str">
        <f t="shared" si="141"/>
        <v/>
      </c>
      <c r="AN850" s="75"/>
      <c r="AO850" s="75"/>
      <c r="AP850" s="75"/>
      <c r="AQ850" s="75"/>
      <c r="AR850" s="75"/>
      <c r="AS850" s="75"/>
      <c r="AT850" s="75"/>
    </row>
    <row r="851" ht="22.5" customHeight="1">
      <c r="A851" s="219"/>
      <c r="B851" s="219"/>
      <c r="C851" s="219"/>
      <c r="D851" s="219"/>
      <c r="E851" s="219"/>
      <c r="F851" s="219"/>
      <c r="G851" s="219"/>
      <c r="H851" s="219"/>
      <c r="I851" s="249"/>
      <c r="J851" s="243"/>
      <c r="K851" s="219"/>
      <c r="L851" s="244"/>
      <c r="M851" s="219"/>
      <c r="N851" s="219"/>
      <c r="O851" s="219"/>
      <c r="P851" s="244"/>
      <c r="Q851" s="219"/>
      <c r="R851" s="302"/>
      <c r="S851" s="219"/>
      <c r="T851" s="219"/>
      <c r="U851" s="219"/>
      <c r="V851" s="303"/>
      <c r="W851" s="247"/>
      <c r="X851" s="245"/>
      <c r="Y851" s="245"/>
      <c r="Z851" s="245"/>
      <c r="AA851" s="245"/>
      <c r="AB851" s="245"/>
      <c r="AC851" s="249"/>
      <c r="AD851" s="249"/>
      <c r="AE851" s="249"/>
      <c r="AF851" s="8"/>
      <c r="AG851" s="8"/>
      <c r="AH851" s="72"/>
      <c r="AI851" s="8"/>
      <c r="AJ851" s="251"/>
      <c r="AK851" s="23"/>
      <c r="AL851" s="75"/>
      <c r="AM851" s="75" t="str">
        <f t="shared" si="141"/>
        <v/>
      </c>
      <c r="AN851" s="75"/>
      <c r="AO851" s="75"/>
      <c r="AP851" s="75"/>
      <c r="AQ851" s="75"/>
      <c r="AR851" s="75"/>
      <c r="AS851" s="75"/>
      <c r="AT851" s="75"/>
    </row>
    <row r="852" ht="22.5" customHeight="1">
      <c r="A852" s="219"/>
      <c r="B852" s="219"/>
      <c r="C852" s="219"/>
      <c r="D852" s="219"/>
      <c r="E852" s="219"/>
      <c r="F852" s="219"/>
      <c r="G852" s="219"/>
      <c r="H852" s="219"/>
      <c r="I852" s="249"/>
      <c r="J852" s="243"/>
      <c r="K852" s="219"/>
      <c r="L852" s="244"/>
      <c r="M852" s="219"/>
      <c r="N852" s="219"/>
      <c r="O852" s="219"/>
      <c r="P852" s="244"/>
      <c r="Q852" s="219"/>
      <c r="R852" s="302"/>
      <c r="S852" s="219"/>
      <c r="T852" s="219"/>
      <c r="U852" s="219"/>
      <c r="V852" s="303"/>
      <c r="W852" s="247"/>
      <c r="X852" s="245"/>
      <c r="Y852" s="245"/>
      <c r="Z852" s="245"/>
      <c r="AA852" s="245"/>
      <c r="AB852" s="245"/>
      <c r="AC852" s="249"/>
      <c r="AD852" s="249"/>
      <c r="AE852" s="249"/>
      <c r="AF852" s="8"/>
      <c r="AG852" s="8"/>
      <c r="AH852" s="72"/>
      <c r="AI852" s="8"/>
      <c r="AJ852" s="251"/>
      <c r="AK852" s="23"/>
      <c r="AL852" s="75"/>
      <c r="AM852" s="75" t="str">
        <f t="shared" si="141"/>
        <v/>
      </c>
      <c r="AN852" s="75"/>
      <c r="AO852" s="75"/>
      <c r="AP852" s="75"/>
      <c r="AQ852" s="75"/>
      <c r="AR852" s="75"/>
      <c r="AS852" s="75"/>
      <c r="AT852" s="75"/>
    </row>
    <row r="853" ht="22.5" customHeight="1">
      <c r="A853" s="219"/>
      <c r="B853" s="219"/>
      <c r="C853" s="219"/>
      <c r="D853" s="219"/>
      <c r="E853" s="219"/>
      <c r="F853" s="219"/>
      <c r="G853" s="219"/>
      <c r="H853" s="219"/>
      <c r="I853" s="249"/>
      <c r="J853" s="243"/>
      <c r="K853" s="219"/>
      <c r="L853" s="244"/>
      <c r="M853" s="219"/>
      <c r="N853" s="219"/>
      <c r="O853" s="219"/>
      <c r="P853" s="244"/>
      <c r="Q853" s="219"/>
      <c r="R853" s="302"/>
      <c r="S853" s="219"/>
      <c r="T853" s="219"/>
      <c r="U853" s="219"/>
      <c r="V853" s="303"/>
      <c r="W853" s="247"/>
      <c r="X853" s="245"/>
      <c r="Y853" s="245"/>
      <c r="Z853" s="245"/>
      <c r="AA853" s="245"/>
      <c r="AB853" s="245"/>
      <c r="AC853" s="249"/>
      <c r="AD853" s="249"/>
      <c r="AE853" s="249"/>
      <c r="AF853" s="8"/>
      <c r="AG853" s="8"/>
      <c r="AH853" s="72"/>
      <c r="AI853" s="8"/>
      <c r="AJ853" s="251"/>
      <c r="AK853" s="23"/>
      <c r="AL853" s="75"/>
      <c r="AM853" s="75" t="str">
        <f t="shared" si="141"/>
        <v/>
      </c>
      <c r="AN853" s="75"/>
      <c r="AO853" s="75"/>
      <c r="AP853" s="75"/>
      <c r="AQ853" s="75"/>
      <c r="AR853" s="75"/>
      <c r="AS853" s="75"/>
      <c r="AT853" s="75"/>
    </row>
    <row r="854" ht="22.5" customHeight="1">
      <c r="A854" s="219"/>
      <c r="B854" s="219"/>
      <c r="C854" s="219"/>
      <c r="D854" s="219"/>
      <c r="E854" s="219"/>
      <c r="F854" s="219"/>
      <c r="G854" s="219"/>
      <c r="H854" s="219"/>
      <c r="I854" s="249"/>
      <c r="J854" s="243"/>
      <c r="K854" s="219"/>
      <c r="L854" s="244"/>
      <c r="M854" s="219"/>
      <c r="N854" s="219"/>
      <c r="O854" s="219"/>
      <c r="P854" s="244"/>
      <c r="Q854" s="219"/>
      <c r="R854" s="302"/>
      <c r="S854" s="219"/>
      <c r="T854" s="219"/>
      <c r="U854" s="219"/>
      <c r="V854" s="303"/>
      <c r="W854" s="247"/>
      <c r="X854" s="245"/>
      <c r="Y854" s="245"/>
      <c r="Z854" s="245"/>
      <c r="AA854" s="245"/>
      <c r="AB854" s="245"/>
      <c r="AC854" s="249"/>
      <c r="AD854" s="249"/>
      <c r="AE854" s="249"/>
      <c r="AF854" s="8"/>
      <c r="AG854" s="8"/>
      <c r="AH854" s="72"/>
      <c r="AI854" s="8"/>
      <c r="AJ854" s="251"/>
      <c r="AK854" s="23"/>
      <c r="AL854" s="75"/>
      <c r="AM854" s="75" t="str">
        <f t="shared" si="141"/>
        <v/>
      </c>
      <c r="AN854" s="75"/>
      <c r="AO854" s="75"/>
      <c r="AP854" s="75"/>
      <c r="AQ854" s="75"/>
      <c r="AR854" s="75"/>
      <c r="AS854" s="75"/>
      <c r="AT854" s="75"/>
    </row>
    <row r="855" ht="22.5" customHeight="1">
      <c r="A855" s="219"/>
      <c r="B855" s="219"/>
      <c r="C855" s="219"/>
      <c r="D855" s="219"/>
      <c r="E855" s="219"/>
      <c r="F855" s="219"/>
      <c r="G855" s="219"/>
      <c r="H855" s="219"/>
      <c r="I855" s="249"/>
      <c r="J855" s="243"/>
      <c r="K855" s="219"/>
      <c r="L855" s="244"/>
      <c r="M855" s="219"/>
      <c r="N855" s="219"/>
      <c r="O855" s="219"/>
      <c r="P855" s="244"/>
      <c r="Q855" s="219"/>
      <c r="R855" s="302"/>
      <c r="S855" s="219"/>
      <c r="T855" s="219"/>
      <c r="U855" s="219"/>
      <c r="V855" s="303"/>
      <c r="W855" s="247"/>
      <c r="X855" s="245"/>
      <c r="Y855" s="245"/>
      <c r="Z855" s="245"/>
      <c r="AA855" s="245"/>
      <c r="AB855" s="245"/>
      <c r="AC855" s="249"/>
      <c r="AD855" s="249"/>
      <c r="AE855" s="249"/>
      <c r="AF855" s="8"/>
      <c r="AG855" s="8"/>
      <c r="AH855" s="72"/>
      <c r="AI855" s="8"/>
      <c r="AJ855" s="251"/>
      <c r="AK855" s="23"/>
      <c r="AL855" s="75"/>
      <c r="AM855" s="75" t="str">
        <f t="shared" si="141"/>
        <v/>
      </c>
      <c r="AN855" s="75"/>
      <c r="AO855" s="75"/>
      <c r="AP855" s="75"/>
      <c r="AQ855" s="75"/>
      <c r="AR855" s="75"/>
      <c r="AS855" s="75"/>
      <c r="AT855" s="75"/>
    </row>
    <row r="856" ht="22.5" customHeight="1">
      <c r="A856" s="219"/>
      <c r="B856" s="219"/>
      <c r="C856" s="219"/>
      <c r="D856" s="219"/>
      <c r="E856" s="219"/>
      <c r="F856" s="219"/>
      <c r="G856" s="219"/>
      <c r="H856" s="219"/>
      <c r="I856" s="249"/>
      <c r="J856" s="243"/>
      <c r="K856" s="219"/>
      <c r="L856" s="244"/>
      <c r="M856" s="219"/>
      <c r="N856" s="219"/>
      <c r="O856" s="219"/>
      <c r="P856" s="244"/>
      <c r="Q856" s="219"/>
      <c r="R856" s="302"/>
      <c r="S856" s="219"/>
      <c r="T856" s="219"/>
      <c r="U856" s="219"/>
      <c r="V856" s="303"/>
      <c r="W856" s="247"/>
      <c r="X856" s="245"/>
      <c r="Y856" s="245"/>
      <c r="Z856" s="245"/>
      <c r="AA856" s="245"/>
      <c r="AB856" s="245"/>
      <c r="AC856" s="249"/>
      <c r="AD856" s="249"/>
      <c r="AE856" s="249"/>
      <c r="AF856" s="8"/>
      <c r="AG856" s="8"/>
      <c r="AH856" s="72"/>
      <c r="AI856" s="8"/>
      <c r="AJ856" s="251"/>
      <c r="AK856" s="23"/>
      <c r="AL856" s="75"/>
      <c r="AM856" s="75" t="str">
        <f t="shared" si="141"/>
        <v/>
      </c>
      <c r="AN856" s="75"/>
      <c r="AO856" s="75"/>
      <c r="AP856" s="75"/>
      <c r="AQ856" s="75"/>
      <c r="AR856" s="75"/>
      <c r="AS856" s="75"/>
      <c r="AT856" s="75"/>
    </row>
    <row r="857" ht="22.5" customHeight="1">
      <c r="A857" s="219"/>
      <c r="B857" s="219"/>
      <c r="C857" s="219"/>
      <c r="D857" s="219"/>
      <c r="E857" s="219"/>
      <c r="F857" s="219"/>
      <c r="G857" s="219"/>
      <c r="H857" s="219"/>
      <c r="I857" s="249"/>
      <c r="J857" s="243"/>
      <c r="K857" s="219"/>
      <c r="L857" s="244"/>
      <c r="M857" s="219"/>
      <c r="N857" s="219"/>
      <c r="O857" s="219"/>
      <c r="P857" s="244"/>
      <c r="Q857" s="219"/>
      <c r="R857" s="302"/>
      <c r="S857" s="219"/>
      <c r="T857" s="219"/>
      <c r="U857" s="219"/>
      <c r="V857" s="303"/>
      <c r="W857" s="247"/>
      <c r="X857" s="245"/>
      <c r="Y857" s="245"/>
      <c r="Z857" s="245"/>
      <c r="AA857" s="245"/>
      <c r="AB857" s="245"/>
      <c r="AC857" s="249"/>
      <c r="AD857" s="249"/>
      <c r="AE857" s="249"/>
      <c r="AF857" s="8"/>
      <c r="AG857" s="8"/>
      <c r="AH857" s="72"/>
      <c r="AI857" s="8"/>
      <c r="AJ857" s="251"/>
      <c r="AK857" s="23"/>
      <c r="AL857" s="75"/>
      <c r="AM857" s="75" t="str">
        <f t="shared" si="141"/>
        <v/>
      </c>
      <c r="AN857" s="75"/>
      <c r="AO857" s="75"/>
      <c r="AP857" s="75"/>
      <c r="AQ857" s="75"/>
      <c r="AR857" s="75"/>
      <c r="AS857" s="75"/>
      <c r="AT857" s="75"/>
    </row>
    <row r="858" ht="22.5" customHeight="1">
      <c r="A858" s="219"/>
      <c r="B858" s="219"/>
      <c r="C858" s="219"/>
      <c r="D858" s="219"/>
      <c r="E858" s="219"/>
      <c r="F858" s="219"/>
      <c r="G858" s="219"/>
      <c r="H858" s="219"/>
      <c r="I858" s="249"/>
      <c r="J858" s="243"/>
      <c r="K858" s="219"/>
      <c r="L858" s="244"/>
      <c r="M858" s="219"/>
      <c r="N858" s="219"/>
      <c r="O858" s="219"/>
      <c r="P858" s="244"/>
      <c r="Q858" s="219"/>
      <c r="R858" s="302"/>
      <c r="S858" s="219"/>
      <c r="T858" s="219"/>
      <c r="U858" s="219"/>
      <c r="V858" s="303"/>
      <c r="W858" s="247"/>
      <c r="X858" s="245"/>
      <c r="Y858" s="245"/>
      <c r="Z858" s="245"/>
      <c r="AA858" s="245"/>
      <c r="AB858" s="245"/>
      <c r="AC858" s="249"/>
      <c r="AD858" s="249"/>
      <c r="AE858" s="249"/>
      <c r="AF858" s="8"/>
      <c r="AG858" s="8"/>
      <c r="AH858" s="72"/>
      <c r="AI858" s="8"/>
      <c r="AJ858" s="251"/>
      <c r="AK858" s="23"/>
      <c r="AL858" s="75"/>
      <c r="AM858" s="75" t="str">
        <f t="shared" si="141"/>
        <v/>
      </c>
      <c r="AN858" s="75"/>
      <c r="AO858" s="75"/>
      <c r="AP858" s="75"/>
      <c r="AQ858" s="75"/>
      <c r="AR858" s="75"/>
      <c r="AS858" s="75"/>
      <c r="AT858" s="75"/>
    </row>
    <row r="859" ht="22.5" customHeight="1">
      <c r="A859" s="219"/>
      <c r="B859" s="219"/>
      <c r="C859" s="219"/>
      <c r="D859" s="219"/>
      <c r="E859" s="219"/>
      <c r="F859" s="219"/>
      <c r="G859" s="219"/>
      <c r="H859" s="219"/>
      <c r="I859" s="249"/>
      <c r="J859" s="243"/>
      <c r="K859" s="219"/>
      <c r="L859" s="244"/>
      <c r="M859" s="219"/>
      <c r="N859" s="219"/>
      <c r="O859" s="219"/>
      <c r="P859" s="244"/>
      <c r="Q859" s="219"/>
      <c r="R859" s="302"/>
      <c r="S859" s="219"/>
      <c r="T859" s="219"/>
      <c r="U859" s="219"/>
      <c r="V859" s="303"/>
      <c r="W859" s="247"/>
      <c r="X859" s="245"/>
      <c r="Y859" s="245"/>
      <c r="Z859" s="245"/>
      <c r="AA859" s="245"/>
      <c r="AB859" s="245"/>
      <c r="AC859" s="249"/>
      <c r="AD859" s="249"/>
      <c r="AE859" s="249"/>
      <c r="AF859" s="8"/>
      <c r="AG859" s="8"/>
      <c r="AH859" s="72"/>
      <c r="AI859" s="8"/>
      <c r="AJ859" s="251"/>
      <c r="AK859" s="23"/>
      <c r="AL859" s="75"/>
      <c r="AM859" s="75" t="str">
        <f t="shared" si="141"/>
        <v/>
      </c>
      <c r="AN859" s="75"/>
      <c r="AO859" s="75"/>
      <c r="AP859" s="75"/>
      <c r="AQ859" s="75"/>
      <c r="AR859" s="75"/>
      <c r="AS859" s="75"/>
      <c r="AT859" s="75"/>
    </row>
    <row r="860" ht="22.5" customHeight="1">
      <c r="A860" s="219"/>
      <c r="B860" s="219"/>
      <c r="C860" s="219"/>
      <c r="D860" s="219"/>
      <c r="E860" s="219"/>
      <c r="F860" s="219"/>
      <c r="G860" s="219"/>
      <c r="H860" s="219"/>
      <c r="I860" s="249"/>
      <c r="J860" s="243"/>
      <c r="K860" s="219"/>
      <c r="L860" s="244"/>
      <c r="M860" s="219"/>
      <c r="N860" s="219"/>
      <c r="O860" s="219"/>
      <c r="P860" s="244"/>
      <c r="Q860" s="219"/>
      <c r="R860" s="302"/>
      <c r="S860" s="219"/>
      <c r="T860" s="219"/>
      <c r="U860" s="219"/>
      <c r="V860" s="303"/>
      <c r="W860" s="247"/>
      <c r="X860" s="245"/>
      <c r="Y860" s="245"/>
      <c r="Z860" s="245"/>
      <c r="AA860" s="245"/>
      <c r="AB860" s="245"/>
      <c r="AC860" s="249"/>
      <c r="AD860" s="249"/>
      <c r="AE860" s="249"/>
      <c r="AF860" s="8"/>
      <c r="AG860" s="8"/>
      <c r="AH860" s="72"/>
      <c r="AI860" s="8"/>
      <c r="AJ860" s="251"/>
      <c r="AK860" s="23"/>
      <c r="AL860" s="75"/>
      <c r="AM860" s="75" t="str">
        <f t="shared" si="141"/>
        <v/>
      </c>
      <c r="AN860" s="75"/>
      <c r="AO860" s="75"/>
      <c r="AP860" s="75"/>
      <c r="AQ860" s="75"/>
      <c r="AR860" s="75"/>
      <c r="AS860" s="75"/>
      <c r="AT860" s="75"/>
    </row>
    <row r="861" ht="22.5" customHeight="1">
      <c r="A861" s="219"/>
      <c r="B861" s="219"/>
      <c r="C861" s="219"/>
      <c r="D861" s="219"/>
      <c r="E861" s="219"/>
      <c r="F861" s="219"/>
      <c r="G861" s="219"/>
      <c r="H861" s="219"/>
      <c r="I861" s="249"/>
      <c r="J861" s="243"/>
      <c r="K861" s="219"/>
      <c r="L861" s="244"/>
      <c r="M861" s="219"/>
      <c r="N861" s="219"/>
      <c r="O861" s="219"/>
      <c r="P861" s="244"/>
      <c r="Q861" s="219"/>
      <c r="R861" s="302"/>
      <c r="S861" s="219"/>
      <c r="T861" s="219"/>
      <c r="U861" s="219"/>
      <c r="V861" s="303"/>
      <c r="W861" s="247"/>
      <c r="X861" s="245"/>
      <c r="Y861" s="245"/>
      <c r="Z861" s="245"/>
      <c r="AA861" s="245"/>
      <c r="AB861" s="245"/>
      <c r="AC861" s="249"/>
      <c r="AD861" s="249"/>
      <c r="AE861" s="249"/>
      <c r="AF861" s="8"/>
      <c r="AG861" s="8"/>
      <c r="AH861" s="72"/>
      <c r="AI861" s="8"/>
      <c r="AJ861" s="251"/>
      <c r="AK861" s="23"/>
      <c r="AL861" s="75"/>
      <c r="AM861" s="75" t="str">
        <f t="shared" si="141"/>
        <v/>
      </c>
      <c r="AN861" s="75"/>
      <c r="AO861" s="75"/>
      <c r="AP861" s="75"/>
      <c r="AQ861" s="75"/>
      <c r="AR861" s="75"/>
      <c r="AS861" s="75"/>
      <c r="AT861" s="75"/>
    </row>
    <row r="862" ht="22.5" customHeight="1">
      <c r="A862" s="219"/>
      <c r="B862" s="219"/>
      <c r="C862" s="219"/>
      <c r="D862" s="219"/>
      <c r="E862" s="219"/>
      <c r="F862" s="219"/>
      <c r="G862" s="219"/>
      <c r="H862" s="219"/>
      <c r="I862" s="249"/>
      <c r="J862" s="243"/>
      <c r="K862" s="219"/>
      <c r="L862" s="244"/>
      <c r="M862" s="219"/>
      <c r="N862" s="219"/>
      <c r="O862" s="219"/>
      <c r="P862" s="244"/>
      <c r="Q862" s="219"/>
      <c r="R862" s="302"/>
      <c r="S862" s="219"/>
      <c r="T862" s="219"/>
      <c r="U862" s="219"/>
      <c r="V862" s="303"/>
      <c r="W862" s="247"/>
      <c r="X862" s="245"/>
      <c r="Y862" s="245"/>
      <c r="Z862" s="245"/>
      <c r="AA862" s="245"/>
      <c r="AB862" s="245"/>
      <c r="AC862" s="249"/>
      <c r="AD862" s="249"/>
      <c r="AE862" s="249"/>
      <c r="AF862" s="8"/>
      <c r="AG862" s="8"/>
      <c r="AH862" s="72"/>
      <c r="AI862" s="8"/>
      <c r="AJ862" s="251"/>
      <c r="AK862" s="23"/>
      <c r="AL862" s="75"/>
      <c r="AM862" s="75" t="str">
        <f t="shared" si="141"/>
        <v/>
      </c>
      <c r="AN862" s="75"/>
      <c r="AO862" s="75"/>
      <c r="AP862" s="75"/>
      <c r="AQ862" s="75"/>
      <c r="AR862" s="75"/>
      <c r="AS862" s="75"/>
      <c r="AT862" s="75"/>
    </row>
    <row r="863" ht="22.5" customHeight="1">
      <c r="A863" s="219"/>
      <c r="B863" s="219"/>
      <c r="C863" s="219"/>
      <c r="D863" s="219"/>
      <c r="E863" s="219"/>
      <c r="F863" s="219"/>
      <c r="G863" s="219"/>
      <c r="H863" s="219"/>
      <c r="I863" s="249"/>
      <c r="J863" s="243"/>
      <c r="K863" s="219"/>
      <c r="L863" s="244"/>
      <c r="M863" s="219"/>
      <c r="N863" s="219"/>
      <c r="O863" s="219"/>
      <c r="P863" s="244"/>
      <c r="Q863" s="219"/>
      <c r="R863" s="302"/>
      <c r="S863" s="219"/>
      <c r="T863" s="219"/>
      <c r="U863" s="219"/>
      <c r="V863" s="303"/>
      <c r="W863" s="247"/>
      <c r="X863" s="245"/>
      <c r="Y863" s="245"/>
      <c r="Z863" s="245"/>
      <c r="AA863" s="245"/>
      <c r="AB863" s="245"/>
      <c r="AC863" s="249"/>
      <c r="AD863" s="249"/>
      <c r="AE863" s="249"/>
      <c r="AF863" s="8"/>
      <c r="AG863" s="8"/>
      <c r="AH863" s="72"/>
      <c r="AI863" s="8"/>
      <c r="AJ863" s="251"/>
      <c r="AK863" s="23"/>
      <c r="AL863" s="75"/>
      <c r="AM863" s="75" t="str">
        <f t="shared" si="141"/>
        <v/>
      </c>
      <c r="AN863" s="75"/>
      <c r="AO863" s="75"/>
      <c r="AP863" s="75"/>
      <c r="AQ863" s="75"/>
      <c r="AR863" s="75"/>
      <c r="AS863" s="75"/>
      <c r="AT863" s="75"/>
    </row>
    <row r="864" ht="22.5" customHeight="1">
      <c r="A864" s="219"/>
      <c r="B864" s="219"/>
      <c r="C864" s="219"/>
      <c r="D864" s="219"/>
      <c r="E864" s="219"/>
      <c r="F864" s="219"/>
      <c r="G864" s="219"/>
      <c r="H864" s="219"/>
      <c r="I864" s="249"/>
      <c r="J864" s="243"/>
      <c r="K864" s="219"/>
      <c r="L864" s="244"/>
      <c r="M864" s="219"/>
      <c r="N864" s="219"/>
      <c r="O864" s="219"/>
      <c r="P864" s="244"/>
      <c r="Q864" s="219"/>
      <c r="R864" s="302"/>
      <c r="S864" s="219"/>
      <c r="T864" s="219"/>
      <c r="U864" s="219"/>
      <c r="V864" s="303"/>
      <c r="W864" s="247"/>
      <c r="X864" s="245"/>
      <c r="Y864" s="245"/>
      <c r="Z864" s="245"/>
      <c r="AA864" s="245"/>
      <c r="AB864" s="245"/>
      <c r="AC864" s="249"/>
      <c r="AD864" s="249"/>
      <c r="AE864" s="249"/>
      <c r="AF864" s="8"/>
      <c r="AG864" s="8"/>
      <c r="AH864" s="72"/>
      <c r="AI864" s="8"/>
      <c r="AJ864" s="251"/>
      <c r="AK864" s="23"/>
      <c r="AL864" s="75"/>
      <c r="AM864" s="75" t="str">
        <f t="shared" si="141"/>
        <v/>
      </c>
      <c r="AN864" s="75"/>
      <c r="AO864" s="75"/>
      <c r="AP864" s="75"/>
      <c r="AQ864" s="75"/>
      <c r="AR864" s="75"/>
      <c r="AS864" s="75"/>
      <c r="AT864" s="75"/>
    </row>
    <row r="865" ht="22.5" customHeight="1">
      <c r="A865" s="219"/>
      <c r="B865" s="219"/>
      <c r="C865" s="219"/>
      <c r="D865" s="219"/>
      <c r="E865" s="219"/>
      <c r="F865" s="219"/>
      <c r="G865" s="219"/>
      <c r="H865" s="219"/>
      <c r="I865" s="249"/>
      <c r="J865" s="243"/>
      <c r="K865" s="219"/>
      <c r="L865" s="244"/>
      <c r="M865" s="219"/>
      <c r="N865" s="219"/>
      <c r="O865" s="219"/>
      <c r="P865" s="244"/>
      <c r="Q865" s="219"/>
      <c r="R865" s="302"/>
      <c r="S865" s="219"/>
      <c r="T865" s="219"/>
      <c r="U865" s="219"/>
      <c r="V865" s="303"/>
      <c r="W865" s="247"/>
      <c r="X865" s="245"/>
      <c r="Y865" s="245"/>
      <c r="Z865" s="245"/>
      <c r="AA865" s="245"/>
      <c r="AB865" s="245"/>
      <c r="AC865" s="249"/>
      <c r="AD865" s="249"/>
      <c r="AE865" s="249"/>
      <c r="AF865" s="8"/>
      <c r="AG865" s="8"/>
      <c r="AH865" s="72"/>
      <c r="AI865" s="8"/>
      <c r="AJ865" s="251"/>
      <c r="AK865" s="23"/>
      <c r="AL865" s="75"/>
      <c r="AM865" s="75" t="str">
        <f t="shared" si="141"/>
        <v/>
      </c>
      <c r="AN865" s="75"/>
      <c r="AO865" s="75"/>
      <c r="AP865" s="75"/>
      <c r="AQ865" s="75"/>
      <c r="AR865" s="75"/>
      <c r="AS865" s="75"/>
      <c r="AT865" s="75"/>
    </row>
    <row r="866" ht="22.5" customHeight="1">
      <c r="A866" s="219"/>
      <c r="B866" s="219"/>
      <c r="C866" s="219"/>
      <c r="D866" s="219"/>
      <c r="E866" s="219"/>
      <c r="F866" s="219"/>
      <c r="G866" s="219"/>
      <c r="H866" s="219"/>
      <c r="I866" s="249"/>
      <c r="J866" s="243"/>
      <c r="K866" s="219"/>
      <c r="L866" s="244"/>
      <c r="M866" s="219"/>
      <c r="N866" s="219"/>
      <c r="O866" s="219"/>
      <c r="P866" s="244"/>
      <c r="Q866" s="219"/>
      <c r="R866" s="302"/>
      <c r="S866" s="219"/>
      <c r="T866" s="219"/>
      <c r="U866" s="219"/>
      <c r="V866" s="303"/>
      <c r="W866" s="247"/>
      <c r="X866" s="245"/>
      <c r="Y866" s="245"/>
      <c r="Z866" s="245"/>
      <c r="AA866" s="245"/>
      <c r="AB866" s="245"/>
      <c r="AC866" s="249"/>
      <c r="AD866" s="249"/>
      <c r="AE866" s="249"/>
      <c r="AF866" s="8"/>
      <c r="AG866" s="8"/>
      <c r="AH866" s="72"/>
      <c r="AI866" s="8"/>
      <c r="AJ866" s="251"/>
      <c r="AK866" s="23"/>
      <c r="AL866" s="75"/>
      <c r="AM866" s="75" t="str">
        <f t="shared" si="141"/>
        <v/>
      </c>
      <c r="AN866" s="75"/>
      <c r="AO866" s="75"/>
      <c r="AP866" s="75"/>
      <c r="AQ866" s="75"/>
      <c r="AR866" s="75"/>
      <c r="AS866" s="75"/>
      <c r="AT866" s="75"/>
    </row>
    <row r="867" ht="22.5" customHeight="1">
      <c r="A867" s="219"/>
      <c r="B867" s="219"/>
      <c r="C867" s="219"/>
      <c r="D867" s="219"/>
      <c r="E867" s="219"/>
      <c r="F867" s="219"/>
      <c r="G867" s="219"/>
      <c r="H867" s="219"/>
      <c r="I867" s="249"/>
      <c r="J867" s="243"/>
      <c r="K867" s="219"/>
      <c r="L867" s="244"/>
      <c r="M867" s="219"/>
      <c r="N867" s="219"/>
      <c r="O867" s="219"/>
      <c r="P867" s="244"/>
      <c r="Q867" s="219"/>
      <c r="R867" s="302"/>
      <c r="S867" s="219"/>
      <c r="T867" s="219"/>
      <c r="U867" s="219"/>
      <c r="V867" s="303"/>
      <c r="W867" s="247"/>
      <c r="X867" s="245"/>
      <c r="Y867" s="245"/>
      <c r="Z867" s="245"/>
      <c r="AA867" s="245"/>
      <c r="AB867" s="245"/>
      <c r="AC867" s="249"/>
      <c r="AD867" s="249"/>
      <c r="AE867" s="249"/>
      <c r="AF867" s="8"/>
      <c r="AG867" s="8"/>
      <c r="AH867" s="72"/>
      <c r="AI867" s="8"/>
      <c r="AJ867" s="251"/>
      <c r="AK867" s="23"/>
      <c r="AL867" s="75"/>
      <c r="AM867" s="75" t="str">
        <f t="shared" si="141"/>
        <v/>
      </c>
      <c r="AN867" s="75"/>
      <c r="AO867" s="75"/>
      <c r="AP867" s="75"/>
      <c r="AQ867" s="75"/>
      <c r="AR867" s="75"/>
      <c r="AS867" s="75"/>
      <c r="AT867" s="75"/>
    </row>
    <row r="868" ht="22.5" customHeight="1">
      <c r="A868" s="219"/>
      <c r="B868" s="219"/>
      <c r="C868" s="219"/>
      <c r="D868" s="219"/>
      <c r="E868" s="219"/>
      <c r="F868" s="219"/>
      <c r="G868" s="219"/>
      <c r="H868" s="219"/>
      <c r="I868" s="249"/>
      <c r="J868" s="243"/>
      <c r="K868" s="219"/>
      <c r="L868" s="244"/>
      <c r="M868" s="219"/>
      <c r="N868" s="219"/>
      <c r="O868" s="219"/>
      <c r="P868" s="244"/>
      <c r="Q868" s="219"/>
      <c r="R868" s="302"/>
      <c r="S868" s="219"/>
      <c r="T868" s="219"/>
      <c r="U868" s="219"/>
      <c r="V868" s="303"/>
      <c r="W868" s="247"/>
      <c r="X868" s="245"/>
      <c r="Y868" s="245"/>
      <c r="Z868" s="245"/>
      <c r="AA868" s="245"/>
      <c r="AB868" s="245"/>
      <c r="AC868" s="249"/>
      <c r="AD868" s="249"/>
      <c r="AE868" s="249"/>
      <c r="AF868" s="8"/>
      <c r="AG868" s="8"/>
      <c r="AH868" s="72"/>
      <c r="AI868" s="8"/>
      <c r="AJ868" s="251"/>
      <c r="AK868" s="23"/>
      <c r="AL868" s="75"/>
      <c r="AM868" s="75" t="str">
        <f t="shared" si="141"/>
        <v/>
      </c>
      <c r="AN868" s="75"/>
      <c r="AO868" s="75"/>
      <c r="AP868" s="75"/>
      <c r="AQ868" s="75"/>
      <c r="AR868" s="75"/>
      <c r="AS868" s="75"/>
      <c r="AT868" s="75"/>
    </row>
    <row r="869" ht="22.5" customHeight="1">
      <c r="A869" s="219"/>
      <c r="B869" s="219"/>
      <c r="C869" s="219"/>
      <c r="D869" s="219"/>
      <c r="E869" s="219"/>
      <c r="F869" s="219"/>
      <c r="G869" s="219"/>
      <c r="H869" s="219"/>
      <c r="I869" s="249"/>
      <c r="J869" s="243"/>
      <c r="K869" s="219"/>
      <c r="L869" s="244"/>
      <c r="M869" s="219"/>
      <c r="N869" s="219"/>
      <c r="O869" s="219"/>
      <c r="P869" s="244"/>
      <c r="Q869" s="219"/>
      <c r="R869" s="302"/>
      <c r="S869" s="219"/>
      <c r="T869" s="219"/>
      <c r="U869" s="219"/>
      <c r="V869" s="303"/>
      <c r="W869" s="247"/>
      <c r="X869" s="245"/>
      <c r="Y869" s="245"/>
      <c r="Z869" s="245"/>
      <c r="AA869" s="245"/>
      <c r="AB869" s="245"/>
      <c r="AC869" s="249"/>
      <c r="AD869" s="249"/>
      <c r="AE869" s="249"/>
      <c r="AF869" s="8"/>
      <c r="AG869" s="8"/>
      <c r="AH869" s="72"/>
      <c r="AI869" s="8"/>
      <c r="AJ869" s="251"/>
      <c r="AK869" s="23"/>
      <c r="AL869" s="75"/>
      <c r="AM869" s="75" t="str">
        <f t="shared" si="141"/>
        <v/>
      </c>
      <c r="AN869" s="75"/>
      <c r="AO869" s="75"/>
      <c r="AP869" s="75"/>
      <c r="AQ869" s="75"/>
      <c r="AR869" s="75"/>
      <c r="AS869" s="75"/>
      <c r="AT869" s="75"/>
    </row>
    <row r="870" ht="22.5" customHeight="1">
      <c r="A870" s="219"/>
      <c r="B870" s="219"/>
      <c r="C870" s="219"/>
      <c r="D870" s="219"/>
      <c r="E870" s="219"/>
      <c r="F870" s="219"/>
      <c r="G870" s="219"/>
      <c r="H870" s="219"/>
      <c r="I870" s="249"/>
      <c r="J870" s="243"/>
      <c r="K870" s="219"/>
      <c r="L870" s="244"/>
      <c r="M870" s="219"/>
      <c r="N870" s="219"/>
      <c r="O870" s="219"/>
      <c r="P870" s="244"/>
      <c r="Q870" s="219"/>
      <c r="R870" s="302"/>
      <c r="S870" s="219"/>
      <c r="T870" s="219"/>
      <c r="U870" s="219"/>
      <c r="V870" s="303"/>
      <c r="W870" s="247"/>
      <c r="X870" s="245"/>
      <c r="Y870" s="245"/>
      <c r="Z870" s="245"/>
      <c r="AA870" s="245"/>
      <c r="AB870" s="245"/>
      <c r="AC870" s="249"/>
      <c r="AD870" s="249"/>
      <c r="AE870" s="249"/>
      <c r="AF870" s="8"/>
      <c r="AG870" s="8"/>
      <c r="AH870" s="72"/>
      <c r="AI870" s="8"/>
      <c r="AJ870" s="251"/>
      <c r="AK870" s="23"/>
      <c r="AL870" s="75"/>
      <c r="AM870" s="75" t="str">
        <f t="shared" si="141"/>
        <v/>
      </c>
      <c r="AN870" s="75"/>
      <c r="AO870" s="75"/>
      <c r="AP870" s="75"/>
      <c r="AQ870" s="75"/>
      <c r="AR870" s="75"/>
      <c r="AS870" s="75"/>
      <c r="AT870" s="75"/>
    </row>
    <row r="871" ht="22.5" customHeight="1">
      <c r="A871" s="219"/>
      <c r="B871" s="219"/>
      <c r="C871" s="219"/>
      <c r="D871" s="219"/>
      <c r="E871" s="219"/>
      <c r="F871" s="219"/>
      <c r="G871" s="219"/>
      <c r="H871" s="219"/>
      <c r="I871" s="249"/>
      <c r="J871" s="243"/>
      <c r="K871" s="219"/>
      <c r="L871" s="244"/>
      <c r="M871" s="219"/>
      <c r="N871" s="219"/>
      <c r="O871" s="219"/>
      <c r="P871" s="244"/>
      <c r="Q871" s="219"/>
      <c r="R871" s="302"/>
      <c r="S871" s="219"/>
      <c r="T871" s="219"/>
      <c r="U871" s="219"/>
      <c r="V871" s="303"/>
      <c r="W871" s="247"/>
      <c r="X871" s="245"/>
      <c r="Y871" s="245"/>
      <c r="Z871" s="245"/>
      <c r="AA871" s="245"/>
      <c r="AB871" s="245"/>
      <c r="AC871" s="249"/>
      <c r="AD871" s="249"/>
      <c r="AE871" s="249"/>
      <c r="AF871" s="8"/>
      <c r="AG871" s="8"/>
      <c r="AH871" s="72"/>
      <c r="AI871" s="8"/>
      <c r="AJ871" s="251"/>
      <c r="AK871" s="23"/>
      <c r="AL871" s="75"/>
      <c r="AM871" s="75" t="str">
        <f t="shared" si="141"/>
        <v/>
      </c>
      <c r="AN871" s="75"/>
      <c r="AO871" s="75"/>
      <c r="AP871" s="75"/>
      <c r="AQ871" s="75"/>
      <c r="AR871" s="75"/>
      <c r="AS871" s="75"/>
      <c r="AT871" s="75"/>
    </row>
    <row r="872" ht="22.5" customHeight="1">
      <c r="A872" s="219"/>
      <c r="B872" s="219"/>
      <c r="C872" s="219"/>
      <c r="D872" s="219"/>
      <c r="E872" s="219"/>
      <c r="F872" s="219"/>
      <c r="G872" s="219"/>
      <c r="H872" s="219"/>
      <c r="I872" s="249"/>
      <c r="J872" s="243"/>
      <c r="K872" s="219"/>
      <c r="L872" s="244"/>
      <c r="M872" s="219"/>
      <c r="N872" s="219"/>
      <c r="O872" s="219"/>
      <c r="P872" s="244"/>
      <c r="Q872" s="219"/>
      <c r="R872" s="302"/>
      <c r="S872" s="219"/>
      <c r="T872" s="219"/>
      <c r="U872" s="219"/>
      <c r="V872" s="303"/>
      <c r="W872" s="247"/>
      <c r="X872" s="245"/>
      <c r="Y872" s="245"/>
      <c r="Z872" s="245"/>
      <c r="AA872" s="245"/>
      <c r="AB872" s="245"/>
      <c r="AC872" s="249"/>
      <c r="AD872" s="249"/>
      <c r="AE872" s="249"/>
      <c r="AF872" s="8"/>
      <c r="AG872" s="8"/>
      <c r="AH872" s="72"/>
      <c r="AI872" s="8"/>
      <c r="AJ872" s="251"/>
      <c r="AK872" s="23"/>
      <c r="AL872" s="75"/>
      <c r="AM872" s="75" t="str">
        <f t="shared" si="141"/>
        <v/>
      </c>
      <c r="AN872" s="75"/>
      <c r="AO872" s="75"/>
      <c r="AP872" s="75"/>
      <c r="AQ872" s="75"/>
      <c r="AR872" s="75"/>
      <c r="AS872" s="75"/>
      <c r="AT872" s="75"/>
    </row>
    <row r="873" ht="22.5" customHeight="1">
      <c r="A873" s="219"/>
      <c r="B873" s="219"/>
      <c r="C873" s="219"/>
      <c r="D873" s="219"/>
      <c r="E873" s="219"/>
      <c r="F873" s="219"/>
      <c r="G873" s="219"/>
      <c r="H873" s="219"/>
      <c r="I873" s="249"/>
      <c r="J873" s="243"/>
      <c r="K873" s="219"/>
      <c r="L873" s="244"/>
      <c r="M873" s="219"/>
      <c r="N873" s="219"/>
      <c r="O873" s="219"/>
      <c r="P873" s="244"/>
      <c r="Q873" s="219"/>
      <c r="R873" s="302"/>
      <c r="S873" s="219"/>
      <c r="T873" s="219"/>
      <c r="U873" s="219"/>
      <c r="V873" s="303"/>
      <c r="W873" s="247"/>
      <c r="X873" s="245"/>
      <c r="Y873" s="245"/>
      <c r="Z873" s="245"/>
      <c r="AA873" s="245"/>
      <c r="AB873" s="245"/>
      <c r="AC873" s="249"/>
      <c r="AD873" s="249"/>
      <c r="AE873" s="249"/>
      <c r="AF873" s="8"/>
      <c r="AG873" s="8"/>
      <c r="AH873" s="72"/>
      <c r="AI873" s="8"/>
      <c r="AJ873" s="251"/>
      <c r="AK873" s="23"/>
      <c r="AL873" s="75"/>
      <c r="AM873" s="75" t="str">
        <f t="shared" si="141"/>
        <v/>
      </c>
      <c r="AN873" s="75"/>
      <c r="AO873" s="75"/>
      <c r="AP873" s="75"/>
      <c r="AQ873" s="75"/>
      <c r="AR873" s="75"/>
      <c r="AS873" s="75"/>
      <c r="AT873" s="75"/>
    </row>
    <row r="874" ht="22.5" customHeight="1">
      <c r="A874" s="219"/>
      <c r="B874" s="219"/>
      <c r="C874" s="219"/>
      <c r="D874" s="219"/>
      <c r="E874" s="219"/>
      <c r="F874" s="219"/>
      <c r="G874" s="219"/>
      <c r="H874" s="219"/>
      <c r="I874" s="249"/>
      <c r="J874" s="243"/>
      <c r="K874" s="219"/>
      <c r="L874" s="244"/>
      <c r="M874" s="219"/>
      <c r="N874" s="219"/>
      <c r="O874" s="219"/>
      <c r="P874" s="244"/>
      <c r="Q874" s="219"/>
      <c r="R874" s="302"/>
      <c r="S874" s="219"/>
      <c r="T874" s="219"/>
      <c r="U874" s="219"/>
      <c r="V874" s="303"/>
      <c r="W874" s="247"/>
      <c r="X874" s="245"/>
      <c r="Y874" s="245"/>
      <c r="Z874" s="245"/>
      <c r="AA874" s="245"/>
      <c r="AB874" s="245"/>
      <c r="AC874" s="249"/>
      <c r="AD874" s="249"/>
      <c r="AE874" s="249"/>
      <c r="AF874" s="8"/>
      <c r="AG874" s="8"/>
      <c r="AH874" s="72"/>
      <c r="AI874" s="8"/>
      <c r="AJ874" s="251"/>
      <c r="AK874" s="23"/>
      <c r="AL874" s="75"/>
      <c r="AM874" s="75" t="str">
        <f t="shared" si="141"/>
        <v/>
      </c>
      <c r="AN874" s="75"/>
      <c r="AO874" s="75"/>
      <c r="AP874" s="75"/>
      <c r="AQ874" s="75"/>
      <c r="AR874" s="75"/>
      <c r="AS874" s="75"/>
      <c r="AT874" s="75"/>
    </row>
    <row r="875" ht="22.5" customHeight="1">
      <c r="A875" s="219"/>
      <c r="B875" s="219"/>
      <c r="C875" s="219"/>
      <c r="D875" s="219"/>
      <c r="E875" s="219"/>
      <c r="F875" s="219"/>
      <c r="G875" s="219"/>
      <c r="H875" s="219"/>
      <c r="I875" s="249"/>
      <c r="J875" s="243"/>
      <c r="K875" s="219"/>
      <c r="L875" s="244"/>
      <c r="M875" s="219"/>
      <c r="N875" s="219"/>
      <c r="O875" s="219"/>
      <c r="P875" s="244"/>
      <c r="Q875" s="219"/>
      <c r="R875" s="302"/>
      <c r="S875" s="219"/>
      <c r="T875" s="219"/>
      <c r="U875" s="219"/>
      <c r="V875" s="303"/>
      <c r="W875" s="247"/>
      <c r="X875" s="245"/>
      <c r="Y875" s="245"/>
      <c r="Z875" s="245"/>
      <c r="AA875" s="245"/>
      <c r="AB875" s="245"/>
      <c r="AC875" s="249"/>
      <c r="AD875" s="249"/>
      <c r="AE875" s="249"/>
      <c r="AF875" s="8"/>
      <c r="AG875" s="8"/>
      <c r="AH875" s="72"/>
      <c r="AI875" s="8"/>
      <c r="AJ875" s="251"/>
      <c r="AK875" s="23"/>
      <c r="AL875" s="75"/>
      <c r="AM875" s="75" t="str">
        <f t="shared" si="141"/>
        <v/>
      </c>
      <c r="AN875" s="75"/>
      <c r="AO875" s="75"/>
      <c r="AP875" s="75"/>
      <c r="AQ875" s="75"/>
      <c r="AR875" s="75"/>
      <c r="AS875" s="75"/>
      <c r="AT875" s="75"/>
    </row>
    <row r="876" ht="22.5" customHeight="1">
      <c r="A876" s="219"/>
      <c r="B876" s="219"/>
      <c r="C876" s="219"/>
      <c r="D876" s="219"/>
      <c r="E876" s="219"/>
      <c r="F876" s="219"/>
      <c r="G876" s="219"/>
      <c r="H876" s="219"/>
      <c r="I876" s="249"/>
      <c r="J876" s="243"/>
      <c r="K876" s="219"/>
      <c r="L876" s="244"/>
      <c r="M876" s="219"/>
      <c r="N876" s="219"/>
      <c r="O876" s="219"/>
      <c r="P876" s="244"/>
      <c r="Q876" s="219"/>
      <c r="R876" s="302"/>
      <c r="S876" s="219"/>
      <c r="T876" s="219"/>
      <c r="U876" s="219"/>
      <c r="V876" s="303"/>
      <c r="W876" s="247"/>
      <c r="X876" s="245"/>
      <c r="Y876" s="245"/>
      <c r="Z876" s="245"/>
      <c r="AA876" s="245"/>
      <c r="AB876" s="245"/>
      <c r="AC876" s="249"/>
      <c r="AD876" s="249"/>
      <c r="AE876" s="249"/>
      <c r="AF876" s="8"/>
      <c r="AG876" s="8"/>
      <c r="AH876" s="72"/>
      <c r="AI876" s="8"/>
      <c r="AJ876" s="251"/>
      <c r="AK876" s="23"/>
      <c r="AL876" s="75"/>
      <c r="AM876" s="75" t="str">
        <f t="shared" si="141"/>
        <v/>
      </c>
      <c r="AN876" s="75"/>
      <c r="AO876" s="75"/>
      <c r="AP876" s="75"/>
      <c r="AQ876" s="75"/>
      <c r="AR876" s="75"/>
      <c r="AS876" s="75"/>
      <c r="AT876" s="75"/>
    </row>
    <row r="877" ht="22.5" customHeight="1">
      <c r="A877" s="219"/>
      <c r="B877" s="219"/>
      <c r="C877" s="219"/>
      <c r="D877" s="219"/>
      <c r="E877" s="219"/>
      <c r="F877" s="219"/>
      <c r="G877" s="219"/>
      <c r="H877" s="219"/>
      <c r="I877" s="249"/>
      <c r="J877" s="243"/>
      <c r="K877" s="219"/>
      <c r="L877" s="244"/>
      <c r="M877" s="219"/>
      <c r="N877" s="219"/>
      <c r="O877" s="219"/>
      <c r="P877" s="244"/>
      <c r="Q877" s="219"/>
      <c r="R877" s="302"/>
      <c r="S877" s="219"/>
      <c r="T877" s="219"/>
      <c r="U877" s="219"/>
      <c r="V877" s="303"/>
      <c r="W877" s="247"/>
      <c r="X877" s="245"/>
      <c r="Y877" s="245"/>
      <c r="Z877" s="245"/>
      <c r="AA877" s="245"/>
      <c r="AB877" s="245"/>
      <c r="AC877" s="249"/>
      <c r="AD877" s="249"/>
      <c r="AE877" s="249"/>
      <c r="AF877" s="8"/>
      <c r="AG877" s="8"/>
      <c r="AH877" s="72"/>
      <c r="AI877" s="8"/>
      <c r="AJ877" s="251"/>
      <c r="AK877" s="23"/>
      <c r="AL877" s="75"/>
      <c r="AM877" s="75" t="str">
        <f t="shared" si="141"/>
        <v/>
      </c>
      <c r="AN877" s="75"/>
      <c r="AO877" s="75"/>
      <c r="AP877" s="75"/>
      <c r="AQ877" s="75"/>
      <c r="AR877" s="75"/>
      <c r="AS877" s="75"/>
      <c r="AT877" s="75"/>
    </row>
    <row r="878" ht="22.5" customHeight="1">
      <c r="A878" s="219"/>
      <c r="B878" s="219"/>
      <c r="C878" s="219"/>
      <c r="D878" s="219"/>
      <c r="E878" s="219"/>
      <c r="F878" s="219"/>
      <c r="G878" s="219"/>
      <c r="H878" s="219"/>
      <c r="I878" s="249"/>
      <c r="J878" s="243"/>
      <c r="K878" s="219"/>
      <c r="L878" s="244"/>
      <c r="M878" s="219"/>
      <c r="N878" s="219"/>
      <c r="O878" s="219"/>
      <c r="P878" s="244"/>
      <c r="Q878" s="219"/>
      <c r="R878" s="302"/>
      <c r="S878" s="219"/>
      <c r="T878" s="219"/>
      <c r="U878" s="219"/>
      <c r="V878" s="303"/>
      <c r="W878" s="247"/>
      <c r="X878" s="245"/>
      <c r="Y878" s="245"/>
      <c r="Z878" s="245"/>
      <c r="AA878" s="245"/>
      <c r="AB878" s="245"/>
      <c r="AC878" s="249"/>
      <c r="AD878" s="249"/>
      <c r="AE878" s="249"/>
      <c r="AF878" s="8"/>
      <c r="AG878" s="8"/>
      <c r="AH878" s="72"/>
      <c r="AI878" s="8"/>
      <c r="AJ878" s="251"/>
      <c r="AK878" s="23"/>
      <c r="AL878" s="75"/>
      <c r="AM878" s="75" t="str">
        <f t="shared" si="141"/>
        <v/>
      </c>
      <c r="AN878" s="75"/>
      <c r="AO878" s="75"/>
      <c r="AP878" s="75"/>
      <c r="AQ878" s="75"/>
      <c r="AR878" s="75"/>
      <c r="AS878" s="75"/>
      <c r="AT878" s="75"/>
    </row>
    <row r="879" ht="22.5" customHeight="1">
      <c r="A879" s="219"/>
      <c r="B879" s="219"/>
      <c r="C879" s="219"/>
      <c r="D879" s="219"/>
      <c r="E879" s="219"/>
      <c r="F879" s="219"/>
      <c r="G879" s="219"/>
      <c r="H879" s="219"/>
      <c r="I879" s="249"/>
      <c r="J879" s="243"/>
      <c r="K879" s="219"/>
      <c r="L879" s="244"/>
      <c r="M879" s="219"/>
      <c r="N879" s="219"/>
      <c r="O879" s="219"/>
      <c r="P879" s="244"/>
      <c r="Q879" s="219"/>
      <c r="R879" s="302"/>
      <c r="S879" s="219"/>
      <c r="T879" s="219"/>
      <c r="U879" s="219"/>
      <c r="V879" s="303"/>
      <c r="W879" s="247"/>
      <c r="X879" s="245"/>
      <c r="Y879" s="245"/>
      <c r="Z879" s="245"/>
      <c r="AA879" s="245"/>
      <c r="AB879" s="245"/>
      <c r="AC879" s="249"/>
      <c r="AD879" s="249"/>
      <c r="AE879" s="249"/>
      <c r="AF879" s="8"/>
      <c r="AG879" s="8"/>
      <c r="AH879" s="72"/>
      <c r="AI879" s="8"/>
      <c r="AJ879" s="251"/>
      <c r="AK879" s="23"/>
      <c r="AL879" s="75"/>
      <c r="AM879" s="75" t="str">
        <f t="shared" si="141"/>
        <v/>
      </c>
      <c r="AN879" s="75"/>
      <c r="AO879" s="75"/>
      <c r="AP879" s="75"/>
      <c r="AQ879" s="75"/>
      <c r="AR879" s="75"/>
      <c r="AS879" s="75"/>
      <c r="AT879" s="75"/>
    </row>
    <row r="880" ht="22.5" customHeight="1">
      <c r="A880" s="219"/>
      <c r="B880" s="219"/>
      <c r="C880" s="219"/>
      <c r="D880" s="219"/>
      <c r="E880" s="219"/>
      <c r="F880" s="219"/>
      <c r="G880" s="219"/>
      <c r="H880" s="219"/>
      <c r="I880" s="249"/>
      <c r="J880" s="243"/>
      <c r="K880" s="219"/>
      <c r="L880" s="244"/>
      <c r="M880" s="219"/>
      <c r="N880" s="219"/>
      <c r="O880" s="219"/>
      <c r="P880" s="244"/>
      <c r="Q880" s="219"/>
      <c r="R880" s="302"/>
      <c r="S880" s="219"/>
      <c r="T880" s="219"/>
      <c r="U880" s="219"/>
      <c r="V880" s="303"/>
      <c r="W880" s="247"/>
      <c r="X880" s="245"/>
      <c r="Y880" s="245"/>
      <c r="Z880" s="245"/>
      <c r="AA880" s="245"/>
      <c r="AB880" s="245"/>
      <c r="AC880" s="249"/>
      <c r="AD880" s="249"/>
      <c r="AE880" s="249"/>
      <c r="AF880" s="8"/>
      <c r="AG880" s="8"/>
      <c r="AH880" s="72"/>
      <c r="AI880" s="8"/>
      <c r="AJ880" s="251"/>
      <c r="AK880" s="23"/>
      <c r="AL880" s="75"/>
      <c r="AM880" s="75" t="str">
        <f t="shared" si="141"/>
        <v/>
      </c>
      <c r="AN880" s="75"/>
      <c r="AO880" s="75"/>
      <c r="AP880" s="75"/>
      <c r="AQ880" s="75"/>
      <c r="AR880" s="75"/>
      <c r="AS880" s="75"/>
      <c r="AT880" s="75"/>
    </row>
    <row r="881" ht="22.5" customHeight="1">
      <c r="A881" s="219"/>
      <c r="B881" s="219"/>
      <c r="C881" s="219"/>
      <c r="D881" s="219"/>
      <c r="E881" s="219"/>
      <c r="F881" s="219"/>
      <c r="G881" s="219"/>
      <c r="H881" s="219"/>
      <c r="I881" s="249"/>
      <c r="J881" s="243"/>
      <c r="K881" s="219"/>
      <c r="L881" s="244"/>
      <c r="M881" s="219"/>
      <c r="N881" s="219"/>
      <c r="O881" s="219"/>
      <c r="P881" s="244"/>
      <c r="Q881" s="219"/>
      <c r="R881" s="302"/>
      <c r="S881" s="219"/>
      <c r="T881" s="219"/>
      <c r="U881" s="219"/>
      <c r="V881" s="303"/>
      <c r="W881" s="247"/>
      <c r="X881" s="245"/>
      <c r="Y881" s="245"/>
      <c r="Z881" s="245"/>
      <c r="AA881" s="245"/>
      <c r="AB881" s="245"/>
      <c r="AC881" s="249"/>
      <c r="AD881" s="249"/>
      <c r="AE881" s="249"/>
      <c r="AF881" s="8"/>
      <c r="AG881" s="8"/>
      <c r="AH881" s="72"/>
      <c r="AI881" s="8"/>
      <c r="AJ881" s="251"/>
      <c r="AK881" s="23"/>
      <c r="AL881" s="75"/>
      <c r="AM881" s="75" t="str">
        <f t="shared" si="141"/>
        <v/>
      </c>
      <c r="AN881" s="75"/>
      <c r="AO881" s="75"/>
      <c r="AP881" s="75"/>
      <c r="AQ881" s="75"/>
      <c r="AR881" s="75"/>
      <c r="AS881" s="75"/>
      <c r="AT881" s="75"/>
    </row>
    <row r="882" ht="22.5" customHeight="1">
      <c r="A882" s="219"/>
      <c r="B882" s="219"/>
      <c r="C882" s="219"/>
      <c r="D882" s="219"/>
      <c r="E882" s="219"/>
      <c r="F882" s="219"/>
      <c r="G882" s="219"/>
      <c r="H882" s="219"/>
      <c r="I882" s="249"/>
      <c r="J882" s="243"/>
      <c r="K882" s="219"/>
      <c r="L882" s="244"/>
      <c r="M882" s="219"/>
      <c r="N882" s="219"/>
      <c r="O882" s="219"/>
      <c r="P882" s="244"/>
      <c r="Q882" s="219"/>
      <c r="R882" s="302"/>
      <c r="S882" s="219"/>
      <c r="T882" s="219"/>
      <c r="U882" s="219"/>
      <c r="V882" s="303"/>
      <c r="W882" s="247"/>
      <c r="X882" s="245"/>
      <c r="Y882" s="245"/>
      <c r="Z882" s="245"/>
      <c r="AA882" s="245"/>
      <c r="AB882" s="245"/>
      <c r="AC882" s="249"/>
      <c r="AD882" s="249"/>
      <c r="AE882" s="249"/>
      <c r="AF882" s="8"/>
      <c r="AG882" s="8"/>
      <c r="AH882" s="72"/>
      <c r="AI882" s="8"/>
      <c r="AJ882" s="251"/>
      <c r="AK882" s="23"/>
      <c r="AL882" s="75"/>
      <c r="AM882" s="75" t="str">
        <f t="shared" si="141"/>
        <v/>
      </c>
      <c r="AN882" s="75"/>
      <c r="AO882" s="75"/>
      <c r="AP882" s="75"/>
      <c r="AQ882" s="75"/>
      <c r="AR882" s="75"/>
      <c r="AS882" s="75"/>
      <c r="AT882" s="75"/>
    </row>
    <row r="883" ht="22.5" customHeight="1">
      <c r="A883" s="219"/>
      <c r="B883" s="219"/>
      <c r="C883" s="219"/>
      <c r="D883" s="219"/>
      <c r="E883" s="219"/>
      <c r="F883" s="219"/>
      <c r="G883" s="219"/>
      <c r="H883" s="219"/>
      <c r="I883" s="249"/>
      <c r="J883" s="243"/>
      <c r="K883" s="219"/>
      <c r="L883" s="244"/>
      <c r="M883" s="219"/>
      <c r="N883" s="219"/>
      <c r="O883" s="219"/>
      <c r="P883" s="244"/>
      <c r="Q883" s="219"/>
      <c r="R883" s="302"/>
      <c r="S883" s="219"/>
      <c r="T883" s="219"/>
      <c r="U883" s="219"/>
      <c r="V883" s="303"/>
      <c r="W883" s="247"/>
      <c r="X883" s="245"/>
      <c r="Y883" s="245"/>
      <c r="Z883" s="245"/>
      <c r="AA883" s="245"/>
      <c r="AB883" s="245"/>
      <c r="AC883" s="249"/>
      <c r="AD883" s="249"/>
      <c r="AE883" s="249"/>
      <c r="AF883" s="8"/>
      <c r="AG883" s="8"/>
      <c r="AH883" s="72"/>
      <c r="AI883" s="8"/>
      <c r="AJ883" s="251"/>
      <c r="AK883" s="23"/>
      <c r="AL883" s="75"/>
      <c r="AM883" s="75" t="str">
        <f t="shared" si="141"/>
        <v/>
      </c>
      <c r="AN883" s="75"/>
      <c r="AO883" s="75"/>
      <c r="AP883" s="75"/>
      <c r="AQ883" s="75"/>
      <c r="AR883" s="75"/>
      <c r="AS883" s="75"/>
      <c r="AT883" s="75"/>
    </row>
    <row r="884" ht="22.5" customHeight="1">
      <c r="A884" s="219"/>
      <c r="B884" s="219"/>
      <c r="C884" s="219"/>
      <c r="D884" s="219"/>
      <c r="E884" s="219"/>
      <c r="F884" s="219"/>
      <c r="G884" s="219"/>
      <c r="H884" s="219"/>
      <c r="I884" s="249"/>
      <c r="J884" s="243"/>
      <c r="K884" s="219"/>
      <c r="L884" s="244"/>
      <c r="M884" s="219"/>
      <c r="N884" s="219"/>
      <c r="O884" s="219"/>
      <c r="P884" s="244"/>
      <c r="Q884" s="219"/>
      <c r="R884" s="302"/>
      <c r="S884" s="219"/>
      <c r="T884" s="219"/>
      <c r="U884" s="219"/>
      <c r="V884" s="303"/>
      <c r="W884" s="247"/>
      <c r="X884" s="245"/>
      <c r="Y884" s="245"/>
      <c r="Z884" s="245"/>
      <c r="AA884" s="245"/>
      <c r="AB884" s="245"/>
      <c r="AC884" s="249"/>
      <c r="AD884" s="249"/>
      <c r="AE884" s="249"/>
      <c r="AF884" s="8"/>
      <c r="AG884" s="8"/>
      <c r="AH884" s="72"/>
      <c r="AI884" s="8"/>
      <c r="AJ884" s="251"/>
      <c r="AK884" s="23"/>
      <c r="AL884" s="75"/>
      <c r="AM884" s="75" t="str">
        <f t="shared" si="141"/>
        <v/>
      </c>
      <c r="AN884" s="75"/>
      <c r="AO884" s="75"/>
      <c r="AP884" s="75"/>
      <c r="AQ884" s="75"/>
      <c r="AR884" s="75"/>
      <c r="AS884" s="75"/>
      <c r="AT884" s="75"/>
    </row>
    <row r="885" ht="22.5" customHeight="1">
      <c r="A885" s="219"/>
      <c r="B885" s="219"/>
      <c r="C885" s="219"/>
      <c r="D885" s="219"/>
      <c r="E885" s="219"/>
      <c r="F885" s="219"/>
      <c r="G885" s="219"/>
      <c r="H885" s="219"/>
      <c r="I885" s="249"/>
      <c r="J885" s="243"/>
      <c r="K885" s="219"/>
      <c r="L885" s="244"/>
      <c r="M885" s="219"/>
      <c r="N885" s="219"/>
      <c r="O885" s="219"/>
      <c r="P885" s="244"/>
      <c r="Q885" s="219"/>
      <c r="R885" s="302"/>
      <c r="S885" s="219"/>
      <c r="T885" s="219"/>
      <c r="U885" s="219"/>
      <c r="V885" s="303"/>
      <c r="W885" s="247"/>
      <c r="X885" s="245"/>
      <c r="Y885" s="245"/>
      <c r="Z885" s="245"/>
      <c r="AA885" s="245"/>
      <c r="AB885" s="245"/>
      <c r="AC885" s="249"/>
      <c r="AD885" s="249"/>
      <c r="AE885" s="249"/>
      <c r="AF885" s="8"/>
      <c r="AG885" s="8"/>
      <c r="AH885" s="72"/>
      <c r="AI885" s="8"/>
      <c r="AJ885" s="251"/>
      <c r="AK885" s="23"/>
      <c r="AL885" s="75"/>
      <c r="AM885" s="75" t="str">
        <f t="shared" si="141"/>
        <v/>
      </c>
      <c r="AN885" s="75"/>
      <c r="AO885" s="75"/>
      <c r="AP885" s="75"/>
      <c r="AQ885" s="75"/>
      <c r="AR885" s="75"/>
      <c r="AS885" s="75"/>
      <c r="AT885" s="75"/>
    </row>
    <row r="886" ht="22.5" customHeight="1">
      <c r="A886" s="219"/>
      <c r="B886" s="219"/>
      <c r="C886" s="219"/>
      <c r="D886" s="219"/>
      <c r="E886" s="219"/>
      <c r="F886" s="219"/>
      <c r="G886" s="219"/>
      <c r="H886" s="219"/>
      <c r="I886" s="249"/>
      <c r="J886" s="243"/>
      <c r="K886" s="219"/>
      <c r="L886" s="244"/>
      <c r="M886" s="219"/>
      <c r="N886" s="219"/>
      <c r="O886" s="219"/>
      <c r="P886" s="244"/>
      <c r="Q886" s="219"/>
      <c r="R886" s="302"/>
      <c r="S886" s="219"/>
      <c r="T886" s="219"/>
      <c r="U886" s="219"/>
      <c r="V886" s="303"/>
      <c r="W886" s="247"/>
      <c r="X886" s="245"/>
      <c r="Y886" s="245"/>
      <c r="Z886" s="245"/>
      <c r="AA886" s="245"/>
      <c r="AB886" s="245"/>
      <c r="AC886" s="249"/>
      <c r="AD886" s="249"/>
      <c r="AE886" s="249"/>
      <c r="AF886" s="8"/>
      <c r="AG886" s="8"/>
      <c r="AH886" s="72"/>
      <c r="AI886" s="8"/>
      <c r="AJ886" s="251"/>
      <c r="AK886" s="23"/>
      <c r="AL886" s="75"/>
      <c r="AM886" s="75" t="str">
        <f t="shared" si="141"/>
        <v/>
      </c>
      <c r="AN886" s="75"/>
      <c r="AO886" s="75"/>
      <c r="AP886" s="75"/>
      <c r="AQ886" s="75"/>
      <c r="AR886" s="75"/>
      <c r="AS886" s="75"/>
      <c r="AT886" s="75"/>
    </row>
    <row r="887" ht="22.5" customHeight="1">
      <c r="A887" s="219"/>
      <c r="B887" s="219"/>
      <c r="C887" s="219"/>
      <c r="D887" s="219"/>
      <c r="E887" s="219"/>
      <c r="F887" s="219"/>
      <c r="G887" s="219"/>
      <c r="H887" s="219"/>
      <c r="I887" s="249"/>
      <c r="J887" s="243"/>
      <c r="K887" s="219"/>
      <c r="L887" s="244"/>
      <c r="M887" s="219"/>
      <c r="N887" s="219"/>
      <c r="O887" s="219"/>
      <c r="P887" s="244"/>
      <c r="Q887" s="219"/>
      <c r="R887" s="302"/>
      <c r="S887" s="219"/>
      <c r="T887" s="219"/>
      <c r="U887" s="219"/>
      <c r="V887" s="303"/>
      <c r="W887" s="247"/>
      <c r="X887" s="245"/>
      <c r="Y887" s="245"/>
      <c r="Z887" s="245"/>
      <c r="AA887" s="245"/>
      <c r="AB887" s="245"/>
      <c r="AC887" s="249"/>
      <c r="AD887" s="249"/>
      <c r="AE887" s="249"/>
      <c r="AF887" s="8"/>
      <c r="AG887" s="8"/>
      <c r="AH887" s="72"/>
      <c r="AI887" s="8"/>
      <c r="AJ887" s="251"/>
      <c r="AK887" s="23"/>
      <c r="AL887" s="75"/>
      <c r="AM887" s="75" t="str">
        <f t="shared" si="141"/>
        <v/>
      </c>
      <c r="AN887" s="75"/>
      <c r="AO887" s="75"/>
      <c r="AP887" s="75"/>
      <c r="AQ887" s="75"/>
      <c r="AR887" s="75"/>
      <c r="AS887" s="75"/>
      <c r="AT887" s="75"/>
    </row>
    <row r="888" ht="22.5" customHeight="1">
      <c r="A888" s="219"/>
      <c r="B888" s="219"/>
      <c r="C888" s="219"/>
      <c r="D888" s="219"/>
      <c r="E888" s="219"/>
      <c r="F888" s="219"/>
      <c r="G888" s="219"/>
      <c r="H888" s="219"/>
      <c r="I888" s="249"/>
      <c r="J888" s="243"/>
      <c r="K888" s="219"/>
      <c r="L888" s="244"/>
      <c r="M888" s="219"/>
      <c r="N888" s="219"/>
      <c r="O888" s="219"/>
      <c r="P888" s="244"/>
      <c r="Q888" s="219"/>
      <c r="R888" s="302"/>
      <c r="S888" s="219"/>
      <c r="T888" s="219"/>
      <c r="U888" s="219"/>
      <c r="V888" s="303"/>
      <c r="W888" s="247"/>
      <c r="X888" s="245"/>
      <c r="Y888" s="245"/>
      <c r="Z888" s="245"/>
      <c r="AA888" s="245"/>
      <c r="AB888" s="245"/>
      <c r="AC888" s="249"/>
      <c r="AD888" s="249"/>
      <c r="AE888" s="249"/>
      <c r="AF888" s="8"/>
      <c r="AG888" s="8"/>
      <c r="AH888" s="72"/>
      <c r="AI888" s="8"/>
      <c r="AJ888" s="251"/>
      <c r="AK888" s="23"/>
      <c r="AL888" s="75"/>
      <c r="AM888" s="75" t="str">
        <f t="shared" si="141"/>
        <v/>
      </c>
      <c r="AN888" s="75"/>
      <c r="AO888" s="75"/>
      <c r="AP888" s="75"/>
      <c r="AQ888" s="75"/>
      <c r="AR888" s="75"/>
      <c r="AS888" s="75"/>
      <c r="AT888" s="75"/>
    </row>
    <row r="889" ht="22.5" customHeight="1">
      <c r="A889" s="219"/>
      <c r="B889" s="219"/>
      <c r="C889" s="219"/>
      <c r="D889" s="219"/>
      <c r="E889" s="219"/>
      <c r="F889" s="219"/>
      <c r="G889" s="219"/>
      <c r="H889" s="219"/>
      <c r="I889" s="249"/>
      <c r="J889" s="243"/>
      <c r="K889" s="219"/>
      <c r="L889" s="244"/>
      <c r="M889" s="219"/>
      <c r="N889" s="219"/>
      <c r="O889" s="219"/>
      <c r="P889" s="244"/>
      <c r="Q889" s="219"/>
      <c r="R889" s="302"/>
      <c r="S889" s="219"/>
      <c r="T889" s="219"/>
      <c r="U889" s="219"/>
      <c r="V889" s="303"/>
      <c r="W889" s="247"/>
      <c r="X889" s="245"/>
      <c r="Y889" s="245"/>
      <c r="Z889" s="245"/>
      <c r="AA889" s="245"/>
      <c r="AB889" s="245"/>
      <c r="AC889" s="249"/>
      <c r="AD889" s="249"/>
      <c r="AE889" s="249"/>
      <c r="AF889" s="8"/>
      <c r="AG889" s="8"/>
      <c r="AH889" s="72"/>
      <c r="AI889" s="8"/>
      <c r="AJ889" s="251"/>
      <c r="AK889" s="23"/>
      <c r="AL889" s="75"/>
      <c r="AM889" s="75" t="str">
        <f t="shared" si="141"/>
        <v/>
      </c>
      <c r="AN889" s="75"/>
      <c r="AO889" s="75"/>
      <c r="AP889" s="75"/>
      <c r="AQ889" s="75"/>
      <c r="AR889" s="75"/>
      <c r="AS889" s="75"/>
      <c r="AT889" s="75"/>
    </row>
    <row r="890" ht="22.5" customHeight="1">
      <c r="A890" s="219"/>
      <c r="B890" s="219"/>
      <c r="C890" s="219"/>
      <c r="D890" s="219"/>
      <c r="E890" s="219"/>
      <c r="F890" s="219"/>
      <c r="G890" s="219"/>
      <c r="H890" s="219"/>
      <c r="I890" s="249"/>
      <c r="J890" s="243"/>
      <c r="K890" s="219"/>
      <c r="L890" s="244"/>
      <c r="M890" s="219"/>
      <c r="N890" s="219"/>
      <c r="O890" s="219"/>
      <c r="P890" s="244"/>
      <c r="Q890" s="219"/>
      <c r="R890" s="302"/>
      <c r="S890" s="219"/>
      <c r="T890" s="219"/>
      <c r="U890" s="219"/>
      <c r="V890" s="303"/>
      <c r="W890" s="247"/>
      <c r="X890" s="245"/>
      <c r="Y890" s="245"/>
      <c r="Z890" s="245"/>
      <c r="AA890" s="245"/>
      <c r="AB890" s="245"/>
      <c r="AC890" s="249"/>
      <c r="AD890" s="249"/>
      <c r="AE890" s="249"/>
      <c r="AF890" s="8"/>
      <c r="AG890" s="8"/>
      <c r="AH890" s="72"/>
      <c r="AI890" s="8"/>
      <c r="AJ890" s="251"/>
      <c r="AK890" s="23"/>
      <c r="AL890" s="75"/>
      <c r="AM890" s="75" t="str">
        <f t="shared" si="141"/>
        <v/>
      </c>
      <c r="AN890" s="75"/>
      <c r="AO890" s="75"/>
      <c r="AP890" s="75"/>
      <c r="AQ890" s="75"/>
      <c r="AR890" s="75"/>
      <c r="AS890" s="75"/>
      <c r="AT890" s="75"/>
    </row>
    <row r="891" ht="22.5" customHeight="1">
      <c r="A891" s="219"/>
      <c r="B891" s="219"/>
      <c r="C891" s="219"/>
      <c r="D891" s="219"/>
      <c r="E891" s="219"/>
      <c r="F891" s="219"/>
      <c r="G891" s="219"/>
      <c r="H891" s="219"/>
      <c r="I891" s="249"/>
      <c r="J891" s="243"/>
      <c r="K891" s="219"/>
      <c r="L891" s="244"/>
      <c r="M891" s="219"/>
      <c r="N891" s="219"/>
      <c r="O891" s="219"/>
      <c r="P891" s="244"/>
      <c r="Q891" s="219"/>
      <c r="R891" s="302"/>
      <c r="S891" s="219"/>
      <c r="T891" s="219"/>
      <c r="U891" s="219"/>
      <c r="V891" s="303"/>
      <c r="W891" s="247"/>
      <c r="X891" s="245"/>
      <c r="Y891" s="245"/>
      <c r="Z891" s="245"/>
      <c r="AA891" s="245"/>
      <c r="AB891" s="245"/>
      <c r="AC891" s="249"/>
      <c r="AD891" s="249"/>
      <c r="AE891" s="249"/>
      <c r="AF891" s="8"/>
      <c r="AG891" s="8"/>
      <c r="AH891" s="72"/>
      <c r="AI891" s="8"/>
      <c r="AJ891" s="251"/>
      <c r="AK891" s="23"/>
      <c r="AL891" s="75"/>
      <c r="AM891" s="75" t="str">
        <f t="shared" si="141"/>
        <v/>
      </c>
      <c r="AN891" s="75"/>
      <c r="AO891" s="75"/>
      <c r="AP891" s="75"/>
      <c r="AQ891" s="75"/>
      <c r="AR891" s="75"/>
      <c r="AS891" s="75"/>
      <c r="AT891" s="75"/>
    </row>
    <row r="892" ht="22.5" customHeight="1">
      <c r="A892" s="219"/>
      <c r="B892" s="219"/>
      <c r="C892" s="219"/>
      <c r="D892" s="219"/>
      <c r="E892" s="219"/>
      <c r="F892" s="219"/>
      <c r="G892" s="219"/>
      <c r="H892" s="219"/>
      <c r="I892" s="249"/>
      <c r="J892" s="243"/>
      <c r="K892" s="219"/>
      <c r="L892" s="244"/>
      <c r="M892" s="219"/>
      <c r="N892" s="219"/>
      <c r="O892" s="219"/>
      <c r="P892" s="244"/>
      <c r="Q892" s="219"/>
      <c r="R892" s="302"/>
      <c r="S892" s="219"/>
      <c r="T892" s="219"/>
      <c r="U892" s="219"/>
      <c r="V892" s="303"/>
      <c r="W892" s="247"/>
      <c r="X892" s="245"/>
      <c r="Y892" s="245"/>
      <c r="Z892" s="245"/>
      <c r="AA892" s="245"/>
      <c r="AB892" s="245"/>
      <c r="AC892" s="249"/>
      <c r="AD892" s="249"/>
      <c r="AE892" s="249"/>
      <c r="AF892" s="8"/>
      <c r="AG892" s="8"/>
      <c r="AH892" s="72"/>
      <c r="AI892" s="8"/>
      <c r="AJ892" s="251"/>
      <c r="AK892" s="23"/>
      <c r="AL892" s="75"/>
      <c r="AM892" s="75" t="str">
        <f t="shared" si="141"/>
        <v/>
      </c>
      <c r="AN892" s="75"/>
      <c r="AO892" s="75"/>
      <c r="AP892" s="75"/>
      <c r="AQ892" s="75"/>
      <c r="AR892" s="75"/>
      <c r="AS892" s="75"/>
      <c r="AT892" s="75"/>
    </row>
    <row r="893" ht="22.5" customHeight="1">
      <c r="A893" s="219"/>
      <c r="B893" s="219"/>
      <c r="C893" s="219"/>
      <c r="D893" s="219"/>
      <c r="E893" s="219"/>
      <c r="F893" s="219"/>
      <c r="G893" s="219"/>
      <c r="H893" s="219"/>
      <c r="I893" s="249"/>
      <c r="J893" s="243"/>
      <c r="K893" s="219"/>
      <c r="L893" s="244"/>
      <c r="M893" s="219"/>
      <c r="N893" s="219"/>
      <c r="O893" s="219"/>
      <c r="P893" s="244"/>
      <c r="Q893" s="219"/>
      <c r="R893" s="302"/>
      <c r="S893" s="219"/>
      <c r="T893" s="219"/>
      <c r="U893" s="219"/>
      <c r="V893" s="303"/>
      <c r="W893" s="247"/>
      <c r="X893" s="245"/>
      <c r="Y893" s="245"/>
      <c r="Z893" s="245"/>
      <c r="AA893" s="245"/>
      <c r="AB893" s="245"/>
      <c r="AC893" s="249"/>
      <c r="AD893" s="249"/>
      <c r="AE893" s="249"/>
      <c r="AF893" s="8"/>
      <c r="AG893" s="8"/>
      <c r="AH893" s="72"/>
      <c r="AI893" s="8"/>
      <c r="AJ893" s="251"/>
      <c r="AK893" s="23"/>
      <c r="AL893" s="75"/>
      <c r="AM893" s="75" t="str">
        <f t="shared" si="141"/>
        <v/>
      </c>
      <c r="AN893" s="75"/>
      <c r="AO893" s="75"/>
      <c r="AP893" s="75"/>
      <c r="AQ893" s="75"/>
      <c r="AR893" s="75"/>
      <c r="AS893" s="75"/>
      <c r="AT893" s="75"/>
    </row>
    <row r="894" ht="22.5" customHeight="1">
      <c r="A894" s="219"/>
      <c r="B894" s="219"/>
      <c r="C894" s="219"/>
      <c r="D894" s="219"/>
      <c r="E894" s="219"/>
      <c r="F894" s="219"/>
      <c r="G894" s="219"/>
      <c r="H894" s="219"/>
      <c r="I894" s="249"/>
      <c r="J894" s="243"/>
      <c r="K894" s="219"/>
      <c r="L894" s="244"/>
      <c r="M894" s="219"/>
      <c r="N894" s="219"/>
      <c r="O894" s="219"/>
      <c r="P894" s="244"/>
      <c r="Q894" s="219"/>
      <c r="R894" s="302"/>
      <c r="S894" s="219"/>
      <c r="T894" s="219"/>
      <c r="U894" s="219"/>
      <c r="V894" s="303"/>
      <c r="W894" s="247"/>
      <c r="X894" s="245"/>
      <c r="Y894" s="245"/>
      <c r="Z894" s="245"/>
      <c r="AA894" s="245"/>
      <c r="AB894" s="245"/>
      <c r="AC894" s="249"/>
      <c r="AD894" s="249"/>
      <c r="AE894" s="249"/>
      <c r="AF894" s="8"/>
      <c r="AG894" s="8"/>
      <c r="AH894" s="72"/>
      <c r="AI894" s="8"/>
      <c r="AJ894" s="251"/>
      <c r="AK894" s="23"/>
      <c r="AL894" s="75"/>
      <c r="AM894" s="75" t="str">
        <f t="shared" si="141"/>
        <v/>
      </c>
      <c r="AN894" s="75"/>
      <c r="AO894" s="75"/>
      <c r="AP894" s="75"/>
      <c r="AQ894" s="75"/>
      <c r="AR894" s="75"/>
      <c r="AS894" s="75"/>
      <c r="AT894" s="75"/>
    </row>
    <row r="895" ht="22.5" customHeight="1">
      <c r="A895" s="219"/>
      <c r="B895" s="219"/>
      <c r="C895" s="219"/>
      <c r="D895" s="219"/>
      <c r="E895" s="219"/>
      <c r="F895" s="219"/>
      <c r="G895" s="219"/>
      <c r="H895" s="219"/>
      <c r="I895" s="249"/>
      <c r="J895" s="243"/>
      <c r="K895" s="219"/>
      <c r="L895" s="244"/>
      <c r="M895" s="219"/>
      <c r="N895" s="219"/>
      <c r="O895" s="219"/>
      <c r="P895" s="244"/>
      <c r="Q895" s="219"/>
      <c r="R895" s="302"/>
      <c r="S895" s="219"/>
      <c r="T895" s="219"/>
      <c r="U895" s="219"/>
      <c r="V895" s="303"/>
      <c r="W895" s="247"/>
      <c r="X895" s="245"/>
      <c r="Y895" s="245"/>
      <c r="Z895" s="245"/>
      <c r="AA895" s="245"/>
      <c r="AB895" s="245"/>
      <c r="AC895" s="249"/>
      <c r="AD895" s="249"/>
      <c r="AE895" s="249"/>
      <c r="AF895" s="8"/>
      <c r="AG895" s="8"/>
      <c r="AH895" s="72"/>
      <c r="AI895" s="8"/>
      <c r="AJ895" s="251"/>
      <c r="AK895" s="23"/>
      <c r="AL895" s="75"/>
      <c r="AM895" s="75" t="str">
        <f t="shared" si="141"/>
        <v/>
      </c>
      <c r="AN895" s="75"/>
      <c r="AO895" s="75"/>
      <c r="AP895" s="75"/>
      <c r="AQ895" s="75"/>
      <c r="AR895" s="75"/>
      <c r="AS895" s="75"/>
      <c r="AT895" s="75"/>
    </row>
    <row r="896" ht="22.5" customHeight="1">
      <c r="A896" s="219"/>
      <c r="B896" s="219"/>
      <c r="C896" s="219"/>
      <c r="D896" s="219"/>
      <c r="E896" s="219"/>
      <c r="F896" s="219"/>
      <c r="G896" s="219"/>
      <c r="H896" s="219"/>
      <c r="I896" s="249"/>
      <c r="J896" s="243"/>
      <c r="K896" s="219"/>
      <c r="L896" s="244"/>
      <c r="M896" s="219"/>
      <c r="N896" s="219"/>
      <c r="O896" s="219"/>
      <c r="P896" s="244"/>
      <c r="Q896" s="219"/>
      <c r="R896" s="302"/>
      <c r="S896" s="219"/>
      <c r="T896" s="219"/>
      <c r="U896" s="219"/>
      <c r="V896" s="303"/>
      <c r="W896" s="247"/>
      <c r="X896" s="245"/>
      <c r="Y896" s="245"/>
      <c r="Z896" s="245"/>
      <c r="AA896" s="245"/>
      <c r="AB896" s="245"/>
      <c r="AC896" s="249"/>
      <c r="AD896" s="249"/>
      <c r="AE896" s="249"/>
      <c r="AF896" s="8"/>
      <c r="AG896" s="8"/>
      <c r="AH896" s="72"/>
      <c r="AI896" s="8"/>
      <c r="AJ896" s="251"/>
      <c r="AK896" s="23"/>
      <c r="AL896" s="75"/>
      <c r="AM896" s="75" t="str">
        <f t="shared" si="141"/>
        <v/>
      </c>
      <c r="AN896" s="75"/>
      <c r="AO896" s="75"/>
      <c r="AP896" s="75"/>
      <c r="AQ896" s="75"/>
      <c r="AR896" s="75"/>
      <c r="AS896" s="75"/>
      <c r="AT896" s="75"/>
    </row>
    <row r="897" ht="22.5" customHeight="1">
      <c r="A897" s="219"/>
      <c r="B897" s="219"/>
      <c r="C897" s="219"/>
      <c r="D897" s="219"/>
      <c r="E897" s="219"/>
      <c r="F897" s="219"/>
      <c r="G897" s="219"/>
      <c r="H897" s="219"/>
      <c r="I897" s="249"/>
      <c r="J897" s="243"/>
      <c r="K897" s="219"/>
      <c r="L897" s="244"/>
      <c r="M897" s="219"/>
      <c r="N897" s="219"/>
      <c r="O897" s="219"/>
      <c r="P897" s="244"/>
      <c r="Q897" s="219"/>
      <c r="R897" s="302"/>
      <c r="S897" s="219"/>
      <c r="T897" s="219"/>
      <c r="U897" s="219"/>
      <c r="V897" s="303"/>
      <c r="W897" s="247"/>
      <c r="X897" s="245"/>
      <c r="Y897" s="245"/>
      <c r="Z897" s="245"/>
      <c r="AA897" s="245"/>
      <c r="AB897" s="245"/>
      <c r="AC897" s="249"/>
      <c r="AD897" s="249"/>
      <c r="AE897" s="249"/>
      <c r="AF897" s="8"/>
      <c r="AG897" s="8"/>
      <c r="AH897" s="72"/>
      <c r="AI897" s="8"/>
      <c r="AJ897" s="251"/>
      <c r="AK897" s="23"/>
      <c r="AL897" s="75"/>
      <c r="AM897" s="75" t="str">
        <f t="shared" si="141"/>
        <v/>
      </c>
      <c r="AN897" s="75"/>
      <c r="AO897" s="75"/>
      <c r="AP897" s="75"/>
      <c r="AQ897" s="75"/>
      <c r="AR897" s="75"/>
      <c r="AS897" s="75"/>
      <c r="AT897" s="75"/>
    </row>
    <row r="898" ht="22.5" customHeight="1">
      <c r="A898" s="219"/>
      <c r="B898" s="219"/>
      <c r="C898" s="219"/>
      <c r="D898" s="219"/>
      <c r="E898" s="219"/>
      <c r="F898" s="219"/>
      <c r="G898" s="219"/>
      <c r="H898" s="219"/>
      <c r="I898" s="249"/>
      <c r="J898" s="243"/>
      <c r="K898" s="219"/>
      <c r="L898" s="244"/>
      <c r="M898" s="219"/>
      <c r="N898" s="219"/>
      <c r="O898" s="219"/>
      <c r="P898" s="244"/>
      <c r="Q898" s="219"/>
      <c r="R898" s="302"/>
      <c r="S898" s="219"/>
      <c r="T898" s="219"/>
      <c r="U898" s="219"/>
      <c r="V898" s="303"/>
      <c r="W898" s="247"/>
      <c r="X898" s="245"/>
      <c r="Y898" s="245"/>
      <c r="Z898" s="245"/>
      <c r="AA898" s="245"/>
      <c r="AB898" s="245"/>
      <c r="AC898" s="249"/>
      <c r="AD898" s="249"/>
      <c r="AE898" s="249"/>
      <c r="AF898" s="8"/>
      <c r="AG898" s="8"/>
      <c r="AH898" s="72"/>
      <c r="AI898" s="8"/>
      <c r="AJ898" s="251"/>
      <c r="AK898" s="23"/>
      <c r="AL898" s="75"/>
      <c r="AM898" s="75" t="str">
        <f t="shared" si="141"/>
        <v/>
      </c>
      <c r="AN898" s="75"/>
      <c r="AO898" s="75"/>
      <c r="AP898" s="75"/>
      <c r="AQ898" s="75"/>
      <c r="AR898" s="75"/>
      <c r="AS898" s="75"/>
      <c r="AT898" s="75"/>
    </row>
    <row r="899" ht="22.5" customHeight="1">
      <c r="A899" s="219"/>
      <c r="B899" s="219"/>
      <c r="C899" s="219"/>
      <c r="D899" s="219"/>
      <c r="E899" s="219"/>
      <c r="F899" s="219"/>
      <c r="G899" s="219"/>
      <c r="H899" s="219"/>
      <c r="I899" s="249"/>
      <c r="J899" s="243"/>
      <c r="K899" s="219"/>
      <c r="L899" s="244"/>
      <c r="M899" s="219"/>
      <c r="N899" s="219"/>
      <c r="O899" s="219"/>
      <c r="P899" s="244"/>
      <c r="Q899" s="219"/>
      <c r="R899" s="302"/>
      <c r="S899" s="219"/>
      <c r="T899" s="219"/>
      <c r="U899" s="219"/>
      <c r="V899" s="303"/>
      <c r="W899" s="247"/>
      <c r="X899" s="245"/>
      <c r="Y899" s="245"/>
      <c r="Z899" s="245"/>
      <c r="AA899" s="245"/>
      <c r="AB899" s="245"/>
      <c r="AC899" s="249"/>
      <c r="AD899" s="249"/>
      <c r="AE899" s="249"/>
      <c r="AF899" s="8"/>
      <c r="AG899" s="8"/>
      <c r="AH899" s="72"/>
      <c r="AI899" s="8"/>
      <c r="AJ899" s="251"/>
      <c r="AK899" s="23"/>
      <c r="AL899" s="75"/>
      <c r="AM899" s="75" t="str">
        <f t="shared" si="141"/>
        <v/>
      </c>
      <c r="AN899" s="75"/>
      <c r="AO899" s="75"/>
      <c r="AP899" s="75"/>
      <c r="AQ899" s="75"/>
      <c r="AR899" s="75"/>
      <c r="AS899" s="75"/>
      <c r="AT899" s="75"/>
    </row>
    <row r="900" ht="22.5" customHeight="1">
      <c r="A900" s="219"/>
      <c r="B900" s="219"/>
      <c r="C900" s="219"/>
      <c r="D900" s="219"/>
      <c r="E900" s="219"/>
      <c r="F900" s="219"/>
      <c r="G900" s="219"/>
      <c r="H900" s="219"/>
      <c r="I900" s="249"/>
      <c r="J900" s="243"/>
      <c r="K900" s="219"/>
      <c r="L900" s="244"/>
      <c r="M900" s="219"/>
      <c r="N900" s="219"/>
      <c r="O900" s="219"/>
      <c r="P900" s="244"/>
      <c r="Q900" s="219"/>
      <c r="R900" s="302"/>
      <c r="S900" s="219"/>
      <c r="T900" s="219"/>
      <c r="U900" s="219"/>
      <c r="V900" s="303"/>
      <c r="W900" s="247"/>
      <c r="X900" s="245"/>
      <c r="Y900" s="245"/>
      <c r="Z900" s="245"/>
      <c r="AA900" s="245"/>
      <c r="AB900" s="245"/>
      <c r="AC900" s="249"/>
      <c r="AD900" s="249"/>
      <c r="AE900" s="249"/>
      <c r="AF900" s="8"/>
      <c r="AG900" s="8"/>
      <c r="AH900" s="72"/>
      <c r="AI900" s="8"/>
      <c r="AJ900" s="251"/>
      <c r="AK900" s="23"/>
      <c r="AL900" s="75"/>
      <c r="AM900" s="75" t="str">
        <f t="shared" si="141"/>
        <v/>
      </c>
      <c r="AN900" s="75"/>
      <c r="AO900" s="75"/>
      <c r="AP900" s="75"/>
      <c r="AQ900" s="75"/>
      <c r="AR900" s="75"/>
      <c r="AS900" s="75"/>
      <c r="AT900" s="75"/>
    </row>
    <row r="901" ht="22.5" customHeight="1">
      <c r="A901" s="219"/>
      <c r="B901" s="219"/>
      <c r="C901" s="219"/>
      <c r="D901" s="219"/>
      <c r="E901" s="219"/>
      <c r="F901" s="219"/>
      <c r="G901" s="219"/>
      <c r="H901" s="219"/>
      <c r="I901" s="249"/>
      <c r="J901" s="243"/>
      <c r="K901" s="219"/>
      <c r="L901" s="244"/>
      <c r="M901" s="219"/>
      <c r="N901" s="219"/>
      <c r="O901" s="219"/>
      <c r="P901" s="244"/>
      <c r="Q901" s="219"/>
      <c r="R901" s="302"/>
      <c r="S901" s="219"/>
      <c r="T901" s="219"/>
      <c r="U901" s="219"/>
      <c r="V901" s="303"/>
      <c r="W901" s="247"/>
      <c r="X901" s="245"/>
      <c r="Y901" s="245"/>
      <c r="Z901" s="245"/>
      <c r="AA901" s="245"/>
      <c r="AB901" s="245"/>
      <c r="AC901" s="249"/>
      <c r="AD901" s="249"/>
      <c r="AE901" s="249"/>
      <c r="AF901" s="8"/>
      <c r="AG901" s="8"/>
      <c r="AH901" s="72"/>
      <c r="AI901" s="8"/>
      <c r="AJ901" s="251"/>
      <c r="AK901" s="23"/>
      <c r="AL901" s="75"/>
      <c r="AM901" s="75" t="str">
        <f t="shared" si="141"/>
        <v/>
      </c>
      <c r="AN901" s="75"/>
      <c r="AO901" s="75"/>
      <c r="AP901" s="75"/>
      <c r="AQ901" s="75"/>
      <c r="AR901" s="75"/>
      <c r="AS901" s="75"/>
      <c r="AT901" s="75"/>
    </row>
    <row r="902" ht="22.5" customHeight="1">
      <c r="A902" s="219"/>
      <c r="B902" s="219"/>
      <c r="C902" s="219"/>
      <c r="D902" s="219"/>
      <c r="E902" s="219"/>
      <c r="F902" s="219"/>
      <c r="G902" s="219"/>
      <c r="H902" s="219"/>
      <c r="I902" s="249"/>
      <c r="J902" s="243"/>
      <c r="K902" s="219"/>
      <c r="L902" s="244"/>
      <c r="M902" s="219"/>
      <c r="N902" s="219"/>
      <c r="O902" s="219"/>
      <c r="P902" s="244"/>
      <c r="Q902" s="219"/>
      <c r="R902" s="302"/>
      <c r="S902" s="219"/>
      <c r="T902" s="219"/>
      <c r="U902" s="219"/>
      <c r="V902" s="303"/>
      <c r="W902" s="247"/>
      <c r="X902" s="245"/>
      <c r="Y902" s="245"/>
      <c r="Z902" s="245"/>
      <c r="AA902" s="245"/>
      <c r="AB902" s="245"/>
      <c r="AC902" s="249"/>
      <c r="AD902" s="249"/>
      <c r="AE902" s="249"/>
      <c r="AF902" s="8"/>
      <c r="AG902" s="8"/>
      <c r="AH902" s="72"/>
      <c r="AI902" s="8"/>
      <c r="AJ902" s="251"/>
      <c r="AK902" s="23"/>
      <c r="AL902" s="75"/>
      <c r="AM902" s="75" t="str">
        <f t="shared" si="141"/>
        <v/>
      </c>
      <c r="AN902" s="75"/>
      <c r="AO902" s="75"/>
      <c r="AP902" s="75"/>
      <c r="AQ902" s="75"/>
      <c r="AR902" s="75"/>
      <c r="AS902" s="75"/>
      <c r="AT902" s="75"/>
    </row>
    <row r="903" ht="22.5" customHeight="1">
      <c r="A903" s="219"/>
      <c r="B903" s="219"/>
      <c r="C903" s="219"/>
      <c r="D903" s="219"/>
      <c r="E903" s="219"/>
      <c r="F903" s="219"/>
      <c r="G903" s="219"/>
      <c r="H903" s="219"/>
      <c r="I903" s="249"/>
      <c r="J903" s="243"/>
      <c r="K903" s="219"/>
      <c r="L903" s="244"/>
      <c r="M903" s="219"/>
      <c r="N903" s="219"/>
      <c r="O903" s="219"/>
      <c r="P903" s="244"/>
      <c r="Q903" s="219"/>
      <c r="R903" s="302"/>
      <c r="S903" s="219"/>
      <c r="T903" s="219"/>
      <c r="U903" s="219"/>
      <c r="V903" s="303"/>
      <c r="W903" s="247"/>
      <c r="X903" s="245"/>
      <c r="Y903" s="245"/>
      <c r="Z903" s="245"/>
      <c r="AA903" s="245"/>
      <c r="AB903" s="245"/>
      <c r="AC903" s="249"/>
      <c r="AD903" s="249"/>
      <c r="AE903" s="249"/>
      <c r="AF903" s="8"/>
      <c r="AG903" s="8"/>
      <c r="AH903" s="72"/>
      <c r="AI903" s="8"/>
      <c r="AJ903" s="251"/>
      <c r="AK903" s="23"/>
      <c r="AL903" s="75"/>
      <c r="AM903" s="75" t="str">
        <f t="shared" si="141"/>
        <v/>
      </c>
      <c r="AN903" s="75"/>
      <c r="AO903" s="75"/>
      <c r="AP903" s="75"/>
      <c r="AQ903" s="75"/>
      <c r="AR903" s="75"/>
      <c r="AS903" s="75"/>
      <c r="AT903" s="75"/>
    </row>
    <row r="904" ht="22.5" customHeight="1">
      <c r="A904" s="219"/>
      <c r="B904" s="219"/>
      <c r="C904" s="219"/>
      <c r="D904" s="219"/>
      <c r="E904" s="219"/>
      <c r="F904" s="219"/>
      <c r="G904" s="219"/>
      <c r="H904" s="219"/>
      <c r="I904" s="249"/>
      <c r="J904" s="243"/>
      <c r="K904" s="219"/>
      <c r="L904" s="244"/>
      <c r="M904" s="219"/>
      <c r="N904" s="219"/>
      <c r="O904" s="219"/>
      <c r="P904" s="244"/>
      <c r="Q904" s="219"/>
      <c r="R904" s="302"/>
      <c r="S904" s="219"/>
      <c r="T904" s="219"/>
      <c r="U904" s="219"/>
      <c r="V904" s="303"/>
      <c r="W904" s="247"/>
      <c r="X904" s="245"/>
      <c r="Y904" s="245"/>
      <c r="Z904" s="245"/>
      <c r="AA904" s="245"/>
      <c r="AB904" s="245"/>
      <c r="AC904" s="249"/>
      <c r="AD904" s="249"/>
      <c r="AE904" s="249"/>
      <c r="AF904" s="8"/>
      <c r="AG904" s="8"/>
      <c r="AH904" s="72"/>
      <c r="AI904" s="8"/>
      <c r="AJ904" s="251"/>
      <c r="AK904" s="23"/>
      <c r="AL904" s="75"/>
      <c r="AM904" s="75" t="str">
        <f t="shared" si="141"/>
        <v/>
      </c>
      <c r="AN904" s="75"/>
      <c r="AO904" s="75"/>
      <c r="AP904" s="75"/>
      <c r="AQ904" s="75"/>
      <c r="AR904" s="75"/>
      <c r="AS904" s="75"/>
      <c r="AT904" s="75"/>
    </row>
    <row r="905" ht="22.5" customHeight="1">
      <c r="A905" s="219"/>
      <c r="B905" s="219"/>
      <c r="C905" s="219"/>
      <c r="D905" s="219"/>
      <c r="E905" s="219"/>
      <c r="F905" s="219"/>
      <c r="G905" s="219"/>
      <c r="H905" s="219"/>
      <c r="I905" s="249"/>
      <c r="J905" s="243"/>
      <c r="K905" s="219"/>
      <c r="L905" s="244"/>
      <c r="M905" s="219"/>
      <c r="N905" s="219"/>
      <c r="O905" s="219"/>
      <c r="P905" s="244"/>
      <c r="Q905" s="219"/>
      <c r="R905" s="302"/>
      <c r="S905" s="219"/>
      <c r="T905" s="219"/>
      <c r="U905" s="219"/>
      <c r="V905" s="303"/>
      <c r="W905" s="247"/>
      <c r="X905" s="245"/>
      <c r="Y905" s="245"/>
      <c r="Z905" s="245"/>
      <c r="AA905" s="245"/>
      <c r="AB905" s="245"/>
      <c r="AC905" s="249"/>
      <c r="AD905" s="249"/>
      <c r="AE905" s="249"/>
      <c r="AF905" s="8"/>
      <c r="AG905" s="8"/>
      <c r="AH905" s="72"/>
      <c r="AI905" s="8"/>
      <c r="AJ905" s="251"/>
      <c r="AK905" s="23"/>
      <c r="AL905" s="75"/>
      <c r="AM905" s="75" t="str">
        <f t="shared" si="141"/>
        <v/>
      </c>
      <c r="AN905" s="75"/>
      <c r="AO905" s="75"/>
      <c r="AP905" s="75"/>
      <c r="AQ905" s="75"/>
      <c r="AR905" s="75"/>
      <c r="AS905" s="75"/>
      <c r="AT905" s="75"/>
    </row>
    <row r="906" ht="22.5" customHeight="1">
      <c r="A906" s="219"/>
      <c r="B906" s="219"/>
      <c r="C906" s="219"/>
      <c r="D906" s="219"/>
      <c r="E906" s="219"/>
      <c r="F906" s="219"/>
      <c r="G906" s="219"/>
      <c r="H906" s="219"/>
      <c r="I906" s="249"/>
      <c r="J906" s="243"/>
      <c r="K906" s="219"/>
      <c r="L906" s="244"/>
      <c r="M906" s="219"/>
      <c r="N906" s="219"/>
      <c r="O906" s="219"/>
      <c r="P906" s="244"/>
      <c r="Q906" s="219"/>
      <c r="R906" s="302"/>
      <c r="S906" s="219"/>
      <c r="T906" s="219"/>
      <c r="U906" s="219"/>
      <c r="V906" s="303"/>
      <c r="W906" s="247"/>
      <c r="X906" s="245"/>
      <c r="Y906" s="245"/>
      <c r="Z906" s="245"/>
      <c r="AA906" s="245"/>
      <c r="AB906" s="245"/>
      <c r="AC906" s="249"/>
      <c r="AD906" s="249"/>
      <c r="AE906" s="249"/>
      <c r="AF906" s="8"/>
      <c r="AG906" s="8"/>
      <c r="AH906" s="72"/>
      <c r="AI906" s="8"/>
      <c r="AJ906" s="251"/>
      <c r="AK906" s="23"/>
      <c r="AL906" s="75"/>
      <c r="AM906" s="75" t="str">
        <f t="shared" si="141"/>
        <v/>
      </c>
      <c r="AN906" s="75"/>
      <c r="AO906" s="75"/>
      <c r="AP906" s="75"/>
      <c r="AQ906" s="75"/>
      <c r="AR906" s="75"/>
      <c r="AS906" s="75"/>
      <c r="AT906" s="75"/>
    </row>
    <row r="907" ht="22.5" customHeight="1">
      <c r="A907" s="219"/>
      <c r="B907" s="219"/>
      <c r="C907" s="219"/>
      <c r="D907" s="219"/>
      <c r="E907" s="219"/>
      <c r="F907" s="219"/>
      <c r="G907" s="219"/>
      <c r="H907" s="219"/>
      <c r="I907" s="249"/>
      <c r="J907" s="243"/>
      <c r="K907" s="219"/>
      <c r="L907" s="244"/>
      <c r="M907" s="219"/>
      <c r="N907" s="219"/>
      <c r="O907" s="219"/>
      <c r="P907" s="244"/>
      <c r="Q907" s="219"/>
      <c r="R907" s="302"/>
      <c r="S907" s="219"/>
      <c r="T907" s="219"/>
      <c r="U907" s="219"/>
      <c r="V907" s="303"/>
      <c r="W907" s="247"/>
      <c r="X907" s="245"/>
      <c r="Y907" s="245"/>
      <c r="Z907" s="245"/>
      <c r="AA907" s="245"/>
      <c r="AB907" s="245"/>
      <c r="AC907" s="249"/>
      <c r="AD907" s="249"/>
      <c r="AE907" s="249"/>
      <c r="AF907" s="8"/>
      <c r="AG907" s="8"/>
      <c r="AH907" s="72"/>
      <c r="AI907" s="8"/>
      <c r="AJ907" s="251"/>
      <c r="AK907" s="23"/>
      <c r="AL907" s="75"/>
      <c r="AM907" s="75" t="str">
        <f t="shared" si="141"/>
        <v/>
      </c>
      <c r="AN907" s="75"/>
      <c r="AO907" s="75"/>
      <c r="AP907" s="75"/>
      <c r="AQ907" s="75"/>
      <c r="AR907" s="75"/>
      <c r="AS907" s="75"/>
      <c r="AT907" s="75"/>
    </row>
    <row r="908" ht="22.5" customHeight="1">
      <c r="A908" s="219"/>
      <c r="B908" s="219"/>
      <c r="C908" s="219"/>
      <c r="D908" s="219"/>
      <c r="E908" s="219"/>
      <c r="F908" s="219"/>
      <c r="G908" s="219"/>
      <c r="H908" s="219"/>
      <c r="I908" s="249"/>
      <c r="J908" s="243"/>
      <c r="K908" s="219"/>
      <c r="L908" s="244"/>
      <c r="M908" s="219"/>
      <c r="N908" s="219"/>
      <c r="O908" s="219"/>
      <c r="P908" s="244"/>
      <c r="Q908" s="219"/>
      <c r="R908" s="302"/>
      <c r="S908" s="219"/>
      <c r="T908" s="219"/>
      <c r="U908" s="219"/>
      <c r="V908" s="303"/>
      <c r="W908" s="247"/>
      <c r="X908" s="245"/>
      <c r="Y908" s="245"/>
      <c r="Z908" s="245"/>
      <c r="AA908" s="245"/>
      <c r="AB908" s="245"/>
      <c r="AC908" s="249"/>
      <c r="AD908" s="249"/>
      <c r="AE908" s="249"/>
      <c r="AF908" s="8"/>
      <c r="AG908" s="8"/>
      <c r="AH908" s="72"/>
      <c r="AI908" s="8"/>
      <c r="AJ908" s="251"/>
      <c r="AK908" s="23"/>
      <c r="AL908" s="75"/>
      <c r="AM908" s="75" t="str">
        <f t="shared" si="141"/>
        <v/>
      </c>
      <c r="AN908" s="75"/>
      <c r="AO908" s="75"/>
      <c r="AP908" s="75"/>
      <c r="AQ908" s="75"/>
      <c r="AR908" s="75"/>
      <c r="AS908" s="75"/>
      <c r="AT908" s="75"/>
    </row>
    <row r="909" ht="22.5" customHeight="1">
      <c r="A909" s="219"/>
      <c r="B909" s="219"/>
      <c r="C909" s="219"/>
      <c r="D909" s="219"/>
      <c r="E909" s="219"/>
      <c r="F909" s="219"/>
      <c r="G909" s="219"/>
      <c r="H909" s="219"/>
      <c r="I909" s="249"/>
      <c r="J909" s="243"/>
      <c r="K909" s="219"/>
      <c r="L909" s="244"/>
      <c r="M909" s="219"/>
      <c r="N909" s="219"/>
      <c r="O909" s="219"/>
      <c r="P909" s="244"/>
      <c r="Q909" s="219"/>
      <c r="R909" s="302"/>
      <c r="S909" s="219"/>
      <c r="T909" s="219"/>
      <c r="U909" s="219"/>
      <c r="V909" s="303"/>
      <c r="W909" s="247"/>
      <c r="X909" s="245"/>
      <c r="Y909" s="245"/>
      <c r="Z909" s="245"/>
      <c r="AA909" s="245"/>
      <c r="AB909" s="245"/>
      <c r="AC909" s="249"/>
      <c r="AD909" s="249"/>
      <c r="AE909" s="249"/>
      <c r="AF909" s="8"/>
      <c r="AG909" s="8"/>
      <c r="AH909" s="72"/>
      <c r="AI909" s="8"/>
      <c r="AJ909" s="251"/>
      <c r="AK909" s="23"/>
      <c r="AL909" s="75"/>
      <c r="AM909" s="75" t="str">
        <f t="shared" si="141"/>
        <v/>
      </c>
      <c r="AN909" s="75"/>
      <c r="AO909" s="75"/>
      <c r="AP909" s="75"/>
      <c r="AQ909" s="75"/>
      <c r="AR909" s="75"/>
      <c r="AS909" s="75"/>
      <c r="AT909" s="75"/>
    </row>
    <row r="910" ht="22.5" customHeight="1">
      <c r="A910" s="219"/>
      <c r="B910" s="219"/>
      <c r="C910" s="219"/>
      <c r="D910" s="219"/>
      <c r="E910" s="219"/>
      <c r="F910" s="219"/>
      <c r="G910" s="219"/>
      <c r="H910" s="219"/>
      <c r="I910" s="249"/>
      <c r="J910" s="243"/>
      <c r="K910" s="219"/>
      <c r="L910" s="244"/>
      <c r="M910" s="219"/>
      <c r="N910" s="219"/>
      <c r="O910" s="219"/>
      <c r="P910" s="244"/>
      <c r="Q910" s="219"/>
      <c r="R910" s="302"/>
      <c r="S910" s="219"/>
      <c r="T910" s="219"/>
      <c r="U910" s="219"/>
      <c r="V910" s="303"/>
      <c r="W910" s="247"/>
      <c r="X910" s="245"/>
      <c r="Y910" s="245"/>
      <c r="Z910" s="245"/>
      <c r="AA910" s="245"/>
      <c r="AB910" s="245"/>
      <c r="AC910" s="249"/>
      <c r="AD910" s="249"/>
      <c r="AE910" s="249"/>
      <c r="AF910" s="8"/>
      <c r="AG910" s="8"/>
      <c r="AH910" s="72"/>
      <c r="AI910" s="8"/>
      <c r="AJ910" s="251"/>
      <c r="AK910" s="23"/>
      <c r="AL910" s="75"/>
      <c r="AM910" s="75" t="str">
        <f t="shared" si="141"/>
        <v/>
      </c>
      <c r="AN910" s="75"/>
      <c r="AO910" s="75"/>
      <c r="AP910" s="75"/>
      <c r="AQ910" s="75"/>
      <c r="AR910" s="75"/>
      <c r="AS910" s="75"/>
      <c r="AT910" s="75"/>
    </row>
    <row r="911" ht="22.5" customHeight="1">
      <c r="A911" s="219"/>
      <c r="B911" s="219"/>
      <c r="C911" s="219"/>
      <c r="D911" s="219"/>
      <c r="E911" s="219"/>
      <c r="F911" s="219"/>
      <c r="G911" s="219"/>
      <c r="H911" s="219"/>
      <c r="I911" s="249"/>
      <c r="J911" s="243"/>
      <c r="K911" s="219"/>
      <c r="L911" s="244"/>
      <c r="M911" s="219"/>
      <c r="N911" s="219"/>
      <c r="O911" s="219"/>
      <c r="P911" s="244"/>
      <c r="Q911" s="219"/>
      <c r="R911" s="302"/>
      <c r="S911" s="219"/>
      <c r="T911" s="219"/>
      <c r="U911" s="219"/>
      <c r="V911" s="303"/>
      <c r="W911" s="247"/>
      <c r="X911" s="245"/>
      <c r="Y911" s="245"/>
      <c r="Z911" s="245"/>
      <c r="AA911" s="245"/>
      <c r="AB911" s="245"/>
      <c r="AC911" s="249"/>
      <c r="AD911" s="249"/>
      <c r="AE911" s="249"/>
      <c r="AF911" s="8"/>
      <c r="AG911" s="8"/>
      <c r="AH911" s="72"/>
      <c r="AI911" s="8"/>
      <c r="AJ911" s="251"/>
      <c r="AK911" s="23"/>
      <c r="AL911" s="75"/>
      <c r="AM911" s="75" t="str">
        <f t="shared" si="141"/>
        <v/>
      </c>
      <c r="AN911" s="75"/>
      <c r="AO911" s="75"/>
      <c r="AP911" s="75"/>
      <c r="AQ911" s="75"/>
      <c r="AR911" s="75"/>
      <c r="AS911" s="75"/>
      <c r="AT911" s="75"/>
    </row>
    <row r="912" ht="22.5" customHeight="1">
      <c r="A912" s="219"/>
      <c r="B912" s="219"/>
      <c r="C912" s="219"/>
      <c r="D912" s="219"/>
      <c r="E912" s="219"/>
      <c r="F912" s="219"/>
      <c r="G912" s="219"/>
      <c r="H912" s="219"/>
      <c r="I912" s="249"/>
      <c r="J912" s="243"/>
      <c r="K912" s="219"/>
      <c r="L912" s="244"/>
      <c r="M912" s="219"/>
      <c r="N912" s="219"/>
      <c r="O912" s="219"/>
      <c r="P912" s="244"/>
      <c r="Q912" s="219"/>
      <c r="R912" s="302"/>
      <c r="S912" s="219"/>
      <c r="T912" s="219"/>
      <c r="U912" s="219"/>
      <c r="V912" s="303"/>
      <c r="W912" s="247"/>
      <c r="X912" s="245"/>
      <c r="Y912" s="245"/>
      <c r="Z912" s="245"/>
      <c r="AA912" s="245"/>
      <c r="AB912" s="245"/>
      <c r="AC912" s="249"/>
      <c r="AD912" s="249"/>
      <c r="AE912" s="249"/>
      <c r="AF912" s="8"/>
      <c r="AG912" s="8"/>
      <c r="AH912" s="72"/>
      <c r="AI912" s="8"/>
      <c r="AJ912" s="251"/>
      <c r="AK912" s="23"/>
      <c r="AL912" s="75"/>
      <c r="AM912" s="75" t="str">
        <f t="shared" si="141"/>
        <v/>
      </c>
      <c r="AN912" s="75"/>
      <c r="AO912" s="75"/>
      <c r="AP912" s="75"/>
      <c r="AQ912" s="75"/>
      <c r="AR912" s="75"/>
      <c r="AS912" s="75"/>
      <c r="AT912" s="75"/>
    </row>
    <row r="913" ht="22.5" customHeight="1">
      <c r="A913" s="219"/>
      <c r="B913" s="219"/>
      <c r="C913" s="219"/>
      <c r="D913" s="219"/>
      <c r="E913" s="219"/>
      <c r="F913" s="219"/>
      <c r="G913" s="219"/>
      <c r="H913" s="219"/>
      <c r="I913" s="249"/>
      <c r="J913" s="243"/>
      <c r="K913" s="219"/>
      <c r="L913" s="244"/>
      <c r="M913" s="219"/>
      <c r="N913" s="219"/>
      <c r="O913" s="219"/>
      <c r="P913" s="244"/>
      <c r="Q913" s="219"/>
      <c r="R913" s="302"/>
      <c r="S913" s="219"/>
      <c r="T913" s="219"/>
      <c r="U913" s="219"/>
      <c r="V913" s="303"/>
      <c r="W913" s="247"/>
      <c r="X913" s="245"/>
      <c r="Y913" s="245"/>
      <c r="Z913" s="245"/>
      <c r="AA913" s="245"/>
      <c r="AB913" s="245"/>
      <c r="AC913" s="249"/>
      <c r="AD913" s="249"/>
      <c r="AE913" s="249"/>
      <c r="AF913" s="8"/>
      <c r="AG913" s="8"/>
      <c r="AH913" s="72"/>
      <c r="AI913" s="8"/>
      <c r="AJ913" s="251"/>
      <c r="AK913" s="23"/>
      <c r="AL913" s="75"/>
      <c r="AM913" s="75" t="str">
        <f t="shared" si="141"/>
        <v/>
      </c>
      <c r="AN913" s="75"/>
      <c r="AO913" s="75"/>
      <c r="AP913" s="75"/>
      <c r="AQ913" s="75"/>
      <c r="AR913" s="75"/>
      <c r="AS913" s="75"/>
      <c r="AT913" s="75"/>
    </row>
    <row r="914" ht="22.5" customHeight="1">
      <c r="A914" s="219"/>
      <c r="B914" s="219"/>
      <c r="C914" s="219"/>
      <c r="D914" s="219"/>
      <c r="E914" s="219"/>
      <c r="F914" s="219"/>
      <c r="G914" s="219"/>
      <c r="H914" s="219"/>
      <c r="I914" s="249"/>
      <c r="J914" s="243"/>
      <c r="K914" s="219"/>
      <c r="L914" s="244"/>
      <c r="M914" s="219"/>
      <c r="N914" s="219"/>
      <c r="O914" s="219"/>
      <c r="P914" s="244"/>
      <c r="Q914" s="219"/>
      <c r="R914" s="302"/>
      <c r="S914" s="219"/>
      <c r="T914" s="219"/>
      <c r="U914" s="219"/>
      <c r="V914" s="303"/>
      <c r="W914" s="247"/>
      <c r="X914" s="245"/>
      <c r="Y914" s="245"/>
      <c r="Z914" s="245"/>
      <c r="AA914" s="245"/>
      <c r="AB914" s="245"/>
      <c r="AC914" s="249"/>
      <c r="AD914" s="249"/>
      <c r="AE914" s="249"/>
      <c r="AF914" s="8"/>
      <c r="AG914" s="8"/>
      <c r="AH914" s="72"/>
      <c r="AI914" s="8"/>
      <c r="AJ914" s="251"/>
      <c r="AK914" s="23"/>
      <c r="AL914" s="75"/>
      <c r="AM914" s="75" t="str">
        <f t="shared" si="141"/>
        <v/>
      </c>
      <c r="AN914" s="75"/>
      <c r="AO914" s="75"/>
      <c r="AP914" s="75"/>
      <c r="AQ914" s="75"/>
      <c r="AR914" s="75"/>
      <c r="AS914" s="75"/>
      <c r="AT914" s="75"/>
    </row>
    <row r="915" ht="22.5" customHeight="1">
      <c r="A915" s="219"/>
      <c r="B915" s="219"/>
      <c r="C915" s="219"/>
      <c r="D915" s="219"/>
      <c r="E915" s="219"/>
      <c r="F915" s="219"/>
      <c r="G915" s="219"/>
      <c r="H915" s="219"/>
      <c r="I915" s="249"/>
      <c r="J915" s="243"/>
      <c r="K915" s="219"/>
      <c r="L915" s="244"/>
      <c r="M915" s="219"/>
      <c r="N915" s="219"/>
      <c r="O915" s="219"/>
      <c r="P915" s="244"/>
      <c r="Q915" s="219"/>
      <c r="R915" s="302"/>
      <c r="S915" s="219"/>
      <c r="T915" s="219"/>
      <c r="U915" s="219"/>
      <c r="V915" s="303"/>
      <c r="W915" s="247"/>
      <c r="X915" s="245"/>
      <c r="Y915" s="245"/>
      <c r="Z915" s="245"/>
      <c r="AA915" s="245"/>
      <c r="AB915" s="245"/>
      <c r="AC915" s="249"/>
      <c r="AD915" s="249"/>
      <c r="AE915" s="249"/>
      <c r="AF915" s="8"/>
      <c r="AG915" s="8"/>
      <c r="AH915" s="72"/>
      <c r="AI915" s="8"/>
      <c r="AJ915" s="251"/>
      <c r="AK915" s="23"/>
      <c r="AL915" s="75"/>
      <c r="AM915" s="75" t="str">
        <f t="shared" si="141"/>
        <v/>
      </c>
      <c r="AN915" s="75"/>
      <c r="AO915" s="75"/>
      <c r="AP915" s="75"/>
      <c r="AQ915" s="75"/>
      <c r="AR915" s="75"/>
      <c r="AS915" s="75"/>
      <c r="AT915" s="75"/>
    </row>
    <row r="916" ht="22.5" customHeight="1">
      <c r="A916" s="219"/>
      <c r="B916" s="219"/>
      <c r="C916" s="219"/>
      <c r="D916" s="219"/>
      <c r="E916" s="219"/>
      <c r="F916" s="219"/>
      <c r="G916" s="219"/>
      <c r="H916" s="219"/>
      <c r="I916" s="249"/>
      <c r="J916" s="243"/>
      <c r="K916" s="219"/>
      <c r="L916" s="244"/>
      <c r="M916" s="219"/>
      <c r="N916" s="219"/>
      <c r="O916" s="219"/>
      <c r="P916" s="244"/>
      <c r="Q916" s="219"/>
      <c r="R916" s="302"/>
      <c r="S916" s="219"/>
      <c r="T916" s="219"/>
      <c r="U916" s="219"/>
      <c r="V916" s="303"/>
      <c r="W916" s="247"/>
      <c r="X916" s="245"/>
      <c r="Y916" s="245"/>
      <c r="Z916" s="245"/>
      <c r="AA916" s="245"/>
      <c r="AB916" s="245"/>
      <c r="AC916" s="249"/>
      <c r="AD916" s="249"/>
      <c r="AE916" s="249"/>
      <c r="AF916" s="8"/>
      <c r="AG916" s="8"/>
      <c r="AH916" s="72"/>
      <c r="AI916" s="8"/>
      <c r="AJ916" s="251"/>
      <c r="AK916" s="23"/>
      <c r="AL916" s="75"/>
      <c r="AM916" s="75" t="str">
        <f t="shared" si="141"/>
        <v/>
      </c>
      <c r="AN916" s="75"/>
      <c r="AO916" s="75"/>
      <c r="AP916" s="75"/>
      <c r="AQ916" s="75"/>
      <c r="AR916" s="75"/>
      <c r="AS916" s="75"/>
      <c r="AT916" s="75"/>
    </row>
    <row r="917" ht="22.5" customHeight="1">
      <c r="A917" s="219"/>
      <c r="B917" s="219"/>
      <c r="C917" s="219"/>
      <c r="D917" s="219"/>
      <c r="E917" s="219"/>
      <c r="F917" s="219"/>
      <c r="G917" s="219"/>
      <c r="H917" s="219"/>
      <c r="I917" s="249"/>
      <c r="J917" s="243"/>
      <c r="K917" s="219"/>
      <c r="L917" s="244"/>
      <c r="M917" s="219"/>
      <c r="N917" s="219"/>
      <c r="O917" s="219"/>
      <c r="P917" s="244"/>
      <c r="Q917" s="219"/>
      <c r="R917" s="302"/>
      <c r="S917" s="219"/>
      <c r="T917" s="219"/>
      <c r="U917" s="219"/>
      <c r="V917" s="303"/>
      <c r="W917" s="247"/>
      <c r="X917" s="245"/>
      <c r="Y917" s="245"/>
      <c r="Z917" s="245"/>
      <c r="AA917" s="245"/>
      <c r="AB917" s="245"/>
      <c r="AC917" s="249"/>
      <c r="AD917" s="249"/>
      <c r="AE917" s="249"/>
      <c r="AF917" s="8"/>
      <c r="AG917" s="8"/>
      <c r="AH917" s="72"/>
      <c r="AI917" s="8"/>
      <c r="AJ917" s="251"/>
      <c r="AK917" s="23"/>
      <c r="AL917" s="75"/>
      <c r="AM917" s="75" t="str">
        <f t="shared" si="141"/>
        <v/>
      </c>
      <c r="AN917" s="75"/>
      <c r="AO917" s="75"/>
      <c r="AP917" s="75"/>
      <c r="AQ917" s="75"/>
      <c r="AR917" s="75"/>
      <c r="AS917" s="75"/>
      <c r="AT917" s="75"/>
    </row>
    <row r="918" ht="22.5" customHeight="1">
      <c r="A918" s="219"/>
      <c r="B918" s="219"/>
      <c r="C918" s="219"/>
      <c r="D918" s="219"/>
      <c r="E918" s="219"/>
      <c r="F918" s="219"/>
      <c r="G918" s="219"/>
      <c r="H918" s="219"/>
      <c r="I918" s="249"/>
      <c r="J918" s="243"/>
      <c r="K918" s="219"/>
      <c r="L918" s="244"/>
      <c r="M918" s="219"/>
      <c r="N918" s="219"/>
      <c r="O918" s="219"/>
      <c r="P918" s="244"/>
      <c r="Q918" s="219"/>
      <c r="R918" s="302"/>
      <c r="S918" s="219"/>
      <c r="T918" s="219"/>
      <c r="U918" s="219"/>
      <c r="V918" s="303"/>
      <c r="W918" s="247"/>
      <c r="X918" s="245"/>
      <c r="Y918" s="245"/>
      <c r="Z918" s="245"/>
      <c r="AA918" s="245"/>
      <c r="AB918" s="245"/>
      <c r="AC918" s="249"/>
      <c r="AD918" s="249"/>
      <c r="AE918" s="249"/>
      <c r="AF918" s="8"/>
      <c r="AG918" s="8"/>
      <c r="AH918" s="72"/>
      <c r="AI918" s="8"/>
      <c r="AJ918" s="251"/>
      <c r="AK918" s="23"/>
      <c r="AL918" s="75"/>
      <c r="AM918" s="75" t="str">
        <f t="shared" si="141"/>
        <v/>
      </c>
      <c r="AN918" s="75"/>
      <c r="AO918" s="75"/>
      <c r="AP918" s="75"/>
      <c r="AQ918" s="75"/>
      <c r="AR918" s="75"/>
      <c r="AS918" s="75"/>
      <c r="AT918" s="75"/>
    </row>
    <row r="919" ht="22.5" customHeight="1">
      <c r="A919" s="219"/>
      <c r="B919" s="219"/>
      <c r="C919" s="219"/>
      <c r="D919" s="219"/>
      <c r="E919" s="219"/>
      <c r="F919" s="219"/>
      <c r="G919" s="219"/>
      <c r="H919" s="219"/>
      <c r="I919" s="249"/>
      <c r="J919" s="243"/>
      <c r="K919" s="219"/>
      <c r="L919" s="244"/>
      <c r="M919" s="219"/>
      <c r="N919" s="219"/>
      <c r="O919" s="219"/>
      <c r="P919" s="244"/>
      <c r="Q919" s="219"/>
      <c r="R919" s="302"/>
      <c r="S919" s="219"/>
      <c r="T919" s="219"/>
      <c r="U919" s="219"/>
      <c r="V919" s="303"/>
      <c r="W919" s="247"/>
      <c r="X919" s="245"/>
      <c r="Y919" s="245"/>
      <c r="Z919" s="245"/>
      <c r="AA919" s="245"/>
      <c r="AB919" s="245"/>
      <c r="AC919" s="249"/>
      <c r="AD919" s="249"/>
      <c r="AE919" s="249"/>
      <c r="AF919" s="8"/>
      <c r="AG919" s="8"/>
      <c r="AH919" s="72"/>
      <c r="AI919" s="8"/>
      <c r="AJ919" s="251"/>
      <c r="AK919" s="23"/>
      <c r="AL919" s="75"/>
      <c r="AM919" s="75" t="str">
        <f t="shared" si="141"/>
        <v/>
      </c>
      <c r="AN919" s="75"/>
      <c r="AO919" s="75"/>
      <c r="AP919" s="75"/>
      <c r="AQ919" s="75"/>
      <c r="AR919" s="75"/>
      <c r="AS919" s="75"/>
      <c r="AT919" s="75"/>
    </row>
    <row r="920" ht="22.5" customHeight="1">
      <c r="A920" s="219"/>
      <c r="B920" s="219"/>
      <c r="C920" s="219"/>
      <c r="D920" s="219"/>
      <c r="E920" s="219"/>
      <c r="F920" s="219"/>
      <c r="G920" s="219"/>
      <c r="H920" s="219"/>
      <c r="I920" s="249"/>
      <c r="J920" s="243"/>
      <c r="K920" s="219"/>
      <c r="L920" s="244"/>
      <c r="M920" s="219"/>
      <c r="N920" s="219"/>
      <c r="O920" s="219"/>
      <c r="P920" s="244"/>
      <c r="Q920" s="219"/>
      <c r="R920" s="302"/>
      <c r="S920" s="219"/>
      <c r="T920" s="219"/>
      <c r="U920" s="219"/>
      <c r="V920" s="303"/>
      <c r="W920" s="247"/>
      <c r="X920" s="245"/>
      <c r="Y920" s="245"/>
      <c r="Z920" s="245"/>
      <c r="AA920" s="245"/>
      <c r="AB920" s="245"/>
      <c r="AC920" s="249"/>
      <c r="AD920" s="249"/>
      <c r="AE920" s="249"/>
      <c r="AF920" s="8"/>
      <c r="AG920" s="8"/>
      <c r="AH920" s="72"/>
      <c r="AI920" s="8"/>
      <c r="AJ920" s="251"/>
      <c r="AK920" s="23"/>
      <c r="AL920" s="75"/>
      <c r="AM920" s="75" t="str">
        <f t="shared" si="141"/>
        <v/>
      </c>
      <c r="AN920" s="75"/>
      <c r="AO920" s="75"/>
      <c r="AP920" s="75"/>
      <c r="AQ920" s="75"/>
      <c r="AR920" s="75"/>
      <c r="AS920" s="75"/>
      <c r="AT920" s="75"/>
    </row>
    <row r="921" ht="22.5" customHeight="1">
      <c r="A921" s="219"/>
      <c r="B921" s="219"/>
      <c r="C921" s="219"/>
      <c r="D921" s="219"/>
      <c r="E921" s="219"/>
      <c r="F921" s="219"/>
      <c r="G921" s="219"/>
      <c r="H921" s="219"/>
      <c r="I921" s="249"/>
      <c r="J921" s="243"/>
      <c r="K921" s="219"/>
      <c r="L921" s="244"/>
      <c r="M921" s="219"/>
      <c r="N921" s="219"/>
      <c r="O921" s="219"/>
      <c r="P921" s="244"/>
      <c r="Q921" s="219"/>
      <c r="R921" s="302"/>
      <c r="S921" s="219"/>
      <c r="T921" s="219"/>
      <c r="U921" s="219"/>
      <c r="V921" s="303"/>
      <c r="W921" s="247"/>
      <c r="X921" s="245"/>
      <c r="Y921" s="245"/>
      <c r="Z921" s="245"/>
      <c r="AA921" s="245"/>
      <c r="AB921" s="245"/>
      <c r="AC921" s="249"/>
      <c r="AD921" s="249"/>
      <c r="AE921" s="249"/>
      <c r="AF921" s="8"/>
      <c r="AG921" s="8"/>
      <c r="AH921" s="72"/>
      <c r="AI921" s="8"/>
      <c r="AJ921" s="251"/>
      <c r="AK921" s="23"/>
      <c r="AL921" s="75"/>
      <c r="AM921" s="75" t="str">
        <f t="shared" si="141"/>
        <v/>
      </c>
      <c r="AN921" s="75"/>
      <c r="AO921" s="75"/>
      <c r="AP921" s="75"/>
      <c r="AQ921" s="75"/>
      <c r="AR921" s="75"/>
      <c r="AS921" s="75"/>
      <c r="AT921" s="75"/>
    </row>
    <row r="922" ht="22.5" customHeight="1">
      <c r="A922" s="219"/>
      <c r="B922" s="219"/>
      <c r="C922" s="219"/>
      <c r="D922" s="219"/>
      <c r="E922" s="219"/>
      <c r="F922" s="219"/>
      <c r="G922" s="219"/>
      <c r="H922" s="219"/>
      <c r="I922" s="249"/>
      <c r="J922" s="243"/>
      <c r="K922" s="219"/>
      <c r="L922" s="244"/>
      <c r="M922" s="219"/>
      <c r="N922" s="219"/>
      <c r="O922" s="219"/>
      <c r="P922" s="244"/>
      <c r="Q922" s="219"/>
      <c r="R922" s="302"/>
      <c r="S922" s="219"/>
      <c r="T922" s="219"/>
      <c r="U922" s="219"/>
      <c r="V922" s="303"/>
      <c r="W922" s="247"/>
      <c r="X922" s="245"/>
      <c r="Y922" s="245"/>
      <c r="Z922" s="245"/>
      <c r="AA922" s="245"/>
      <c r="AB922" s="245"/>
      <c r="AC922" s="249"/>
      <c r="AD922" s="249"/>
      <c r="AE922" s="249"/>
      <c r="AF922" s="8"/>
      <c r="AG922" s="8"/>
      <c r="AH922" s="72"/>
      <c r="AI922" s="8"/>
      <c r="AJ922" s="251"/>
      <c r="AK922" s="23"/>
      <c r="AL922" s="75"/>
      <c r="AM922" s="75" t="str">
        <f t="shared" si="141"/>
        <v/>
      </c>
      <c r="AN922" s="75"/>
      <c r="AO922" s="75"/>
      <c r="AP922" s="75"/>
      <c r="AQ922" s="75"/>
      <c r="AR922" s="75"/>
      <c r="AS922" s="75"/>
      <c r="AT922" s="75"/>
    </row>
    <row r="923" ht="22.5" customHeight="1">
      <c r="A923" s="219"/>
      <c r="B923" s="219"/>
      <c r="C923" s="219"/>
      <c r="D923" s="219"/>
      <c r="E923" s="219"/>
      <c r="F923" s="219"/>
      <c r="G923" s="219"/>
      <c r="H923" s="219"/>
      <c r="I923" s="249"/>
      <c r="J923" s="243"/>
      <c r="K923" s="219"/>
      <c r="L923" s="244"/>
      <c r="M923" s="219"/>
      <c r="N923" s="219"/>
      <c r="O923" s="219"/>
      <c r="P923" s="244"/>
      <c r="Q923" s="219"/>
      <c r="R923" s="302"/>
      <c r="S923" s="219"/>
      <c r="T923" s="219"/>
      <c r="U923" s="219"/>
      <c r="V923" s="303"/>
      <c r="W923" s="247"/>
      <c r="X923" s="245"/>
      <c r="Y923" s="245"/>
      <c r="Z923" s="245"/>
      <c r="AA923" s="245"/>
      <c r="AB923" s="245"/>
      <c r="AC923" s="249"/>
      <c r="AD923" s="249"/>
      <c r="AE923" s="249"/>
      <c r="AF923" s="8"/>
      <c r="AG923" s="8"/>
      <c r="AH923" s="72"/>
      <c r="AI923" s="8"/>
      <c r="AJ923" s="251"/>
      <c r="AK923" s="23"/>
      <c r="AL923" s="75"/>
      <c r="AM923" s="75" t="str">
        <f t="shared" si="141"/>
        <v/>
      </c>
      <c r="AN923" s="75"/>
      <c r="AO923" s="75"/>
      <c r="AP923" s="75"/>
      <c r="AQ923" s="75"/>
      <c r="AR923" s="75"/>
      <c r="AS923" s="75"/>
      <c r="AT923" s="75"/>
    </row>
    <row r="924" ht="22.5" customHeight="1">
      <c r="A924" s="219"/>
      <c r="B924" s="219"/>
      <c r="C924" s="219"/>
      <c r="D924" s="219"/>
      <c r="E924" s="219"/>
      <c r="F924" s="219"/>
      <c r="G924" s="219"/>
      <c r="H924" s="219"/>
      <c r="I924" s="249"/>
      <c r="J924" s="243"/>
      <c r="K924" s="219"/>
      <c r="L924" s="244"/>
      <c r="M924" s="219"/>
      <c r="N924" s="219"/>
      <c r="O924" s="219"/>
      <c r="P924" s="244"/>
      <c r="Q924" s="219"/>
      <c r="R924" s="302"/>
      <c r="S924" s="219"/>
      <c r="T924" s="219"/>
      <c r="U924" s="219"/>
      <c r="V924" s="303"/>
      <c r="W924" s="247"/>
      <c r="X924" s="245"/>
      <c r="Y924" s="245"/>
      <c r="Z924" s="245"/>
      <c r="AA924" s="245"/>
      <c r="AB924" s="245"/>
      <c r="AC924" s="249"/>
      <c r="AD924" s="249"/>
      <c r="AE924" s="249"/>
      <c r="AF924" s="8"/>
      <c r="AG924" s="8"/>
      <c r="AH924" s="72"/>
      <c r="AI924" s="8"/>
      <c r="AJ924" s="251"/>
      <c r="AK924" s="23"/>
      <c r="AL924" s="75"/>
      <c r="AM924" s="75" t="str">
        <f t="shared" si="141"/>
        <v/>
      </c>
      <c r="AN924" s="75"/>
      <c r="AO924" s="75"/>
      <c r="AP924" s="75"/>
      <c r="AQ924" s="75"/>
      <c r="AR924" s="75"/>
      <c r="AS924" s="75"/>
      <c r="AT924" s="75"/>
    </row>
    <row r="925" ht="22.5" customHeight="1">
      <c r="A925" s="219"/>
      <c r="B925" s="219"/>
      <c r="C925" s="219"/>
      <c r="D925" s="219"/>
      <c r="E925" s="219"/>
      <c r="F925" s="219"/>
      <c r="G925" s="219"/>
      <c r="H925" s="219"/>
      <c r="I925" s="249"/>
      <c r="J925" s="243"/>
      <c r="K925" s="219"/>
      <c r="L925" s="244"/>
      <c r="M925" s="219"/>
      <c r="N925" s="219"/>
      <c r="O925" s="219"/>
      <c r="P925" s="244"/>
      <c r="Q925" s="219"/>
      <c r="R925" s="302"/>
      <c r="S925" s="219"/>
      <c r="T925" s="219"/>
      <c r="U925" s="219"/>
      <c r="V925" s="303"/>
      <c r="W925" s="247"/>
      <c r="X925" s="245"/>
      <c r="Y925" s="245"/>
      <c r="Z925" s="245"/>
      <c r="AA925" s="245"/>
      <c r="AB925" s="245"/>
      <c r="AC925" s="249"/>
      <c r="AD925" s="249"/>
      <c r="AE925" s="249"/>
      <c r="AF925" s="8"/>
      <c r="AG925" s="8"/>
      <c r="AH925" s="72"/>
      <c r="AI925" s="8"/>
      <c r="AJ925" s="251"/>
      <c r="AK925" s="23"/>
      <c r="AL925" s="75"/>
      <c r="AM925" s="75" t="str">
        <f t="shared" si="141"/>
        <v/>
      </c>
      <c r="AN925" s="75"/>
      <c r="AO925" s="75"/>
      <c r="AP925" s="75"/>
      <c r="AQ925" s="75"/>
      <c r="AR925" s="75"/>
      <c r="AS925" s="75"/>
      <c r="AT925" s="75"/>
    </row>
    <row r="926" ht="22.5" customHeight="1">
      <c r="A926" s="219"/>
      <c r="B926" s="219"/>
      <c r="C926" s="219"/>
      <c r="D926" s="219"/>
      <c r="E926" s="219"/>
      <c r="F926" s="219"/>
      <c r="G926" s="219"/>
      <c r="H926" s="219"/>
      <c r="I926" s="249"/>
      <c r="J926" s="243"/>
      <c r="K926" s="219"/>
      <c r="L926" s="244"/>
      <c r="M926" s="219"/>
      <c r="N926" s="219"/>
      <c r="O926" s="219"/>
      <c r="P926" s="244"/>
      <c r="Q926" s="219"/>
      <c r="R926" s="302"/>
      <c r="S926" s="219"/>
      <c r="T926" s="219"/>
      <c r="U926" s="219"/>
      <c r="V926" s="303"/>
      <c r="W926" s="247"/>
      <c r="X926" s="245"/>
      <c r="Y926" s="245"/>
      <c r="Z926" s="245"/>
      <c r="AA926" s="245"/>
      <c r="AB926" s="245"/>
      <c r="AC926" s="249"/>
      <c r="AD926" s="249"/>
      <c r="AE926" s="249"/>
      <c r="AF926" s="8"/>
      <c r="AG926" s="8"/>
      <c r="AH926" s="72"/>
      <c r="AI926" s="8"/>
      <c r="AJ926" s="251"/>
      <c r="AK926" s="23"/>
      <c r="AL926" s="75"/>
      <c r="AM926" s="75" t="str">
        <f t="shared" si="141"/>
        <v/>
      </c>
      <c r="AN926" s="75"/>
      <c r="AO926" s="75"/>
      <c r="AP926" s="75"/>
      <c r="AQ926" s="75"/>
      <c r="AR926" s="75"/>
      <c r="AS926" s="75"/>
      <c r="AT926" s="75"/>
    </row>
    <row r="927" ht="22.5" customHeight="1">
      <c r="A927" s="219"/>
      <c r="B927" s="219"/>
      <c r="C927" s="219"/>
      <c r="D927" s="219"/>
      <c r="E927" s="219"/>
      <c r="F927" s="219"/>
      <c r="G927" s="219"/>
      <c r="H927" s="219"/>
      <c r="I927" s="249"/>
      <c r="J927" s="243"/>
      <c r="K927" s="219"/>
      <c r="L927" s="244"/>
      <c r="M927" s="219"/>
      <c r="N927" s="219"/>
      <c r="O927" s="219"/>
      <c r="P927" s="244"/>
      <c r="Q927" s="219"/>
      <c r="R927" s="302"/>
      <c r="S927" s="219"/>
      <c r="T927" s="219"/>
      <c r="U927" s="219"/>
      <c r="V927" s="303"/>
      <c r="W927" s="247"/>
      <c r="X927" s="245"/>
      <c r="Y927" s="245"/>
      <c r="Z927" s="245"/>
      <c r="AA927" s="245"/>
      <c r="AB927" s="245"/>
      <c r="AC927" s="249"/>
      <c r="AD927" s="249"/>
      <c r="AE927" s="249"/>
      <c r="AF927" s="8"/>
      <c r="AG927" s="8"/>
      <c r="AH927" s="72"/>
      <c r="AI927" s="8"/>
      <c r="AJ927" s="251"/>
      <c r="AK927" s="23"/>
      <c r="AL927" s="75"/>
      <c r="AM927" s="75" t="str">
        <f t="shared" si="141"/>
        <v/>
      </c>
      <c r="AN927" s="75"/>
      <c r="AO927" s="75"/>
      <c r="AP927" s="75"/>
      <c r="AQ927" s="75"/>
      <c r="AR927" s="75"/>
      <c r="AS927" s="75"/>
      <c r="AT927" s="75"/>
    </row>
    <row r="928" ht="22.5" customHeight="1">
      <c r="A928" s="219"/>
      <c r="B928" s="219"/>
      <c r="C928" s="219"/>
      <c r="D928" s="219"/>
      <c r="E928" s="219"/>
      <c r="F928" s="219"/>
      <c r="G928" s="219"/>
      <c r="H928" s="219"/>
      <c r="I928" s="249"/>
      <c r="J928" s="243"/>
      <c r="K928" s="219"/>
      <c r="L928" s="244"/>
      <c r="M928" s="219"/>
      <c r="N928" s="219"/>
      <c r="O928" s="219"/>
      <c r="P928" s="244"/>
      <c r="Q928" s="219"/>
      <c r="R928" s="302"/>
      <c r="S928" s="219"/>
      <c r="T928" s="219"/>
      <c r="U928" s="219"/>
      <c r="V928" s="303"/>
      <c r="W928" s="247"/>
      <c r="X928" s="245"/>
      <c r="Y928" s="245"/>
      <c r="Z928" s="245"/>
      <c r="AA928" s="245"/>
      <c r="AB928" s="245"/>
      <c r="AC928" s="249"/>
      <c r="AD928" s="249"/>
      <c r="AE928" s="249"/>
      <c r="AF928" s="8"/>
      <c r="AG928" s="8"/>
      <c r="AH928" s="72"/>
      <c r="AI928" s="8"/>
      <c r="AJ928" s="251"/>
      <c r="AK928" s="23"/>
      <c r="AL928" s="75"/>
      <c r="AM928" s="75" t="str">
        <f t="shared" si="141"/>
        <v/>
      </c>
      <c r="AN928" s="75"/>
      <c r="AO928" s="75"/>
      <c r="AP928" s="75"/>
      <c r="AQ928" s="75"/>
      <c r="AR928" s="75"/>
      <c r="AS928" s="75"/>
      <c r="AT928" s="75"/>
    </row>
    <row r="929" ht="22.5" customHeight="1">
      <c r="A929" s="219"/>
      <c r="B929" s="219"/>
      <c r="C929" s="219"/>
      <c r="D929" s="219"/>
      <c r="E929" s="219"/>
      <c r="F929" s="219"/>
      <c r="G929" s="219"/>
      <c r="H929" s="219"/>
      <c r="I929" s="249"/>
      <c r="J929" s="243"/>
      <c r="K929" s="219"/>
      <c r="L929" s="244"/>
      <c r="M929" s="219"/>
      <c r="N929" s="219"/>
      <c r="O929" s="219"/>
      <c r="P929" s="244"/>
      <c r="Q929" s="219"/>
      <c r="R929" s="302"/>
      <c r="S929" s="219"/>
      <c r="T929" s="219"/>
      <c r="U929" s="219"/>
      <c r="V929" s="303"/>
      <c r="W929" s="247"/>
      <c r="X929" s="245"/>
      <c r="Y929" s="245"/>
      <c r="Z929" s="245"/>
      <c r="AA929" s="245"/>
      <c r="AB929" s="245"/>
      <c r="AC929" s="249"/>
      <c r="AD929" s="249"/>
      <c r="AE929" s="249"/>
      <c r="AF929" s="8"/>
      <c r="AG929" s="8"/>
      <c r="AH929" s="72"/>
      <c r="AI929" s="8"/>
      <c r="AJ929" s="251"/>
      <c r="AK929" s="23"/>
      <c r="AL929" s="75"/>
      <c r="AM929" s="75" t="str">
        <f t="shared" si="141"/>
        <v/>
      </c>
      <c r="AN929" s="75"/>
      <c r="AO929" s="75"/>
      <c r="AP929" s="75"/>
      <c r="AQ929" s="75"/>
      <c r="AR929" s="75"/>
      <c r="AS929" s="75"/>
      <c r="AT929" s="75"/>
    </row>
    <row r="930" ht="22.5" customHeight="1">
      <c r="A930" s="219"/>
      <c r="B930" s="219"/>
      <c r="C930" s="219"/>
      <c r="D930" s="219"/>
      <c r="E930" s="219"/>
      <c r="F930" s="219"/>
      <c r="G930" s="219"/>
      <c r="H930" s="219"/>
      <c r="I930" s="249"/>
      <c r="J930" s="243"/>
      <c r="K930" s="219"/>
      <c r="L930" s="244"/>
      <c r="M930" s="219"/>
      <c r="N930" s="219"/>
      <c r="O930" s="219"/>
      <c r="P930" s="244"/>
      <c r="Q930" s="219"/>
      <c r="R930" s="302"/>
      <c r="S930" s="219"/>
      <c r="T930" s="219"/>
      <c r="U930" s="219"/>
      <c r="V930" s="303"/>
      <c r="W930" s="247"/>
      <c r="X930" s="245"/>
      <c r="Y930" s="245"/>
      <c r="Z930" s="245"/>
      <c r="AA930" s="245"/>
      <c r="AB930" s="245"/>
      <c r="AC930" s="249"/>
      <c r="AD930" s="249"/>
      <c r="AE930" s="249"/>
      <c r="AF930" s="8"/>
      <c r="AG930" s="8"/>
      <c r="AH930" s="72"/>
      <c r="AI930" s="8"/>
      <c r="AJ930" s="251"/>
      <c r="AK930" s="23"/>
      <c r="AL930" s="75"/>
      <c r="AM930" s="75" t="str">
        <f t="shared" si="141"/>
        <v/>
      </c>
      <c r="AN930" s="75"/>
      <c r="AO930" s="75"/>
      <c r="AP930" s="75"/>
      <c r="AQ930" s="75"/>
      <c r="AR930" s="75"/>
      <c r="AS930" s="75"/>
      <c r="AT930" s="75"/>
    </row>
    <row r="931" ht="22.5" customHeight="1">
      <c r="A931" s="219"/>
      <c r="B931" s="219"/>
      <c r="C931" s="219"/>
      <c r="D931" s="219"/>
      <c r="E931" s="219"/>
      <c r="F931" s="219"/>
      <c r="G931" s="219"/>
      <c r="H931" s="219"/>
      <c r="I931" s="249"/>
      <c r="J931" s="243"/>
      <c r="K931" s="219"/>
      <c r="L931" s="244"/>
      <c r="M931" s="219"/>
      <c r="N931" s="219"/>
      <c r="O931" s="219"/>
      <c r="P931" s="244"/>
      <c r="Q931" s="219"/>
      <c r="R931" s="302"/>
      <c r="S931" s="219"/>
      <c r="T931" s="219"/>
      <c r="U931" s="219"/>
      <c r="V931" s="303"/>
      <c r="W931" s="247"/>
      <c r="X931" s="245"/>
      <c r="Y931" s="245"/>
      <c r="Z931" s="245"/>
      <c r="AA931" s="245"/>
      <c r="AB931" s="245"/>
      <c r="AC931" s="249"/>
      <c r="AD931" s="249"/>
      <c r="AE931" s="249"/>
      <c r="AF931" s="8"/>
      <c r="AG931" s="8"/>
      <c r="AH931" s="72"/>
      <c r="AI931" s="8"/>
      <c r="AJ931" s="251"/>
      <c r="AK931" s="23"/>
      <c r="AL931" s="75"/>
      <c r="AM931" s="75" t="str">
        <f t="shared" si="141"/>
        <v/>
      </c>
      <c r="AN931" s="75"/>
      <c r="AO931" s="75"/>
      <c r="AP931" s="75"/>
      <c r="AQ931" s="75"/>
      <c r="AR931" s="75"/>
      <c r="AS931" s="75"/>
      <c r="AT931" s="75"/>
    </row>
    <row r="932" ht="22.5" customHeight="1">
      <c r="A932" s="219"/>
      <c r="B932" s="219"/>
      <c r="C932" s="219"/>
      <c r="D932" s="219"/>
      <c r="E932" s="219"/>
      <c r="F932" s="219"/>
      <c r="G932" s="219"/>
      <c r="H932" s="219"/>
      <c r="I932" s="249"/>
      <c r="J932" s="243"/>
      <c r="K932" s="219"/>
      <c r="L932" s="244"/>
      <c r="M932" s="219"/>
      <c r="N932" s="219"/>
      <c r="O932" s="219"/>
      <c r="P932" s="244"/>
      <c r="Q932" s="219"/>
      <c r="R932" s="302"/>
      <c r="S932" s="219"/>
      <c r="T932" s="219"/>
      <c r="U932" s="219"/>
      <c r="V932" s="303"/>
      <c r="W932" s="247"/>
      <c r="X932" s="245"/>
      <c r="Y932" s="245"/>
      <c r="Z932" s="245"/>
      <c r="AA932" s="245"/>
      <c r="AB932" s="245"/>
      <c r="AC932" s="249"/>
      <c r="AD932" s="249"/>
      <c r="AE932" s="249"/>
      <c r="AF932" s="8"/>
      <c r="AG932" s="8"/>
      <c r="AH932" s="72"/>
      <c r="AI932" s="8"/>
      <c r="AJ932" s="251"/>
      <c r="AK932" s="23"/>
      <c r="AL932" s="75"/>
      <c r="AM932" s="75" t="str">
        <f t="shared" si="141"/>
        <v/>
      </c>
      <c r="AN932" s="75"/>
      <c r="AO932" s="75"/>
      <c r="AP932" s="75"/>
      <c r="AQ932" s="75"/>
      <c r="AR932" s="75"/>
      <c r="AS932" s="75"/>
      <c r="AT932" s="75"/>
    </row>
    <row r="933" ht="22.5" customHeight="1">
      <c r="A933" s="219"/>
      <c r="B933" s="219"/>
      <c r="C933" s="219"/>
      <c r="D933" s="219"/>
      <c r="E933" s="219"/>
      <c r="F933" s="219"/>
      <c r="G933" s="219"/>
      <c r="H933" s="219"/>
      <c r="I933" s="249"/>
      <c r="J933" s="243"/>
      <c r="K933" s="219"/>
      <c r="L933" s="244"/>
      <c r="M933" s="219"/>
      <c r="N933" s="219"/>
      <c r="O933" s="219"/>
      <c r="P933" s="244"/>
      <c r="Q933" s="219"/>
      <c r="R933" s="302"/>
      <c r="S933" s="219"/>
      <c r="T933" s="219"/>
      <c r="U933" s="219"/>
      <c r="V933" s="303"/>
      <c r="W933" s="247"/>
      <c r="X933" s="245"/>
      <c r="Y933" s="245"/>
      <c r="Z933" s="245"/>
      <c r="AA933" s="245"/>
      <c r="AB933" s="245"/>
      <c r="AC933" s="249"/>
      <c r="AD933" s="249"/>
      <c r="AE933" s="249"/>
      <c r="AF933" s="8"/>
      <c r="AG933" s="8"/>
      <c r="AH933" s="72"/>
      <c r="AI933" s="8"/>
      <c r="AJ933" s="251"/>
      <c r="AK933" s="23"/>
      <c r="AL933" s="75"/>
      <c r="AM933" s="75" t="str">
        <f t="shared" si="141"/>
        <v/>
      </c>
      <c r="AN933" s="75"/>
      <c r="AO933" s="75"/>
      <c r="AP933" s="75"/>
      <c r="AQ933" s="75"/>
      <c r="AR933" s="75"/>
      <c r="AS933" s="75"/>
      <c r="AT933" s="75"/>
    </row>
    <row r="934" ht="22.5" customHeight="1">
      <c r="A934" s="219"/>
      <c r="B934" s="219"/>
      <c r="C934" s="219"/>
      <c r="D934" s="219"/>
      <c r="E934" s="219"/>
      <c r="F934" s="219"/>
      <c r="G934" s="219"/>
      <c r="H934" s="219"/>
      <c r="I934" s="249"/>
      <c r="J934" s="243"/>
      <c r="K934" s="219"/>
      <c r="L934" s="244"/>
      <c r="M934" s="219"/>
      <c r="N934" s="219"/>
      <c r="O934" s="219"/>
      <c r="P934" s="244"/>
      <c r="Q934" s="219"/>
      <c r="R934" s="302"/>
      <c r="S934" s="219"/>
      <c r="T934" s="219"/>
      <c r="U934" s="219"/>
      <c r="V934" s="303"/>
      <c r="W934" s="247"/>
      <c r="X934" s="245"/>
      <c r="Y934" s="245"/>
      <c r="Z934" s="245"/>
      <c r="AA934" s="245"/>
      <c r="AB934" s="245"/>
      <c r="AC934" s="249"/>
      <c r="AD934" s="249"/>
      <c r="AE934" s="249"/>
      <c r="AF934" s="8"/>
      <c r="AG934" s="8"/>
      <c r="AH934" s="72"/>
      <c r="AI934" s="8"/>
      <c r="AJ934" s="251"/>
      <c r="AK934" s="23"/>
      <c r="AL934" s="75"/>
      <c r="AM934" s="75" t="str">
        <f t="shared" si="141"/>
        <v/>
      </c>
      <c r="AN934" s="75"/>
      <c r="AO934" s="75"/>
      <c r="AP934" s="75"/>
      <c r="AQ934" s="75"/>
      <c r="AR934" s="75"/>
      <c r="AS934" s="75"/>
      <c r="AT934" s="75"/>
    </row>
    <row r="935" ht="22.5" customHeight="1">
      <c r="A935" s="219"/>
      <c r="B935" s="219"/>
      <c r="C935" s="219"/>
      <c r="D935" s="219"/>
      <c r="E935" s="219"/>
      <c r="F935" s="219"/>
      <c r="G935" s="219"/>
      <c r="H935" s="219"/>
      <c r="I935" s="249"/>
      <c r="J935" s="243"/>
      <c r="K935" s="219"/>
      <c r="L935" s="244"/>
      <c r="M935" s="219"/>
      <c r="N935" s="219"/>
      <c r="O935" s="219"/>
      <c r="P935" s="244"/>
      <c r="Q935" s="219"/>
      <c r="R935" s="302"/>
      <c r="S935" s="219"/>
      <c r="T935" s="219"/>
      <c r="U935" s="219"/>
      <c r="V935" s="303"/>
      <c r="W935" s="247"/>
      <c r="X935" s="245"/>
      <c r="Y935" s="245"/>
      <c r="Z935" s="245"/>
      <c r="AA935" s="245"/>
      <c r="AB935" s="245"/>
      <c r="AC935" s="249"/>
      <c r="AD935" s="249"/>
      <c r="AE935" s="249"/>
      <c r="AF935" s="8"/>
      <c r="AG935" s="8"/>
      <c r="AH935" s="72"/>
      <c r="AI935" s="8"/>
      <c r="AJ935" s="251"/>
      <c r="AK935" s="23"/>
      <c r="AL935" s="75"/>
      <c r="AM935" s="75" t="str">
        <f t="shared" si="141"/>
        <v/>
      </c>
      <c r="AN935" s="75"/>
      <c r="AO935" s="75"/>
      <c r="AP935" s="75"/>
      <c r="AQ935" s="75"/>
      <c r="AR935" s="75"/>
      <c r="AS935" s="75"/>
      <c r="AT935" s="75"/>
    </row>
    <row r="936" ht="22.5" customHeight="1">
      <c r="A936" s="219"/>
      <c r="B936" s="219"/>
      <c r="C936" s="219"/>
      <c r="D936" s="219"/>
      <c r="E936" s="219"/>
      <c r="F936" s="219"/>
      <c r="G936" s="219"/>
      <c r="H936" s="219"/>
      <c r="I936" s="249"/>
      <c r="J936" s="243"/>
      <c r="K936" s="219"/>
      <c r="L936" s="244"/>
      <c r="M936" s="219"/>
      <c r="N936" s="219"/>
      <c r="O936" s="219"/>
      <c r="P936" s="244"/>
      <c r="Q936" s="219"/>
      <c r="R936" s="302"/>
      <c r="S936" s="219"/>
      <c r="T936" s="219"/>
      <c r="U936" s="219"/>
      <c r="V936" s="303"/>
      <c r="W936" s="247"/>
      <c r="X936" s="245"/>
      <c r="Y936" s="245"/>
      <c r="Z936" s="245"/>
      <c r="AA936" s="245"/>
      <c r="AB936" s="245"/>
      <c r="AC936" s="249"/>
      <c r="AD936" s="249"/>
      <c r="AE936" s="249"/>
      <c r="AF936" s="8"/>
      <c r="AG936" s="8"/>
      <c r="AH936" s="72"/>
      <c r="AI936" s="8"/>
      <c r="AJ936" s="251"/>
      <c r="AK936" s="23"/>
      <c r="AL936" s="75"/>
      <c r="AM936" s="75" t="str">
        <f t="shared" si="141"/>
        <v/>
      </c>
      <c r="AN936" s="75"/>
      <c r="AO936" s="75"/>
      <c r="AP936" s="75"/>
      <c r="AQ936" s="75"/>
      <c r="AR936" s="75"/>
      <c r="AS936" s="75"/>
      <c r="AT936" s="75"/>
    </row>
    <row r="937" ht="22.5" customHeight="1">
      <c r="A937" s="219"/>
      <c r="B937" s="219"/>
      <c r="C937" s="219"/>
      <c r="D937" s="219"/>
      <c r="E937" s="219"/>
      <c r="F937" s="219"/>
      <c r="G937" s="219"/>
      <c r="H937" s="219"/>
      <c r="I937" s="249"/>
      <c r="J937" s="243"/>
      <c r="K937" s="219"/>
      <c r="L937" s="244"/>
      <c r="M937" s="219"/>
      <c r="N937" s="219"/>
      <c r="O937" s="219"/>
      <c r="P937" s="244"/>
      <c r="Q937" s="219"/>
      <c r="R937" s="302"/>
      <c r="S937" s="219"/>
      <c r="T937" s="219"/>
      <c r="U937" s="219"/>
      <c r="V937" s="303"/>
      <c r="W937" s="247"/>
      <c r="X937" s="245"/>
      <c r="Y937" s="245"/>
      <c r="Z937" s="245"/>
      <c r="AA937" s="245"/>
      <c r="AB937" s="245"/>
      <c r="AC937" s="249"/>
      <c r="AD937" s="249"/>
      <c r="AE937" s="249"/>
      <c r="AF937" s="8"/>
      <c r="AG937" s="8"/>
      <c r="AH937" s="72"/>
      <c r="AI937" s="8"/>
      <c r="AJ937" s="251"/>
      <c r="AK937" s="23"/>
      <c r="AL937" s="75"/>
      <c r="AM937" s="75" t="str">
        <f t="shared" si="141"/>
        <v/>
      </c>
      <c r="AN937" s="75"/>
      <c r="AO937" s="75"/>
      <c r="AP937" s="75"/>
      <c r="AQ937" s="75"/>
      <c r="AR937" s="75"/>
      <c r="AS937" s="75"/>
      <c r="AT937" s="75"/>
    </row>
    <row r="938" ht="22.5" customHeight="1">
      <c r="A938" s="219"/>
      <c r="B938" s="219"/>
      <c r="C938" s="219"/>
      <c r="D938" s="219"/>
      <c r="E938" s="219"/>
      <c r="F938" s="219"/>
      <c r="G938" s="219"/>
      <c r="H938" s="219"/>
      <c r="I938" s="249"/>
      <c r="J938" s="243"/>
      <c r="K938" s="219"/>
      <c r="L938" s="244"/>
      <c r="M938" s="219"/>
      <c r="N938" s="219"/>
      <c r="O938" s="219"/>
      <c r="P938" s="244"/>
      <c r="Q938" s="219"/>
      <c r="R938" s="302"/>
      <c r="S938" s="219"/>
      <c r="T938" s="219"/>
      <c r="U938" s="219"/>
      <c r="V938" s="303"/>
      <c r="W938" s="247"/>
      <c r="X938" s="245"/>
      <c r="Y938" s="245"/>
      <c r="Z938" s="245"/>
      <c r="AA938" s="245"/>
      <c r="AB938" s="245"/>
      <c r="AC938" s="249"/>
      <c r="AD938" s="249"/>
      <c r="AE938" s="249"/>
      <c r="AF938" s="8"/>
      <c r="AG938" s="8"/>
      <c r="AH938" s="72"/>
      <c r="AI938" s="8"/>
      <c r="AJ938" s="251"/>
      <c r="AK938" s="23"/>
      <c r="AL938" s="75"/>
      <c r="AM938" s="75" t="str">
        <f t="shared" si="141"/>
        <v/>
      </c>
      <c r="AN938" s="75"/>
      <c r="AO938" s="75"/>
      <c r="AP938" s="75"/>
      <c r="AQ938" s="75"/>
      <c r="AR938" s="75"/>
      <c r="AS938" s="75"/>
      <c r="AT938" s="75"/>
    </row>
    <row r="939" ht="22.5" customHeight="1">
      <c r="A939" s="219"/>
      <c r="B939" s="219"/>
      <c r="C939" s="219"/>
      <c r="D939" s="219"/>
      <c r="E939" s="219"/>
      <c r="F939" s="219"/>
      <c r="G939" s="219"/>
      <c r="H939" s="219"/>
      <c r="I939" s="249"/>
      <c r="J939" s="243"/>
      <c r="K939" s="219"/>
      <c r="L939" s="244"/>
      <c r="M939" s="219"/>
      <c r="N939" s="219"/>
      <c r="O939" s="219"/>
      <c r="P939" s="244"/>
      <c r="Q939" s="219"/>
      <c r="R939" s="302"/>
      <c r="S939" s="219"/>
      <c r="T939" s="219"/>
      <c r="U939" s="219"/>
      <c r="V939" s="303"/>
      <c r="W939" s="247"/>
      <c r="X939" s="245"/>
      <c r="Y939" s="245"/>
      <c r="Z939" s="245"/>
      <c r="AA939" s="245"/>
      <c r="AB939" s="245"/>
      <c r="AC939" s="249"/>
      <c r="AD939" s="249"/>
      <c r="AE939" s="249"/>
      <c r="AF939" s="8"/>
      <c r="AG939" s="8"/>
      <c r="AH939" s="72"/>
      <c r="AI939" s="8"/>
      <c r="AJ939" s="251"/>
      <c r="AK939" s="23"/>
      <c r="AL939" s="75"/>
      <c r="AM939" s="75" t="str">
        <f t="shared" si="141"/>
        <v/>
      </c>
      <c r="AN939" s="75"/>
      <c r="AO939" s="75"/>
      <c r="AP939" s="75"/>
      <c r="AQ939" s="75"/>
      <c r="AR939" s="75"/>
      <c r="AS939" s="75"/>
      <c r="AT939" s="75"/>
    </row>
    <row r="940" ht="22.5" customHeight="1">
      <c r="A940" s="219"/>
      <c r="B940" s="219"/>
      <c r="C940" s="219"/>
      <c r="D940" s="219"/>
      <c r="E940" s="219"/>
      <c r="F940" s="219"/>
      <c r="G940" s="219"/>
      <c r="H940" s="219"/>
      <c r="I940" s="249"/>
      <c r="J940" s="243"/>
      <c r="K940" s="219"/>
      <c r="L940" s="244"/>
      <c r="M940" s="219"/>
      <c r="N940" s="219"/>
      <c r="O940" s="219"/>
      <c r="P940" s="244"/>
      <c r="Q940" s="219"/>
      <c r="R940" s="302"/>
      <c r="S940" s="219"/>
      <c r="T940" s="219"/>
      <c r="U940" s="219"/>
      <c r="V940" s="303"/>
      <c r="W940" s="247"/>
      <c r="X940" s="245"/>
      <c r="Y940" s="245"/>
      <c r="Z940" s="245"/>
      <c r="AA940" s="245"/>
      <c r="AB940" s="245"/>
      <c r="AC940" s="249"/>
      <c r="AD940" s="249"/>
      <c r="AE940" s="249"/>
      <c r="AF940" s="8"/>
      <c r="AG940" s="8"/>
      <c r="AH940" s="72"/>
      <c r="AI940" s="8"/>
      <c r="AJ940" s="251"/>
      <c r="AK940" s="23"/>
      <c r="AL940" s="75"/>
      <c r="AM940" s="75" t="str">
        <f t="shared" si="141"/>
        <v/>
      </c>
      <c r="AN940" s="75"/>
      <c r="AO940" s="75"/>
      <c r="AP940" s="75"/>
      <c r="AQ940" s="75"/>
      <c r="AR940" s="75"/>
      <c r="AS940" s="75"/>
      <c r="AT940" s="75"/>
    </row>
    <row r="941" ht="22.5" customHeight="1">
      <c r="A941" s="219"/>
      <c r="B941" s="219"/>
      <c r="C941" s="219"/>
      <c r="D941" s="219"/>
      <c r="E941" s="219"/>
      <c r="F941" s="219"/>
      <c r="G941" s="219"/>
      <c r="H941" s="219"/>
      <c r="I941" s="249"/>
      <c r="J941" s="243"/>
      <c r="K941" s="219"/>
      <c r="L941" s="244"/>
      <c r="M941" s="219"/>
      <c r="N941" s="219"/>
      <c r="O941" s="219"/>
      <c r="P941" s="244"/>
      <c r="Q941" s="219"/>
      <c r="R941" s="302"/>
      <c r="S941" s="219"/>
      <c r="T941" s="219"/>
      <c r="U941" s="219"/>
      <c r="V941" s="303"/>
      <c r="W941" s="247"/>
      <c r="X941" s="245"/>
      <c r="Y941" s="245"/>
      <c r="Z941" s="245"/>
      <c r="AA941" s="245"/>
      <c r="AB941" s="245"/>
      <c r="AC941" s="249"/>
      <c r="AD941" s="249"/>
      <c r="AE941" s="249"/>
      <c r="AF941" s="8"/>
      <c r="AG941" s="8"/>
      <c r="AH941" s="72"/>
      <c r="AI941" s="8"/>
      <c r="AJ941" s="251"/>
      <c r="AK941" s="23"/>
      <c r="AL941" s="75"/>
      <c r="AM941" s="75" t="str">
        <f t="shared" si="141"/>
        <v/>
      </c>
      <c r="AN941" s="75"/>
      <c r="AO941" s="75"/>
      <c r="AP941" s="75"/>
      <c r="AQ941" s="75"/>
      <c r="AR941" s="75"/>
      <c r="AS941" s="75"/>
      <c r="AT941" s="75"/>
    </row>
    <row r="942" ht="22.5" customHeight="1">
      <c r="A942" s="219"/>
      <c r="B942" s="219"/>
      <c r="C942" s="219"/>
      <c r="D942" s="219"/>
      <c r="E942" s="219"/>
      <c r="F942" s="219"/>
      <c r="G942" s="219"/>
      <c r="H942" s="219"/>
      <c r="I942" s="249"/>
      <c r="J942" s="243"/>
      <c r="K942" s="219"/>
      <c r="L942" s="244"/>
      <c r="M942" s="219"/>
      <c r="N942" s="219"/>
      <c r="O942" s="219"/>
      <c r="P942" s="244"/>
      <c r="Q942" s="219"/>
      <c r="R942" s="302"/>
      <c r="S942" s="219"/>
      <c r="T942" s="219"/>
      <c r="U942" s="219"/>
      <c r="V942" s="303"/>
      <c r="W942" s="247"/>
      <c r="X942" s="245"/>
      <c r="Y942" s="245"/>
      <c r="Z942" s="245"/>
      <c r="AA942" s="245"/>
      <c r="AB942" s="245"/>
      <c r="AC942" s="249"/>
      <c r="AD942" s="249"/>
      <c r="AE942" s="249"/>
      <c r="AF942" s="8"/>
      <c r="AG942" s="8"/>
      <c r="AH942" s="72"/>
      <c r="AI942" s="8"/>
      <c r="AJ942" s="251"/>
      <c r="AK942" s="23"/>
      <c r="AL942" s="75"/>
      <c r="AM942" s="75" t="str">
        <f t="shared" si="141"/>
        <v/>
      </c>
      <c r="AN942" s="75"/>
      <c r="AO942" s="75"/>
      <c r="AP942" s="75"/>
      <c r="AQ942" s="75"/>
      <c r="AR942" s="75"/>
      <c r="AS942" s="75"/>
      <c r="AT942" s="75"/>
    </row>
    <row r="943" ht="22.5" customHeight="1">
      <c r="A943" s="219"/>
      <c r="B943" s="219"/>
      <c r="C943" s="219"/>
      <c r="D943" s="219"/>
      <c r="E943" s="219"/>
      <c r="F943" s="219"/>
      <c r="G943" s="219"/>
      <c r="H943" s="219"/>
      <c r="I943" s="249"/>
      <c r="J943" s="243"/>
      <c r="K943" s="219"/>
      <c r="L943" s="244"/>
      <c r="M943" s="219"/>
      <c r="N943" s="219"/>
      <c r="O943" s="219"/>
      <c r="P943" s="244"/>
      <c r="Q943" s="219"/>
      <c r="R943" s="302"/>
      <c r="S943" s="219"/>
      <c r="T943" s="219"/>
      <c r="U943" s="219"/>
      <c r="V943" s="303"/>
      <c r="W943" s="247"/>
      <c r="X943" s="245"/>
      <c r="Y943" s="245"/>
      <c r="Z943" s="245"/>
      <c r="AA943" s="245"/>
      <c r="AB943" s="245"/>
      <c r="AC943" s="249"/>
      <c r="AD943" s="249"/>
      <c r="AE943" s="249"/>
      <c r="AF943" s="8"/>
      <c r="AG943" s="8"/>
      <c r="AH943" s="72"/>
      <c r="AI943" s="8"/>
      <c r="AJ943" s="251"/>
      <c r="AK943" s="23"/>
      <c r="AL943" s="75"/>
      <c r="AM943" s="75" t="str">
        <f t="shared" si="141"/>
        <v/>
      </c>
      <c r="AN943" s="75"/>
      <c r="AO943" s="75"/>
      <c r="AP943" s="75"/>
      <c r="AQ943" s="75"/>
      <c r="AR943" s="75"/>
      <c r="AS943" s="75"/>
      <c r="AT943" s="75"/>
    </row>
    <row r="944" ht="22.5" customHeight="1">
      <c r="A944" s="219"/>
      <c r="B944" s="219"/>
      <c r="C944" s="219"/>
      <c r="D944" s="219"/>
      <c r="E944" s="219"/>
      <c r="F944" s="219"/>
      <c r="G944" s="219"/>
      <c r="H944" s="219"/>
      <c r="I944" s="249"/>
      <c r="J944" s="243"/>
      <c r="K944" s="219"/>
      <c r="L944" s="244"/>
      <c r="M944" s="219"/>
      <c r="N944" s="219"/>
      <c r="O944" s="219"/>
      <c r="P944" s="244"/>
      <c r="Q944" s="219"/>
      <c r="R944" s="302"/>
      <c r="S944" s="219"/>
      <c r="T944" s="219"/>
      <c r="U944" s="219"/>
      <c r="V944" s="303"/>
      <c r="W944" s="247"/>
      <c r="X944" s="245"/>
      <c r="Y944" s="245"/>
      <c r="Z944" s="245"/>
      <c r="AA944" s="245"/>
      <c r="AB944" s="245"/>
      <c r="AC944" s="249"/>
      <c r="AD944" s="249"/>
      <c r="AE944" s="249"/>
      <c r="AF944" s="8"/>
      <c r="AG944" s="8"/>
      <c r="AH944" s="72"/>
      <c r="AI944" s="8"/>
      <c r="AJ944" s="251"/>
      <c r="AK944" s="23"/>
      <c r="AL944" s="75"/>
      <c r="AM944" s="75" t="str">
        <f t="shared" si="141"/>
        <v/>
      </c>
      <c r="AN944" s="75"/>
      <c r="AO944" s="75"/>
      <c r="AP944" s="75"/>
      <c r="AQ944" s="75"/>
      <c r="AR944" s="75"/>
      <c r="AS944" s="75"/>
      <c r="AT944" s="75"/>
    </row>
    <row r="945" ht="22.5" customHeight="1">
      <c r="A945" s="219"/>
      <c r="B945" s="219"/>
      <c r="C945" s="219"/>
      <c r="D945" s="219"/>
      <c r="E945" s="219"/>
      <c r="F945" s="219"/>
      <c r="G945" s="219"/>
      <c r="H945" s="219"/>
      <c r="I945" s="249"/>
      <c r="J945" s="243"/>
      <c r="K945" s="219"/>
      <c r="L945" s="244"/>
      <c r="M945" s="219"/>
      <c r="N945" s="219"/>
      <c r="O945" s="219"/>
      <c r="P945" s="244"/>
      <c r="Q945" s="219"/>
      <c r="R945" s="302"/>
      <c r="S945" s="219"/>
      <c r="T945" s="219"/>
      <c r="U945" s="219"/>
      <c r="V945" s="303"/>
      <c r="W945" s="247"/>
      <c r="X945" s="245"/>
      <c r="Y945" s="245"/>
      <c r="Z945" s="245"/>
      <c r="AA945" s="245"/>
      <c r="AB945" s="245"/>
      <c r="AC945" s="249"/>
      <c r="AD945" s="249"/>
      <c r="AE945" s="249"/>
      <c r="AF945" s="8"/>
      <c r="AG945" s="8"/>
      <c r="AH945" s="72"/>
      <c r="AI945" s="8"/>
      <c r="AJ945" s="251"/>
      <c r="AK945" s="23"/>
      <c r="AL945" s="75"/>
      <c r="AM945" s="75" t="str">
        <f t="shared" si="141"/>
        <v/>
      </c>
      <c r="AN945" s="75"/>
      <c r="AO945" s="75"/>
      <c r="AP945" s="75"/>
      <c r="AQ945" s="75"/>
      <c r="AR945" s="75"/>
      <c r="AS945" s="75"/>
      <c r="AT945" s="75"/>
    </row>
    <row r="946" ht="22.5" customHeight="1">
      <c r="A946" s="219"/>
      <c r="B946" s="219"/>
      <c r="C946" s="219"/>
      <c r="D946" s="219"/>
      <c r="E946" s="219"/>
      <c r="F946" s="219"/>
      <c r="G946" s="219"/>
      <c r="H946" s="219"/>
      <c r="I946" s="249"/>
      <c r="J946" s="243"/>
      <c r="K946" s="219"/>
      <c r="L946" s="244"/>
      <c r="M946" s="219"/>
      <c r="N946" s="219"/>
      <c r="O946" s="219"/>
      <c r="P946" s="244"/>
      <c r="Q946" s="219"/>
      <c r="R946" s="302"/>
      <c r="S946" s="219"/>
      <c r="T946" s="219"/>
      <c r="U946" s="219"/>
      <c r="V946" s="303"/>
      <c r="W946" s="247"/>
      <c r="X946" s="245"/>
      <c r="Y946" s="245"/>
      <c r="Z946" s="245"/>
      <c r="AA946" s="245"/>
      <c r="AB946" s="245"/>
      <c r="AC946" s="249"/>
      <c r="AD946" s="249"/>
      <c r="AE946" s="249"/>
      <c r="AF946" s="8"/>
      <c r="AG946" s="8"/>
      <c r="AH946" s="72"/>
      <c r="AI946" s="8"/>
      <c r="AJ946" s="251"/>
      <c r="AK946" s="23"/>
      <c r="AL946" s="75"/>
      <c r="AM946" s="75" t="str">
        <f t="shared" si="141"/>
        <v/>
      </c>
      <c r="AN946" s="75"/>
      <c r="AO946" s="75"/>
      <c r="AP946" s="75"/>
      <c r="AQ946" s="75"/>
      <c r="AR946" s="75"/>
      <c r="AS946" s="75"/>
      <c r="AT946" s="75"/>
    </row>
    <row r="947" ht="22.5" customHeight="1">
      <c r="A947" s="219"/>
      <c r="B947" s="219"/>
      <c r="C947" s="219"/>
      <c r="D947" s="219"/>
      <c r="E947" s="219"/>
      <c r="F947" s="219"/>
      <c r="G947" s="219"/>
      <c r="H947" s="219"/>
      <c r="I947" s="249"/>
      <c r="J947" s="243"/>
      <c r="K947" s="219"/>
      <c r="L947" s="244"/>
      <c r="M947" s="219"/>
      <c r="N947" s="219"/>
      <c r="O947" s="219"/>
      <c r="P947" s="244"/>
      <c r="Q947" s="219"/>
      <c r="R947" s="302"/>
      <c r="S947" s="219"/>
      <c r="T947" s="219"/>
      <c r="U947" s="219"/>
      <c r="V947" s="303"/>
      <c r="W947" s="247"/>
      <c r="X947" s="245"/>
      <c r="Y947" s="245"/>
      <c r="Z947" s="245"/>
      <c r="AA947" s="245"/>
      <c r="AB947" s="245"/>
      <c r="AC947" s="249"/>
      <c r="AD947" s="249"/>
      <c r="AE947" s="249"/>
      <c r="AF947" s="8"/>
      <c r="AG947" s="8"/>
      <c r="AH947" s="72"/>
      <c r="AI947" s="8"/>
      <c r="AJ947" s="251"/>
      <c r="AK947" s="23"/>
      <c r="AL947" s="75"/>
      <c r="AM947" s="75" t="str">
        <f t="shared" si="141"/>
        <v/>
      </c>
      <c r="AN947" s="75"/>
      <c r="AO947" s="75"/>
      <c r="AP947" s="75"/>
      <c r="AQ947" s="75"/>
      <c r="AR947" s="75"/>
      <c r="AS947" s="75"/>
      <c r="AT947" s="75"/>
    </row>
    <row r="948" ht="22.5" customHeight="1">
      <c r="A948" s="219"/>
      <c r="B948" s="219"/>
      <c r="C948" s="219"/>
      <c r="D948" s="219"/>
      <c r="E948" s="219"/>
      <c r="F948" s="219"/>
      <c r="G948" s="219"/>
      <c r="H948" s="219"/>
      <c r="I948" s="249"/>
      <c r="J948" s="243"/>
      <c r="K948" s="219"/>
      <c r="L948" s="244"/>
      <c r="M948" s="219"/>
      <c r="N948" s="219"/>
      <c r="O948" s="219"/>
      <c r="P948" s="244"/>
      <c r="Q948" s="219"/>
      <c r="R948" s="302"/>
      <c r="S948" s="219"/>
      <c r="T948" s="219"/>
      <c r="U948" s="219"/>
      <c r="V948" s="303"/>
      <c r="W948" s="247"/>
      <c r="X948" s="245"/>
      <c r="Y948" s="245"/>
      <c r="Z948" s="245"/>
      <c r="AA948" s="245"/>
      <c r="AB948" s="245"/>
      <c r="AC948" s="249"/>
      <c r="AD948" s="249"/>
      <c r="AE948" s="249"/>
      <c r="AF948" s="8"/>
      <c r="AG948" s="8"/>
      <c r="AH948" s="72"/>
      <c r="AI948" s="8"/>
      <c r="AJ948" s="251"/>
      <c r="AK948" s="23"/>
      <c r="AL948" s="75"/>
      <c r="AM948" s="75" t="str">
        <f t="shared" si="141"/>
        <v/>
      </c>
      <c r="AN948" s="75"/>
      <c r="AO948" s="75"/>
      <c r="AP948" s="75"/>
      <c r="AQ948" s="75"/>
      <c r="AR948" s="75"/>
      <c r="AS948" s="75"/>
      <c r="AT948" s="75"/>
    </row>
    <row r="949" ht="22.5" customHeight="1">
      <c r="A949" s="219"/>
      <c r="B949" s="219"/>
      <c r="C949" s="219"/>
      <c r="D949" s="219"/>
      <c r="E949" s="219"/>
      <c r="F949" s="219"/>
      <c r="G949" s="219"/>
      <c r="H949" s="219"/>
      <c r="I949" s="249"/>
      <c r="J949" s="243"/>
      <c r="K949" s="219"/>
      <c r="L949" s="244"/>
      <c r="M949" s="219"/>
      <c r="N949" s="219"/>
      <c r="O949" s="219"/>
      <c r="P949" s="244"/>
      <c r="Q949" s="219"/>
      <c r="R949" s="302"/>
      <c r="S949" s="219"/>
      <c r="T949" s="219"/>
      <c r="U949" s="219"/>
      <c r="V949" s="303"/>
      <c r="W949" s="247"/>
      <c r="X949" s="245"/>
      <c r="Y949" s="245"/>
      <c r="Z949" s="245"/>
      <c r="AA949" s="245"/>
      <c r="AB949" s="245"/>
      <c r="AC949" s="249"/>
      <c r="AD949" s="249"/>
      <c r="AE949" s="249"/>
      <c r="AF949" s="8"/>
      <c r="AG949" s="8"/>
      <c r="AH949" s="72"/>
      <c r="AI949" s="8"/>
      <c r="AJ949" s="251"/>
      <c r="AK949" s="23"/>
      <c r="AL949" s="75"/>
      <c r="AM949" s="75" t="str">
        <f t="shared" si="141"/>
        <v/>
      </c>
      <c r="AN949" s="75"/>
      <c r="AO949" s="75"/>
      <c r="AP949" s="75"/>
      <c r="AQ949" s="75"/>
      <c r="AR949" s="75"/>
      <c r="AS949" s="75"/>
      <c r="AT949" s="75"/>
    </row>
    <row r="950" ht="22.5" customHeight="1">
      <c r="A950" s="219"/>
      <c r="B950" s="219"/>
      <c r="C950" s="219"/>
      <c r="D950" s="219"/>
      <c r="E950" s="219"/>
      <c r="F950" s="219"/>
      <c r="G950" s="219"/>
      <c r="H950" s="219"/>
      <c r="I950" s="249"/>
      <c r="J950" s="243"/>
      <c r="K950" s="219"/>
      <c r="L950" s="244"/>
      <c r="M950" s="219"/>
      <c r="N950" s="219"/>
      <c r="O950" s="219"/>
      <c r="P950" s="244"/>
      <c r="Q950" s="219"/>
      <c r="R950" s="302"/>
      <c r="S950" s="219"/>
      <c r="T950" s="219"/>
      <c r="U950" s="219"/>
      <c r="V950" s="303"/>
      <c r="W950" s="247"/>
      <c r="X950" s="245"/>
      <c r="Y950" s="245"/>
      <c r="Z950" s="245"/>
      <c r="AA950" s="245"/>
      <c r="AB950" s="245"/>
      <c r="AC950" s="249"/>
      <c r="AD950" s="249"/>
      <c r="AE950" s="249"/>
      <c r="AF950" s="8"/>
      <c r="AG950" s="8"/>
      <c r="AH950" s="72"/>
      <c r="AI950" s="8"/>
      <c r="AJ950" s="251"/>
      <c r="AK950" s="23"/>
      <c r="AL950" s="75"/>
      <c r="AM950" s="75" t="str">
        <f t="shared" si="141"/>
        <v/>
      </c>
      <c r="AN950" s="75"/>
      <c r="AO950" s="75"/>
      <c r="AP950" s="75"/>
      <c r="AQ950" s="75"/>
      <c r="AR950" s="75"/>
      <c r="AS950" s="75"/>
      <c r="AT950" s="75"/>
    </row>
    <row r="951" ht="22.5" customHeight="1">
      <c r="A951" s="219"/>
      <c r="B951" s="219"/>
      <c r="C951" s="219"/>
      <c r="D951" s="219"/>
      <c r="E951" s="219"/>
      <c r="F951" s="219"/>
      <c r="G951" s="219"/>
      <c r="H951" s="219"/>
      <c r="I951" s="249"/>
      <c r="J951" s="243"/>
      <c r="K951" s="219"/>
      <c r="L951" s="244"/>
      <c r="M951" s="219"/>
      <c r="N951" s="219"/>
      <c r="O951" s="219"/>
      <c r="P951" s="244"/>
      <c r="Q951" s="219"/>
      <c r="R951" s="302"/>
      <c r="S951" s="219"/>
      <c r="T951" s="219"/>
      <c r="U951" s="219"/>
      <c r="V951" s="303"/>
      <c r="W951" s="247"/>
      <c r="X951" s="245"/>
      <c r="Y951" s="245"/>
      <c r="Z951" s="245"/>
      <c r="AA951" s="245"/>
      <c r="AB951" s="245"/>
      <c r="AC951" s="249"/>
      <c r="AD951" s="249"/>
      <c r="AE951" s="249"/>
      <c r="AF951" s="8"/>
      <c r="AG951" s="8"/>
      <c r="AH951" s="72"/>
      <c r="AI951" s="8"/>
      <c r="AJ951" s="251"/>
      <c r="AK951" s="23"/>
      <c r="AL951" s="75"/>
      <c r="AM951" s="75" t="str">
        <f t="shared" si="141"/>
        <v/>
      </c>
      <c r="AN951" s="75"/>
      <c r="AO951" s="75"/>
      <c r="AP951" s="75"/>
      <c r="AQ951" s="75"/>
      <c r="AR951" s="75"/>
      <c r="AS951" s="75"/>
      <c r="AT951" s="75"/>
    </row>
    <row r="952" ht="22.5" customHeight="1">
      <c r="A952" s="219"/>
      <c r="B952" s="219"/>
      <c r="C952" s="219"/>
      <c r="D952" s="219"/>
      <c r="E952" s="219"/>
      <c r="F952" s="219"/>
      <c r="G952" s="219"/>
      <c r="H952" s="219"/>
      <c r="I952" s="249"/>
      <c r="J952" s="243"/>
      <c r="K952" s="219"/>
      <c r="L952" s="244"/>
      <c r="M952" s="219"/>
      <c r="N952" s="219"/>
      <c r="O952" s="219"/>
      <c r="P952" s="244"/>
      <c r="Q952" s="219"/>
      <c r="R952" s="302"/>
      <c r="S952" s="219"/>
      <c r="T952" s="219"/>
      <c r="U952" s="219"/>
      <c r="V952" s="303"/>
      <c r="W952" s="247"/>
      <c r="X952" s="245"/>
      <c r="Y952" s="245"/>
      <c r="Z952" s="245"/>
      <c r="AA952" s="245"/>
      <c r="AB952" s="245"/>
      <c r="AC952" s="249"/>
      <c r="AD952" s="249"/>
      <c r="AE952" s="249"/>
      <c r="AF952" s="8"/>
      <c r="AG952" s="8"/>
      <c r="AH952" s="72"/>
      <c r="AI952" s="8"/>
      <c r="AJ952" s="251"/>
      <c r="AK952" s="23"/>
      <c r="AL952" s="75"/>
      <c r="AM952" s="75" t="str">
        <f t="shared" si="141"/>
        <v/>
      </c>
      <c r="AN952" s="75"/>
      <c r="AO952" s="75"/>
      <c r="AP952" s="75"/>
      <c r="AQ952" s="75"/>
      <c r="AR952" s="75"/>
      <c r="AS952" s="75"/>
      <c r="AT952" s="75"/>
    </row>
    <row r="953" ht="22.5" customHeight="1">
      <c r="A953" s="219"/>
      <c r="B953" s="219"/>
      <c r="C953" s="219"/>
      <c r="D953" s="219"/>
      <c r="E953" s="219"/>
      <c r="F953" s="219"/>
      <c r="G953" s="219"/>
      <c r="H953" s="219"/>
      <c r="I953" s="249"/>
      <c r="J953" s="243"/>
      <c r="K953" s="219"/>
      <c r="L953" s="244"/>
      <c r="M953" s="219"/>
      <c r="N953" s="219"/>
      <c r="O953" s="219"/>
      <c r="P953" s="244"/>
      <c r="Q953" s="219"/>
      <c r="R953" s="302"/>
      <c r="S953" s="219"/>
      <c r="T953" s="219"/>
      <c r="U953" s="219"/>
      <c r="V953" s="303"/>
      <c r="W953" s="247"/>
      <c r="X953" s="245"/>
      <c r="Y953" s="245"/>
      <c r="Z953" s="245"/>
      <c r="AA953" s="245"/>
      <c r="AB953" s="245"/>
      <c r="AC953" s="249"/>
      <c r="AD953" s="249"/>
      <c r="AE953" s="249"/>
      <c r="AF953" s="8"/>
      <c r="AG953" s="8"/>
      <c r="AH953" s="72"/>
      <c r="AI953" s="8"/>
      <c r="AJ953" s="251"/>
      <c r="AK953" s="23"/>
      <c r="AL953" s="75"/>
      <c r="AM953" s="75" t="str">
        <f t="shared" si="141"/>
        <v/>
      </c>
      <c r="AN953" s="75"/>
      <c r="AO953" s="75"/>
      <c r="AP953" s="75"/>
      <c r="AQ953" s="75"/>
      <c r="AR953" s="75"/>
      <c r="AS953" s="75"/>
      <c r="AT953" s="75"/>
    </row>
    <row r="954" ht="22.5" customHeight="1">
      <c r="A954" s="219"/>
      <c r="B954" s="219"/>
      <c r="C954" s="219"/>
      <c r="D954" s="219"/>
      <c r="E954" s="219"/>
      <c r="F954" s="219"/>
      <c r="G954" s="219"/>
      <c r="H954" s="219"/>
      <c r="I954" s="249"/>
      <c r="J954" s="243"/>
      <c r="K954" s="219"/>
      <c r="L954" s="244"/>
      <c r="M954" s="219"/>
      <c r="N954" s="219"/>
      <c r="O954" s="219"/>
      <c r="P954" s="244"/>
      <c r="Q954" s="219"/>
      <c r="R954" s="302"/>
      <c r="S954" s="219"/>
      <c r="T954" s="219"/>
      <c r="U954" s="219"/>
      <c r="V954" s="303"/>
      <c r="W954" s="247"/>
      <c r="X954" s="245"/>
      <c r="Y954" s="245"/>
      <c r="Z954" s="245"/>
      <c r="AA954" s="245"/>
      <c r="AB954" s="245"/>
      <c r="AC954" s="249"/>
      <c r="AD954" s="249"/>
      <c r="AE954" s="249"/>
      <c r="AF954" s="8"/>
      <c r="AG954" s="8"/>
      <c r="AH954" s="72"/>
      <c r="AI954" s="8"/>
      <c r="AJ954" s="251"/>
      <c r="AK954" s="23"/>
      <c r="AL954" s="75"/>
      <c r="AM954" s="75" t="str">
        <f t="shared" si="141"/>
        <v/>
      </c>
      <c r="AN954" s="75"/>
      <c r="AO954" s="75"/>
      <c r="AP954" s="75"/>
      <c r="AQ954" s="75"/>
      <c r="AR954" s="75"/>
      <c r="AS954" s="75"/>
      <c r="AT954" s="75"/>
    </row>
    <row r="955" ht="22.5" customHeight="1">
      <c r="A955" s="219"/>
      <c r="B955" s="219"/>
      <c r="C955" s="219"/>
      <c r="D955" s="219"/>
      <c r="E955" s="219"/>
      <c r="F955" s="219"/>
      <c r="G955" s="219"/>
      <c r="H955" s="219"/>
      <c r="I955" s="249"/>
      <c r="J955" s="243"/>
      <c r="K955" s="219"/>
      <c r="L955" s="244"/>
      <c r="M955" s="219"/>
      <c r="N955" s="219"/>
      <c r="O955" s="219"/>
      <c r="P955" s="244"/>
      <c r="Q955" s="219"/>
      <c r="R955" s="302"/>
      <c r="S955" s="219"/>
      <c r="T955" s="219"/>
      <c r="U955" s="219"/>
      <c r="V955" s="303"/>
      <c r="W955" s="247"/>
      <c r="X955" s="245"/>
      <c r="Y955" s="245"/>
      <c r="Z955" s="245"/>
      <c r="AA955" s="245"/>
      <c r="AB955" s="245"/>
      <c r="AC955" s="249"/>
      <c r="AD955" s="249"/>
      <c r="AE955" s="249"/>
      <c r="AF955" s="8"/>
      <c r="AG955" s="8"/>
      <c r="AH955" s="72"/>
      <c r="AI955" s="8"/>
      <c r="AJ955" s="251"/>
      <c r="AK955" s="23"/>
      <c r="AL955" s="75"/>
      <c r="AM955" s="75" t="str">
        <f t="shared" si="141"/>
        <v/>
      </c>
      <c r="AN955" s="75"/>
      <c r="AO955" s="75"/>
      <c r="AP955" s="75"/>
      <c r="AQ955" s="75"/>
      <c r="AR955" s="75"/>
      <c r="AS955" s="75"/>
      <c r="AT955" s="75"/>
    </row>
    <row r="956" ht="22.5" customHeight="1">
      <c r="A956" s="219"/>
      <c r="B956" s="219"/>
      <c r="C956" s="219"/>
      <c r="D956" s="219"/>
      <c r="E956" s="219"/>
      <c r="F956" s="219"/>
      <c r="G956" s="219"/>
      <c r="H956" s="219"/>
      <c r="I956" s="249"/>
      <c r="J956" s="243"/>
      <c r="K956" s="219"/>
      <c r="L956" s="244"/>
      <c r="M956" s="219"/>
      <c r="N956" s="219"/>
      <c r="O956" s="219"/>
      <c r="P956" s="244"/>
      <c r="Q956" s="219"/>
      <c r="R956" s="302"/>
      <c r="S956" s="219"/>
      <c r="T956" s="219"/>
      <c r="U956" s="219"/>
      <c r="V956" s="303"/>
      <c r="W956" s="247"/>
      <c r="X956" s="245"/>
      <c r="Y956" s="245"/>
      <c r="Z956" s="245"/>
      <c r="AA956" s="245"/>
      <c r="AB956" s="245"/>
      <c r="AC956" s="249"/>
      <c r="AD956" s="249"/>
      <c r="AE956" s="249"/>
      <c r="AF956" s="8"/>
      <c r="AG956" s="8"/>
      <c r="AH956" s="72"/>
      <c r="AI956" s="8"/>
      <c r="AJ956" s="251"/>
      <c r="AK956" s="23"/>
      <c r="AL956" s="75"/>
      <c r="AM956" s="75" t="str">
        <f t="shared" si="141"/>
        <v/>
      </c>
      <c r="AN956" s="75"/>
      <c r="AO956" s="75"/>
      <c r="AP956" s="75"/>
      <c r="AQ956" s="75"/>
      <c r="AR956" s="75"/>
      <c r="AS956" s="75"/>
      <c r="AT956" s="75"/>
    </row>
    <row r="957" ht="22.5" customHeight="1">
      <c r="A957" s="219"/>
      <c r="B957" s="219"/>
      <c r="C957" s="219"/>
      <c r="D957" s="219"/>
      <c r="E957" s="219"/>
      <c r="F957" s="219"/>
      <c r="G957" s="219"/>
      <c r="H957" s="219"/>
      <c r="I957" s="249"/>
      <c r="J957" s="243"/>
      <c r="K957" s="219"/>
      <c r="L957" s="244"/>
      <c r="M957" s="219"/>
      <c r="N957" s="219"/>
      <c r="O957" s="219"/>
      <c r="P957" s="244"/>
      <c r="Q957" s="219"/>
      <c r="R957" s="302"/>
      <c r="S957" s="219"/>
      <c r="T957" s="219"/>
      <c r="U957" s="219"/>
      <c r="V957" s="303"/>
      <c r="W957" s="247"/>
      <c r="X957" s="245"/>
      <c r="Y957" s="245"/>
      <c r="Z957" s="245"/>
      <c r="AA957" s="245"/>
      <c r="AB957" s="245"/>
      <c r="AC957" s="249"/>
      <c r="AD957" s="249"/>
      <c r="AE957" s="249"/>
      <c r="AF957" s="8"/>
      <c r="AG957" s="8"/>
      <c r="AH957" s="72"/>
      <c r="AI957" s="8"/>
      <c r="AJ957" s="251"/>
      <c r="AK957" s="23"/>
      <c r="AL957" s="75"/>
      <c r="AM957" s="75" t="str">
        <f t="shared" si="141"/>
        <v/>
      </c>
      <c r="AN957" s="75"/>
      <c r="AO957" s="75"/>
      <c r="AP957" s="75"/>
      <c r="AQ957" s="75"/>
      <c r="AR957" s="75"/>
      <c r="AS957" s="75"/>
      <c r="AT957" s="75"/>
    </row>
    <row r="958" ht="22.5" customHeight="1">
      <c r="A958" s="219"/>
      <c r="B958" s="219"/>
      <c r="C958" s="219"/>
      <c r="D958" s="219"/>
      <c r="E958" s="219"/>
      <c r="F958" s="219"/>
      <c r="G958" s="219"/>
      <c r="H958" s="219"/>
      <c r="I958" s="249"/>
      <c r="J958" s="243"/>
      <c r="K958" s="219"/>
      <c r="L958" s="244"/>
      <c r="M958" s="219"/>
      <c r="N958" s="219"/>
      <c r="O958" s="219"/>
      <c r="P958" s="244"/>
      <c r="Q958" s="219"/>
      <c r="R958" s="302"/>
      <c r="S958" s="219"/>
      <c r="T958" s="219"/>
      <c r="U958" s="219"/>
      <c r="V958" s="303"/>
      <c r="W958" s="247"/>
      <c r="X958" s="245"/>
      <c r="Y958" s="245"/>
      <c r="Z958" s="245"/>
      <c r="AA958" s="245"/>
      <c r="AB958" s="245"/>
      <c r="AC958" s="249"/>
      <c r="AD958" s="249"/>
      <c r="AE958" s="249"/>
      <c r="AF958" s="8"/>
      <c r="AG958" s="8"/>
      <c r="AH958" s="72"/>
      <c r="AI958" s="8"/>
      <c r="AJ958" s="251"/>
      <c r="AK958" s="23"/>
      <c r="AL958" s="75"/>
      <c r="AM958" s="75" t="str">
        <f t="shared" si="141"/>
        <v/>
      </c>
      <c r="AN958" s="75"/>
      <c r="AO958" s="75"/>
      <c r="AP958" s="75"/>
      <c r="AQ958" s="75"/>
      <c r="AR958" s="75"/>
      <c r="AS958" s="75"/>
      <c r="AT958" s="75"/>
    </row>
    <row r="959" ht="22.5" customHeight="1">
      <c r="A959" s="219"/>
      <c r="B959" s="219"/>
      <c r="C959" s="219"/>
      <c r="D959" s="219"/>
      <c r="E959" s="219"/>
      <c r="F959" s="219"/>
      <c r="G959" s="219"/>
      <c r="H959" s="219"/>
      <c r="I959" s="249"/>
      <c r="J959" s="243"/>
      <c r="K959" s="219"/>
      <c r="L959" s="244"/>
      <c r="M959" s="219"/>
      <c r="N959" s="219"/>
      <c r="O959" s="219"/>
      <c r="P959" s="244"/>
      <c r="Q959" s="219"/>
      <c r="R959" s="302"/>
      <c r="S959" s="219"/>
      <c r="T959" s="219"/>
      <c r="U959" s="219"/>
      <c r="V959" s="303"/>
      <c r="W959" s="247"/>
      <c r="X959" s="245"/>
      <c r="Y959" s="245"/>
      <c r="Z959" s="245"/>
      <c r="AA959" s="245"/>
      <c r="AB959" s="245"/>
      <c r="AC959" s="249"/>
      <c r="AD959" s="249"/>
      <c r="AE959" s="249"/>
      <c r="AF959" s="8"/>
      <c r="AG959" s="8"/>
      <c r="AH959" s="72"/>
      <c r="AI959" s="8"/>
      <c r="AJ959" s="251"/>
      <c r="AK959" s="23"/>
      <c r="AL959" s="75"/>
      <c r="AM959" s="75" t="str">
        <f t="shared" si="141"/>
        <v/>
      </c>
      <c r="AN959" s="75"/>
      <c r="AO959" s="75"/>
      <c r="AP959" s="75"/>
      <c r="AQ959" s="75"/>
      <c r="AR959" s="75"/>
      <c r="AS959" s="75"/>
      <c r="AT959" s="75"/>
    </row>
    <row r="960" ht="22.5" customHeight="1">
      <c r="A960" s="219"/>
      <c r="B960" s="219"/>
      <c r="C960" s="219"/>
      <c r="D960" s="219"/>
      <c r="E960" s="219"/>
      <c r="F960" s="219"/>
      <c r="G960" s="219"/>
      <c r="H960" s="219"/>
      <c r="I960" s="249"/>
      <c r="J960" s="243"/>
      <c r="K960" s="219"/>
      <c r="L960" s="244"/>
      <c r="M960" s="219"/>
      <c r="N960" s="219"/>
      <c r="O960" s="219"/>
      <c r="P960" s="244"/>
      <c r="Q960" s="219"/>
      <c r="R960" s="302"/>
      <c r="S960" s="219"/>
      <c r="T960" s="219"/>
      <c r="U960" s="219"/>
      <c r="V960" s="303"/>
      <c r="W960" s="247"/>
      <c r="X960" s="245"/>
      <c r="Y960" s="245"/>
      <c r="Z960" s="245"/>
      <c r="AA960" s="245"/>
      <c r="AB960" s="245"/>
      <c r="AC960" s="249"/>
      <c r="AD960" s="249"/>
      <c r="AE960" s="249"/>
      <c r="AF960" s="8"/>
      <c r="AG960" s="8"/>
      <c r="AH960" s="72"/>
      <c r="AI960" s="8"/>
      <c r="AJ960" s="251"/>
      <c r="AK960" s="23"/>
      <c r="AL960" s="75"/>
      <c r="AM960" s="75" t="str">
        <f t="shared" si="141"/>
        <v/>
      </c>
      <c r="AN960" s="75"/>
      <c r="AO960" s="75"/>
      <c r="AP960" s="75"/>
      <c r="AQ960" s="75"/>
      <c r="AR960" s="75"/>
      <c r="AS960" s="75"/>
      <c r="AT960" s="75"/>
    </row>
    <row r="961" ht="22.5" customHeight="1">
      <c r="A961" s="219"/>
      <c r="B961" s="219"/>
      <c r="C961" s="219"/>
      <c r="D961" s="219"/>
      <c r="E961" s="219"/>
      <c r="F961" s="219"/>
      <c r="G961" s="219"/>
      <c r="H961" s="219"/>
      <c r="I961" s="249"/>
      <c r="J961" s="243"/>
      <c r="K961" s="219"/>
      <c r="L961" s="244"/>
      <c r="M961" s="219"/>
      <c r="N961" s="219"/>
      <c r="O961" s="219"/>
      <c r="P961" s="244"/>
      <c r="Q961" s="219"/>
      <c r="R961" s="302"/>
      <c r="S961" s="219"/>
      <c r="T961" s="219"/>
      <c r="U961" s="219"/>
      <c r="V961" s="303"/>
      <c r="W961" s="247"/>
      <c r="X961" s="245"/>
      <c r="Y961" s="245"/>
      <c r="Z961" s="245"/>
      <c r="AA961" s="245"/>
      <c r="AB961" s="245"/>
      <c r="AC961" s="249"/>
      <c r="AD961" s="249"/>
      <c r="AE961" s="249"/>
      <c r="AF961" s="8"/>
      <c r="AG961" s="8"/>
      <c r="AH961" s="72"/>
      <c r="AI961" s="8"/>
      <c r="AJ961" s="251"/>
      <c r="AK961" s="23"/>
      <c r="AL961" s="75"/>
      <c r="AM961" s="75" t="str">
        <f t="shared" si="141"/>
        <v/>
      </c>
      <c r="AN961" s="75"/>
      <c r="AO961" s="75"/>
      <c r="AP961" s="75"/>
      <c r="AQ961" s="75"/>
      <c r="AR961" s="75"/>
      <c r="AS961" s="75"/>
      <c r="AT961" s="75"/>
    </row>
    <row r="962" ht="22.5" customHeight="1">
      <c r="A962" s="219"/>
      <c r="B962" s="219"/>
      <c r="C962" s="219"/>
      <c r="D962" s="219"/>
      <c r="E962" s="219"/>
      <c r="F962" s="219"/>
      <c r="G962" s="219"/>
      <c r="H962" s="219"/>
      <c r="I962" s="249"/>
      <c r="J962" s="243"/>
      <c r="K962" s="219"/>
      <c r="L962" s="244"/>
      <c r="M962" s="219"/>
      <c r="N962" s="219"/>
      <c r="O962" s="219"/>
      <c r="P962" s="244"/>
      <c r="Q962" s="219"/>
      <c r="R962" s="302"/>
      <c r="S962" s="219"/>
      <c r="T962" s="219"/>
      <c r="U962" s="219"/>
      <c r="V962" s="303"/>
      <c r="W962" s="247"/>
      <c r="X962" s="245"/>
      <c r="Y962" s="245"/>
      <c r="Z962" s="245"/>
      <c r="AA962" s="245"/>
      <c r="AB962" s="245"/>
      <c r="AC962" s="249"/>
      <c r="AD962" s="249"/>
      <c r="AE962" s="249"/>
      <c r="AF962" s="8"/>
      <c r="AG962" s="8"/>
      <c r="AH962" s="72"/>
      <c r="AI962" s="8"/>
      <c r="AJ962" s="251"/>
      <c r="AK962" s="23"/>
      <c r="AL962" s="75"/>
      <c r="AM962" s="75" t="str">
        <f t="shared" si="141"/>
        <v/>
      </c>
      <c r="AN962" s="75"/>
      <c r="AO962" s="75"/>
      <c r="AP962" s="75"/>
      <c r="AQ962" s="75"/>
      <c r="AR962" s="75"/>
      <c r="AS962" s="75"/>
      <c r="AT962" s="75"/>
    </row>
    <row r="963" ht="22.5" customHeight="1">
      <c r="A963" s="219"/>
      <c r="B963" s="219"/>
      <c r="C963" s="219"/>
      <c r="D963" s="219"/>
      <c r="E963" s="219"/>
      <c r="F963" s="219"/>
      <c r="G963" s="219"/>
      <c r="H963" s="219"/>
      <c r="I963" s="249"/>
      <c r="J963" s="243"/>
      <c r="K963" s="219"/>
      <c r="L963" s="244"/>
      <c r="M963" s="219"/>
      <c r="N963" s="219"/>
      <c r="O963" s="219"/>
      <c r="P963" s="244"/>
      <c r="Q963" s="219"/>
      <c r="R963" s="302"/>
      <c r="S963" s="219"/>
      <c r="T963" s="219"/>
      <c r="U963" s="219"/>
      <c r="V963" s="303"/>
      <c r="W963" s="247"/>
      <c r="X963" s="245"/>
      <c r="Y963" s="245"/>
      <c r="Z963" s="245"/>
      <c r="AA963" s="245"/>
      <c r="AB963" s="245"/>
      <c r="AC963" s="249"/>
      <c r="AD963" s="249"/>
      <c r="AE963" s="249"/>
      <c r="AF963" s="8"/>
      <c r="AG963" s="8"/>
      <c r="AH963" s="72"/>
      <c r="AI963" s="8"/>
      <c r="AJ963" s="251"/>
      <c r="AK963" s="23"/>
      <c r="AL963" s="75"/>
      <c r="AM963" s="75" t="str">
        <f t="shared" si="141"/>
        <v/>
      </c>
      <c r="AN963" s="75"/>
      <c r="AO963" s="75"/>
      <c r="AP963" s="75"/>
      <c r="AQ963" s="75"/>
      <c r="AR963" s="75"/>
      <c r="AS963" s="75"/>
      <c r="AT963" s="75"/>
    </row>
    <row r="964" ht="22.5" customHeight="1">
      <c r="A964" s="219"/>
      <c r="B964" s="219"/>
      <c r="C964" s="219"/>
      <c r="D964" s="219"/>
      <c r="E964" s="219"/>
      <c r="F964" s="219"/>
      <c r="G964" s="219"/>
      <c r="H964" s="219"/>
      <c r="I964" s="249"/>
      <c r="J964" s="243"/>
      <c r="K964" s="219"/>
      <c r="L964" s="244"/>
      <c r="M964" s="219"/>
      <c r="N964" s="219"/>
      <c r="O964" s="219"/>
      <c r="P964" s="244"/>
      <c r="Q964" s="219"/>
      <c r="R964" s="302"/>
      <c r="S964" s="219"/>
      <c r="T964" s="219"/>
      <c r="U964" s="219"/>
      <c r="V964" s="303"/>
      <c r="W964" s="247"/>
      <c r="X964" s="245"/>
      <c r="Y964" s="245"/>
      <c r="Z964" s="245"/>
      <c r="AA964" s="245"/>
      <c r="AB964" s="245"/>
      <c r="AC964" s="249"/>
      <c r="AD964" s="249"/>
      <c r="AE964" s="249"/>
      <c r="AF964" s="8"/>
      <c r="AG964" s="8"/>
      <c r="AH964" s="72"/>
      <c r="AI964" s="8"/>
      <c r="AJ964" s="251"/>
      <c r="AK964" s="23"/>
      <c r="AL964" s="75"/>
      <c r="AM964" s="75" t="str">
        <f t="shared" si="141"/>
        <v/>
      </c>
      <c r="AN964" s="75"/>
      <c r="AO964" s="75"/>
      <c r="AP964" s="75"/>
      <c r="AQ964" s="75"/>
      <c r="AR964" s="75"/>
      <c r="AS964" s="75"/>
      <c r="AT964" s="75"/>
    </row>
    <row r="965" ht="22.5" customHeight="1">
      <c r="A965" s="219"/>
      <c r="B965" s="219"/>
      <c r="C965" s="219"/>
      <c r="D965" s="219"/>
      <c r="E965" s="219"/>
      <c r="F965" s="219"/>
      <c r="G965" s="219"/>
      <c r="H965" s="219"/>
      <c r="I965" s="249"/>
      <c r="J965" s="243"/>
      <c r="K965" s="219"/>
      <c r="L965" s="244"/>
      <c r="M965" s="219"/>
      <c r="N965" s="219"/>
      <c r="O965" s="219"/>
      <c r="P965" s="244"/>
      <c r="Q965" s="219"/>
      <c r="R965" s="302"/>
      <c r="S965" s="219"/>
      <c r="T965" s="219"/>
      <c r="U965" s="219"/>
      <c r="V965" s="303"/>
      <c r="W965" s="247"/>
      <c r="X965" s="245"/>
      <c r="Y965" s="245"/>
      <c r="Z965" s="245"/>
      <c r="AA965" s="245"/>
      <c r="AB965" s="245"/>
      <c r="AC965" s="249"/>
      <c r="AD965" s="249"/>
      <c r="AE965" s="249"/>
      <c r="AF965" s="8"/>
      <c r="AG965" s="8"/>
      <c r="AH965" s="72"/>
      <c r="AI965" s="8"/>
      <c r="AJ965" s="251"/>
      <c r="AK965" s="23"/>
      <c r="AL965" s="75"/>
      <c r="AM965" s="75" t="str">
        <f t="shared" si="141"/>
        <v/>
      </c>
      <c r="AN965" s="75"/>
      <c r="AO965" s="75"/>
      <c r="AP965" s="75"/>
      <c r="AQ965" s="75"/>
      <c r="AR965" s="75"/>
      <c r="AS965" s="75"/>
      <c r="AT965" s="75"/>
    </row>
    <row r="966" ht="22.5" customHeight="1">
      <c r="A966" s="219"/>
      <c r="B966" s="219"/>
      <c r="C966" s="219"/>
      <c r="D966" s="219"/>
      <c r="E966" s="219"/>
      <c r="F966" s="219"/>
      <c r="G966" s="219"/>
      <c r="H966" s="219"/>
      <c r="I966" s="249"/>
      <c r="J966" s="243"/>
      <c r="K966" s="219"/>
      <c r="L966" s="244"/>
      <c r="M966" s="219"/>
      <c r="N966" s="219"/>
      <c r="O966" s="219"/>
      <c r="P966" s="244"/>
      <c r="Q966" s="219"/>
      <c r="R966" s="302"/>
      <c r="S966" s="219"/>
      <c r="T966" s="219"/>
      <c r="U966" s="219"/>
      <c r="V966" s="303"/>
      <c r="W966" s="247"/>
      <c r="X966" s="245"/>
      <c r="Y966" s="245"/>
      <c r="Z966" s="245"/>
      <c r="AA966" s="245"/>
      <c r="AB966" s="245"/>
      <c r="AC966" s="249"/>
      <c r="AD966" s="249"/>
      <c r="AE966" s="249"/>
      <c r="AF966" s="8"/>
      <c r="AG966" s="8"/>
      <c r="AH966" s="72"/>
      <c r="AI966" s="8"/>
      <c r="AJ966" s="251"/>
      <c r="AK966" s="23"/>
      <c r="AL966" s="75"/>
      <c r="AM966" s="75" t="str">
        <f t="shared" si="141"/>
        <v/>
      </c>
      <c r="AN966" s="75"/>
      <c r="AO966" s="75"/>
      <c r="AP966" s="75"/>
      <c r="AQ966" s="75"/>
      <c r="AR966" s="75"/>
      <c r="AS966" s="75"/>
      <c r="AT966" s="75"/>
    </row>
    <row r="967" ht="22.5" customHeight="1">
      <c r="A967" s="219"/>
      <c r="B967" s="219"/>
      <c r="C967" s="219"/>
      <c r="D967" s="219"/>
      <c r="E967" s="219"/>
      <c r="F967" s="219"/>
      <c r="G967" s="219"/>
      <c r="H967" s="219"/>
      <c r="I967" s="249"/>
      <c r="J967" s="243"/>
      <c r="K967" s="219"/>
      <c r="L967" s="244"/>
      <c r="M967" s="219"/>
      <c r="N967" s="219"/>
      <c r="O967" s="219"/>
      <c r="P967" s="244"/>
      <c r="Q967" s="219"/>
      <c r="R967" s="302"/>
      <c r="S967" s="219"/>
      <c r="T967" s="219"/>
      <c r="U967" s="219"/>
      <c r="V967" s="303"/>
      <c r="W967" s="247"/>
      <c r="X967" s="245"/>
      <c r="Y967" s="245"/>
      <c r="Z967" s="245"/>
      <c r="AA967" s="245"/>
      <c r="AB967" s="245"/>
      <c r="AC967" s="249"/>
      <c r="AD967" s="249"/>
      <c r="AE967" s="249"/>
      <c r="AF967" s="8"/>
      <c r="AG967" s="8"/>
      <c r="AH967" s="72"/>
      <c r="AI967" s="8"/>
      <c r="AJ967" s="251"/>
      <c r="AK967" s="23"/>
      <c r="AL967" s="75"/>
      <c r="AM967" s="75" t="str">
        <f t="shared" si="141"/>
        <v/>
      </c>
      <c r="AN967" s="75"/>
      <c r="AO967" s="75"/>
      <c r="AP967" s="75"/>
      <c r="AQ967" s="75"/>
      <c r="AR967" s="75"/>
      <c r="AS967" s="75"/>
      <c r="AT967" s="75"/>
    </row>
    <row r="968" ht="22.5" customHeight="1">
      <c r="A968" s="219"/>
      <c r="B968" s="219"/>
      <c r="C968" s="219"/>
      <c r="D968" s="219"/>
      <c r="E968" s="219"/>
      <c r="F968" s="219"/>
      <c r="G968" s="219"/>
      <c r="H968" s="219"/>
      <c r="I968" s="249"/>
      <c r="J968" s="243"/>
      <c r="K968" s="219"/>
      <c r="L968" s="244"/>
      <c r="M968" s="219"/>
      <c r="N968" s="219"/>
      <c r="O968" s="219"/>
      <c r="P968" s="244"/>
      <c r="Q968" s="219"/>
      <c r="R968" s="302"/>
      <c r="S968" s="219"/>
      <c r="T968" s="219"/>
      <c r="U968" s="219"/>
      <c r="V968" s="303"/>
      <c r="W968" s="247"/>
      <c r="X968" s="245"/>
      <c r="Y968" s="245"/>
      <c r="Z968" s="245"/>
      <c r="AA968" s="245"/>
      <c r="AB968" s="245"/>
      <c r="AC968" s="249"/>
      <c r="AD968" s="249"/>
      <c r="AE968" s="249"/>
      <c r="AF968" s="8"/>
      <c r="AG968" s="8"/>
      <c r="AH968" s="72"/>
      <c r="AI968" s="8"/>
      <c r="AJ968" s="251"/>
      <c r="AK968" s="23"/>
      <c r="AL968" s="75"/>
      <c r="AM968" s="75" t="str">
        <f t="shared" si="141"/>
        <v/>
      </c>
      <c r="AN968" s="75"/>
      <c r="AO968" s="75"/>
      <c r="AP968" s="75"/>
      <c r="AQ968" s="75"/>
      <c r="AR968" s="75"/>
      <c r="AS968" s="75"/>
      <c r="AT968" s="75"/>
    </row>
    <row r="969" ht="22.5" customHeight="1">
      <c r="A969" s="219"/>
      <c r="B969" s="219"/>
      <c r="C969" s="219"/>
      <c r="D969" s="219"/>
      <c r="E969" s="219"/>
      <c r="F969" s="219"/>
      <c r="G969" s="219"/>
      <c r="H969" s="219"/>
      <c r="I969" s="249"/>
      <c r="J969" s="243"/>
      <c r="K969" s="219"/>
      <c r="L969" s="244"/>
      <c r="M969" s="219"/>
      <c r="N969" s="219"/>
      <c r="O969" s="219"/>
      <c r="P969" s="244"/>
      <c r="Q969" s="219"/>
      <c r="R969" s="302"/>
      <c r="S969" s="219"/>
      <c r="T969" s="219"/>
      <c r="U969" s="219"/>
      <c r="V969" s="303"/>
      <c r="W969" s="247"/>
      <c r="X969" s="245"/>
      <c r="Y969" s="245"/>
      <c r="Z969" s="245"/>
      <c r="AA969" s="245"/>
      <c r="AB969" s="245"/>
      <c r="AC969" s="249"/>
      <c r="AD969" s="249"/>
      <c r="AE969" s="249"/>
      <c r="AF969" s="8"/>
      <c r="AG969" s="8"/>
      <c r="AH969" s="72"/>
      <c r="AI969" s="8"/>
      <c r="AJ969" s="251"/>
      <c r="AK969" s="23"/>
      <c r="AL969" s="75"/>
      <c r="AM969" s="75" t="str">
        <f t="shared" si="141"/>
        <v/>
      </c>
      <c r="AN969" s="75"/>
      <c r="AO969" s="75"/>
      <c r="AP969" s="75"/>
      <c r="AQ969" s="75"/>
      <c r="AR969" s="75"/>
      <c r="AS969" s="75"/>
      <c r="AT969" s="75"/>
    </row>
    <row r="970" ht="22.5" customHeight="1">
      <c r="A970" s="219"/>
      <c r="B970" s="219"/>
      <c r="C970" s="219"/>
      <c r="D970" s="219"/>
      <c r="E970" s="219"/>
      <c r="F970" s="219"/>
      <c r="G970" s="219"/>
      <c r="H970" s="219"/>
      <c r="I970" s="249"/>
      <c r="J970" s="243"/>
      <c r="K970" s="219"/>
      <c r="L970" s="244"/>
      <c r="M970" s="219"/>
      <c r="N970" s="219"/>
      <c r="O970" s="219"/>
      <c r="P970" s="244"/>
      <c r="Q970" s="219"/>
      <c r="R970" s="302"/>
      <c r="S970" s="219"/>
      <c r="T970" s="219"/>
      <c r="U970" s="219"/>
      <c r="V970" s="303"/>
      <c r="W970" s="247"/>
      <c r="X970" s="245"/>
      <c r="Y970" s="245"/>
      <c r="Z970" s="245"/>
      <c r="AA970" s="245"/>
      <c r="AB970" s="245"/>
      <c r="AC970" s="249"/>
      <c r="AD970" s="249"/>
      <c r="AE970" s="249"/>
      <c r="AF970" s="8"/>
      <c r="AG970" s="8"/>
      <c r="AH970" s="72"/>
      <c r="AI970" s="8"/>
      <c r="AJ970" s="251"/>
      <c r="AK970" s="23"/>
      <c r="AL970" s="75"/>
      <c r="AM970" s="75" t="str">
        <f t="shared" si="141"/>
        <v/>
      </c>
      <c r="AN970" s="75"/>
      <c r="AO970" s="75"/>
      <c r="AP970" s="75"/>
      <c r="AQ970" s="75"/>
      <c r="AR970" s="75"/>
      <c r="AS970" s="75"/>
      <c r="AT970" s="75"/>
    </row>
    <row r="971" ht="22.5" customHeight="1">
      <c r="A971" s="219"/>
      <c r="B971" s="219"/>
      <c r="C971" s="219"/>
      <c r="D971" s="219"/>
      <c r="E971" s="219"/>
      <c r="F971" s="219"/>
      <c r="G971" s="219"/>
      <c r="H971" s="219"/>
      <c r="I971" s="249"/>
      <c r="J971" s="243"/>
      <c r="K971" s="219"/>
      <c r="L971" s="244"/>
      <c r="M971" s="219"/>
      <c r="N971" s="219"/>
      <c r="O971" s="219"/>
      <c r="P971" s="244"/>
      <c r="Q971" s="219"/>
      <c r="R971" s="302"/>
      <c r="S971" s="219"/>
      <c r="T971" s="219"/>
      <c r="U971" s="219"/>
      <c r="V971" s="303"/>
      <c r="W971" s="247"/>
      <c r="X971" s="245"/>
      <c r="Y971" s="245"/>
      <c r="Z971" s="245"/>
      <c r="AA971" s="245"/>
      <c r="AB971" s="245"/>
      <c r="AC971" s="249"/>
      <c r="AD971" s="249"/>
      <c r="AE971" s="249"/>
      <c r="AF971" s="8"/>
      <c r="AG971" s="8"/>
      <c r="AH971" s="72"/>
      <c r="AI971" s="8"/>
      <c r="AJ971" s="251"/>
      <c r="AK971" s="23"/>
      <c r="AL971" s="75"/>
      <c r="AM971" s="75" t="str">
        <f t="shared" si="141"/>
        <v/>
      </c>
      <c r="AN971" s="75"/>
      <c r="AO971" s="75"/>
      <c r="AP971" s="75"/>
      <c r="AQ971" s="75"/>
      <c r="AR971" s="75"/>
      <c r="AS971" s="75"/>
      <c r="AT971" s="75"/>
    </row>
    <row r="972" ht="22.5" customHeight="1">
      <c r="A972" s="219"/>
      <c r="B972" s="219"/>
      <c r="C972" s="219"/>
      <c r="D972" s="219"/>
      <c r="E972" s="219"/>
      <c r="F972" s="219"/>
      <c r="G972" s="219"/>
      <c r="H972" s="219"/>
      <c r="I972" s="249"/>
      <c r="J972" s="243"/>
      <c r="K972" s="219"/>
      <c r="L972" s="244"/>
      <c r="M972" s="219"/>
      <c r="N972" s="219"/>
      <c r="O972" s="219"/>
      <c r="P972" s="244"/>
      <c r="Q972" s="219"/>
      <c r="R972" s="302"/>
      <c r="S972" s="219"/>
      <c r="T972" s="219"/>
      <c r="U972" s="219"/>
      <c r="V972" s="303"/>
      <c r="W972" s="247"/>
      <c r="X972" s="245"/>
      <c r="Y972" s="245"/>
      <c r="Z972" s="245"/>
      <c r="AA972" s="245"/>
      <c r="AB972" s="245"/>
      <c r="AC972" s="249"/>
      <c r="AD972" s="249"/>
      <c r="AE972" s="249"/>
      <c r="AF972" s="8"/>
      <c r="AG972" s="8"/>
      <c r="AH972" s="72"/>
      <c r="AI972" s="8"/>
      <c r="AJ972" s="251"/>
      <c r="AK972" s="23"/>
      <c r="AL972" s="75"/>
      <c r="AM972" s="75" t="str">
        <f t="shared" si="141"/>
        <v/>
      </c>
      <c r="AN972" s="75"/>
      <c r="AO972" s="75"/>
      <c r="AP972" s="75"/>
      <c r="AQ972" s="75"/>
      <c r="AR972" s="75"/>
      <c r="AS972" s="75"/>
      <c r="AT972" s="75"/>
    </row>
    <row r="973" ht="22.5" customHeight="1">
      <c r="A973" s="219"/>
      <c r="B973" s="219"/>
      <c r="C973" s="219"/>
      <c r="D973" s="219"/>
      <c r="E973" s="219"/>
      <c r="F973" s="219"/>
      <c r="G973" s="219"/>
      <c r="H973" s="219"/>
      <c r="I973" s="249"/>
      <c r="J973" s="243"/>
      <c r="K973" s="219"/>
      <c r="L973" s="244"/>
      <c r="M973" s="219"/>
      <c r="N973" s="219"/>
      <c r="O973" s="219"/>
      <c r="P973" s="244"/>
      <c r="Q973" s="219"/>
      <c r="R973" s="302"/>
      <c r="S973" s="219"/>
      <c r="T973" s="219"/>
      <c r="U973" s="219"/>
      <c r="V973" s="303"/>
      <c r="W973" s="247"/>
      <c r="X973" s="245"/>
      <c r="Y973" s="245"/>
      <c r="Z973" s="245"/>
      <c r="AA973" s="245"/>
      <c r="AB973" s="245"/>
      <c r="AC973" s="249"/>
      <c r="AD973" s="249"/>
      <c r="AE973" s="249"/>
      <c r="AF973" s="8"/>
      <c r="AG973" s="8"/>
      <c r="AH973" s="72"/>
      <c r="AI973" s="8"/>
      <c r="AJ973" s="251"/>
      <c r="AK973" s="23"/>
      <c r="AL973" s="75"/>
      <c r="AM973" s="75" t="str">
        <f t="shared" si="141"/>
        <v/>
      </c>
      <c r="AN973" s="75"/>
      <c r="AO973" s="75"/>
      <c r="AP973" s="75"/>
      <c r="AQ973" s="75"/>
      <c r="AR973" s="75"/>
      <c r="AS973" s="75"/>
      <c r="AT973" s="75"/>
    </row>
    <row r="974" ht="22.5" customHeight="1">
      <c r="A974" s="219"/>
      <c r="B974" s="219"/>
      <c r="C974" s="219"/>
      <c r="D974" s="219"/>
      <c r="E974" s="219"/>
      <c r="F974" s="219"/>
      <c r="G974" s="219"/>
      <c r="H974" s="219"/>
      <c r="I974" s="249"/>
      <c r="J974" s="243"/>
      <c r="K974" s="219"/>
      <c r="L974" s="244"/>
      <c r="M974" s="219"/>
      <c r="N974" s="219"/>
      <c r="O974" s="219"/>
      <c r="P974" s="244"/>
      <c r="Q974" s="219"/>
      <c r="R974" s="302"/>
      <c r="S974" s="219"/>
      <c r="T974" s="219"/>
      <c r="U974" s="219"/>
      <c r="V974" s="303"/>
      <c r="W974" s="247"/>
      <c r="X974" s="245"/>
      <c r="Y974" s="245"/>
      <c r="Z974" s="245"/>
      <c r="AA974" s="245"/>
      <c r="AB974" s="245"/>
      <c r="AC974" s="249"/>
      <c r="AD974" s="249"/>
      <c r="AE974" s="249"/>
      <c r="AF974" s="8"/>
      <c r="AG974" s="8"/>
      <c r="AH974" s="72"/>
      <c r="AI974" s="8"/>
      <c r="AJ974" s="251"/>
      <c r="AK974" s="23"/>
      <c r="AL974" s="75"/>
      <c r="AM974" s="75" t="str">
        <f t="shared" si="141"/>
        <v/>
      </c>
      <c r="AN974" s="75"/>
      <c r="AO974" s="75"/>
      <c r="AP974" s="75"/>
      <c r="AQ974" s="75"/>
      <c r="AR974" s="75"/>
      <c r="AS974" s="75"/>
      <c r="AT974" s="75"/>
    </row>
    <row r="975" ht="22.5" customHeight="1">
      <c r="A975" s="219"/>
      <c r="B975" s="219"/>
      <c r="C975" s="219"/>
      <c r="D975" s="219"/>
      <c r="E975" s="219"/>
      <c r="F975" s="219"/>
      <c r="G975" s="219"/>
      <c r="H975" s="219"/>
      <c r="I975" s="249"/>
      <c r="J975" s="243"/>
      <c r="K975" s="219"/>
      <c r="L975" s="244"/>
      <c r="M975" s="219"/>
      <c r="N975" s="219"/>
      <c r="O975" s="219"/>
      <c r="P975" s="244"/>
      <c r="Q975" s="219"/>
      <c r="R975" s="302"/>
      <c r="S975" s="219"/>
      <c r="T975" s="219"/>
      <c r="U975" s="219"/>
      <c r="V975" s="303"/>
      <c r="W975" s="247"/>
      <c r="X975" s="245"/>
      <c r="Y975" s="245"/>
      <c r="Z975" s="245"/>
      <c r="AA975" s="245"/>
      <c r="AB975" s="245"/>
      <c r="AC975" s="249"/>
      <c r="AD975" s="249"/>
      <c r="AE975" s="249"/>
      <c r="AF975" s="8"/>
      <c r="AG975" s="8"/>
      <c r="AH975" s="72"/>
      <c r="AI975" s="8"/>
      <c r="AJ975" s="251"/>
      <c r="AK975" s="23"/>
      <c r="AL975" s="75"/>
      <c r="AM975" s="75" t="str">
        <f t="shared" si="141"/>
        <v/>
      </c>
      <c r="AN975" s="75"/>
      <c r="AO975" s="75"/>
      <c r="AP975" s="75"/>
      <c r="AQ975" s="75"/>
      <c r="AR975" s="75"/>
      <c r="AS975" s="75"/>
      <c r="AT975" s="75"/>
    </row>
    <row r="976" ht="22.5" customHeight="1">
      <c r="A976" s="219"/>
      <c r="B976" s="219"/>
      <c r="C976" s="219"/>
      <c r="D976" s="219"/>
      <c r="E976" s="219"/>
      <c r="F976" s="219"/>
      <c r="G976" s="219"/>
      <c r="H976" s="219"/>
      <c r="I976" s="249"/>
      <c r="J976" s="243"/>
      <c r="K976" s="219"/>
      <c r="L976" s="244"/>
      <c r="M976" s="219"/>
      <c r="N976" s="219"/>
      <c r="O976" s="219"/>
      <c r="P976" s="244"/>
      <c r="Q976" s="219"/>
      <c r="R976" s="302"/>
      <c r="S976" s="219"/>
      <c r="T976" s="219"/>
      <c r="U976" s="219"/>
      <c r="V976" s="303"/>
      <c r="W976" s="247"/>
      <c r="X976" s="245"/>
      <c r="Y976" s="245"/>
      <c r="Z976" s="245"/>
      <c r="AA976" s="245"/>
      <c r="AB976" s="245"/>
      <c r="AC976" s="249"/>
      <c r="AD976" s="249"/>
      <c r="AE976" s="249"/>
      <c r="AF976" s="8"/>
      <c r="AG976" s="8"/>
      <c r="AH976" s="72"/>
      <c r="AI976" s="8"/>
      <c r="AJ976" s="251"/>
      <c r="AK976" s="23"/>
      <c r="AL976" s="75"/>
      <c r="AM976" s="75" t="str">
        <f t="shared" si="141"/>
        <v/>
      </c>
      <c r="AN976" s="75"/>
      <c r="AO976" s="75"/>
      <c r="AP976" s="75"/>
      <c r="AQ976" s="75"/>
      <c r="AR976" s="75"/>
      <c r="AS976" s="75"/>
      <c r="AT976" s="75"/>
    </row>
    <row r="977" ht="22.5" customHeight="1">
      <c r="A977" s="219"/>
      <c r="B977" s="219"/>
      <c r="C977" s="219"/>
      <c r="D977" s="219"/>
      <c r="E977" s="219"/>
      <c r="F977" s="219"/>
      <c r="G977" s="219"/>
      <c r="H977" s="219"/>
      <c r="I977" s="249"/>
      <c r="J977" s="243"/>
      <c r="K977" s="219"/>
      <c r="L977" s="244"/>
      <c r="M977" s="219"/>
      <c r="N977" s="219"/>
      <c r="O977" s="219"/>
      <c r="P977" s="244"/>
      <c r="Q977" s="219"/>
      <c r="R977" s="302"/>
      <c r="S977" s="219"/>
      <c r="T977" s="219"/>
      <c r="U977" s="219"/>
      <c r="V977" s="303"/>
      <c r="W977" s="247"/>
      <c r="X977" s="245"/>
      <c r="Y977" s="245"/>
      <c r="Z977" s="245"/>
      <c r="AA977" s="245"/>
      <c r="AB977" s="245"/>
      <c r="AC977" s="249"/>
      <c r="AD977" s="249"/>
      <c r="AE977" s="249"/>
      <c r="AF977" s="8"/>
      <c r="AG977" s="8"/>
      <c r="AH977" s="72"/>
      <c r="AI977" s="8"/>
      <c r="AJ977" s="251"/>
      <c r="AK977" s="23"/>
      <c r="AL977" s="75"/>
      <c r="AM977" s="75" t="str">
        <f t="shared" si="141"/>
        <v/>
      </c>
      <c r="AN977" s="75"/>
      <c r="AO977" s="75"/>
      <c r="AP977" s="75"/>
      <c r="AQ977" s="75"/>
      <c r="AR977" s="75"/>
      <c r="AS977" s="75"/>
      <c r="AT977" s="75"/>
    </row>
    <row r="978" ht="22.5" customHeight="1">
      <c r="A978" s="219"/>
      <c r="B978" s="219"/>
      <c r="C978" s="219"/>
      <c r="D978" s="219"/>
      <c r="E978" s="219"/>
      <c r="F978" s="219"/>
      <c r="G978" s="219"/>
      <c r="H978" s="219"/>
      <c r="I978" s="249"/>
      <c r="J978" s="243"/>
      <c r="K978" s="219"/>
      <c r="L978" s="244"/>
      <c r="M978" s="219"/>
      <c r="N978" s="219"/>
      <c r="O978" s="219"/>
      <c r="P978" s="244"/>
      <c r="Q978" s="219"/>
      <c r="R978" s="302"/>
      <c r="S978" s="219"/>
      <c r="T978" s="219"/>
      <c r="U978" s="219"/>
      <c r="V978" s="303"/>
      <c r="W978" s="247"/>
      <c r="X978" s="245"/>
      <c r="Y978" s="245"/>
      <c r="Z978" s="245"/>
      <c r="AA978" s="245"/>
      <c r="AB978" s="245"/>
      <c r="AC978" s="249"/>
      <c r="AD978" s="249"/>
      <c r="AE978" s="249"/>
      <c r="AF978" s="8"/>
      <c r="AG978" s="8"/>
      <c r="AH978" s="72"/>
      <c r="AI978" s="8"/>
      <c r="AJ978" s="251"/>
      <c r="AK978" s="23"/>
      <c r="AL978" s="75"/>
      <c r="AM978" s="75" t="str">
        <f t="shared" si="141"/>
        <v/>
      </c>
      <c r="AN978" s="75"/>
      <c r="AO978" s="75"/>
      <c r="AP978" s="75"/>
      <c r="AQ978" s="75"/>
      <c r="AR978" s="75"/>
      <c r="AS978" s="75"/>
      <c r="AT978" s="75"/>
    </row>
    <row r="979" ht="22.5" customHeight="1">
      <c r="A979" s="219"/>
      <c r="B979" s="219"/>
      <c r="C979" s="219"/>
      <c r="D979" s="219"/>
      <c r="E979" s="219"/>
      <c r="F979" s="219"/>
      <c r="G979" s="219"/>
      <c r="H979" s="219"/>
      <c r="I979" s="249"/>
      <c r="J979" s="243"/>
      <c r="K979" s="219"/>
      <c r="L979" s="244"/>
      <c r="M979" s="219"/>
      <c r="N979" s="219"/>
      <c r="O979" s="219"/>
      <c r="P979" s="244"/>
      <c r="Q979" s="219"/>
      <c r="R979" s="302"/>
      <c r="S979" s="219"/>
      <c r="T979" s="219"/>
      <c r="U979" s="219"/>
      <c r="V979" s="303"/>
      <c r="W979" s="247"/>
      <c r="X979" s="245"/>
      <c r="Y979" s="245"/>
      <c r="Z979" s="245"/>
      <c r="AA979" s="245"/>
      <c r="AB979" s="245"/>
      <c r="AC979" s="249"/>
      <c r="AD979" s="249"/>
      <c r="AE979" s="249"/>
      <c r="AF979" s="8"/>
      <c r="AG979" s="8"/>
      <c r="AH979" s="72"/>
      <c r="AI979" s="8"/>
      <c r="AJ979" s="251"/>
      <c r="AK979" s="23"/>
      <c r="AL979" s="75"/>
      <c r="AM979" s="75" t="str">
        <f t="shared" si="141"/>
        <v/>
      </c>
      <c r="AN979" s="75"/>
      <c r="AO979" s="75"/>
      <c r="AP979" s="75"/>
      <c r="AQ979" s="75"/>
      <c r="AR979" s="75"/>
      <c r="AS979" s="75"/>
      <c r="AT979" s="75"/>
    </row>
    <row r="980" ht="22.5" customHeight="1">
      <c r="A980" s="219"/>
      <c r="B980" s="219"/>
      <c r="C980" s="219"/>
      <c r="D980" s="219"/>
      <c r="E980" s="219"/>
      <c r="F980" s="219"/>
      <c r="G980" s="219"/>
      <c r="H980" s="219"/>
      <c r="I980" s="249"/>
      <c r="J980" s="243"/>
      <c r="K980" s="219"/>
      <c r="L980" s="244"/>
      <c r="M980" s="219"/>
      <c r="N980" s="219"/>
      <c r="O980" s="219"/>
      <c r="P980" s="244"/>
      <c r="Q980" s="219"/>
      <c r="R980" s="302"/>
      <c r="S980" s="219"/>
      <c r="T980" s="219"/>
      <c r="U980" s="219"/>
      <c r="V980" s="303"/>
      <c r="W980" s="247"/>
      <c r="X980" s="245"/>
      <c r="Y980" s="245"/>
      <c r="Z980" s="245"/>
      <c r="AA980" s="245"/>
      <c r="AB980" s="245"/>
      <c r="AC980" s="249"/>
      <c r="AD980" s="249"/>
      <c r="AE980" s="249"/>
      <c r="AF980" s="8"/>
      <c r="AG980" s="8"/>
      <c r="AH980" s="72"/>
      <c r="AI980" s="8"/>
      <c r="AJ980" s="251"/>
      <c r="AK980" s="23"/>
      <c r="AL980" s="75"/>
      <c r="AM980" s="75" t="str">
        <f t="shared" si="141"/>
        <v/>
      </c>
      <c r="AN980" s="75"/>
      <c r="AO980" s="75"/>
      <c r="AP980" s="75"/>
      <c r="AQ980" s="75"/>
      <c r="AR980" s="75"/>
      <c r="AS980" s="75"/>
      <c r="AT980" s="75"/>
    </row>
    <row r="981" ht="22.5" customHeight="1">
      <c r="A981" s="219"/>
      <c r="B981" s="219"/>
      <c r="C981" s="219"/>
      <c r="D981" s="219"/>
      <c r="E981" s="219"/>
      <c r="F981" s="219"/>
      <c r="G981" s="219"/>
      <c r="H981" s="219"/>
      <c r="I981" s="249"/>
      <c r="J981" s="243"/>
      <c r="K981" s="219"/>
      <c r="L981" s="244"/>
      <c r="M981" s="219"/>
      <c r="N981" s="219"/>
      <c r="O981" s="219"/>
      <c r="P981" s="244"/>
      <c r="Q981" s="219"/>
      <c r="R981" s="302"/>
      <c r="S981" s="219"/>
      <c r="T981" s="219"/>
      <c r="U981" s="219"/>
      <c r="V981" s="303"/>
      <c r="W981" s="247"/>
      <c r="X981" s="245"/>
      <c r="Y981" s="245"/>
      <c r="Z981" s="245"/>
      <c r="AA981" s="245"/>
      <c r="AB981" s="245"/>
      <c r="AC981" s="249"/>
      <c r="AD981" s="249"/>
      <c r="AE981" s="249"/>
      <c r="AF981" s="8"/>
      <c r="AG981" s="8"/>
      <c r="AH981" s="72"/>
      <c r="AI981" s="8"/>
      <c r="AJ981" s="251"/>
      <c r="AK981" s="23"/>
      <c r="AL981" s="75"/>
      <c r="AM981" s="75" t="str">
        <f t="shared" si="141"/>
        <v/>
      </c>
      <c r="AN981" s="75"/>
      <c r="AO981" s="75"/>
      <c r="AP981" s="75"/>
      <c r="AQ981" s="75"/>
      <c r="AR981" s="75"/>
      <c r="AS981" s="75"/>
      <c r="AT981" s="75"/>
    </row>
    <row r="982" ht="22.5" customHeight="1">
      <c r="A982" s="219"/>
      <c r="B982" s="219"/>
      <c r="C982" s="219"/>
      <c r="D982" s="219"/>
      <c r="E982" s="219"/>
      <c r="F982" s="219"/>
      <c r="G982" s="219"/>
      <c r="H982" s="219"/>
      <c r="I982" s="249"/>
      <c r="J982" s="243"/>
      <c r="K982" s="219"/>
      <c r="L982" s="244"/>
      <c r="M982" s="219"/>
      <c r="N982" s="219"/>
      <c r="O982" s="219"/>
      <c r="P982" s="244"/>
      <c r="Q982" s="219"/>
      <c r="R982" s="302"/>
      <c r="S982" s="219"/>
      <c r="T982" s="219"/>
      <c r="U982" s="219"/>
      <c r="V982" s="303"/>
      <c r="W982" s="247"/>
      <c r="X982" s="245"/>
      <c r="Y982" s="245"/>
      <c r="Z982" s="245"/>
      <c r="AA982" s="245"/>
      <c r="AB982" s="245"/>
      <c r="AC982" s="249"/>
      <c r="AD982" s="249"/>
      <c r="AE982" s="249"/>
      <c r="AF982" s="8"/>
      <c r="AG982" s="8"/>
      <c r="AH982" s="72"/>
      <c r="AI982" s="8"/>
      <c r="AJ982" s="251"/>
      <c r="AK982" s="23"/>
      <c r="AL982" s="75"/>
      <c r="AM982" s="75" t="str">
        <f t="shared" si="141"/>
        <v/>
      </c>
      <c r="AN982" s="75"/>
      <c r="AO982" s="75"/>
      <c r="AP982" s="75"/>
      <c r="AQ982" s="75"/>
      <c r="AR982" s="75"/>
      <c r="AS982" s="75"/>
      <c r="AT982" s="75"/>
    </row>
    <row r="983" ht="22.5" customHeight="1">
      <c r="A983" s="219"/>
      <c r="B983" s="219"/>
      <c r="C983" s="219"/>
      <c r="D983" s="219"/>
      <c r="E983" s="219"/>
      <c r="F983" s="219"/>
      <c r="G983" s="219"/>
      <c r="H983" s="219"/>
      <c r="I983" s="249"/>
      <c r="J983" s="243"/>
      <c r="K983" s="219"/>
      <c r="L983" s="244"/>
      <c r="M983" s="219"/>
      <c r="N983" s="219"/>
      <c r="O983" s="219"/>
      <c r="P983" s="244"/>
      <c r="Q983" s="219"/>
      <c r="R983" s="302"/>
      <c r="S983" s="219"/>
      <c r="T983" s="219"/>
      <c r="U983" s="219"/>
      <c r="V983" s="303"/>
      <c r="W983" s="247"/>
      <c r="X983" s="245"/>
      <c r="Y983" s="245"/>
      <c r="Z983" s="245"/>
      <c r="AA983" s="245"/>
      <c r="AB983" s="245"/>
      <c r="AC983" s="249"/>
      <c r="AD983" s="249"/>
      <c r="AE983" s="249"/>
      <c r="AF983" s="8"/>
      <c r="AG983" s="8"/>
      <c r="AH983" s="72"/>
      <c r="AI983" s="8"/>
      <c r="AJ983" s="251"/>
      <c r="AK983" s="23"/>
      <c r="AL983" s="75"/>
      <c r="AM983" s="75" t="str">
        <f t="shared" si="141"/>
        <v/>
      </c>
      <c r="AN983" s="75"/>
      <c r="AO983" s="75"/>
      <c r="AP983" s="75"/>
      <c r="AQ983" s="75"/>
      <c r="AR983" s="75"/>
      <c r="AS983" s="75"/>
      <c r="AT983" s="75"/>
    </row>
    <row r="984" ht="22.5" customHeight="1">
      <c r="A984" s="219"/>
      <c r="B984" s="219"/>
      <c r="C984" s="219"/>
      <c r="D984" s="219"/>
      <c r="E984" s="219"/>
      <c r="F984" s="219"/>
      <c r="G984" s="219"/>
      <c r="H984" s="219"/>
      <c r="I984" s="249"/>
      <c r="J984" s="243"/>
      <c r="K984" s="219"/>
      <c r="L984" s="244"/>
      <c r="M984" s="219"/>
      <c r="N984" s="219"/>
      <c r="O984" s="219"/>
      <c r="P984" s="244"/>
      <c r="Q984" s="219"/>
      <c r="R984" s="302"/>
      <c r="S984" s="219"/>
      <c r="T984" s="219"/>
      <c r="U984" s="219"/>
      <c r="V984" s="303"/>
      <c r="W984" s="247"/>
      <c r="X984" s="245"/>
      <c r="Y984" s="245"/>
      <c r="Z984" s="245"/>
      <c r="AA984" s="245"/>
      <c r="AB984" s="245"/>
      <c r="AC984" s="249"/>
      <c r="AD984" s="249"/>
      <c r="AE984" s="249"/>
      <c r="AF984" s="8"/>
      <c r="AG984" s="8"/>
      <c r="AH984" s="72"/>
      <c r="AI984" s="8"/>
      <c r="AJ984" s="251"/>
      <c r="AK984" s="23"/>
      <c r="AL984" s="75"/>
      <c r="AM984" s="75" t="str">
        <f t="shared" si="141"/>
        <v/>
      </c>
      <c r="AN984" s="75"/>
      <c r="AO984" s="75"/>
      <c r="AP984" s="75"/>
      <c r="AQ984" s="75"/>
      <c r="AR984" s="75"/>
      <c r="AS984" s="75"/>
      <c r="AT984" s="75"/>
    </row>
    <row r="985" ht="22.5" customHeight="1">
      <c r="A985" s="219"/>
      <c r="B985" s="219"/>
      <c r="C985" s="219"/>
      <c r="D985" s="219"/>
      <c r="E985" s="219"/>
      <c r="F985" s="219"/>
      <c r="G985" s="219"/>
      <c r="H985" s="219"/>
      <c r="I985" s="249"/>
      <c r="J985" s="243"/>
      <c r="K985" s="219"/>
      <c r="L985" s="244"/>
      <c r="M985" s="219"/>
      <c r="N985" s="219"/>
      <c r="O985" s="219"/>
      <c r="P985" s="244"/>
      <c r="Q985" s="219"/>
      <c r="R985" s="302"/>
      <c r="S985" s="219"/>
      <c r="T985" s="219"/>
      <c r="U985" s="219"/>
      <c r="V985" s="303"/>
      <c r="W985" s="247"/>
      <c r="X985" s="245"/>
      <c r="Y985" s="245"/>
      <c r="Z985" s="245"/>
      <c r="AA985" s="245"/>
      <c r="AB985" s="245"/>
      <c r="AC985" s="249"/>
      <c r="AD985" s="249"/>
      <c r="AE985" s="249"/>
      <c r="AF985" s="8"/>
      <c r="AG985" s="8"/>
      <c r="AH985" s="72"/>
      <c r="AI985" s="8"/>
      <c r="AJ985" s="251"/>
      <c r="AK985" s="23"/>
      <c r="AL985" s="75"/>
      <c r="AM985" s="75" t="str">
        <f t="shared" si="141"/>
        <v/>
      </c>
      <c r="AN985" s="75"/>
      <c r="AO985" s="75"/>
      <c r="AP985" s="75"/>
      <c r="AQ985" s="75"/>
      <c r="AR985" s="75"/>
      <c r="AS985" s="75"/>
      <c r="AT985" s="75"/>
    </row>
    <row r="986" ht="22.5" customHeight="1">
      <c r="A986" s="219"/>
      <c r="B986" s="219"/>
      <c r="C986" s="219"/>
      <c r="D986" s="219"/>
      <c r="E986" s="219"/>
      <c r="F986" s="219"/>
      <c r="G986" s="219"/>
      <c r="H986" s="219"/>
      <c r="I986" s="249"/>
      <c r="J986" s="243"/>
      <c r="K986" s="219"/>
      <c r="L986" s="244"/>
      <c r="M986" s="219"/>
      <c r="N986" s="219"/>
      <c r="O986" s="219"/>
      <c r="P986" s="244"/>
      <c r="Q986" s="219"/>
      <c r="R986" s="302"/>
      <c r="S986" s="219"/>
      <c r="T986" s="219"/>
      <c r="U986" s="219"/>
      <c r="V986" s="303"/>
      <c r="W986" s="247"/>
      <c r="X986" s="245"/>
      <c r="Y986" s="245"/>
      <c r="Z986" s="245"/>
      <c r="AA986" s="245"/>
      <c r="AB986" s="245"/>
      <c r="AC986" s="249"/>
      <c r="AD986" s="249"/>
      <c r="AE986" s="249"/>
      <c r="AF986" s="8"/>
      <c r="AG986" s="8"/>
      <c r="AH986" s="72"/>
      <c r="AI986" s="8"/>
      <c r="AJ986" s="251"/>
      <c r="AK986" s="23"/>
      <c r="AL986" s="75"/>
      <c r="AM986" s="75" t="str">
        <f t="shared" si="141"/>
        <v/>
      </c>
      <c r="AN986" s="75"/>
      <c r="AO986" s="75"/>
      <c r="AP986" s="75"/>
      <c r="AQ986" s="75"/>
      <c r="AR986" s="75"/>
      <c r="AS986" s="75"/>
      <c r="AT986" s="75"/>
    </row>
    <row r="987" ht="22.5" customHeight="1">
      <c r="A987" s="219"/>
      <c r="B987" s="219"/>
      <c r="C987" s="219"/>
      <c r="D987" s="219"/>
      <c r="E987" s="219"/>
      <c r="F987" s="219"/>
      <c r="G987" s="219"/>
      <c r="H987" s="219"/>
      <c r="I987" s="249"/>
      <c r="J987" s="243"/>
      <c r="K987" s="219"/>
      <c r="L987" s="244"/>
      <c r="M987" s="219"/>
      <c r="N987" s="219"/>
      <c r="O987" s="219"/>
      <c r="P987" s="244"/>
      <c r="Q987" s="219"/>
      <c r="R987" s="302"/>
      <c r="S987" s="219"/>
      <c r="T987" s="219"/>
      <c r="U987" s="219"/>
      <c r="V987" s="303"/>
      <c r="W987" s="247"/>
      <c r="X987" s="245"/>
      <c r="Y987" s="245"/>
      <c r="Z987" s="245"/>
      <c r="AA987" s="245"/>
      <c r="AB987" s="245"/>
      <c r="AC987" s="249"/>
      <c r="AD987" s="249"/>
      <c r="AE987" s="249"/>
      <c r="AF987" s="8"/>
      <c r="AG987" s="8"/>
      <c r="AH987" s="72"/>
      <c r="AI987" s="8"/>
      <c r="AJ987" s="251"/>
      <c r="AK987" s="23"/>
      <c r="AL987" s="75"/>
      <c r="AM987" s="75" t="str">
        <f t="shared" si="141"/>
        <v/>
      </c>
      <c r="AN987" s="75"/>
      <c r="AO987" s="75"/>
      <c r="AP987" s="75"/>
      <c r="AQ987" s="75"/>
      <c r="AR987" s="75"/>
      <c r="AS987" s="75"/>
      <c r="AT987" s="75"/>
    </row>
    <row r="988" ht="22.5" customHeight="1">
      <c r="A988" s="219"/>
      <c r="B988" s="219"/>
      <c r="C988" s="219"/>
      <c r="D988" s="219"/>
      <c r="E988" s="219"/>
      <c r="F988" s="219"/>
      <c r="G988" s="219"/>
      <c r="H988" s="219"/>
      <c r="I988" s="249"/>
      <c r="J988" s="243"/>
      <c r="K988" s="219"/>
      <c r="L988" s="244"/>
      <c r="M988" s="219"/>
      <c r="N988" s="219"/>
      <c r="O988" s="219"/>
      <c r="P988" s="244"/>
      <c r="Q988" s="219"/>
      <c r="R988" s="302"/>
      <c r="S988" s="219"/>
      <c r="T988" s="219"/>
      <c r="U988" s="219"/>
      <c r="V988" s="303"/>
      <c r="W988" s="247"/>
      <c r="X988" s="245"/>
      <c r="Y988" s="245"/>
      <c r="Z988" s="245"/>
      <c r="AA988" s="245"/>
      <c r="AB988" s="245"/>
      <c r="AC988" s="249"/>
      <c r="AD988" s="249"/>
      <c r="AE988" s="249"/>
      <c r="AF988" s="8"/>
      <c r="AG988" s="8"/>
      <c r="AH988" s="72"/>
      <c r="AI988" s="8"/>
      <c r="AJ988" s="251"/>
      <c r="AK988" s="23"/>
      <c r="AL988" s="75"/>
      <c r="AM988" s="75" t="str">
        <f t="shared" si="141"/>
        <v/>
      </c>
      <c r="AN988" s="75"/>
      <c r="AO988" s="75"/>
      <c r="AP988" s="75"/>
      <c r="AQ988" s="75"/>
      <c r="AR988" s="75"/>
      <c r="AS988" s="75"/>
      <c r="AT988" s="75"/>
    </row>
    <row r="989" ht="22.5" customHeight="1">
      <c r="A989" s="219"/>
      <c r="B989" s="219"/>
      <c r="C989" s="219"/>
      <c r="D989" s="219"/>
      <c r="E989" s="219"/>
      <c r="F989" s="219"/>
      <c r="G989" s="219"/>
      <c r="H989" s="219"/>
      <c r="I989" s="249"/>
      <c r="J989" s="243"/>
      <c r="K989" s="219"/>
      <c r="L989" s="244"/>
      <c r="M989" s="219"/>
      <c r="N989" s="219"/>
      <c r="O989" s="219"/>
      <c r="P989" s="244"/>
      <c r="Q989" s="219"/>
      <c r="R989" s="302"/>
      <c r="S989" s="219"/>
      <c r="T989" s="219"/>
      <c r="U989" s="219"/>
      <c r="V989" s="303"/>
      <c r="W989" s="247"/>
      <c r="X989" s="245"/>
      <c r="Y989" s="245"/>
      <c r="Z989" s="245"/>
      <c r="AA989" s="245"/>
      <c r="AB989" s="245"/>
      <c r="AC989" s="249"/>
      <c r="AD989" s="249"/>
      <c r="AE989" s="249"/>
      <c r="AF989" s="8"/>
      <c r="AG989" s="8"/>
      <c r="AH989" s="72"/>
      <c r="AI989" s="8"/>
      <c r="AJ989" s="251"/>
      <c r="AK989" s="23"/>
      <c r="AL989" s="75"/>
      <c r="AM989" s="75" t="str">
        <f t="shared" si="141"/>
        <v/>
      </c>
      <c r="AN989" s="75"/>
      <c r="AO989" s="75"/>
      <c r="AP989" s="75"/>
      <c r="AQ989" s="75"/>
      <c r="AR989" s="75"/>
      <c r="AS989" s="75"/>
      <c r="AT989" s="75"/>
    </row>
    <row r="990" ht="22.5" customHeight="1">
      <c r="A990" s="219"/>
      <c r="B990" s="219"/>
      <c r="C990" s="219"/>
      <c r="D990" s="219"/>
      <c r="E990" s="219"/>
      <c r="F990" s="219"/>
      <c r="G990" s="219"/>
      <c r="H990" s="219"/>
      <c r="I990" s="249"/>
      <c r="J990" s="243"/>
      <c r="K990" s="219"/>
      <c r="L990" s="244"/>
      <c r="M990" s="219"/>
      <c r="N990" s="219"/>
      <c r="O990" s="219"/>
      <c r="P990" s="244"/>
      <c r="Q990" s="219"/>
      <c r="R990" s="302"/>
      <c r="S990" s="219"/>
      <c r="T990" s="219"/>
      <c r="U990" s="219"/>
      <c r="V990" s="303"/>
      <c r="W990" s="247"/>
      <c r="X990" s="245"/>
      <c r="Y990" s="245"/>
      <c r="Z990" s="245"/>
      <c r="AA990" s="245"/>
      <c r="AB990" s="245"/>
      <c r="AC990" s="249"/>
      <c r="AD990" s="249"/>
      <c r="AE990" s="249"/>
      <c r="AF990" s="8"/>
      <c r="AG990" s="8"/>
      <c r="AH990" s="72"/>
      <c r="AI990" s="8"/>
      <c r="AJ990" s="251"/>
      <c r="AK990" s="23"/>
      <c r="AL990" s="75"/>
      <c r="AM990" s="75" t="str">
        <f t="shared" si="141"/>
        <v/>
      </c>
      <c r="AN990" s="75"/>
      <c r="AO990" s="75"/>
      <c r="AP990" s="75"/>
      <c r="AQ990" s="75"/>
      <c r="AR990" s="75"/>
      <c r="AS990" s="75"/>
      <c r="AT990" s="75"/>
    </row>
    <row r="991" ht="22.5" customHeight="1">
      <c r="A991" s="219"/>
      <c r="B991" s="219"/>
      <c r="C991" s="219"/>
      <c r="D991" s="219"/>
      <c r="E991" s="219"/>
      <c r="F991" s="219"/>
      <c r="G991" s="219"/>
      <c r="H991" s="219"/>
      <c r="I991" s="249"/>
      <c r="J991" s="243"/>
      <c r="K991" s="219"/>
      <c r="L991" s="244"/>
      <c r="M991" s="219"/>
      <c r="N991" s="219"/>
      <c r="O991" s="219"/>
      <c r="P991" s="244"/>
      <c r="Q991" s="219"/>
      <c r="R991" s="302"/>
      <c r="S991" s="219"/>
      <c r="T991" s="219"/>
      <c r="U991" s="219"/>
      <c r="V991" s="303"/>
      <c r="W991" s="247"/>
      <c r="X991" s="245"/>
      <c r="Y991" s="245"/>
      <c r="Z991" s="245"/>
      <c r="AA991" s="245"/>
      <c r="AB991" s="245"/>
      <c r="AC991" s="249"/>
      <c r="AD991" s="249"/>
      <c r="AE991" s="249"/>
      <c r="AF991" s="8"/>
      <c r="AG991" s="8"/>
      <c r="AH991" s="72"/>
      <c r="AI991" s="8"/>
      <c r="AJ991" s="251"/>
      <c r="AK991" s="23"/>
      <c r="AL991" s="75"/>
      <c r="AM991" s="75" t="str">
        <f t="shared" si="141"/>
        <v/>
      </c>
      <c r="AN991" s="75"/>
      <c r="AO991" s="75"/>
      <c r="AP991" s="75"/>
      <c r="AQ991" s="75"/>
      <c r="AR991" s="75"/>
      <c r="AS991" s="75"/>
      <c r="AT991" s="75"/>
    </row>
    <row r="992" ht="22.5" customHeight="1">
      <c r="A992" s="219"/>
      <c r="B992" s="219"/>
      <c r="C992" s="219"/>
      <c r="D992" s="219"/>
      <c r="E992" s="219"/>
      <c r="F992" s="219"/>
      <c r="G992" s="219"/>
      <c r="H992" s="219"/>
      <c r="I992" s="249"/>
      <c r="J992" s="243"/>
      <c r="K992" s="219"/>
      <c r="L992" s="244"/>
      <c r="M992" s="219"/>
      <c r="N992" s="219"/>
      <c r="O992" s="219"/>
      <c r="P992" s="244"/>
      <c r="Q992" s="219"/>
      <c r="R992" s="302"/>
      <c r="S992" s="219"/>
      <c r="T992" s="219"/>
      <c r="U992" s="219"/>
      <c r="V992" s="303"/>
      <c r="W992" s="247"/>
      <c r="X992" s="245"/>
      <c r="Y992" s="245"/>
      <c r="Z992" s="245"/>
      <c r="AA992" s="245"/>
      <c r="AB992" s="245"/>
      <c r="AC992" s="249"/>
      <c r="AD992" s="249"/>
      <c r="AE992" s="249"/>
      <c r="AF992" s="8"/>
      <c r="AG992" s="8"/>
      <c r="AH992" s="72"/>
      <c r="AI992" s="8"/>
      <c r="AJ992" s="251"/>
      <c r="AK992" s="23"/>
      <c r="AL992" s="75"/>
      <c r="AM992" s="75" t="str">
        <f t="shared" si="141"/>
        <v/>
      </c>
      <c r="AN992" s="75"/>
      <c r="AO992" s="75"/>
      <c r="AP992" s="75"/>
      <c r="AQ992" s="75"/>
      <c r="AR992" s="75"/>
      <c r="AS992" s="75"/>
      <c r="AT992" s="75"/>
    </row>
    <row r="993" ht="22.5" customHeight="1">
      <c r="A993" s="219"/>
      <c r="B993" s="219"/>
      <c r="C993" s="219"/>
      <c r="D993" s="219"/>
      <c r="E993" s="219"/>
      <c r="F993" s="219"/>
      <c r="G993" s="219"/>
      <c r="H993" s="219"/>
      <c r="I993" s="249"/>
      <c r="J993" s="243"/>
      <c r="K993" s="219"/>
      <c r="L993" s="244"/>
      <c r="M993" s="219"/>
      <c r="N993" s="219"/>
      <c r="O993" s="219"/>
      <c r="P993" s="244"/>
      <c r="Q993" s="219"/>
      <c r="R993" s="302"/>
      <c r="S993" s="219"/>
      <c r="T993" s="219"/>
      <c r="U993" s="219"/>
      <c r="V993" s="303"/>
      <c r="W993" s="247"/>
      <c r="X993" s="245"/>
      <c r="Y993" s="245"/>
      <c r="Z993" s="245"/>
      <c r="AA993" s="245"/>
      <c r="AB993" s="245"/>
      <c r="AC993" s="249"/>
      <c r="AD993" s="249"/>
      <c r="AE993" s="249"/>
      <c r="AF993" s="8"/>
      <c r="AG993" s="8"/>
      <c r="AH993" s="72"/>
      <c r="AI993" s="8"/>
      <c r="AJ993" s="251"/>
      <c r="AK993" s="23"/>
      <c r="AL993" s="75"/>
      <c r="AM993" s="75" t="str">
        <f t="shared" si="141"/>
        <v/>
      </c>
      <c r="AN993" s="75"/>
      <c r="AO993" s="75"/>
      <c r="AP993" s="75"/>
      <c r="AQ993" s="75"/>
      <c r="AR993" s="75"/>
      <c r="AS993" s="75"/>
      <c r="AT993" s="75"/>
    </row>
    <row r="994" ht="22.5" customHeight="1">
      <c r="A994" s="219"/>
      <c r="B994" s="219"/>
      <c r="C994" s="219"/>
      <c r="D994" s="219"/>
      <c r="E994" s="219"/>
      <c r="F994" s="219"/>
      <c r="G994" s="219"/>
      <c r="H994" s="219"/>
      <c r="I994" s="249"/>
      <c r="J994" s="243"/>
      <c r="K994" s="219"/>
      <c r="L994" s="244"/>
      <c r="M994" s="219"/>
      <c r="N994" s="219"/>
      <c r="O994" s="219"/>
      <c r="P994" s="244"/>
      <c r="Q994" s="219"/>
      <c r="R994" s="302"/>
      <c r="S994" s="219"/>
      <c r="T994" s="219"/>
      <c r="U994" s="219"/>
      <c r="V994" s="303"/>
      <c r="W994" s="247"/>
      <c r="X994" s="245"/>
      <c r="Y994" s="245"/>
      <c r="Z994" s="245"/>
      <c r="AA994" s="245"/>
      <c r="AB994" s="245"/>
      <c r="AC994" s="249"/>
      <c r="AD994" s="249"/>
      <c r="AE994" s="249"/>
      <c r="AF994" s="8"/>
      <c r="AG994" s="8"/>
      <c r="AH994" s="72"/>
      <c r="AI994" s="8"/>
      <c r="AJ994" s="251"/>
      <c r="AK994" s="23"/>
      <c r="AL994" s="75"/>
      <c r="AM994" s="75" t="str">
        <f t="shared" si="141"/>
        <v/>
      </c>
      <c r="AN994" s="75"/>
      <c r="AO994" s="75"/>
      <c r="AP994" s="75"/>
      <c r="AQ994" s="75"/>
      <c r="AR994" s="75"/>
      <c r="AS994" s="75"/>
      <c r="AT994" s="75"/>
    </row>
    <row r="995" ht="22.5" customHeight="1">
      <c r="A995" s="219"/>
      <c r="B995" s="219"/>
      <c r="C995" s="219"/>
      <c r="D995" s="219"/>
      <c r="E995" s="219"/>
      <c r="F995" s="219"/>
      <c r="G995" s="219"/>
      <c r="H995" s="219"/>
      <c r="I995" s="249"/>
      <c r="J995" s="243"/>
      <c r="K995" s="219"/>
      <c r="L995" s="244"/>
      <c r="M995" s="219"/>
      <c r="N995" s="219"/>
      <c r="O995" s="219"/>
      <c r="P995" s="244"/>
      <c r="Q995" s="219"/>
      <c r="R995" s="302"/>
      <c r="S995" s="219"/>
      <c r="T995" s="219"/>
      <c r="U995" s="219"/>
      <c r="V995" s="303"/>
      <c r="W995" s="247"/>
      <c r="X995" s="245"/>
      <c r="Y995" s="245"/>
      <c r="Z995" s="245"/>
      <c r="AA995" s="245"/>
      <c r="AB995" s="245"/>
      <c r="AC995" s="249"/>
      <c r="AD995" s="249"/>
      <c r="AE995" s="249"/>
      <c r="AF995" s="8"/>
      <c r="AG995" s="8"/>
      <c r="AH995" s="72"/>
      <c r="AI995" s="8"/>
      <c r="AJ995" s="251"/>
      <c r="AK995" s="23"/>
      <c r="AL995" s="75"/>
      <c r="AM995" s="75" t="str">
        <f t="shared" si="141"/>
        <v/>
      </c>
      <c r="AN995" s="75"/>
      <c r="AO995" s="75"/>
      <c r="AP995" s="75"/>
      <c r="AQ995" s="75"/>
      <c r="AR995" s="75"/>
      <c r="AS995" s="75"/>
      <c r="AT995" s="75"/>
    </row>
    <row r="996" ht="22.5" customHeight="1">
      <c r="A996" s="219"/>
      <c r="B996" s="219"/>
      <c r="C996" s="219"/>
      <c r="D996" s="219"/>
      <c r="E996" s="219"/>
      <c r="F996" s="219"/>
      <c r="G996" s="219"/>
      <c r="H996" s="219"/>
      <c r="I996" s="249"/>
      <c r="J996" s="243"/>
      <c r="K996" s="219"/>
      <c r="L996" s="244"/>
      <c r="M996" s="219"/>
      <c r="N996" s="219"/>
      <c r="O996" s="219"/>
      <c r="P996" s="244"/>
      <c r="Q996" s="219"/>
      <c r="R996" s="302"/>
      <c r="S996" s="219"/>
      <c r="T996" s="219"/>
      <c r="U996" s="219"/>
      <c r="V996" s="303"/>
      <c r="W996" s="247"/>
      <c r="X996" s="245"/>
      <c r="Y996" s="245"/>
      <c r="Z996" s="245"/>
      <c r="AA996" s="245"/>
      <c r="AB996" s="245"/>
      <c r="AC996" s="249"/>
      <c r="AD996" s="249"/>
      <c r="AE996" s="249"/>
      <c r="AF996" s="8"/>
      <c r="AG996" s="8"/>
      <c r="AH996" s="72"/>
      <c r="AI996" s="8"/>
      <c r="AJ996" s="251"/>
      <c r="AK996" s="23"/>
      <c r="AL996" s="75"/>
      <c r="AM996" s="75" t="str">
        <f t="shared" si="141"/>
        <v/>
      </c>
      <c r="AN996" s="75"/>
      <c r="AO996" s="75"/>
      <c r="AP996" s="75"/>
      <c r="AQ996" s="75"/>
      <c r="AR996" s="75"/>
      <c r="AS996" s="75"/>
      <c r="AT996" s="75"/>
    </row>
    <row r="997" ht="22.5" customHeight="1">
      <c r="A997" s="219"/>
      <c r="B997" s="219"/>
      <c r="C997" s="219"/>
      <c r="D997" s="219"/>
      <c r="E997" s="219"/>
      <c r="F997" s="219"/>
      <c r="G997" s="219"/>
      <c r="H997" s="219"/>
      <c r="I997" s="249"/>
      <c r="J997" s="243"/>
      <c r="K997" s="219"/>
      <c r="L997" s="244"/>
      <c r="M997" s="219"/>
      <c r="N997" s="219"/>
      <c r="O997" s="219"/>
      <c r="P997" s="244"/>
      <c r="Q997" s="219"/>
      <c r="R997" s="302"/>
      <c r="S997" s="219"/>
      <c r="T997" s="219"/>
      <c r="U997" s="219"/>
      <c r="V997" s="303"/>
      <c r="W997" s="247"/>
      <c r="X997" s="245"/>
      <c r="Y997" s="245"/>
      <c r="Z997" s="245"/>
      <c r="AA997" s="245"/>
      <c r="AB997" s="245"/>
      <c r="AC997" s="249"/>
      <c r="AD997" s="249"/>
      <c r="AE997" s="249"/>
      <c r="AF997" s="8"/>
      <c r="AG997" s="8"/>
      <c r="AH997" s="72"/>
      <c r="AI997" s="8"/>
      <c r="AJ997" s="251"/>
      <c r="AK997" s="23"/>
      <c r="AL997" s="75"/>
      <c r="AM997" s="75" t="str">
        <f t="shared" si="141"/>
        <v/>
      </c>
      <c r="AN997" s="75"/>
      <c r="AO997" s="75"/>
      <c r="AP997" s="75"/>
      <c r="AQ997" s="75"/>
      <c r="AR997" s="75"/>
      <c r="AS997" s="75"/>
      <c r="AT997" s="75"/>
    </row>
    <row r="998" ht="22.5" customHeight="1">
      <c r="A998" s="219"/>
      <c r="B998" s="219"/>
      <c r="C998" s="219"/>
      <c r="D998" s="219"/>
      <c r="E998" s="219"/>
      <c r="F998" s="219"/>
      <c r="G998" s="219"/>
      <c r="H998" s="219"/>
      <c r="I998" s="249"/>
      <c r="J998" s="243"/>
      <c r="K998" s="219"/>
      <c r="L998" s="244"/>
      <c r="M998" s="219"/>
      <c r="N998" s="219"/>
      <c r="O998" s="219"/>
      <c r="P998" s="244"/>
      <c r="Q998" s="219"/>
      <c r="R998" s="302"/>
      <c r="S998" s="219"/>
      <c r="T998" s="219"/>
      <c r="U998" s="219"/>
      <c r="V998" s="303"/>
      <c r="W998" s="247"/>
      <c r="X998" s="245"/>
      <c r="Y998" s="245"/>
      <c r="Z998" s="245"/>
      <c r="AA998" s="245"/>
      <c r="AB998" s="245"/>
      <c r="AC998" s="249"/>
      <c r="AD998" s="249"/>
      <c r="AE998" s="249"/>
      <c r="AF998" s="8"/>
      <c r="AG998" s="8"/>
      <c r="AH998" s="72"/>
      <c r="AI998" s="8"/>
      <c r="AJ998" s="251"/>
      <c r="AK998" s="23"/>
      <c r="AL998" s="75"/>
      <c r="AM998" s="75" t="str">
        <f t="shared" si="141"/>
        <v/>
      </c>
      <c r="AN998" s="75"/>
      <c r="AO998" s="75"/>
      <c r="AP998" s="75"/>
      <c r="AQ998" s="75"/>
      <c r="AR998" s="75"/>
      <c r="AS998" s="75"/>
      <c r="AT998" s="75"/>
    </row>
    <row r="999" ht="22.5" customHeight="1">
      <c r="A999" s="219"/>
      <c r="B999" s="219"/>
      <c r="C999" s="219"/>
      <c r="D999" s="219"/>
      <c r="E999" s="219"/>
      <c r="F999" s="219"/>
      <c r="G999" s="219"/>
      <c r="H999" s="219"/>
      <c r="I999" s="249"/>
      <c r="J999" s="243"/>
      <c r="K999" s="219"/>
      <c r="L999" s="244"/>
      <c r="M999" s="219"/>
      <c r="N999" s="219"/>
      <c r="O999" s="219"/>
      <c r="P999" s="244"/>
      <c r="Q999" s="219"/>
      <c r="R999" s="302"/>
      <c r="S999" s="219"/>
      <c r="T999" s="219"/>
      <c r="U999" s="219"/>
      <c r="V999" s="303"/>
      <c r="W999" s="247"/>
      <c r="X999" s="245"/>
      <c r="Y999" s="245"/>
      <c r="Z999" s="245"/>
      <c r="AA999" s="245"/>
      <c r="AB999" s="245"/>
      <c r="AC999" s="249"/>
      <c r="AD999" s="249"/>
      <c r="AE999" s="249"/>
      <c r="AF999" s="8"/>
      <c r="AG999" s="8"/>
      <c r="AH999" s="72"/>
      <c r="AI999" s="8"/>
      <c r="AJ999" s="251"/>
      <c r="AK999" s="23"/>
      <c r="AL999" s="75"/>
      <c r="AM999" s="75" t="str">
        <f t="shared" si="141"/>
        <v/>
      </c>
      <c r="AN999" s="75"/>
      <c r="AO999" s="75"/>
      <c r="AP999" s="75"/>
      <c r="AQ999" s="75"/>
      <c r="AR999" s="75"/>
      <c r="AS999" s="75"/>
      <c r="AT999" s="75"/>
    </row>
    <row r="1000" ht="22.5" customHeight="1">
      <c r="A1000" s="219"/>
      <c r="B1000" s="219"/>
      <c r="C1000" s="219"/>
      <c r="D1000" s="219"/>
      <c r="E1000" s="219"/>
      <c r="F1000" s="219"/>
      <c r="G1000" s="219"/>
      <c r="H1000" s="219"/>
      <c r="I1000" s="249"/>
      <c r="J1000" s="243"/>
      <c r="K1000" s="219"/>
      <c r="L1000" s="244"/>
      <c r="M1000" s="219"/>
      <c r="N1000" s="219"/>
      <c r="O1000" s="219"/>
      <c r="P1000" s="244"/>
      <c r="Q1000" s="219"/>
      <c r="R1000" s="302"/>
      <c r="S1000" s="219"/>
      <c r="T1000" s="219"/>
      <c r="U1000" s="219"/>
      <c r="V1000" s="303"/>
      <c r="W1000" s="247"/>
      <c r="X1000" s="245"/>
      <c r="Y1000" s="245"/>
      <c r="Z1000" s="245"/>
      <c r="AA1000" s="245"/>
      <c r="AB1000" s="245"/>
      <c r="AC1000" s="249"/>
      <c r="AD1000" s="249"/>
      <c r="AE1000" s="249"/>
      <c r="AF1000" s="8"/>
      <c r="AG1000" s="8"/>
      <c r="AH1000" s="72"/>
      <c r="AI1000" s="8"/>
      <c r="AJ1000" s="251"/>
      <c r="AK1000" s="23"/>
      <c r="AL1000" s="75"/>
      <c r="AM1000" s="75" t="str">
        <f t="shared" si="141"/>
        <v/>
      </c>
      <c r="AN1000" s="75"/>
      <c r="AO1000" s="75"/>
      <c r="AP1000" s="75"/>
      <c r="AQ1000" s="75"/>
      <c r="AR1000" s="75"/>
      <c r="AS1000" s="75"/>
      <c r="AT1000" s="75"/>
    </row>
    <row r="1001" ht="22.5" customHeight="1">
      <c r="A1001" s="219"/>
      <c r="B1001" s="219"/>
      <c r="C1001" s="219"/>
      <c r="D1001" s="219"/>
      <c r="E1001" s="219"/>
      <c r="F1001" s="219"/>
      <c r="G1001" s="219"/>
      <c r="H1001" s="219"/>
      <c r="I1001" s="249"/>
      <c r="J1001" s="243"/>
      <c r="K1001" s="219"/>
      <c r="L1001" s="244"/>
      <c r="M1001" s="219"/>
      <c r="N1001" s="219"/>
      <c r="O1001" s="219"/>
      <c r="P1001" s="244"/>
      <c r="Q1001" s="219"/>
      <c r="R1001" s="302"/>
      <c r="S1001" s="219"/>
      <c r="T1001" s="219"/>
      <c r="U1001" s="219"/>
      <c r="V1001" s="303"/>
      <c r="W1001" s="247"/>
      <c r="X1001" s="245"/>
      <c r="Y1001" s="245"/>
      <c r="Z1001" s="245"/>
      <c r="AA1001" s="245"/>
      <c r="AB1001" s="245"/>
      <c r="AC1001" s="249"/>
      <c r="AD1001" s="249"/>
      <c r="AE1001" s="249"/>
      <c r="AF1001" s="8"/>
      <c r="AG1001" s="8"/>
      <c r="AH1001" s="72"/>
      <c r="AI1001" s="8"/>
      <c r="AJ1001" s="251"/>
      <c r="AK1001" s="23"/>
      <c r="AL1001" s="75"/>
      <c r="AM1001" s="75" t="str">
        <f t="shared" si="141"/>
        <v/>
      </c>
      <c r="AN1001" s="75"/>
      <c r="AO1001" s="75"/>
      <c r="AP1001" s="75"/>
      <c r="AQ1001" s="75"/>
      <c r="AR1001" s="75"/>
      <c r="AS1001" s="75"/>
      <c r="AT1001" s="75"/>
    </row>
    <row r="1002" ht="22.5" customHeight="1">
      <c r="A1002" s="219"/>
      <c r="B1002" s="219"/>
      <c r="C1002" s="219"/>
      <c r="D1002" s="219"/>
      <c r="E1002" s="219"/>
      <c r="F1002" s="219"/>
      <c r="G1002" s="219"/>
      <c r="H1002" s="219"/>
      <c r="I1002" s="249"/>
      <c r="J1002" s="243"/>
      <c r="K1002" s="219"/>
      <c r="L1002" s="244"/>
      <c r="M1002" s="219"/>
      <c r="N1002" s="219"/>
      <c r="O1002" s="219"/>
      <c r="P1002" s="244"/>
      <c r="Q1002" s="219"/>
      <c r="R1002" s="302"/>
      <c r="S1002" s="219"/>
      <c r="T1002" s="219"/>
      <c r="U1002" s="219"/>
      <c r="V1002" s="303"/>
      <c r="W1002" s="247"/>
      <c r="X1002" s="245"/>
      <c r="Y1002" s="245"/>
      <c r="Z1002" s="245"/>
      <c r="AA1002" s="245"/>
      <c r="AB1002" s="245"/>
      <c r="AC1002" s="249"/>
      <c r="AD1002" s="249"/>
      <c r="AE1002" s="249"/>
      <c r="AF1002" s="8"/>
      <c r="AG1002" s="8"/>
      <c r="AH1002" s="72"/>
      <c r="AI1002" s="8"/>
      <c r="AJ1002" s="251"/>
      <c r="AK1002" s="23"/>
      <c r="AL1002" s="75"/>
      <c r="AM1002" s="75" t="str">
        <f t="shared" si="141"/>
        <v/>
      </c>
      <c r="AN1002" s="75"/>
      <c r="AO1002" s="75"/>
      <c r="AP1002" s="75"/>
      <c r="AQ1002" s="75"/>
      <c r="AR1002" s="75"/>
      <c r="AS1002" s="75"/>
      <c r="AT1002" s="75"/>
    </row>
    <row r="1003" ht="22.5" customHeight="1">
      <c r="A1003" s="219"/>
      <c r="B1003" s="219"/>
      <c r="C1003" s="219"/>
      <c r="D1003" s="219"/>
      <c r="E1003" s="219"/>
      <c r="F1003" s="219"/>
      <c r="G1003" s="219"/>
      <c r="H1003" s="219"/>
      <c r="I1003" s="249"/>
      <c r="J1003" s="243"/>
      <c r="K1003" s="219"/>
      <c r="L1003" s="244"/>
      <c r="M1003" s="219"/>
      <c r="N1003" s="219"/>
      <c r="O1003" s="219"/>
      <c r="P1003" s="244"/>
      <c r="Q1003" s="219"/>
      <c r="R1003" s="302"/>
      <c r="S1003" s="219"/>
      <c r="T1003" s="219"/>
      <c r="U1003" s="219"/>
      <c r="V1003" s="303"/>
      <c r="W1003" s="247"/>
      <c r="X1003" s="245"/>
      <c r="Y1003" s="245"/>
      <c r="Z1003" s="245"/>
      <c r="AA1003" s="245"/>
      <c r="AB1003" s="245"/>
      <c r="AC1003" s="249"/>
      <c r="AD1003" s="249"/>
      <c r="AE1003" s="249"/>
      <c r="AF1003" s="8"/>
      <c r="AG1003" s="8"/>
      <c r="AH1003" s="72"/>
      <c r="AI1003" s="8"/>
      <c r="AJ1003" s="251"/>
      <c r="AK1003" s="23"/>
      <c r="AL1003" s="75"/>
      <c r="AM1003" s="75" t="str">
        <f t="shared" si="141"/>
        <v/>
      </c>
      <c r="AN1003" s="75"/>
      <c r="AO1003" s="75"/>
      <c r="AP1003" s="75"/>
      <c r="AQ1003" s="75"/>
      <c r="AR1003" s="75"/>
      <c r="AS1003" s="75"/>
      <c r="AT1003" s="75"/>
    </row>
    <row r="1004" ht="22.5" customHeight="1">
      <c r="A1004" s="219"/>
      <c r="B1004" s="219"/>
      <c r="C1004" s="219"/>
      <c r="D1004" s="219"/>
      <c r="E1004" s="219"/>
      <c r="F1004" s="219"/>
      <c r="G1004" s="219"/>
      <c r="H1004" s="219"/>
      <c r="I1004" s="249"/>
      <c r="J1004" s="243"/>
      <c r="K1004" s="219"/>
      <c r="L1004" s="244"/>
      <c r="M1004" s="219"/>
      <c r="N1004" s="219"/>
      <c r="O1004" s="219"/>
      <c r="P1004" s="244"/>
      <c r="Q1004" s="219"/>
      <c r="R1004" s="302"/>
      <c r="S1004" s="219"/>
      <c r="T1004" s="219"/>
      <c r="U1004" s="219"/>
      <c r="V1004" s="303"/>
      <c r="W1004" s="247"/>
      <c r="X1004" s="245"/>
      <c r="Y1004" s="245"/>
      <c r="Z1004" s="245"/>
      <c r="AA1004" s="245"/>
      <c r="AB1004" s="245"/>
      <c r="AC1004" s="249"/>
      <c r="AD1004" s="249"/>
      <c r="AE1004" s="249"/>
      <c r="AF1004" s="8"/>
      <c r="AG1004" s="8"/>
      <c r="AH1004" s="72"/>
      <c r="AI1004" s="8"/>
      <c r="AJ1004" s="251"/>
      <c r="AK1004" s="23"/>
      <c r="AL1004" s="75"/>
      <c r="AM1004" s="75" t="str">
        <f t="shared" si="141"/>
        <v/>
      </c>
      <c r="AN1004" s="75"/>
      <c r="AO1004" s="75"/>
      <c r="AP1004" s="75"/>
      <c r="AQ1004" s="75"/>
      <c r="AR1004" s="75"/>
      <c r="AS1004" s="75"/>
      <c r="AT1004" s="75"/>
    </row>
    <row r="1005" ht="22.5" customHeight="1">
      <c r="A1005" s="219"/>
      <c r="B1005" s="219"/>
      <c r="C1005" s="219"/>
      <c r="D1005" s="219"/>
      <c r="E1005" s="219"/>
      <c r="F1005" s="219"/>
      <c r="G1005" s="219"/>
      <c r="H1005" s="219"/>
      <c r="I1005" s="249"/>
      <c r="J1005" s="243"/>
      <c r="K1005" s="219"/>
      <c r="L1005" s="244"/>
      <c r="M1005" s="219"/>
      <c r="N1005" s="219"/>
      <c r="O1005" s="219"/>
      <c r="P1005" s="244"/>
      <c r="Q1005" s="219"/>
      <c r="R1005" s="302"/>
      <c r="S1005" s="219"/>
      <c r="T1005" s="219"/>
      <c r="U1005" s="219"/>
      <c r="V1005" s="303"/>
      <c r="W1005" s="247"/>
      <c r="X1005" s="245"/>
      <c r="Y1005" s="245"/>
      <c r="Z1005" s="245"/>
      <c r="AA1005" s="245"/>
      <c r="AB1005" s="245"/>
      <c r="AC1005" s="249"/>
      <c r="AD1005" s="249"/>
      <c r="AE1005" s="249"/>
      <c r="AF1005" s="8"/>
      <c r="AG1005" s="8"/>
      <c r="AH1005" s="72"/>
      <c r="AI1005" s="8"/>
      <c r="AJ1005" s="251"/>
      <c r="AK1005" s="23"/>
      <c r="AL1005" s="75"/>
      <c r="AM1005" s="75" t="str">
        <f t="shared" si="141"/>
        <v/>
      </c>
      <c r="AN1005" s="75"/>
      <c r="AO1005" s="75"/>
      <c r="AP1005" s="75"/>
      <c r="AQ1005" s="75"/>
      <c r="AR1005" s="75"/>
      <c r="AS1005" s="75"/>
      <c r="AT1005" s="75"/>
    </row>
    <row r="1006" ht="22.5" customHeight="1">
      <c r="A1006" s="219"/>
      <c r="B1006" s="219"/>
      <c r="C1006" s="219"/>
      <c r="D1006" s="219"/>
      <c r="E1006" s="219"/>
      <c r="F1006" s="219"/>
      <c r="G1006" s="219"/>
      <c r="H1006" s="219"/>
      <c r="I1006" s="249"/>
      <c r="J1006" s="243"/>
      <c r="K1006" s="219"/>
      <c r="L1006" s="244"/>
      <c r="M1006" s="219"/>
      <c r="N1006" s="219"/>
      <c r="O1006" s="219"/>
      <c r="P1006" s="244"/>
      <c r="Q1006" s="219"/>
      <c r="R1006" s="302"/>
      <c r="S1006" s="219"/>
      <c r="T1006" s="219"/>
      <c r="U1006" s="219"/>
      <c r="V1006" s="303"/>
      <c r="W1006" s="247"/>
      <c r="X1006" s="245"/>
      <c r="Y1006" s="245"/>
      <c r="Z1006" s="245"/>
      <c r="AA1006" s="245"/>
      <c r="AB1006" s="245"/>
      <c r="AC1006" s="249"/>
      <c r="AD1006" s="249"/>
      <c r="AE1006" s="249"/>
      <c r="AF1006" s="8"/>
      <c r="AG1006" s="8"/>
      <c r="AH1006" s="72"/>
      <c r="AI1006" s="8"/>
      <c r="AJ1006" s="251"/>
      <c r="AK1006" s="23"/>
      <c r="AL1006" s="75"/>
      <c r="AM1006" s="75" t="str">
        <f t="shared" si="141"/>
        <v/>
      </c>
      <c r="AN1006" s="75"/>
      <c r="AO1006" s="75"/>
      <c r="AP1006" s="75"/>
      <c r="AQ1006" s="75"/>
      <c r="AR1006" s="75"/>
      <c r="AS1006" s="75"/>
      <c r="AT1006" s="75"/>
    </row>
    <row r="1007" ht="22.5" customHeight="1">
      <c r="A1007" s="219"/>
      <c r="B1007" s="219"/>
      <c r="C1007" s="219"/>
      <c r="D1007" s="219"/>
      <c r="E1007" s="219"/>
      <c r="F1007" s="219"/>
      <c r="G1007" s="219"/>
      <c r="H1007" s="219"/>
      <c r="I1007" s="249"/>
      <c r="J1007" s="243"/>
      <c r="K1007" s="219"/>
      <c r="L1007" s="244"/>
      <c r="M1007" s="219"/>
      <c r="N1007" s="219"/>
      <c r="O1007" s="219"/>
      <c r="P1007" s="244"/>
      <c r="Q1007" s="219"/>
      <c r="R1007" s="302"/>
      <c r="S1007" s="219"/>
      <c r="T1007" s="219"/>
      <c r="U1007" s="219"/>
      <c r="V1007" s="303"/>
      <c r="W1007" s="247"/>
      <c r="X1007" s="245"/>
      <c r="Y1007" s="245"/>
      <c r="Z1007" s="245"/>
      <c r="AA1007" s="245"/>
      <c r="AB1007" s="245"/>
      <c r="AC1007" s="249"/>
      <c r="AD1007" s="249"/>
      <c r="AE1007" s="249"/>
      <c r="AF1007" s="8"/>
      <c r="AG1007" s="8"/>
      <c r="AH1007" s="72"/>
      <c r="AI1007" s="8"/>
      <c r="AJ1007" s="251"/>
      <c r="AK1007" s="23"/>
      <c r="AL1007" s="75"/>
      <c r="AM1007" s="75" t="str">
        <f t="shared" si="141"/>
        <v/>
      </c>
      <c r="AN1007" s="75"/>
      <c r="AO1007" s="75"/>
      <c r="AP1007" s="75"/>
      <c r="AQ1007" s="75"/>
      <c r="AR1007" s="75"/>
      <c r="AS1007" s="75"/>
      <c r="AT1007" s="75"/>
    </row>
    <row r="1008" ht="22.5" customHeight="1">
      <c r="A1008" s="219"/>
      <c r="B1008" s="219"/>
      <c r="C1008" s="219"/>
      <c r="D1008" s="219"/>
      <c r="E1008" s="219"/>
      <c r="F1008" s="219"/>
      <c r="G1008" s="219"/>
      <c r="H1008" s="219"/>
      <c r="I1008" s="249"/>
      <c r="J1008" s="243"/>
      <c r="K1008" s="219"/>
      <c r="L1008" s="244"/>
      <c r="M1008" s="219"/>
      <c r="N1008" s="219"/>
      <c r="O1008" s="219"/>
      <c r="P1008" s="244"/>
      <c r="Q1008" s="219"/>
      <c r="R1008" s="302"/>
      <c r="S1008" s="219"/>
      <c r="T1008" s="219"/>
      <c r="U1008" s="219"/>
      <c r="V1008" s="303"/>
      <c r="W1008" s="247"/>
      <c r="X1008" s="245"/>
      <c r="Y1008" s="245"/>
      <c r="Z1008" s="245"/>
      <c r="AA1008" s="245"/>
      <c r="AB1008" s="245"/>
      <c r="AC1008" s="249"/>
      <c r="AD1008" s="249"/>
      <c r="AE1008" s="249"/>
      <c r="AF1008" s="8"/>
      <c r="AG1008" s="8"/>
      <c r="AH1008" s="72"/>
      <c r="AI1008" s="8"/>
      <c r="AJ1008" s="251"/>
      <c r="AK1008" s="23"/>
      <c r="AL1008" s="75"/>
      <c r="AM1008" s="75" t="str">
        <f t="shared" si="141"/>
        <v/>
      </c>
      <c r="AN1008" s="75"/>
      <c r="AO1008" s="75"/>
      <c r="AP1008" s="75"/>
      <c r="AQ1008" s="75"/>
      <c r="AR1008" s="75"/>
      <c r="AS1008" s="75"/>
      <c r="AT1008" s="75"/>
    </row>
    <row r="1009" ht="22.5" customHeight="1">
      <c r="A1009" s="219"/>
      <c r="B1009" s="219"/>
      <c r="C1009" s="219"/>
      <c r="D1009" s="219"/>
      <c r="E1009" s="219"/>
      <c r="F1009" s="219"/>
      <c r="G1009" s="219"/>
      <c r="H1009" s="219"/>
      <c r="I1009" s="249"/>
      <c r="J1009" s="243"/>
      <c r="K1009" s="219"/>
      <c r="L1009" s="244"/>
      <c r="M1009" s="219"/>
      <c r="N1009" s="219"/>
      <c r="O1009" s="219"/>
      <c r="P1009" s="244"/>
      <c r="Q1009" s="219"/>
      <c r="R1009" s="302"/>
      <c r="S1009" s="219"/>
      <c r="T1009" s="219"/>
      <c r="U1009" s="219"/>
      <c r="V1009" s="303"/>
      <c r="W1009" s="247"/>
      <c r="X1009" s="245"/>
      <c r="Y1009" s="245"/>
      <c r="Z1009" s="245"/>
      <c r="AA1009" s="245"/>
      <c r="AB1009" s="245"/>
      <c r="AC1009" s="249"/>
      <c r="AD1009" s="249"/>
      <c r="AE1009" s="249"/>
      <c r="AF1009" s="8"/>
      <c r="AG1009" s="8"/>
      <c r="AH1009" s="72"/>
      <c r="AI1009" s="8"/>
      <c r="AJ1009" s="251"/>
      <c r="AK1009" s="23"/>
      <c r="AL1009" s="75"/>
      <c r="AM1009" s="75" t="str">
        <f t="shared" si="141"/>
        <v/>
      </c>
      <c r="AN1009" s="75"/>
      <c r="AO1009" s="75"/>
      <c r="AP1009" s="75"/>
      <c r="AQ1009" s="75"/>
      <c r="AR1009" s="75"/>
      <c r="AS1009" s="75"/>
      <c r="AT1009" s="75"/>
    </row>
    <row r="1010" ht="22.5" customHeight="1">
      <c r="A1010" s="219"/>
      <c r="B1010" s="219"/>
      <c r="C1010" s="219"/>
      <c r="D1010" s="219"/>
      <c r="E1010" s="219"/>
      <c r="F1010" s="219"/>
      <c r="G1010" s="219"/>
      <c r="H1010" s="219"/>
      <c r="I1010" s="249"/>
      <c r="J1010" s="243"/>
      <c r="K1010" s="219"/>
      <c r="L1010" s="244"/>
      <c r="M1010" s="219"/>
      <c r="N1010" s="219"/>
      <c r="O1010" s="219"/>
      <c r="P1010" s="244"/>
      <c r="Q1010" s="219"/>
      <c r="R1010" s="302"/>
      <c r="S1010" s="219"/>
      <c r="T1010" s="219"/>
      <c r="U1010" s="219"/>
      <c r="V1010" s="303"/>
      <c r="W1010" s="247"/>
      <c r="X1010" s="245"/>
      <c r="Y1010" s="245"/>
      <c r="Z1010" s="245"/>
      <c r="AA1010" s="245"/>
      <c r="AB1010" s="245"/>
      <c r="AC1010" s="249"/>
      <c r="AD1010" s="249"/>
      <c r="AE1010" s="249"/>
      <c r="AF1010" s="8"/>
      <c r="AG1010" s="8"/>
      <c r="AH1010" s="72"/>
      <c r="AI1010" s="8"/>
      <c r="AJ1010" s="251"/>
      <c r="AK1010" s="23"/>
      <c r="AL1010" s="75"/>
      <c r="AM1010" s="75" t="str">
        <f t="shared" si="141"/>
        <v/>
      </c>
      <c r="AN1010" s="75"/>
      <c r="AO1010" s="75"/>
      <c r="AP1010" s="75"/>
      <c r="AQ1010" s="75"/>
      <c r="AR1010" s="75"/>
      <c r="AS1010" s="75"/>
      <c r="AT1010" s="75"/>
    </row>
    <row r="1011" ht="22.5" customHeight="1">
      <c r="A1011" s="219"/>
      <c r="B1011" s="219"/>
      <c r="C1011" s="219"/>
      <c r="D1011" s="219"/>
      <c r="E1011" s="219"/>
      <c r="F1011" s="219"/>
      <c r="G1011" s="219"/>
      <c r="H1011" s="219"/>
      <c r="I1011" s="249"/>
      <c r="J1011" s="243"/>
      <c r="K1011" s="219"/>
      <c r="L1011" s="244"/>
      <c r="M1011" s="219"/>
      <c r="N1011" s="219"/>
      <c r="O1011" s="219"/>
      <c r="P1011" s="244"/>
      <c r="Q1011" s="219"/>
      <c r="R1011" s="302"/>
      <c r="S1011" s="219"/>
      <c r="T1011" s="219"/>
      <c r="U1011" s="219"/>
      <c r="V1011" s="303"/>
      <c r="W1011" s="247"/>
      <c r="X1011" s="245"/>
      <c r="Y1011" s="245"/>
      <c r="Z1011" s="245"/>
      <c r="AA1011" s="245"/>
      <c r="AB1011" s="245"/>
      <c r="AC1011" s="249"/>
      <c r="AD1011" s="249"/>
      <c r="AE1011" s="249"/>
      <c r="AF1011" s="8"/>
      <c r="AG1011" s="8"/>
      <c r="AH1011" s="72"/>
      <c r="AI1011" s="8"/>
      <c r="AJ1011" s="251"/>
      <c r="AK1011" s="23"/>
      <c r="AL1011" s="75"/>
      <c r="AM1011" s="75" t="str">
        <f t="shared" si="141"/>
        <v/>
      </c>
      <c r="AN1011" s="75"/>
      <c r="AO1011" s="75"/>
      <c r="AP1011" s="75"/>
      <c r="AQ1011" s="75"/>
      <c r="AR1011" s="75"/>
      <c r="AS1011" s="75"/>
      <c r="AT1011" s="75"/>
    </row>
    <row r="1012" ht="22.5" customHeight="1">
      <c r="A1012" s="219"/>
      <c r="B1012" s="219"/>
      <c r="C1012" s="219"/>
      <c r="D1012" s="219"/>
      <c r="E1012" s="219"/>
      <c r="F1012" s="219"/>
      <c r="G1012" s="219"/>
      <c r="H1012" s="219"/>
      <c r="I1012" s="249"/>
      <c r="J1012" s="243"/>
      <c r="K1012" s="219"/>
      <c r="L1012" s="244"/>
      <c r="M1012" s="219"/>
      <c r="N1012" s="219"/>
      <c r="O1012" s="219"/>
      <c r="P1012" s="244"/>
      <c r="Q1012" s="219"/>
      <c r="R1012" s="302"/>
      <c r="S1012" s="219"/>
      <c r="T1012" s="219"/>
      <c r="U1012" s="219"/>
      <c r="V1012" s="303"/>
      <c r="W1012" s="247"/>
      <c r="X1012" s="245"/>
      <c r="Y1012" s="245"/>
      <c r="Z1012" s="245"/>
      <c r="AA1012" s="245"/>
      <c r="AB1012" s="245"/>
      <c r="AC1012" s="249"/>
      <c r="AD1012" s="249"/>
      <c r="AE1012" s="249"/>
      <c r="AF1012" s="8"/>
      <c r="AG1012" s="8"/>
      <c r="AH1012" s="72"/>
      <c r="AI1012" s="8"/>
      <c r="AJ1012" s="251"/>
      <c r="AK1012" s="23"/>
      <c r="AL1012" s="75"/>
      <c r="AM1012" s="75" t="str">
        <f t="shared" si="141"/>
        <v/>
      </c>
      <c r="AN1012" s="75"/>
      <c r="AO1012" s="75"/>
      <c r="AP1012" s="75"/>
      <c r="AQ1012" s="75"/>
      <c r="AR1012" s="75"/>
      <c r="AS1012" s="75"/>
      <c r="AT1012" s="75"/>
    </row>
    <row r="1013" ht="22.5" customHeight="1">
      <c r="A1013" s="219"/>
      <c r="B1013" s="219"/>
      <c r="C1013" s="219"/>
      <c r="D1013" s="219"/>
      <c r="E1013" s="219"/>
      <c r="F1013" s="219"/>
      <c r="G1013" s="219"/>
      <c r="H1013" s="219"/>
      <c r="I1013" s="249"/>
      <c r="J1013" s="243"/>
      <c r="K1013" s="219"/>
      <c r="L1013" s="244"/>
      <c r="M1013" s="219"/>
      <c r="N1013" s="219"/>
      <c r="O1013" s="219"/>
      <c r="P1013" s="244"/>
      <c r="Q1013" s="219"/>
      <c r="R1013" s="302"/>
      <c r="S1013" s="219"/>
      <c r="T1013" s="219"/>
      <c r="U1013" s="219"/>
      <c r="V1013" s="303"/>
      <c r="W1013" s="247"/>
      <c r="X1013" s="245"/>
      <c r="Y1013" s="245"/>
      <c r="Z1013" s="245"/>
      <c r="AA1013" s="245"/>
      <c r="AB1013" s="245"/>
      <c r="AC1013" s="249"/>
      <c r="AD1013" s="249"/>
      <c r="AE1013" s="249"/>
      <c r="AF1013" s="8"/>
      <c r="AG1013" s="8"/>
      <c r="AH1013" s="72"/>
      <c r="AI1013" s="8"/>
      <c r="AJ1013" s="251"/>
      <c r="AK1013" s="23"/>
      <c r="AL1013" s="75"/>
      <c r="AM1013" s="75" t="str">
        <f t="shared" si="141"/>
        <v/>
      </c>
      <c r="AN1013" s="75"/>
      <c r="AO1013" s="75"/>
      <c r="AP1013" s="75"/>
      <c r="AQ1013" s="75"/>
      <c r="AR1013" s="75"/>
      <c r="AS1013" s="75"/>
      <c r="AT1013" s="75"/>
    </row>
    <row r="1014" ht="22.5" customHeight="1">
      <c r="A1014" s="219"/>
      <c r="B1014" s="219"/>
      <c r="C1014" s="219"/>
      <c r="D1014" s="219"/>
      <c r="E1014" s="219"/>
      <c r="F1014" s="219"/>
      <c r="G1014" s="219"/>
      <c r="H1014" s="219"/>
      <c r="I1014" s="249"/>
      <c r="J1014" s="243"/>
      <c r="K1014" s="219"/>
      <c r="L1014" s="244"/>
      <c r="M1014" s="219"/>
      <c r="N1014" s="219"/>
      <c r="O1014" s="219"/>
      <c r="P1014" s="244"/>
      <c r="Q1014" s="219"/>
      <c r="R1014" s="302"/>
      <c r="S1014" s="219"/>
      <c r="T1014" s="219"/>
      <c r="U1014" s="219"/>
      <c r="V1014" s="303"/>
      <c r="W1014" s="247"/>
      <c r="X1014" s="245"/>
      <c r="Y1014" s="245"/>
      <c r="Z1014" s="245"/>
      <c r="AA1014" s="245"/>
      <c r="AB1014" s="245"/>
      <c r="AC1014" s="249"/>
      <c r="AD1014" s="249"/>
      <c r="AE1014" s="249"/>
      <c r="AF1014" s="8"/>
      <c r="AG1014" s="8"/>
      <c r="AH1014" s="72"/>
      <c r="AI1014" s="8"/>
      <c r="AJ1014" s="251"/>
      <c r="AK1014" s="23"/>
      <c r="AL1014" s="75"/>
      <c r="AM1014" s="75" t="str">
        <f t="shared" si="141"/>
        <v/>
      </c>
      <c r="AN1014" s="75"/>
      <c r="AO1014" s="75"/>
      <c r="AP1014" s="75"/>
      <c r="AQ1014" s="75"/>
      <c r="AR1014" s="75"/>
      <c r="AS1014" s="75"/>
      <c r="AT1014" s="75"/>
    </row>
    <row r="1015" ht="22.5" customHeight="1">
      <c r="A1015" s="219"/>
      <c r="B1015" s="219"/>
      <c r="C1015" s="219"/>
      <c r="D1015" s="219"/>
      <c r="E1015" s="219"/>
      <c r="F1015" s="219"/>
      <c r="G1015" s="219"/>
      <c r="H1015" s="219"/>
      <c r="I1015" s="249"/>
      <c r="J1015" s="243"/>
      <c r="K1015" s="219"/>
      <c r="L1015" s="244"/>
      <c r="M1015" s="219"/>
      <c r="N1015" s="219"/>
      <c r="O1015" s="219"/>
      <c r="P1015" s="244"/>
      <c r="Q1015" s="219"/>
      <c r="R1015" s="302"/>
      <c r="S1015" s="219"/>
      <c r="T1015" s="219"/>
      <c r="U1015" s="219"/>
      <c r="V1015" s="303"/>
      <c r="W1015" s="247"/>
      <c r="X1015" s="245"/>
      <c r="Y1015" s="245"/>
      <c r="Z1015" s="245"/>
      <c r="AA1015" s="245"/>
      <c r="AB1015" s="245"/>
      <c r="AC1015" s="249"/>
      <c r="AD1015" s="249"/>
      <c r="AE1015" s="249"/>
      <c r="AF1015" s="8"/>
      <c r="AG1015" s="8"/>
      <c r="AH1015" s="72"/>
      <c r="AI1015" s="8"/>
      <c r="AJ1015" s="251"/>
      <c r="AK1015" s="23"/>
      <c r="AL1015" s="75"/>
      <c r="AM1015" s="75" t="str">
        <f t="shared" si="141"/>
        <v/>
      </c>
      <c r="AN1015" s="75"/>
      <c r="AO1015" s="75"/>
      <c r="AP1015" s="75"/>
      <c r="AQ1015" s="75"/>
      <c r="AR1015" s="75"/>
      <c r="AS1015" s="75"/>
      <c r="AT1015" s="75"/>
    </row>
    <row r="1016" ht="22.5" customHeight="1">
      <c r="A1016" s="219"/>
      <c r="B1016" s="219"/>
      <c r="C1016" s="219"/>
      <c r="D1016" s="219"/>
      <c r="E1016" s="219"/>
      <c r="F1016" s="219"/>
      <c r="G1016" s="219"/>
      <c r="H1016" s="219"/>
      <c r="I1016" s="249"/>
      <c r="J1016" s="243"/>
      <c r="K1016" s="219"/>
      <c r="L1016" s="244"/>
      <c r="M1016" s="219"/>
      <c r="N1016" s="219"/>
      <c r="O1016" s="219"/>
      <c r="P1016" s="244"/>
      <c r="Q1016" s="219"/>
      <c r="R1016" s="302"/>
      <c r="S1016" s="219"/>
      <c r="T1016" s="219"/>
      <c r="U1016" s="219"/>
      <c r="V1016" s="303"/>
      <c r="W1016" s="247"/>
      <c r="X1016" s="245"/>
      <c r="Y1016" s="245"/>
      <c r="Z1016" s="245"/>
      <c r="AA1016" s="245"/>
      <c r="AB1016" s="245"/>
      <c r="AC1016" s="249"/>
      <c r="AD1016" s="249"/>
      <c r="AE1016" s="249"/>
      <c r="AF1016" s="8"/>
      <c r="AG1016" s="8"/>
      <c r="AH1016" s="72"/>
      <c r="AI1016" s="8"/>
      <c r="AJ1016" s="251"/>
      <c r="AK1016" s="23"/>
      <c r="AL1016" s="75"/>
      <c r="AM1016" s="75" t="str">
        <f t="shared" si="141"/>
        <v/>
      </c>
      <c r="AN1016" s="75"/>
      <c r="AO1016" s="75"/>
      <c r="AP1016" s="75"/>
      <c r="AQ1016" s="75"/>
      <c r="AR1016" s="75"/>
      <c r="AS1016" s="75"/>
      <c r="AT1016" s="75"/>
    </row>
    <row r="1017" ht="22.5" customHeight="1">
      <c r="A1017" s="219"/>
      <c r="B1017" s="219"/>
      <c r="C1017" s="219"/>
      <c r="D1017" s="219"/>
      <c r="E1017" s="219"/>
      <c r="F1017" s="219"/>
      <c r="G1017" s="219"/>
      <c r="H1017" s="219"/>
      <c r="I1017" s="249"/>
      <c r="J1017" s="243"/>
      <c r="K1017" s="219"/>
      <c r="L1017" s="244"/>
      <c r="M1017" s="219"/>
      <c r="N1017" s="219"/>
      <c r="O1017" s="219"/>
      <c r="P1017" s="244"/>
      <c r="Q1017" s="219"/>
      <c r="R1017" s="302"/>
      <c r="S1017" s="219"/>
      <c r="T1017" s="219"/>
      <c r="U1017" s="219"/>
      <c r="V1017" s="303"/>
      <c r="W1017" s="247"/>
      <c r="X1017" s="245"/>
      <c r="Y1017" s="245"/>
      <c r="Z1017" s="245"/>
      <c r="AA1017" s="245"/>
      <c r="AB1017" s="245"/>
      <c r="AC1017" s="249"/>
      <c r="AD1017" s="249"/>
      <c r="AE1017" s="249"/>
      <c r="AF1017" s="8"/>
      <c r="AG1017" s="8"/>
      <c r="AH1017" s="72"/>
      <c r="AI1017" s="8"/>
      <c r="AJ1017" s="251"/>
      <c r="AK1017" s="23"/>
      <c r="AL1017" s="75"/>
      <c r="AM1017" s="75" t="str">
        <f t="shared" si="141"/>
        <v/>
      </c>
      <c r="AN1017" s="75"/>
      <c r="AO1017" s="75"/>
      <c r="AP1017" s="75"/>
      <c r="AQ1017" s="75"/>
      <c r="AR1017" s="75"/>
      <c r="AS1017" s="75"/>
      <c r="AT1017" s="75"/>
    </row>
    <row r="1018" ht="22.5" customHeight="1">
      <c r="A1018" s="219"/>
      <c r="B1018" s="219"/>
      <c r="C1018" s="219"/>
      <c r="D1018" s="219"/>
      <c r="E1018" s="219"/>
      <c r="F1018" s="219"/>
      <c r="G1018" s="219"/>
      <c r="H1018" s="219"/>
      <c r="I1018" s="249"/>
      <c r="J1018" s="243"/>
      <c r="K1018" s="219"/>
      <c r="L1018" s="244"/>
      <c r="M1018" s="219"/>
      <c r="N1018" s="219"/>
      <c r="O1018" s="219"/>
      <c r="P1018" s="244"/>
      <c r="Q1018" s="219"/>
      <c r="R1018" s="302"/>
      <c r="S1018" s="219"/>
      <c r="T1018" s="219"/>
      <c r="U1018" s="219"/>
      <c r="V1018" s="303"/>
      <c r="W1018" s="247"/>
      <c r="X1018" s="245"/>
      <c r="Y1018" s="245"/>
      <c r="Z1018" s="245"/>
      <c r="AA1018" s="245"/>
      <c r="AB1018" s="245"/>
      <c r="AC1018" s="249"/>
      <c r="AD1018" s="249"/>
      <c r="AE1018" s="249"/>
      <c r="AF1018" s="8"/>
      <c r="AG1018" s="8"/>
      <c r="AH1018" s="72"/>
      <c r="AI1018" s="8"/>
      <c r="AJ1018" s="251"/>
      <c r="AK1018" s="23"/>
      <c r="AL1018" s="75"/>
      <c r="AM1018" s="75" t="str">
        <f t="shared" si="141"/>
        <v/>
      </c>
      <c r="AN1018" s="75"/>
      <c r="AO1018" s="75"/>
      <c r="AP1018" s="75"/>
      <c r="AQ1018" s="75"/>
      <c r="AR1018" s="75"/>
      <c r="AS1018" s="75"/>
      <c r="AT1018" s="75"/>
    </row>
    <row r="1019" ht="22.5" customHeight="1">
      <c r="A1019" s="219"/>
      <c r="B1019" s="219"/>
      <c r="C1019" s="219"/>
      <c r="D1019" s="219"/>
      <c r="E1019" s="219"/>
      <c r="F1019" s="219"/>
      <c r="G1019" s="219"/>
      <c r="H1019" s="219"/>
      <c r="I1019" s="249"/>
      <c r="J1019" s="243"/>
      <c r="K1019" s="219"/>
      <c r="L1019" s="244"/>
      <c r="M1019" s="219"/>
      <c r="N1019" s="219"/>
      <c r="O1019" s="219"/>
      <c r="P1019" s="244"/>
      <c r="Q1019" s="219"/>
      <c r="R1019" s="302"/>
      <c r="S1019" s="219"/>
      <c r="T1019" s="219"/>
      <c r="U1019" s="219"/>
      <c r="V1019" s="303"/>
      <c r="W1019" s="247"/>
      <c r="X1019" s="245"/>
      <c r="Y1019" s="245"/>
      <c r="Z1019" s="245"/>
      <c r="AA1019" s="245"/>
      <c r="AB1019" s="245"/>
      <c r="AC1019" s="249"/>
      <c r="AD1019" s="249"/>
      <c r="AE1019" s="249"/>
      <c r="AF1019" s="8"/>
      <c r="AG1019" s="8"/>
      <c r="AH1019" s="72"/>
      <c r="AI1019" s="8"/>
      <c r="AJ1019" s="251"/>
      <c r="AK1019" s="23"/>
      <c r="AL1019" s="75"/>
      <c r="AM1019" s="75" t="str">
        <f t="shared" si="141"/>
        <v/>
      </c>
      <c r="AN1019" s="75"/>
      <c r="AO1019" s="75"/>
      <c r="AP1019" s="75"/>
      <c r="AQ1019" s="75"/>
      <c r="AR1019" s="75"/>
      <c r="AS1019" s="75"/>
      <c r="AT1019" s="75"/>
    </row>
    <row r="1020" ht="22.5" customHeight="1">
      <c r="A1020" s="219"/>
      <c r="B1020" s="219"/>
      <c r="C1020" s="219"/>
      <c r="D1020" s="219"/>
      <c r="E1020" s="219"/>
      <c r="F1020" s="219"/>
      <c r="G1020" s="219"/>
      <c r="H1020" s="219"/>
      <c r="I1020" s="249"/>
      <c r="J1020" s="243"/>
      <c r="K1020" s="219"/>
      <c r="L1020" s="244"/>
      <c r="M1020" s="219"/>
      <c r="N1020" s="219"/>
      <c r="O1020" s="219"/>
      <c r="P1020" s="244"/>
      <c r="Q1020" s="219"/>
      <c r="R1020" s="302"/>
      <c r="S1020" s="219"/>
      <c r="T1020" s="219"/>
      <c r="U1020" s="219"/>
      <c r="V1020" s="303"/>
      <c r="W1020" s="247"/>
      <c r="X1020" s="245"/>
      <c r="Y1020" s="245"/>
      <c r="Z1020" s="245"/>
      <c r="AA1020" s="245"/>
      <c r="AB1020" s="245"/>
      <c r="AC1020" s="249"/>
      <c r="AD1020" s="249"/>
      <c r="AE1020" s="249"/>
      <c r="AF1020" s="8"/>
      <c r="AG1020" s="8"/>
      <c r="AH1020" s="72"/>
      <c r="AI1020" s="8"/>
      <c r="AJ1020" s="251"/>
      <c r="AK1020" s="23"/>
      <c r="AL1020" s="75"/>
      <c r="AM1020" s="75" t="str">
        <f t="shared" si="141"/>
        <v/>
      </c>
      <c r="AN1020" s="75"/>
      <c r="AO1020" s="75"/>
      <c r="AP1020" s="75"/>
      <c r="AQ1020" s="75"/>
      <c r="AR1020" s="75"/>
      <c r="AS1020" s="75"/>
      <c r="AT1020" s="75"/>
    </row>
    <row r="1021" ht="22.5" customHeight="1">
      <c r="A1021" s="219"/>
      <c r="B1021" s="219"/>
      <c r="C1021" s="219"/>
      <c r="D1021" s="219"/>
      <c r="E1021" s="219"/>
      <c r="F1021" s="219"/>
      <c r="G1021" s="219"/>
      <c r="H1021" s="219"/>
      <c r="I1021" s="249"/>
      <c r="J1021" s="243"/>
      <c r="K1021" s="219"/>
      <c r="L1021" s="244"/>
      <c r="M1021" s="219"/>
      <c r="N1021" s="219"/>
      <c r="O1021" s="219"/>
      <c r="P1021" s="244"/>
      <c r="Q1021" s="219"/>
      <c r="R1021" s="302"/>
      <c r="S1021" s="219"/>
      <c r="T1021" s="219"/>
      <c r="U1021" s="219"/>
      <c r="V1021" s="303"/>
      <c r="W1021" s="247"/>
      <c r="X1021" s="245"/>
      <c r="Y1021" s="245"/>
      <c r="Z1021" s="245"/>
      <c r="AA1021" s="245"/>
      <c r="AB1021" s="245"/>
      <c r="AC1021" s="249"/>
      <c r="AD1021" s="249"/>
      <c r="AE1021" s="249"/>
      <c r="AF1021" s="8"/>
      <c r="AG1021" s="8"/>
      <c r="AH1021" s="72"/>
      <c r="AI1021" s="8"/>
      <c r="AJ1021" s="251"/>
      <c r="AK1021" s="23"/>
      <c r="AL1021" s="75"/>
      <c r="AM1021" s="75" t="str">
        <f t="shared" si="141"/>
        <v/>
      </c>
      <c r="AN1021" s="75"/>
      <c r="AO1021" s="75"/>
      <c r="AP1021" s="75"/>
      <c r="AQ1021" s="75"/>
      <c r="AR1021" s="75"/>
      <c r="AS1021" s="75"/>
      <c r="AT1021" s="75"/>
    </row>
    <row r="1022" ht="22.5" customHeight="1">
      <c r="A1022" s="219"/>
      <c r="B1022" s="219"/>
      <c r="C1022" s="219"/>
      <c r="D1022" s="219"/>
      <c r="E1022" s="219"/>
      <c r="F1022" s="219"/>
      <c r="G1022" s="219"/>
      <c r="H1022" s="219"/>
      <c r="I1022" s="249"/>
      <c r="J1022" s="243"/>
      <c r="K1022" s="219"/>
      <c r="L1022" s="244"/>
      <c r="M1022" s="219"/>
      <c r="N1022" s="219"/>
      <c r="O1022" s="219"/>
      <c r="P1022" s="244"/>
      <c r="Q1022" s="219"/>
      <c r="R1022" s="302"/>
      <c r="S1022" s="219"/>
      <c r="T1022" s="219"/>
      <c r="U1022" s="219"/>
      <c r="V1022" s="303"/>
      <c r="W1022" s="247"/>
      <c r="X1022" s="245"/>
      <c r="Y1022" s="245"/>
      <c r="Z1022" s="245"/>
      <c r="AA1022" s="245"/>
      <c r="AB1022" s="245"/>
      <c r="AC1022" s="249"/>
      <c r="AD1022" s="249"/>
      <c r="AE1022" s="249"/>
      <c r="AF1022" s="8"/>
      <c r="AG1022" s="8"/>
      <c r="AH1022" s="72"/>
      <c r="AI1022" s="8"/>
      <c r="AJ1022" s="251"/>
      <c r="AK1022" s="23"/>
      <c r="AL1022" s="75"/>
      <c r="AM1022" s="75" t="str">
        <f t="shared" si="141"/>
        <v/>
      </c>
      <c r="AN1022" s="75"/>
      <c r="AO1022" s="75"/>
      <c r="AP1022" s="75"/>
      <c r="AQ1022" s="75"/>
      <c r="AR1022" s="75"/>
      <c r="AS1022" s="75"/>
      <c r="AT1022" s="75"/>
    </row>
    <row r="1023" ht="22.5" customHeight="1">
      <c r="A1023" s="219"/>
      <c r="B1023" s="219"/>
      <c r="C1023" s="219"/>
      <c r="D1023" s="219"/>
      <c r="E1023" s="219"/>
      <c r="F1023" s="219"/>
      <c r="G1023" s="219"/>
      <c r="H1023" s="219"/>
      <c r="I1023" s="249"/>
      <c r="J1023" s="243"/>
      <c r="K1023" s="219"/>
      <c r="L1023" s="244"/>
      <c r="M1023" s="219"/>
      <c r="N1023" s="219"/>
      <c r="O1023" s="219"/>
      <c r="P1023" s="244"/>
      <c r="Q1023" s="219"/>
      <c r="R1023" s="302"/>
      <c r="S1023" s="219"/>
      <c r="T1023" s="219"/>
      <c r="U1023" s="219"/>
      <c r="V1023" s="303"/>
      <c r="W1023" s="247"/>
      <c r="X1023" s="245"/>
      <c r="Y1023" s="245"/>
      <c r="Z1023" s="245"/>
      <c r="AA1023" s="245"/>
      <c r="AB1023" s="245"/>
      <c r="AC1023" s="249"/>
      <c r="AD1023" s="249"/>
      <c r="AE1023" s="249"/>
      <c r="AF1023" s="8"/>
      <c r="AG1023" s="8"/>
      <c r="AH1023" s="72"/>
      <c r="AI1023" s="8"/>
      <c r="AJ1023" s="251"/>
      <c r="AK1023" s="23"/>
      <c r="AL1023" s="75"/>
      <c r="AM1023" s="75" t="str">
        <f t="shared" si="141"/>
        <v/>
      </c>
      <c r="AN1023" s="75"/>
      <c r="AO1023" s="75"/>
      <c r="AP1023" s="75"/>
      <c r="AQ1023" s="75"/>
      <c r="AR1023" s="75"/>
      <c r="AS1023" s="75"/>
      <c r="AT1023" s="75"/>
    </row>
    <row r="1024" ht="22.5" customHeight="1">
      <c r="A1024" s="219"/>
      <c r="B1024" s="219"/>
      <c r="C1024" s="219"/>
      <c r="D1024" s="219"/>
      <c r="E1024" s="219"/>
      <c r="F1024" s="219"/>
      <c r="G1024" s="219"/>
      <c r="H1024" s="219"/>
      <c r="I1024" s="249"/>
      <c r="J1024" s="243"/>
      <c r="K1024" s="219"/>
      <c r="L1024" s="244"/>
      <c r="M1024" s="219"/>
      <c r="N1024" s="219"/>
      <c r="O1024" s="219"/>
      <c r="P1024" s="244"/>
      <c r="Q1024" s="219"/>
      <c r="R1024" s="302"/>
      <c r="S1024" s="219"/>
      <c r="T1024" s="219"/>
      <c r="U1024" s="219"/>
      <c r="V1024" s="303"/>
      <c r="W1024" s="247"/>
      <c r="X1024" s="245"/>
      <c r="Y1024" s="245"/>
      <c r="Z1024" s="245"/>
      <c r="AA1024" s="245"/>
      <c r="AB1024" s="245"/>
      <c r="AC1024" s="249"/>
      <c r="AD1024" s="249"/>
      <c r="AE1024" s="249"/>
      <c r="AF1024" s="8"/>
      <c r="AG1024" s="8"/>
      <c r="AH1024" s="72"/>
      <c r="AI1024" s="8"/>
      <c r="AJ1024" s="251"/>
      <c r="AK1024" s="23"/>
      <c r="AL1024" s="75"/>
      <c r="AM1024" s="75" t="str">
        <f t="shared" si="141"/>
        <v/>
      </c>
      <c r="AN1024" s="75"/>
      <c r="AO1024" s="75"/>
      <c r="AP1024" s="75"/>
      <c r="AQ1024" s="75"/>
      <c r="AR1024" s="75"/>
      <c r="AS1024" s="75"/>
      <c r="AT1024" s="75"/>
    </row>
    <row r="1025" ht="22.5" customHeight="1">
      <c r="A1025" s="219"/>
      <c r="B1025" s="219"/>
      <c r="C1025" s="219"/>
      <c r="D1025" s="219"/>
      <c r="E1025" s="219"/>
      <c r="F1025" s="219"/>
      <c r="G1025" s="219"/>
      <c r="H1025" s="219"/>
      <c r="I1025" s="249"/>
      <c r="J1025" s="243"/>
      <c r="K1025" s="219"/>
      <c r="L1025" s="244"/>
      <c r="M1025" s="219"/>
      <c r="N1025" s="219"/>
      <c r="O1025" s="219"/>
      <c r="P1025" s="244"/>
      <c r="Q1025" s="219"/>
      <c r="R1025" s="302"/>
      <c r="S1025" s="219"/>
      <c r="T1025" s="219"/>
      <c r="U1025" s="219"/>
      <c r="V1025" s="303"/>
      <c r="W1025" s="247"/>
      <c r="X1025" s="245"/>
      <c r="Y1025" s="245"/>
      <c r="Z1025" s="245"/>
      <c r="AA1025" s="245"/>
      <c r="AB1025" s="245"/>
      <c r="AC1025" s="249"/>
      <c r="AD1025" s="249"/>
      <c r="AE1025" s="249"/>
      <c r="AF1025" s="8"/>
      <c r="AG1025" s="8"/>
      <c r="AH1025" s="72"/>
      <c r="AI1025" s="8"/>
      <c r="AJ1025" s="251"/>
      <c r="AK1025" s="23"/>
      <c r="AL1025" s="75"/>
      <c r="AM1025" s="75" t="str">
        <f t="shared" si="141"/>
        <v/>
      </c>
      <c r="AN1025" s="75"/>
      <c r="AO1025" s="75"/>
      <c r="AP1025" s="75"/>
      <c r="AQ1025" s="75"/>
      <c r="AR1025" s="75"/>
      <c r="AS1025" s="75"/>
      <c r="AT1025" s="75"/>
    </row>
    <row r="1026" ht="22.5" customHeight="1">
      <c r="A1026" s="219"/>
      <c r="B1026" s="219"/>
      <c r="C1026" s="219"/>
      <c r="D1026" s="219"/>
      <c r="E1026" s="219"/>
      <c r="F1026" s="219"/>
      <c r="G1026" s="219"/>
      <c r="H1026" s="219"/>
      <c r="I1026" s="249"/>
      <c r="J1026" s="243"/>
      <c r="K1026" s="219"/>
      <c r="L1026" s="244"/>
      <c r="M1026" s="219"/>
      <c r="N1026" s="219"/>
      <c r="O1026" s="219"/>
      <c r="P1026" s="244"/>
      <c r="Q1026" s="219"/>
      <c r="R1026" s="302"/>
      <c r="S1026" s="219"/>
      <c r="T1026" s="219"/>
      <c r="U1026" s="219"/>
      <c r="V1026" s="303"/>
      <c r="W1026" s="247"/>
      <c r="X1026" s="245"/>
      <c r="Y1026" s="245"/>
      <c r="Z1026" s="245"/>
      <c r="AA1026" s="245"/>
      <c r="AB1026" s="245"/>
      <c r="AC1026" s="249"/>
      <c r="AD1026" s="249"/>
      <c r="AE1026" s="249"/>
      <c r="AF1026" s="8"/>
      <c r="AG1026" s="8"/>
      <c r="AH1026" s="72"/>
      <c r="AI1026" s="8"/>
      <c r="AJ1026" s="251"/>
      <c r="AK1026" s="23"/>
      <c r="AL1026" s="75"/>
      <c r="AM1026" s="75" t="str">
        <f t="shared" si="141"/>
        <v/>
      </c>
      <c r="AN1026" s="75"/>
      <c r="AO1026" s="75"/>
      <c r="AP1026" s="75"/>
      <c r="AQ1026" s="75"/>
      <c r="AR1026" s="75"/>
      <c r="AS1026" s="75"/>
      <c r="AT1026" s="75"/>
    </row>
    <row r="1027" ht="22.5" customHeight="1">
      <c r="A1027" s="219"/>
      <c r="B1027" s="219"/>
      <c r="C1027" s="219"/>
      <c r="D1027" s="219"/>
      <c r="E1027" s="219"/>
      <c r="F1027" s="219"/>
      <c r="G1027" s="219"/>
      <c r="H1027" s="219"/>
      <c r="I1027" s="249"/>
      <c r="J1027" s="243"/>
      <c r="K1027" s="219"/>
      <c r="L1027" s="244"/>
      <c r="M1027" s="219"/>
      <c r="N1027" s="219"/>
      <c r="O1027" s="219"/>
      <c r="P1027" s="244"/>
      <c r="Q1027" s="219"/>
      <c r="R1027" s="302"/>
      <c r="S1027" s="219"/>
      <c r="T1027" s="219"/>
      <c r="U1027" s="219"/>
      <c r="V1027" s="303"/>
      <c r="W1027" s="247"/>
      <c r="X1027" s="245"/>
      <c r="Y1027" s="245"/>
      <c r="Z1027" s="245"/>
      <c r="AA1027" s="245"/>
      <c r="AB1027" s="245"/>
      <c r="AC1027" s="249"/>
      <c r="AD1027" s="249"/>
      <c r="AE1027" s="249"/>
      <c r="AF1027" s="8"/>
      <c r="AG1027" s="8"/>
      <c r="AH1027" s="72"/>
      <c r="AI1027" s="8"/>
      <c r="AJ1027" s="251"/>
      <c r="AK1027" s="23"/>
      <c r="AL1027" s="75"/>
      <c r="AM1027" s="75" t="str">
        <f t="shared" si="141"/>
        <v/>
      </c>
      <c r="AN1027" s="75"/>
      <c r="AO1027" s="75"/>
      <c r="AP1027" s="75"/>
      <c r="AQ1027" s="75"/>
      <c r="AR1027" s="75"/>
      <c r="AS1027" s="75"/>
      <c r="AT1027" s="75"/>
    </row>
    <row r="1028" ht="22.5" customHeight="1">
      <c r="A1028" s="219"/>
      <c r="B1028" s="219"/>
      <c r="C1028" s="219"/>
      <c r="D1028" s="219"/>
      <c r="E1028" s="219"/>
      <c r="F1028" s="219"/>
      <c r="G1028" s="219"/>
      <c r="H1028" s="219"/>
      <c r="I1028" s="249"/>
      <c r="J1028" s="243"/>
      <c r="K1028" s="219"/>
      <c r="L1028" s="244"/>
      <c r="M1028" s="219"/>
      <c r="N1028" s="219"/>
      <c r="O1028" s="219"/>
      <c r="P1028" s="244"/>
      <c r="Q1028" s="219"/>
      <c r="R1028" s="302"/>
      <c r="S1028" s="219"/>
      <c r="T1028" s="219"/>
      <c r="U1028" s="219"/>
      <c r="V1028" s="303"/>
      <c r="W1028" s="247"/>
      <c r="X1028" s="245"/>
      <c r="Y1028" s="245"/>
      <c r="Z1028" s="245"/>
      <c r="AA1028" s="245"/>
      <c r="AB1028" s="245"/>
      <c r="AC1028" s="249"/>
      <c r="AD1028" s="249"/>
      <c r="AE1028" s="249"/>
      <c r="AF1028" s="8"/>
      <c r="AG1028" s="8"/>
      <c r="AH1028" s="72"/>
      <c r="AI1028" s="8"/>
      <c r="AJ1028" s="251"/>
      <c r="AK1028" s="23"/>
      <c r="AL1028" s="75"/>
      <c r="AM1028" s="75" t="str">
        <f t="shared" si="141"/>
        <v/>
      </c>
      <c r="AN1028" s="75"/>
      <c r="AO1028" s="75"/>
      <c r="AP1028" s="75"/>
      <c r="AQ1028" s="75"/>
      <c r="AR1028" s="75"/>
      <c r="AS1028" s="75"/>
      <c r="AT1028" s="75"/>
    </row>
    <row r="1029" ht="22.5" customHeight="1">
      <c r="A1029" s="219"/>
      <c r="B1029" s="219"/>
      <c r="C1029" s="219"/>
      <c r="D1029" s="219"/>
      <c r="E1029" s="219"/>
      <c r="F1029" s="219"/>
      <c r="G1029" s="219"/>
      <c r="H1029" s="219"/>
      <c r="I1029" s="249"/>
      <c r="J1029" s="243"/>
      <c r="K1029" s="219"/>
      <c r="L1029" s="244"/>
      <c r="M1029" s="219"/>
      <c r="N1029" s="219"/>
      <c r="O1029" s="219"/>
      <c r="P1029" s="244"/>
      <c r="Q1029" s="219"/>
      <c r="R1029" s="302"/>
      <c r="S1029" s="219"/>
      <c r="T1029" s="219"/>
      <c r="U1029" s="219"/>
      <c r="V1029" s="303"/>
      <c r="W1029" s="247"/>
      <c r="X1029" s="245"/>
      <c r="Y1029" s="245"/>
      <c r="Z1029" s="245"/>
      <c r="AA1029" s="245"/>
      <c r="AB1029" s="245"/>
      <c r="AC1029" s="249"/>
      <c r="AD1029" s="249"/>
      <c r="AE1029" s="249"/>
      <c r="AF1029" s="8"/>
      <c r="AG1029" s="8"/>
      <c r="AH1029" s="72"/>
      <c r="AI1029" s="8"/>
      <c r="AJ1029" s="251"/>
      <c r="AK1029" s="23"/>
      <c r="AL1029" s="75"/>
      <c r="AM1029" s="75" t="str">
        <f t="shared" si="141"/>
        <v/>
      </c>
      <c r="AN1029" s="75"/>
      <c r="AO1029" s="75"/>
      <c r="AP1029" s="75"/>
      <c r="AQ1029" s="75"/>
      <c r="AR1029" s="75"/>
      <c r="AS1029" s="75"/>
      <c r="AT1029" s="75"/>
    </row>
    <row r="1030" ht="22.5" customHeight="1">
      <c r="A1030" s="219"/>
      <c r="B1030" s="219"/>
      <c r="C1030" s="219"/>
      <c r="D1030" s="219"/>
      <c r="E1030" s="219"/>
      <c r="F1030" s="219"/>
      <c r="G1030" s="219"/>
      <c r="H1030" s="219"/>
      <c r="I1030" s="249"/>
      <c r="J1030" s="243"/>
      <c r="K1030" s="219"/>
      <c r="L1030" s="244"/>
      <c r="M1030" s="219"/>
      <c r="N1030" s="219"/>
      <c r="O1030" s="219"/>
      <c r="P1030" s="244"/>
      <c r="Q1030" s="219"/>
      <c r="R1030" s="302"/>
      <c r="S1030" s="219"/>
      <c r="T1030" s="219"/>
      <c r="U1030" s="219"/>
      <c r="V1030" s="303"/>
      <c r="W1030" s="247"/>
      <c r="X1030" s="245"/>
      <c r="Y1030" s="245"/>
      <c r="Z1030" s="245"/>
      <c r="AA1030" s="245"/>
      <c r="AB1030" s="245"/>
      <c r="AC1030" s="249"/>
      <c r="AD1030" s="249"/>
      <c r="AE1030" s="249"/>
      <c r="AF1030" s="8"/>
      <c r="AG1030" s="8"/>
      <c r="AH1030" s="72"/>
      <c r="AI1030" s="8"/>
      <c r="AJ1030" s="251"/>
      <c r="AK1030" s="23"/>
      <c r="AL1030" s="75"/>
      <c r="AM1030" s="75" t="str">
        <f t="shared" si="141"/>
        <v/>
      </c>
      <c r="AN1030" s="75"/>
      <c r="AO1030" s="75"/>
      <c r="AP1030" s="75"/>
      <c r="AQ1030" s="75"/>
      <c r="AR1030" s="75"/>
      <c r="AS1030" s="75"/>
      <c r="AT1030" s="75"/>
    </row>
    <row r="1031" ht="22.5" customHeight="1">
      <c r="A1031" s="219"/>
      <c r="B1031" s="219"/>
      <c r="C1031" s="219"/>
      <c r="D1031" s="219"/>
      <c r="E1031" s="219"/>
      <c r="F1031" s="219"/>
      <c r="G1031" s="219"/>
      <c r="H1031" s="219"/>
      <c r="I1031" s="249"/>
      <c r="J1031" s="243"/>
      <c r="K1031" s="219"/>
      <c r="L1031" s="244"/>
      <c r="M1031" s="219"/>
      <c r="N1031" s="219"/>
      <c r="O1031" s="219"/>
      <c r="P1031" s="244"/>
      <c r="Q1031" s="219"/>
      <c r="R1031" s="302"/>
      <c r="S1031" s="219"/>
      <c r="T1031" s="219"/>
      <c r="U1031" s="219"/>
      <c r="V1031" s="303"/>
      <c r="W1031" s="247"/>
      <c r="X1031" s="245"/>
      <c r="Y1031" s="245"/>
      <c r="Z1031" s="245"/>
      <c r="AA1031" s="245"/>
      <c r="AB1031" s="245"/>
      <c r="AC1031" s="249"/>
      <c r="AD1031" s="249"/>
      <c r="AE1031" s="249"/>
      <c r="AF1031" s="8"/>
      <c r="AG1031" s="8"/>
      <c r="AH1031" s="72"/>
      <c r="AI1031" s="8"/>
      <c r="AJ1031" s="251"/>
      <c r="AK1031" s="23"/>
      <c r="AL1031" s="75"/>
      <c r="AM1031" s="75" t="str">
        <f t="shared" si="141"/>
        <v/>
      </c>
      <c r="AN1031" s="75"/>
      <c r="AO1031" s="75"/>
      <c r="AP1031" s="75"/>
      <c r="AQ1031" s="75"/>
      <c r="AR1031" s="75"/>
      <c r="AS1031" s="75"/>
      <c r="AT1031" s="75"/>
    </row>
    <row r="1032" ht="22.5" customHeight="1">
      <c r="A1032" s="219"/>
      <c r="B1032" s="219"/>
      <c r="C1032" s="219"/>
      <c r="D1032" s="219"/>
      <c r="E1032" s="219"/>
      <c r="F1032" s="219"/>
      <c r="G1032" s="219"/>
      <c r="H1032" s="219"/>
      <c r="I1032" s="249"/>
      <c r="J1032" s="243"/>
      <c r="K1032" s="219"/>
      <c r="L1032" s="244"/>
      <c r="M1032" s="219"/>
      <c r="N1032" s="219"/>
      <c r="O1032" s="219"/>
      <c r="P1032" s="244"/>
      <c r="Q1032" s="219"/>
      <c r="R1032" s="302"/>
      <c r="S1032" s="219"/>
      <c r="T1032" s="219"/>
      <c r="U1032" s="219"/>
      <c r="V1032" s="303"/>
      <c r="W1032" s="247"/>
      <c r="X1032" s="245"/>
      <c r="Y1032" s="245"/>
      <c r="Z1032" s="245"/>
      <c r="AA1032" s="245"/>
      <c r="AB1032" s="245"/>
      <c r="AC1032" s="249"/>
      <c r="AD1032" s="249"/>
      <c r="AE1032" s="249"/>
      <c r="AF1032" s="8"/>
      <c r="AG1032" s="8"/>
      <c r="AH1032" s="72"/>
      <c r="AI1032" s="8"/>
      <c r="AJ1032" s="251"/>
      <c r="AK1032" s="23"/>
      <c r="AL1032" s="75"/>
      <c r="AM1032" s="75" t="str">
        <f t="shared" si="141"/>
        <v/>
      </c>
      <c r="AN1032" s="75"/>
      <c r="AO1032" s="75"/>
      <c r="AP1032" s="75"/>
      <c r="AQ1032" s="75"/>
      <c r="AR1032" s="75"/>
      <c r="AS1032" s="75"/>
      <c r="AT1032" s="75"/>
    </row>
    <row r="1033" ht="22.5" customHeight="1">
      <c r="A1033" s="219"/>
      <c r="B1033" s="219"/>
      <c r="C1033" s="219"/>
      <c r="D1033" s="219"/>
      <c r="E1033" s="219"/>
      <c r="F1033" s="219"/>
      <c r="G1033" s="219"/>
      <c r="H1033" s="219"/>
      <c r="I1033" s="249"/>
      <c r="J1033" s="243"/>
      <c r="K1033" s="219"/>
      <c r="L1033" s="244"/>
      <c r="M1033" s="219"/>
      <c r="N1033" s="219"/>
      <c r="O1033" s="219"/>
      <c r="P1033" s="244"/>
      <c r="Q1033" s="219"/>
      <c r="R1033" s="302"/>
      <c r="S1033" s="219"/>
      <c r="T1033" s="219"/>
      <c r="U1033" s="219"/>
      <c r="V1033" s="303"/>
      <c r="W1033" s="247"/>
      <c r="X1033" s="245"/>
      <c r="Y1033" s="245"/>
      <c r="Z1033" s="245"/>
      <c r="AA1033" s="245"/>
      <c r="AB1033" s="245"/>
      <c r="AC1033" s="249"/>
      <c r="AD1033" s="249"/>
      <c r="AE1033" s="249"/>
      <c r="AF1033" s="8"/>
      <c r="AG1033" s="8"/>
      <c r="AH1033" s="72"/>
      <c r="AI1033" s="8"/>
      <c r="AJ1033" s="251"/>
      <c r="AK1033" s="23"/>
      <c r="AL1033" s="75"/>
      <c r="AM1033" s="75" t="str">
        <f t="shared" si="141"/>
        <v/>
      </c>
      <c r="AN1033" s="75"/>
      <c r="AO1033" s="75"/>
      <c r="AP1033" s="75"/>
      <c r="AQ1033" s="75"/>
      <c r="AR1033" s="75"/>
      <c r="AS1033" s="75"/>
      <c r="AT1033" s="75"/>
    </row>
    <row r="1034" ht="22.5" customHeight="1">
      <c r="A1034" s="219"/>
      <c r="B1034" s="219"/>
      <c r="C1034" s="219"/>
      <c r="D1034" s="219"/>
      <c r="E1034" s="219"/>
      <c r="F1034" s="219"/>
      <c r="G1034" s="219"/>
      <c r="H1034" s="219"/>
      <c r="I1034" s="249"/>
      <c r="J1034" s="243"/>
      <c r="K1034" s="219"/>
      <c r="L1034" s="244"/>
      <c r="M1034" s="219"/>
      <c r="N1034" s="219"/>
      <c r="O1034" s="219"/>
      <c r="P1034" s="244"/>
      <c r="Q1034" s="219"/>
      <c r="R1034" s="302"/>
      <c r="S1034" s="219"/>
      <c r="T1034" s="219"/>
      <c r="U1034" s="219"/>
      <c r="V1034" s="303"/>
      <c r="W1034" s="247"/>
      <c r="X1034" s="245"/>
      <c r="Y1034" s="245"/>
      <c r="Z1034" s="245"/>
      <c r="AA1034" s="245"/>
      <c r="AB1034" s="245"/>
      <c r="AC1034" s="249"/>
      <c r="AD1034" s="249"/>
      <c r="AE1034" s="249"/>
      <c r="AF1034" s="8"/>
      <c r="AG1034" s="8"/>
      <c r="AH1034" s="72"/>
      <c r="AI1034" s="8"/>
      <c r="AJ1034" s="251"/>
      <c r="AK1034" s="23"/>
      <c r="AL1034" s="75"/>
      <c r="AM1034" s="75" t="str">
        <f t="shared" si="141"/>
        <v/>
      </c>
      <c r="AN1034" s="75"/>
      <c r="AO1034" s="75"/>
      <c r="AP1034" s="75"/>
      <c r="AQ1034" s="75"/>
      <c r="AR1034" s="75"/>
      <c r="AS1034" s="75"/>
      <c r="AT1034" s="75"/>
    </row>
    <row r="1035" ht="22.5" customHeight="1">
      <c r="A1035" s="219"/>
      <c r="B1035" s="219"/>
      <c r="C1035" s="219"/>
      <c r="D1035" s="219"/>
      <c r="E1035" s="219"/>
      <c r="F1035" s="219"/>
      <c r="G1035" s="219"/>
      <c r="H1035" s="219"/>
      <c r="I1035" s="249"/>
      <c r="J1035" s="243"/>
      <c r="K1035" s="219"/>
      <c r="L1035" s="244"/>
      <c r="M1035" s="219"/>
      <c r="N1035" s="219"/>
      <c r="O1035" s="219"/>
      <c r="P1035" s="244"/>
      <c r="Q1035" s="219"/>
      <c r="R1035" s="302"/>
      <c r="S1035" s="219"/>
      <c r="T1035" s="219"/>
      <c r="U1035" s="219"/>
      <c r="V1035" s="303"/>
      <c r="W1035" s="247"/>
      <c r="X1035" s="245"/>
      <c r="Y1035" s="245"/>
      <c r="Z1035" s="245"/>
      <c r="AA1035" s="245"/>
      <c r="AB1035" s="245"/>
      <c r="AC1035" s="249"/>
      <c r="AD1035" s="249"/>
      <c r="AE1035" s="249"/>
      <c r="AF1035" s="8"/>
      <c r="AG1035" s="8"/>
      <c r="AH1035" s="72"/>
      <c r="AI1035" s="8"/>
      <c r="AJ1035" s="251"/>
      <c r="AK1035" s="23"/>
      <c r="AL1035" s="75"/>
      <c r="AM1035" s="75" t="str">
        <f t="shared" si="141"/>
        <v/>
      </c>
      <c r="AN1035" s="75"/>
      <c r="AO1035" s="75"/>
      <c r="AP1035" s="75"/>
      <c r="AQ1035" s="75"/>
      <c r="AR1035" s="75"/>
      <c r="AS1035" s="75"/>
      <c r="AT1035" s="75"/>
    </row>
    <row r="1036" ht="22.5" customHeight="1">
      <c r="A1036" s="219"/>
      <c r="B1036" s="219"/>
      <c r="C1036" s="219"/>
      <c r="D1036" s="219"/>
      <c r="E1036" s="219"/>
      <c r="F1036" s="219"/>
      <c r="G1036" s="219"/>
      <c r="H1036" s="219"/>
      <c r="I1036" s="249"/>
      <c r="J1036" s="243"/>
      <c r="K1036" s="219"/>
      <c r="L1036" s="244"/>
      <c r="M1036" s="219"/>
      <c r="N1036" s="219"/>
      <c r="O1036" s="219"/>
      <c r="P1036" s="244"/>
      <c r="Q1036" s="219"/>
      <c r="R1036" s="302"/>
      <c r="S1036" s="219"/>
      <c r="T1036" s="219"/>
      <c r="U1036" s="219"/>
      <c r="V1036" s="303"/>
      <c r="W1036" s="247"/>
      <c r="X1036" s="245"/>
      <c r="Y1036" s="245"/>
      <c r="Z1036" s="245"/>
      <c r="AA1036" s="245"/>
      <c r="AB1036" s="245"/>
      <c r="AC1036" s="249"/>
      <c r="AD1036" s="249"/>
      <c r="AE1036" s="249"/>
      <c r="AF1036" s="8"/>
      <c r="AG1036" s="8"/>
      <c r="AH1036" s="72"/>
      <c r="AI1036" s="8"/>
      <c r="AJ1036" s="251"/>
      <c r="AK1036" s="23"/>
      <c r="AL1036" s="75"/>
      <c r="AM1036" s="75" t="str">
        <f t="shared" si="141"/>
        <v/>
      </c>
      <c r="AN1036" s="75"/>
      <c r="AO1036" s="75"/>
      <c r="AP1036" s="75"/>
      <c r="AQ1036" s="75"/>
      <c r="AR1036" s="75"/>
      <c r="AS1036" s="75"/>
      <c r="AT1036" s="75"/>
    </row>
    <row r="1037" ht="22.5" customHeight="1">
      <c r="A1037" s="219"/>
      <c r="B1037" s="219"/>
      <c r="C1037" s="219"/>
      <c r="D1037" s="219"/>
      <c r="E1037" s="219"/>
      <c r="F1037" s="219"/>
      <c r="G1037" s="219"/>
      <c r="H1037" s="219"/>
      <c r="I1037" s="249"/>
      <c r="J1037" s="243"/>
      <c r="K1037" s="219"/>
      <c r="L1037" s="244"/>
      <c r="M1037" s="219"/>
      <c r="N1037" s="219"/>
      <c r="O1037" s="219"/>
      <c r="P1037" s="244"/>
      <c r="Q1037" s="219"/>
      <c r="R1037" s="302"/>
      <c r="S1037" s="219"/>
      <c r="T1037" s="219"/>
      <c r="U1037" s="219"/>
      <c r="V1037" s="303"/>
      <c r="W1037" s="247"/>
      <c r="X1037" s="245"/>
      <c r="Y1037" s="245"/>
      <c r="Z1037" s="245"/>
      <c r="AA1037" s="245"/>
      <c r="AB1037" s="245"/>
      <c r="AC1037" s="249"/>
      <c r="AD1037" s="249"/>
      <c r="AE1037" s="249"/>
      <c r="AF1037" s="8"/>
      <c r="AG1037" s="8"/>
      <c r="AH1037" s="72"/>
      <c r="AI1037" s="8"/>
      <c r="AJ1037" s="251"/>
      <c r="AK1037" s="23"/>
      <c r="AL1037" s="75"/>
      <c r="AM1037" s="75" t="str">
        <f t="shared" si="141"/>
        <v/>
      </c>
      <c r="AN1037" s="75"/>
      <c r="AO1037" s="75"/>
      <c r="AP1037" s="75"/>
      <c r="AQ1037" s="75"/>
      <c r="AR1037" s="75"/>
      <c r="AS1037" s="75"/>
      <c r="AT1037" s="75"/>
    </row>
    <row r="1038" ht="22.5" customHeight="1">
      <c r="A1038" s="219"/>
      <c r="B1038" s="219"/>
      <c r="C1038" s="219"/>
      <c r="D1038" s="219"/>
      <c r="E1038" s="219"/>
      <c r="F1038" s="219"/>
      <c r="G1038" s="219"/>
      <c r="H1038" s="219"/>
      <c r="I1038" s="249"/>
      <c r="J1038" s="243"/>
      <c r="K1038" s="219"/>
      <c r="L1038" s="244"/>
      <c r="M1038" s="219"/>
      <c r="N1038" s="219"/>
      <c r="O1038" s="219"/>
      <c r="P1038" s="244"/>
      <c r="Q1038" s="219"/>
      <c r="R1038" s="302"/>
      <c r="S1038" s="219"/>
      <c r="T1038" s="219"/>
      <c r="U1038" s="219"/>
      <c r="V1038" s="303"/>
      <c r="W1038" s="247"/>
      <c r="X1038" s="245"/>
      <c r="Y1038" s="245"/>
      <c r="Z1038" s="245"/>
      <c r="AA1038" s="245"/>
      <c r="AB1038" s="245"/>
      <c r="AC1038" s="249"/>
      <c r="AD1038" s="249"/>
      <c r="AE1038" s="249"/>
      <c r="AF1038" s="8"/>
      <c r="AG1038" s="8"/>
      <c r="AH1038" s="72"/>
      <c r="AI1038" s="8"/>
      <c r="AJ1038" s="251"/>
      <c r="AK1038" s="23"/>
      <c r="AL1038" s="75"/>
      <c r="AM1038" s="75" t="str">
        <f t="shared" si="141"/>
        <v/>
      </c>
      <c r="AN1038" s="75"/>
      <c r="AO1038" s="75"/>
      <c r="AP1038" s="75"/>
      <c r="AQ1038" s="75"/>
      <c r="AR1038" s="75"/>
      <c r="AS1038" s="75"/>
      <c r="AT1038" s="75"/>
    </row>
    <row r="1039" ht="22.5" customHeight="1">
      <c r="A1039" s="219"/>
      <c r="B1039" s="219"/>
      <c r="C1039" s="219"/>
      <c r="D1039" s="219"/>
      <c r="E1039" s="219"/>
      <c r="F1039" s="219"/>
      <c r="G1039" s="219"/>
      <c r="H1039" s="219"/>
      <c r="I1039" s="249"/>
      <c r="J1039" s="243"/>
      <c r="K1039" s="219"/>
      <c r="L1039" s="244"/>
      <c r="M1039" s="219"/>
      <c r="N1039" s="219"/>
      <c r="O1039" s="219"/>
      <c r="P1039" s="244"/>
      <c r="Q1039" s="219"/>
      <c r="R1039" s="302"/>
      <c r="S1039" s="219"/>
      <c r="T1039" s="219"/>
      <c r="U1039" s="219"/>
      <c r="V1039" s="303"/>
      <c r="W1039" s="247"/>
      <c r="X1039" s="245"/>
      <c r="Y1039" s="245"/>
      <c r="Z1039" s="245"/>
      <c r="AA1039" s="245"/>
      <c r="AB1039" s="245"/>
      <c r="AC1039" s="249"/>
      <c r="AD1039" s="249"/>
      <c r="AE1039" s="249"/>
      <c r="AF1039" s="8"/>
      <c r="AG1039" s="8"/>
      <c r="AH1039" s="72"/>
      <c r="AI1039" s="8"/>
      <c r="AJ1039" s="251"/>
      <c r="AK1039" s="23"/>
      <c r="AL1039" s="75"/>
      <c r="AM1039" s="75" t="str">
        <f t="shared" si="141"/>
        <v/>
      </c>
      <c r="AN1039" s="75"/>
      <c r="AO1039" s="75"/>
      <c r="AP1039" s="75"/>
      <c r="AQ1039" s="75"/>
      <c r="AR1039" s="75"/>
      <c r="AS1039" s="75"/>
      <c r="AT1039" s="75"/>
    </row>
    <row r="1040" ht="22.5" customHeight="1">
      <c r="A1040" s="219"/>
      <c r="B1040" s="219"/>
      <c r="C1040" s="219"/>
      <c r="D1040" s="219"/>
      <c r="E1040" s="219"/>
      <c r="F1040" s="219"/>
      <c r="G1040" s="219"/>
      <c r="H1040" s="219"/>
      <c r="I1040" s="249"/>
      <c r="J1040" s="243"/>
      <c r="K1040" s="219"/>
      <c r="L1040" s="244"/>
      <c r="M1040" s="219"/>
      <c r="N1040" s="219"/>
      <c r="O1040" s="219"/>
      <c r="P1040" s="244"/>
      <c r="Q1040" s="219"/>
      <c r="R1040" s="302"/>
      <c r="S1040" s="219"/>
      <c r="T1040" s="219"/>
      <c r="U1040" s="219"/>
      <c r="V1040" s="303"/>
      <c r="W1040" s="247"/>
      <c r="X1040" s="245"/>
      <c r="Y1040" s="245"/>
      <c r="Z1040" s="245"/>
      <c r="AA1040" s="245"/>
      <c r="AB1040" s="245"/>
      <c r="AC1040" s="249"/>
      <c r="AD1040" s="249"/>
      <c r="AE1040" s="249"/>
      <c r="AF1040" s="8"/>
      <c r="AG1040" s="8"/>
      <c r="AH1040" s="72"/>
      <c r="AI1040" s="8"/>
      <c r="AJ1040" s="251"/>
      <c r="AK1040" s="23"/>
      <c r="AL1040" s="75"/>
      <c r="AM1040" s="75" t="str">
        <f t="shared" si="141"/>
        <v/>
      </c>
      <c r="AN1040" s="75"/>
      <c r="AO1040" s="75"/>
      <c r="AP1040" s="75"/>
      <c r="AQ1040" s="75"/>
      <c r="AR1040" s="75"/>
      <c r="AS1040" s="75"/>
      <c r="AT1040" s="75"/>
    </row>
    <row r="1041" ht="22.5" customHeight="1">
      <c r="A1041" s="219"/>
      <c r="B1041" s="219"/>
      <c r="C1041" s="219"/>
      <c r="D1041" s="219"/>
      <c r="E1041" s="219"/>
      <c r="F1041" s="219"/>
      <c r="G1041" s="219"/>
      <c r="H1041" s="219"/>
      <c r="I1041" s="249"/>
      <c r="J1041" s="243"/>
      <c r="K1041" s="219"/>
      <c r="L1041" s="244"/>
      <c r="M1041" s="219"/>
      <c r="N1041" s="219"/>
      <c r="O1041" s="219"/>
      <c r="P1041" s="244"/>
      <c r="Q1041" s="219"/>
      <c r="R1041" s="302"/>
      <c r="S1041" s="219"/>
      <c r="T1041" s="219"/>
      <c r="U1041" s="219"/>
      <c r="V1041" s="303"/>
      <c r="W1041" s="247"/>
      <c r="X1041" s="245"/>
      <c r="Y1041" s="245"/>
      <c r="Z1041" s="245"/>
      <c r="AA1041" s="245"/>
      <c r="AB1041" s="245"/>
      <c r="AC1041" s="249"/>
      <c r="AD1041" s="249"/>
      <c r="AE1041" s="249"/>
      <c r="AF1041" s="8"/>
      <c r="AG1041" s="8"/>
      <c r="AH1041" s="72"/>
      <c r="AI1041" s="8"/>
      <c r="AJ1041" s="251"/>
      <c r="AK1041" s="23"/>
      <c r="AL1041" s="75"/>
      <c r="AM1041" s="75" t="str">
        <f t="shared" si="141"/>
        <v/>
      </c>
      <c r="AN1041" s="75"/>
      <c r="AO1041" s="75"/>
      <c r="AP1041" s="75"/>
      <c r="AQ1041" s="75"/>
      <c r="AR1041" s="75"/>
      <c r="AS1041" s="75"/>
      <c r="AT1041" s="75"/>
    </row>
    <row r="1042" ht="22.5" customHeight="1">
      <c r="A1042" s="219"/>
      <c r="B1042" s="219"/>
      <c r="C1042" s="219"/>
      <c r="D1042" s="219"/>
      <c r="E1042" s="219"/>
      <c r="F1042" s="219"/>
      <c r="G1042" s="219"/>
      <c r="H1042" s="219"/>
      <c r="I1042" s="249"/>
      <c r="J1042" s="243"/>
      <c r="K1042" s="219"/>
      <c r="L1042" s="244"/>
      <c r="M1042" s="219"/>
      <c r="N1042" s="219"/>
      <c r="O1042" s="219"/>
      <c r="P1042" s="244"/>
      <c r="Q1042" s="219"/>
      <c r="R1042" s="302"/>
      <c r="S1042" s="219"/>
      <c r="T1042" s="219"/>
      <c r="U1042" s="219"/>
      <c r="V1042" s="303"/>
      <c r="W1042" s="247"/>
      <c r="X1042" s="245"/>
      <c r="Y1042" s="245"/>
      <c r="Z1042" s="245"/>
      <c r="AA1042" s="245"/>
      <c r="AB1042" s="245"/>
      <c r="AC1042" s="249"/>
      <c r="AD1042" s="249"/>
      <c r="AE1042" s="249"/>
      <c r="AF1042" s="8"/>
      <c r="AG1042" s="8"/>
      <c r="AH1042" s="72"/>
      <c r="AI1042" s="8"/>
      <c r="AJ1042" s="251"/>
      <c r="AK1042" s="23"/>
      <c r="AL1042" s="75"/>
      <c r="AM1042" s="75" t="str">
        <f t="shared" si="141"/>
        <v/>
      </c>
      <c r="AN1042" s="75"/>
      <c r="AO1042" s="75"/>
      <c r="AP1042" s="75"/>
      <c r="AQ1042" s="75"/>
      <c r="AR1042" s="75"/>
      <c r="AS1042" s="75"/>
      <c r="AT1042" s="75"/>
    </row>
    <row r="1043" ht="22.5" customHeight="1">
      <c r="A1043" s="219"/>
      <c r="B1043" s="219"/>
      <c r="C1043" s="219"/>
      <c r="D1043" s="219"/>
      <c r="E1043" s="219"/>
      <c r="F1043" s="219"/>
      <c r="G1043" s="219"/>
      <c r="H1043" s="219"/>
      <c r="I1043" s="249"/>
      <c r="J1043" s="243"/>
      <c r="K1043" s="219"/>
      <c r="L1043" s="244"/>
      <c r="M1043" s="219"/>
      <c r="N1043" s="219"/>
      <c r="O1043" s="219"/>
      <c r="P1043" s="244"/>
      <c r="Q1043" s="219"/>
      <c r="R1043" s="302"/>
      <c r="S1043" s="219"/>
      <c r="T1043" s="219"/>
      <c r="U1043" s="219"/>
      <c r="V1043" s="303"/>
      <c r="W1043" s="247"/>
      <c r="X1043" s="245"/>
      <c r="Y1043" s="245"/>
      <c r="Z1043" s="245"/>
      <c r="AA1043" s="245"/>
      <c r="AB1043" s="245"/>
      <c r="AC1043" s="249"/>
      <c r="AD1043" s="249"/>
      <c r="AE1043" s="249"/>
      <c r="AF1043" s="8"/>
      <c r="AG1043" s="8"/>
      <c r="AH1043" s="72"/>
      <c r="AI1043" s="8"/>
      <c r="AJ1043" s="251"/>
      <c r="AK1043" s="23"/>
      <c r="AL1043" s="75"/>
      <c r="AM1043" s="75" t="str">
        <f t="shared" si="141"/>
        <v/>
      </c>
      <c r="AN1043" s="75"/>
      <c r="AO1043" s="75"/>
      <c r="AP1043" s="75"/>
      <c r="AQ1043" s="75"/>
      <c r="AR1043" s="75"/>
      <c r="AS1043" s="75"/>
      <c r="AT1043" s="75"/>
    </row>
    <row r="1044" ht="22.5" customHeight="1">
      <c r="A1044" s="219"/>
      <c r="B1044" s="219"/>
      <c r="C1044" s="219"/>
      <c r="D1044" s="219"/>
      <c r="E1044" s="219"/>
      <c r="F1044" s="219"/>
      <c r="G1044" s="219"/>
      <c r="H1044" s="219"/>
      <c r="I1044" s="249"/>
      <c r="J1044" s="243"/>
      <c r="K1044" s="219"/>
      <c r="L1044" s="244"/>
      <c r="M1044" s="219"/>
      <c r="N1044" s="219"/>
      <c r="O1044" s="219"/>
      <c r="P1044" s="244"/>
      <c r="Q1044" s="219"/>
      <c r="R1044" s="302"/>
      <c r="S1044" s="219"/>
      <c r="T1044" s="219"/>
      <c r="U1044" s="219"/>
      <c r="V1044" s="303"/>
      <c r="W1044" s="247"/>
      <c r="X1044" s="245"/>
      <c r="Y1044" s="245"/>
      <c r="Z1044" s="245"/>
      <c r="AA1044" s="245"/>
      <c r="AB1044" s="245"/>
      <c r="AC1044" s="249"/>
      <c r="AD1044" s="249"/>
      <c r="AE1044" s="249"/>
      <c r="AF1044" s="8"/>
      <c r="AG1044" s="8"/>
      <c r="AH1044" s="72"/>
      <c r="AI1044" s="8"/>
      <c r="AJ1044" s="251"/>
      <c r="AK1044" s="23"/>
      <c r="AL1044" s="75"/>
      <c r="AM1044" s="75" t="str">
        <f t="shared" si="141"/>
        <v/>
      </c>
      <c r="AN1044" s="75"/>
      <c r="AO1044" s="75"/>
      <c r="AP1044" s="75"/>
      <c r="AQ1044" s="75"/>
      <c r="AR1044" s="75"/>
      <c r="AS1044" s="75"/>
      <c r="AT1044" s="75"/>
    </row>
    <row r="1045" ht="22.5" customHeight="1">
      <c r="A1045" s="219"/>
      <c r="B1045" s="219"/>
      <c r="C1045" s="219"/>
      <c r="D1045" s="219"/>
      <c r="E1045" s="219"/>
      <c r="F1045" s="219"/>
      <c r="G1045" s="219"/>
      <c r="H1045" s="219"/>
      <c r="I1045" s="249"/>
      <c r="J1045" s="243"/>
      <c r="K1045" s="219"/>
      <c r="L1045" s="244"/>
      <c r="M1045" s="219"/>
      <c r="N1045" s="219"/>
      <c r="O1045" s="219"/>
      <c r="P1045" s="244"/>
      <c r="Q1045" s="219"/>
      <c r="R1045" s="302"/>
      <c r="S1045" s="219"/>
      <c r="T1045" s="219"/>
      <c r="U1045" s="219"/>
      <c r="V1045" s="303"/>
      <c r="W1045" s="247"/>
      <c r="X1045" s="245"/>
      <c r="Y1045" s="245"/>
      <c r="Z1045" s="245"/>
      <c r="AA1045" s="245"/>
      <c r="AB1045" s="245"/>
      <c r="AC1045" s="249"/>
      <c r="AD1045" s="249"/>
      <c r="AE1045" s="249"/>
      <c r="AF1045" s="8"/>
      <c r="AG1045" s="8"/>
      <c r="AH1045" s="72"/>
      <c r="AI1045" s="8"/>
      <c r="AJ1045" s="251"/>
      <c r="AK1045" s="23"/>
      <c r="AL1045" s="75"/>
      <c r="AM1045" s="75" t="str">
        <f t="shared" si="141"/>
        <v/>
      </c>
      <c r="AN1045" s="75"/>
      <c r="AO1045" s="75"/>
      <c r="AP1045" s="75"/>
      <c r="AQ1045" s="75"/>
      <c r="AR1045" s="75"/>
      <c r="AS1045" s="75"/>
      <c r="AT1045" s="75"/>
    </row>
    <row r="1046" ht="22.5" customHeight="1">
      <c r="A1046" s="219"/>
      <c r="B1046" s="219"/>
      <c r="C1046" s="219"/>
      <c r="D1046" s="219"/>
      <c r="E1046" s="219"/>
      <c r="F1046" s="219"/>
      <c r="G1046" s="219"/>
      <c r="H1046" s="219"/>
      <c r="I1046" s="249"/>
      <c r="J1046" s="243"/>
      <c r="K1046" s="219"/>
      <c r="L1046" s="244"/>
      <c r="M1046" s="219"/>
      <c r="N1046" s="219"/>
      <c r="O1046" s="219"/>
      <c r="P1046" s="244"/>
      <c r="Q1046" s="219"/>
      <c r="R1046" s="302"/>
      <c r="S1046" s="219"/>
      <c r="T1046" s="219"/>
      <c r="U1046" s="219"/>
      <c r="V1046" s="303"/>
      <c r="W1046" s="247"/>
      <c r="X1046" s="245"/>
      <c r="Y1046" s="245"/>
      <c r="Z1046" s="245"/>
      <c r="AA1046" s="245"/>
      <c r="AB1046" s="245"/>
      <c r="AC1046" s="249"/>
      <c r="AD1046" s="249"/>
      <c r="AE1046" s="249"/>
      <c r="AF1046" s="8"/>
      <c r="AG1046" s="8"/>
      <c r="AH1046" s="72"/>
      <c r="AI1046" s="8"/>
      <c r="AJ1046" s="251"/>
      <c r="AK1046" s="23"/>
      <c r="AL1046" s="75"/>
      <c r="AM1046" s="75" t="str">
        <f t="shared" si="141"/>
        <v/>
      </c>
      <c r="AN1046" s="75"/>
      <c r="AO1046" s="75"/>
      <c r="AP1046" s="75"/>
      <c r="AQ1046" s="75"/>
      <c r="AR1046" s="75"/>
      <c r="AS1046" s="75"/>
      <c r="AT1046" s="75"/>
    </row>
    <row r="1047" ht="22.5" customHeight="1">
      <c r="A1047" s="219"/>
      <c r="B1047" s="219"/>
      <c r="C1047" s="219"/>
      <c r="D1047" s="219"/>
      <c r="E1047" s="219"/>
      <c r="F1047" s="219"/>
      <c r="G1047" s="219"/>
      <c r="H1047" s="219"/>
      <c r="I1047" s="249"/>
      <c r="J1047" s="243"/>
      <c r="K1047" s="219"/>
      <c r="L1047" s="244"/>
      <c r="M1047" s="219"/>
      <c r="N1047" s="219"/>
      <c r="O1047" s="219"/>
      <c r="P1047" s="244"/>
      <c r="Q1047" s="219"/>
      <c r="R1047" s="302"/>
      <c r="S1047" s="219"/>
      <c r="T1047" s="219"/>
      <c r="U1047" s="219"/>
      <c r="V1047" s="303"/>
      <c r="W1047" s="247"/>
      <c r="X1047" s="245"/>
      <c r="Y1047" s="245"/>
      <c r="Z1047" s="245"/>
      <c r="AA1047" s="245"/>
      <c r="AB1047" s="245"/>
      <c r="AC1047" s="249"/>
      <c r="AD1047" s="249"/>
      <c r="AE1047" s="249"/>
      <c r="AF1047" s="8"/>
      <c r="AG1047" s="8"/>
      <c r="AH1047" s="72"/>
      <c r="AI1047" s="8"/>
      <c r="AJ1047" s="251"/>
      <c r="AK1047" s="23"/>
      <c r="AL1047" s="75"/>
      <c r="AM1047" s="75" t="str">
        <f t="shared" si="141"/>
        <v/>
      </c>
      <c r="AN1047" s="75"/>
      <c r="AO1047" s="75"/>
      <c r="AP1047" s="75"/>
      <c r="AQ1047" s="75"/>
      <c r="AR1047" s="75"/>
      <c r="AS1047" s="75"/>
      <c r="AT1047" s="75"/>
    </row>
    <row r="1048" ht="22.5" customHeight="1">
      <c r="A1048" s="219"/>
      <c r="B1048" s="219"/>
      <c r="C1048" s="219"/>
      <c r="D1048" s="219"/>
      <c r="E1048" s="219"/>
      <c r="F1048" s="219"/>
      <c r="G1048" s="219"/>
      <c r="H1048" s="219"/>
      <c r="I1048" s="249"/>
      <c r="J1048" s="243"/>
      <c r="K1048" s="219"/>
      <c r="L1048" s="244"/>
      <c r="M1048" s="219"/>
      <c r="N1048" s="219"/>
      <c r="O1048" s="219"/>
      <c r="P1048" s="244"/>
      <c r="Q1048" s="219"/>
      <c r="R1048" s="302"/>
      <c r="S1048" s="219"/>
      <c r="T1048" s="219"/>
      <c r="U1048" s="219"/>
      <c r="V1048" s="303"/>
      <c r="W1048" s="247"/>
      <c r="X1048" s="245"/>
      <c r="Y1048" s="245"/>
      <c r="Z1048" s="245"/>
      <c r="AA1048" s="245"/>
      <c r="AB1048" s="245"/>
      <c r="AC1048" s="249"/>
      <c r="AD1048" s="249"/>
      <c r="AE1048" s="249"/>
      <c r="AF1048" s="8"/>
      <c r="AG1048" s="8"/>
      <c r="AH1048" s="72"/>
      <c r="AI1048" s="8"/>
      <c r="AJ1048" s="251"/>
      <c r="AK1048" s="23"/>
      <c r="AL1048" s="75"/>
      <c r="AM1048" s="75" t="str">
        <f t="shared" si="141"/>
        <v/>
      </c>
      <c r="AN1048" s="75"/>
      <c r="AO1048" s="75"/>
      <c r="AP1048" s="75"/>
      <c r="AQ1048" s="75"/>
      <c r="AR1048" s="75"/>
      <c r="AS1048" s="75"/>
      <c r="AT1048" s="75"/>
    </row>
    <row r="1049" ht="22.5" customHeight="1">
      <c r="A1049" s="219"/>
      <c r="B1049" s="219"/>
      <c r="C1049" s="219"/>
      <c r="D1049" s="219"/>
      <c r="E1049" s="219"/>
      <c r="F1049" s="219"/>
      <c r="G1049" s="219"/>
      <c r="H1049" s="219"/>
      <c r="I1049" s="249"/>
      <c r="J1049" s="243"/>
      <c r="K1049" s="219"/>
      <c r="L1049" s="244"/>
      <c r="M1049" s="219"/>
      <c r="N1049" s="219"/>
      <c r="O1049" s="219"/>
      <c r="P1049" s="244"/>
      <c r="Q1049" s="219"/>
      <c r="R1049" s="302"/>
      <c r="S1049" s="219"/>
      <c r="T1049" s="219"/>
      <c r="U1049" s="219"/>
      <c r="V1049" s="303"/>
      <c r="W1049" s="247"/>
      <c r="X1049" s="245"/>
      <c r="Y1049" s="245"/>
      <c r="Z1049" s="245"/>
      <c r="AA1049" s="245"/>
      <c r="AB1049" s="245"/>
      <c r="AC1049" s="249"/>
      <c r="AD1049" s="249"/>
      <c r="AE1049" s="249"/>
      <c r="AF1049" s="8"/>
      <c r="AG1049" s="8"/>
      <c r="AH1049" s="72"/>
      <c r="AI1049" s="8"/>
      <c r="AJ1049" s="251"/>
      <c r="AK1049" s="23"/>
      <c r="AL1049" s="75"/>
      <c r="AM1049" s="75" t="str">
        <f t="shared" si="141"/>
        <v/>
      </c>
      <c r="AN1049" s="75"/>
      <c r="AO1049" s="75"/>
      <c r="AP1049" s="75"/>
      <c r="AQ1049" s="75"/>
      <c r="AR1049" s="75"/>
      <c r="AS1049" s="75"/>
      <c r="AT1049" s="75"/>
    </row>
    <row r="1050" ht="22.5" customHeight="1">
      <c r="A1050" s="219"/>
      <c r="B1050" s="219"/>
      <c r="C1050" s="219"/>
      <c r="D1050" s="219"/>
      <c r="E1050" s="219"/>
      <c r="F1050" s="219"/>
      <c r="G1050" s="219"/>
      <c r="H1050" s="219"/>
      <c r="I1050" s="249"/>
      <c r="J1050" s="243"/>
      <c r="K1050" s="219"/>
      <c r="L1050" s="244"/>
      <c r="M1050" s="219"/>
      <c r="N1050" s="219"/>
      <c r="O1050" s="219"/>
      <c r="P1050" s="244"/>
      <c r="Q1050" s="219"/>
      <c r="R1050" s="302"/>
      <c r="S1050" s="219"/>
      <c r="T1050" s="219"/>
      <c r="U1050" s="219"/>
      <c r="V1050" s="303"/>
      <c r="W1050" s="247"/>
      <c r="X1050" s="245"/>
      <c r="Y1050" s="245"/>
      <c r="Z1050" s="245"/>
      <c r="AA1050" s="245"/>
      <c r="AB1050" s="245"/>
      <c r="AC1050" s="249"/>
      <c r="AD1050" s="249"/>
      <c r="AE1050" s="249"/>
      <c r="AF1050" s="8"/>
      <c r="AG1050" s="8"/>
      <c r="AH1050" s="72"/>
      <c r="AI1050" s="8"/>
      <c r="AJ1050" s="251"/>
      <c r="AK1050" s="23"/>
      <c r="AL1050" s="75"/>
      <c r="AM1050" s="75" t="str">
        <f t="shared" si="141"/>
        <v/>
      </c>
      <c r="AN1050" s="75"/>
      <c r="AO1050" s="75"/>
      <c r="AP1050" s="75"/>
      <c r="AQ1050" s="75"/>
      <c r="AR1050" s="75"/>
      <c r="AS1050" s="75"/>
      <c r="AT1050" s="75"/>
    </row>
    <row r="1051" ht="22.5" customHeight="1">
      <c r="A1051" s="219"/>
      <c r="B1051" s="219"/>
      <c r="C1051" s="219"/>
      <c r="D1051" s="219"/>
      <c r="E1051" s="219"/>
      <c r="F1051" s="219"/>
      <c r="G1051" s="219"/>
      <c r="H1051" s="219"/>
      <c r="I1051" s="249"/>
      <c r="J1051" s="243"/>
      <c r="K1051" s="219"/>
      <c r="L1051" s="244"/>
      <c r="M1051" s="219"/>
      <c r="N1051" s="219"/>
      <c r="O1051" s="219"/>
      <c r="P1051" s="244"/>
      <c r="Q1051" s="219"/>
      <c r="R1051" s="302"/>
      <c r="S1051" s="219"/>
      <c r="T1051" s="219"/>
      <c r="U1051" s="219"/>
      <c r="V1051" s="303"/>
      <c r="W1051" s="247"/>
      <c r="X1051" s="245"/>
      <c r="Y1051" s="245"/>
      <c r="Z1051" s="245"/>
      <c r="AA1051" s="245"/>
      <c r="AB1051" s="245"/>
      <c r="AC1051" s="249"/>
      <c r="AD1051" s="249"/>
      <c r="AE1051" s="249"/>
      <c r="AF1051" s="8"/>
      <c r="AG1051" s="8"/>
      <c r="AH1051" s="72"/>
      <c r="AI1051" s="8"/>
      <c r="AJ1051" s="251"/>
      <c r="AK1051" s="23"/>
      <c r="AL1051" s="75"/>
      <c r="AM1051" s="75" t="str">
        <f t="shared" si="141"/>
        <v/>
      </c>
      <c r="AN1051" s="75"/>
      <c r="AO1051" s="75"/>
      <c r="AP1051" s="75"/>
      <c r="AQ1051" s="75"/>
      <c r="AR1051" s="75"/>
      <c r="AS1051" s="75"/>
      <c r="AT1051" s="75"/>
    </row>
    <row r="1052" ht="22.5" customHeight="1">
      <c r="A1052" s="219"/>
      <c r="B1052" s="219"/>
      <c r="C1052" s="219"/>
      <c r="D1052" s="219"/>
      <c r="E1052" s="219"/>
      <c r="F1052" s="219"/>
      <c r="G1052" s="219"/>
      <c r="H1052" s="219"/>
      <c r="I1052" s="249"/>
      <c r="J1052" s="243"/>
      <c r="K1052" s="219"/>
      <c r="L1052" s="244"/>
      <c r="M1052" s="219"/>
      <c r="N1052" s="219"/>
      <c r="O1052" s="219"/>
      <c r="P1052" s="244"/>
      <c r="Q1052" s="219"/>
      <c r="R1052" s="302"/>
      <c r="S1052" s="219"/>
      <c r="T1052" s="219"/>
      <c r="U1052" s="219"/>
      <c r="V1052" s="303"/>
      <c r="W1052" s="247"/>
      <c r="X1052" s="245"/>
      <c r="Y1052" s="245"/>
      <c r="Z1052" s="245"/>
      <c r="AA1052" s="245"/>
      <c r="AB1052" s="245"/>
      <c r="AC1052" s="249"/>
      <c r="AD1052" s="249"/>
      <c r="AE1052" s="249"/>
      <c r="AF1052" s="8"/>
      <c r="AG1052" s="8"/>
      <c r="AH1052" s="72"/>
      <c r="AI1052" s="8"/>
      <c r="AJ1052" s="251"/>
      <c r="AK1052" s="23"/>
      <c r="AL1052" s="75"/>
      <c r="AM1052" s="75" t="str">
        <f t="shared" si="141"/>
        <v/>
      </c>
      <c r="AN1052" s="75"/>
      <c r="AO1052" s="75"/>
      <c r="AP1052" s="75"/>
      <c r="AQ1052" s="75"/>
      <c r="AR1052" s="75"/>
      <c r="AS1052" s="75"/>
      <c r="AT1052" s="75"/>
    </row>
    <row r="1053" ht="22.5" customHeight="1">
      <c r="A1053" s="219"/>
      <c r="B1053" s="219"/>
      <c r="C1053" s="219"/>
      <c r="D1053" s="219"/>
      <c r="E1053" s="219"/>
      <c r="F1053" s="219"/>
      <c r="G1053" s="219"/>
      <c r="H1053" s="219"/>
      <c r="I1053" s="249"/>
      <c r="J1053" s="243"/>
      <c r="K1053" s="219"/>
      <c r="L1053" s="244"/>
      <c r="M1053" s="219"/>
      <c r="N1053" s="219"/>
      <c r="O1053" s="219"/>
      <c r="P1053" s="244"/>
      <c r="Q1053" s="219"/>
      <c r="R1053" s="302"/>
      <c r="S1053" s="219"/>
      <c r="T1053" s="219"/>
      <c r="U1053" s="219"/>
      <c r="V1053" s="303"/>
      <c r="W1053" s="247"/>
      <c r="X1053" s="245"/>
      <c r="Y1053" s="245"/>
      <c r="Z1053" s="245"/>
      <c r="AA1053" s="245"/>
      <c r="AB1053" s="245"/>
      <c r="AC1053" s="249"/>
      <c r="AD1053" s="249"/>
      <c r="AE1053" s="249"/>
      <c r="AF1053" s="8"/>
      <c r="AG1053" s="8"/>
      <c r="AH1053" s="72"/>
      <c r="AI1053" s="8"/>
      <c r="AJ1053" s="251"/>
      <c r="AK1053" s="23"/>
      <c r="AL1053" s="75"/>
      <c r="AM1053" s="75" t="str">
        <f t="shared" si="141"/>
        <v/>
      </c>
      <c r="AN1053" s="75"/>
      <c r="AO1053" s="75"/>
      <c r="AP1053" s="75"/>
      <c r="AQ1053" s="75"/>
      <c r="AR1053" s="75"/>
      <c r="AS1053" s="75"/>
      <c r="AT1053" s="75"/>
    </row>
    <row r="1054" ht="22.5" customHeight="1">
      <c r="A1054" s="219"/>
      <c r="B1054" s="219"/>
      <c r="C1054" s="219"/>
      <c r="D1054" s="219"/>
      <c r="E1054" s="219"/>
      <c r="F1054" s="219"/>
      <c r="G1054" s="219"/>
      <c r="H1054" s="219"/>
      <c r="I1054" s="249"/>
      <c r="J1054" s="243"/>
      <c r="K1054" s="219"/>
      <c r="L1054" s="244"/>
      <c r="M1054" s="219"/>
      <c r="N1054" s="219"/>
      <c r="O1054" s="219"/>
      <c r="P1054" s="244"/>
      <c r="Q1054" s="219"/>
      <c r="R1054" s="302"/>
      <c r="S1054" s="219"/>
      <c r="T1054" s="219"/>
      <c r="U1054" s="219"/>
      <c r="V1054" s="303"/>
      <c r="W1054" s="247"/>
      <c r="X1054" s="245"/>
      <c r="Y1054" s="245"/>
      <c r="Z1054" s="245"/>
      <c r="AA1054" s="245"/>
      <c r="AB1054" s="245"/>
      <c r="AC1054" s="249"/>
      <c r="AD1054" s="249"/>
      <c r="AE1054" s="249"/>
      <c r="AF1054" s="8"/>
      <c r="AG1054" s="8"/>
      <c r="AH1054" s="72"/>
      <c r="AI1054" s="8"/>
      <c r="AJ1054" s="251"/>
      <c r="AK1054" s="23"/>
      <c r="AL1054" s="75"/>
      <c r="AM1054" s="75" t="str">
        <f t="shared" si="141"/>
        <v/>
      </c>
      <c r="AN1054" s="75"/>
      <c r="AO1054" s="75"/>
      <c r="AP1054" s="75"/>
      <c r="AQ1054" s="75"/>
      <c r="AR1054" s="75"/>
      <c r="AS1054" s="75"/>
      <c r="AT1054" s="75"/>
    </row>
    <row r="1055" ht="22.5" customHeight="1">
      <c r="A1055" s="219"/>
      <c r="B1055" s="219"/>
      <c r="C1055" s="219"/>
      <c r="D1055" s="219"/>
      <c r="E1055" s="219"/>
      <c r="F1055" s="219"/>
      <c r="G1055" s="219"/>
      <c r="H1055" s="219"/>
      <c r="I1055" s="249"/>
      <c r="J1055" s="243"/>
      <c r="K1055" s="219"/>
      <c r="L1055" s="244"/>
      <c r="M1055" s="219"/>
      <c r="N1055" s="219"/>
      <c r="O1055" s="219"/>
      <c r="P1055" s="244"/>
      <c r="Q1055" s="219"/>
      <c r="R1055" s="302"/>
      <c r="S1055" s="219"/>
      <c r="T1055" s="219"/>
      <c r="U1055" s="219"/>
      <c r="V1055" s="303"/>
      <c r="W1055" s="247"/>
      <c r="X1055" s="245"/>
      <c r="Y1055" s="245"/>
      <c r="Z1055" s="245"/>
      <c r="AA1055" s="245"/>
      <c r="AB1055" s="245"/>
      <c r="AC1055" s="249"/>
      <c r="AD1055" s="249"/>
      <c r="AE1055" s="249"/>
      <c r="AF1055" s="8"/>
      <c r="AG1055" s="8"/>
      <c r="AH1055" s="72"/>
      <c r="AI1055" s="8"/>
      <c r="AJ1055" s="251"/>
      <c r="AK1055" s="23"/>
      <c r="AL1055" s="75"/>
      <c r="AM1055" s="75" t="str">
        <f t="shared" si="141"/>
        <v/>
      </c>
      <c r="AN1055" s="75"/>
      <c r="AO1055" s="75"/>
      <c r="AP1055" s="75"/>
      <c r="AQ1055" s="75"/>
      <c r="AR1055" s="75"/>
      <c r="AS1055" s="75"/>
      <c r="AT1055" s="75"/>
    </row>
    <row r="1056" ht="22.5" customHeight="1">
      <c r="A1056" s="219"/>
      <c r="B1056" s="219"/>
      <c r="C1056" s="219"/>
      <c r="D1056" s="219"/>
      <c r="E1056" s="219"/>
      <c r="F1056" s="219"/>
      <c r="G1056" s="219"/>
      <c r="H1056" s="219"/>
      <c r="I1056" s="249"/>
      <c r="J1056" s="243"/>
      <c r="K1056" s="219"/>
      <c r="L1056" s="244"/>
      <c r="M1056" s="219"/>
      <c r="N1056" s="219"/>
      <c r="O1056" s="219"/>
      <c r="P1056" s="244"/>
      <c r="Q1056" s="219"/>
      <c r="R1056" s="302"/>
      <c r="S1056" s="219"/>
      <c r="T1056" s="219"/>
      <c r="U1056" s="219"/>
      <c r="V1056" s="303"/>
      <c r="W1056" s="247"/>
      <c r="X1056" s="245"/>
      <c r="Y1056" s="245"/>
      <c r="Z1056" s="245"/>
      <c r="AA1056" s="245"/>
      <c r="AB1056" s="245"/>
      <c r="AC1056" s="249"/>
      <c r="AD1056" s="249"/>
      <c r="AE1056" s="249"/>
      <c r="AF1056" s="8"/>
      <c r="AG1056" s="8"/>
      <c r="AH1056" s="72"/>
      <c r="AI1056" s="8"/>
      <c r="AJ1056" s="251"/>
      <c r="AK1056" s="23"/>
      <c r="AL1056" s="75"/>
      <c r="AM1056" s="75" t="str">
        <f t="shared" si="141"/>
        <v/>
      </c>
      <c r="AN1056" s="75"/>
      <c r="AO1056" s="75"/>
      <c r="AP1056" s="75"/>
      <c r="AQ1056" s="75"/>
      <c r="AR1056" s="75"/>
      <c r="AS1056" s="75"/>
      <c r="AT1056" s="75"/>
    </row>
    <row r="1057" ht="22.5" customHeight="1">
      <c r="A1057" s="219"/>
      <c r="B1057" s="219"/>
      <c r="C1057" s="219"/>
      <c r="D1057" s="219"/>
      <c r="E1057" s="219"/>
      <c r="F1057" s="219"/>
      <c r="G1057" s="219"/>
      <c r="H1057" s="219"/>
      <c r="I1057" s="249"/>
      <c r="J1057" s="243"/>
      <c r="K1057" s="219"/>
      <c r="L1057" s="244"/>
      <c r="M1057" s="219"/>
      <c r="N1057" s="219"/>
      <c r="O1057" s="219"/>
      <c r="P1057" s="244"/>
      <c r="Q1057" s="219"/>
      <c r="R1057" s="302"/>
      <c r="S1057" s="219"/>
      <c r="T1057" s="219"/>
      <c r="U1057" s="219"/>
      <c r="V1057" s="303"/>
      <c r="W1057" s="247"/>
      <c r="X1057" s="245"/>
      <c r="Y1057" s="245"/>
      <c r="Z1057" s="245"/>
      <c r="AA1057" s="245"/>
      <c r="AB1057" s="245"/>
      <c r="AC1057" s="249"/>
      <c r="AD1057" s="249"/>
      <c r="AE1057" s="249"/>
      <c r="AF1057" s="8"/>
      <c r="AG1057" s="8"/>
      <c r="AH1057" s="72"/>
      <c r="AI1057" s="8"/>
      <c r="AJ1057" s="251"/>
      <c r="AK1057" s="23"/>
      <c r="AL1057" s="75"/>
      <c r="AM1057" s="75" t="str">
        <f t="shared" si="141"/>
        <v/>
      </c>
      <c r="AN1057" s="75"/>
      <c r="AO1057" s="75"/>
      <c r="AP1057" s="75"/>
      <c r="AQ1057" s="75"/>
      <c r="AR1057" s="75"/>
      <c r="AS1057" s="75"/>
      <c r="AT1057" s="75"/>
    </row>
    <row r="1058" ht="22.5" customHeight="1">
      <c r="A1058" s="219"/>
      <c r="B1058" s="219"/>
      <c r="C1058" s="219"/>
      <c r="D1058" s="219"/>
      <c r="E1058" s="219"/>
      <c r="F1058" s="219"/>
      <c r="G1058" s="219"/>
      <c r="H1058" s="219"/>
      <c r="I1058" s="249"/>
      <c r="J1058" s="243"/>
      <c r="K1058" s="219"/>
      <c r="L1058" s="244"/>
      <c r="M1058" s="219"/>
      <c r="N1058" s="219"/>
      <c r="O1058" s="219"/>
      <c r="P1058" s="244"/>
      <c r="Q1058" s="219"/>
      <c r="R1058" s="302"/>
      <c r="S1058" s="219"/>
      <c r="T1058" s="219"/>
      <c r="U1058" s="219"/>
      <c r="V1058" s="303"/>
      <c r="W1058" s="247"/>
      <c r="X1058" s="245"/>
      <c r="Y1058" s="245"/>
      <c r="Z1058" s="245"/>
      <c r="AA1058" s="245"/>
      <c r="AB1058" s="245"/>
      <c r="AC1058" s="249"/>
      <c r="AD1058" s="249"/>
      <c r="AE1058" s="249"/>
      <c r="AF1058" s="8"/>
      <c r="AG1058" s="8"/>
      <c r="AH1058" s="72"/>
      <c r="AI1058" s="8"/>
      <c r="AJ1058" s="251"/>
      <c r="AK1058" s="23"/>
      <c r="AL1058" s="75"/>
      <c r="AM1058" s="75" t="str">
        <f t="shared" si="141"/>
        <v/>
      </c>
      <c r="AN1058" s="75"/>
      <c r="AO1058" s="75"/>
      <c r="AP1058" s="75"/>
      <c r="AQ1058" s="75"/>
      <c r="AR1058" s="75"/>
      <c r="AS1058" s="75"/>
      <c r="AT1058" s="75"/>
    </row>
    <row r="1059" ht="22.5" customHeight="1">
      <c r="A1059" s="219"/>
      <c r="B1059" s="219"/>
      <c r="C1059" s="219"/>
      <c r="D1059" s="219"/>
      <c r="E1059" s="219"/>
      <c r="F1059" s="219"/>
      <c r="G1059" s="219"/>
      <c r="H1059" s="219"/>
      <c r="I1059" s="249"/>
      <c r="J1059" s="243"/>
      <c r="K1059" s="219"/>
      <c r="L1059" s="244"/>
      <c r="M1059" s="219"/>
      <c r="N1059" s="219"/>
      <c r="O1059" s="219"/>
      <c r="P1059" s="244"/>
      <c r="Q1059" s="219"/>
      <c r="R1059" s="302"/>
      <c r="S1059" s="219"/>
      <c r="T1059" s="219"/>
      <c r="U1059" s="219"/>
      <c r="V1059" s="303"/>
      <c r="W1059" s="247"/>
      <c r="X1059" s="245"/>
      <c r="Y1059" s="245"/>
      <c r="Z1059" s="245"/>
      <c r="AA1059" s="245"/>
      <c r="AB1059" s="245"/>
      <c r="AC1059" s="249"/>
      <c r="AD1059" s="249"/>
      <c r="AE1059" s="249"/>
      <c r="AF1059" s="8"/>
      <c r="AG1059" s="8"/>
      <c r="AH1059" s="72"/>
      <c r="AI1059" s="8"/>
      <c r="AJ1059" s="251"/>
      <c r="AK1059" s="23"/>
      <c r="AL1059" s="75"/>
      <c r="AM1059" s="75" t="str">
        <f t="shared" si="141"/>
        <v/>
      </c>
      <c r="AN1059" s="75"/>
      <c r="AO1059" s="75"/>
      <c r="AP1059" s="75"/>
      <c r="AQ1059" s="75"/>
      <c r="AR1059" s="75"/>
      <c r="AS1059" s="75"/>
      <c r="AT1059" s="75"/>
    </row>
    <row r="1060" ht="22.5" customHeight="1">
      <c r="A1060" s="219"/>
      <c r="B1060" s="219"/>
      <c r="C1060" s="219"/>
      <c r="D1060" s="219"/>
      <c r="E1060" s="219"/>
      <c r="F1060" s="219"/>
      <c r="G1060" s="219"/>
      <c r="H1060" s="219"/>
      <c r="I1060" s="249"/>
      <c r="J1060" s="243"/>
      <c r="K1060" s="219"/>
      <c r="L1060" s="244"/>
      <c r="M1060" s="219"/>
      <c r="N1060" s="219"/>
      <c r="O1060" s="219"/>
      <c r="P1060" s="244"/>
      <c r="Q1060" s="219"/>
      <c r="R1060" s="302"/>
      <c r="S1060" s="219"/>
      <c r="T1060" s="219"/>
      <c r="U1060" s="219"/>
      <c r="V1060" s="303"/>
      <c r="W1060" s="247"/>
      <c r="X1060" s="245"/>
      <c r="Y1060" s="245"/>
      <c r="Z1060" s="245"/>
      <c r="AA1060" s="245"/>
      <c r="AB1060" s="245"/>
      <c r="AC1060" s="249"/>
      <c r="AD1060" s="249"/>
      <c r="AE1060" s="249"/>
      <c r="AF1060" s="8"/>
      <c r="AG1060" s="8"/>
      <c r="AH1060" s="72"/>
      <c r="AI1060" s="8"/>
      <c r="AJ1060" s="251"/>
      <c r="AK1060" s="23"/>
      <c r="AL1060" s="75"/>
      <c r="AM1060" s="75" t="str">
        <f t="shared" si="141"/>
        <v/>
      </c>
      <c r="AN1060" s="75"/>
      <c r="AO1060" s="75"/>
      <c r="AP1060" s="75"/>
      <c r="AQ1060" s="75"/>
      <c r="AR1060" s="75"/>
      <c r="AS1060" s="75"/>
      <c r="AT1060" s="75"/>
    </row>
    <row r="1061" ht="22.5" customHeight="1">
      <c r="A1061" s="219"/>
      <c r="B1061" s="219"/>
      <c r="C1061" s="219"/>
      <c r="D1061" s="219"/>
      <c r="E1061" s="219"/>
      <c r="F1061" s="219"/>
      <c r="G1061" s="219"/>
      <c r="H1061" s="219"/>
      <c r="I1061" s="249"/>
      <c r="J1061" s="243"/>
      <c r="K1061" s="219"/>
      <c r="L1061" s="244"/>
      <c r="M1061" s="219"/>
      <c r="N1061" s="219"/>
      <c r="O1061" s="219"/>
      <c r="P1061" s="244"/>
      <c r="Q1061" s="219"/>
      <c r="R1061" s="302"/>
      <c r="S1061" s="219"/>
      <c r="T1061" s="219"/>
      <c r="U1061" s="219"/>
      <c r="V1061" s="303"/>
      <c r="W1061" s="247"/>
      <c r="X1061" s="245"/>
      <c r="Y1061" s="245"/>
      <c r="Z1061" s="245"/>
      <c r="AA1061" s="245"/>
      <c r="AB1061" s="245"/>
      <c r="AC1061" s="249"/>
      <c r="AD1061" s="249"/>
      <c r="AE1061" s="249"/>
      <c r="AF1061" s="8"/>
      <c r="AG1061" s="8"/>
      <c r="AH1061" s="72"/>
      <c r="AI1061" s="8"/>
      <c r="AJ1061" s="251"/>
      <c r="AK1061" s="23"/>
      <c r="AL1061" s="75"/>
      <c r="AM1061" s="75" t="str">
        <f t="shared" si="141"/>
        <v/>
      </c>
      <c r="AN1061" s="75"/>
      <c r="AO1061" s="75"/>
      <c r="AP1061" s="75"/>
      <c r="AQ1061" s="75"/>
      <c r="AR1061" s="75"/>
      <c r="AS1061" s="75"/>
      <c r="AT1061" s="75"/>
    </row>
    <row r="1062" ht="22.5" customHeight="1">
      <c r="A1062" s="219"/>
      <c r="B1062" s="219"/>
      <c r="C1062" s="219"/>
      <c r="D1062" s="219"/>
      <c r="E1062" s="219"/>
      <c r="F1062" s="219"/>
      <c r="G1062" s="219"/>
      <c r="H1062" s="219"/>
      <c r="I1062" s="249"/>
      <c r="J1062" s="243"/>
      <c r="K1062" s="219"/>
      <c r="L1062" s="244"/>
      <c r="M1062" s="219"/>
      <c r="N1062" s="219"/>
      <c r="O1062" s="219"/>
      <c r="P1062" s="244"/>
      <c r="Q1062" s="219"/>
      <c r="R1062" s="302"/>
      <c r="S1062" s="219"/>
      <c r="T1062" s="219"/>
      <c r="U1062" s="219"/>
      <c r="V1062" s="303"/>
      <c r="W1062" s="247"/>
      <c r="X1062" s="245"/>
      <c r="Y1062" s="245"/>
      <c r="Z1062" s="245"/>
      <c r="AA1062" s="245"/>
      <c r="AB1062" s="245"/>
      <c r="AC1062" s="249"/>
      <c r="AD1062" s="249"/>
      <c r="AE1062" s="249"/>
      <c r="AF1062" s="8"/>
      <c r="AG1062" s="8"/>
      <c r="AH1062" s="72"/>
      <c r="AI1062" s="8"/>
      <c r="AJ1062" s="251"/>
      <c r="AK1062" s="23"/>
      <c r="AL1062" s="75"/>
      <c r="AM1062" s="75" t="str">
        <f t="shared" si="141"/>
        <v/>
      </c>
      <c r="AN1062" s="75"/>
      <c r="AO1062" s="75"/>
      <c r="AP1062" s="75"/>
      <c r="AQ1062" s="75"/>
      <c r="AR1062" s="75"/>
      <c r="AS1062" s="75"/>
      <c r="AT1062" s="75"/>
    </row>
    <row r="1063" ht="22.5" customHeight="1">
      <c r="A1063" s="219"/>
      <c r="B1063" s="219"/>
      <c r="C1063" s="219"/>
      <c r="D1063" s="219"/>
      <c r="E1063" s="219"/>
      <c r="F1063" s="219"/>
      <c r="G1063" s="219"/>
      <c r="H1063" s="219"/>
      <c r="I1063" s="249"/>
      <c r="J1063" s="243"/>
      <c r="K1063" s="219"/>
      <c r="L1063" s="244"/>
      <c r="M1063" s="219"/>
      <c r="N1063" s="219"/>
      <c r="O1063" s="219"/>
      <c r="P1063" s="244"/>
      <c r="Q1063" s="219"/>
      <c r="R1063" s="302"/>
      <c r="S1063" s="219"/>
      <c r="T1063" s="219"/>
      <c r="U1063" s="219"/>
      <c r="V1063" s="303"/>
      <c r="W1063" s="247"/>
      <c r="X1063" s="245"/>
      <c r="Y1063" s="245"/>
      <c r="Z1063" s="245"/>
      <c r="AA1063" s="245"/>
      <c r="AB1063" s="245"/>
      <c r="AC1063" s="249"/>
      <c r="AD1063" s="249"/>
      <c r="AE1063" s="249"/>
      <c r="AF1063" s="8"/>
      <c r="AG1063" s="8"/>
      <c r="AH1063" s="72"/>
      <c r="AI1063" s="8"/>
      <c r="AJ1063" s="251"/>
      <c r="AK1063" s="23"/>
      <c r="AL1063" s="75"/>
      <c r="AM1063" s="75" t="str">
        <f t="shared" si="141"/>
        <v/>
      </c>
      <c r="AN1063" s="75"/>
      <c r="AO1063" s="75"/>
      <c r="AP1063" s="75"/>
      <c r="AQ1063" s="75"/>
      <c r="AR1063" s="75"/>
      <c r="AS1063" s="75"/>
      <c r="AT1063" s="75"/>
    </row>
    <row r="1064" ht="22.5" customHeight="1">
      <c r="A1064" s="219"/>
      <c r="B1064" s="219"/>
      <c r="C1064" s="219"/>
      <c r="D1064" s="219"/>
      <c r="E1064" s="219"/>
      <c r="F1064" s="219"/>
      <c r="G1064" s="219"/>
      <c r="H1064" s="219"/>
      <c r="I1064" s="249"/>
      <c r="J1064" s="243"/>
      <c r="K1064" s="219"/>
      <c r="L1064" s="244"/>
      <c r="M1064" s="219"/>
      <c r="N1064" s="219"/>
      <c r="O1064" s="219"/>
      <c r="P1064" s="244"/>
      <c r="Q1064" s="219"/>
      <c r="R1064" s="302"/>
      <c r="S1064" s="219"/>
      <c r="T1064" s="219"/>
      <c r="U1064" s="219"/>
      <c r="V1064" s="303"/>
      <c r="W1064" s="247"/>
      <c r="X1064" s="245"/>
      <c r="Y1064" s="245"/>
      <c r="Z1064" s="245"/>
      <c r="AA1064" s="245"/>
      <c r="AB1064" s="245"/>
      <c r="AC1064" s="249"/>
      <c r="AD1064" s="249"/>
      <c r="AE1064" s="249"/>
      <c r="AF1064" s="8"/>
      <c r="AG1064" s="8"/>
      <c r="AH1064" s="72"/>
      <c r="AI1064" s="8"/>
      <c r="AJ1064" s="251"/>
      <c r="AK1064" s="23"/>
      <c r="AL1064" s="75"/>
      <c r="AM1064" s="75" t="str">
        <f t="shared" si="141"/>
        <v/>
      </c>
      <c r="AN1064" s="75"/>
      <c r="AO1064" s="75"/>
      <c r="AP1064" s="75"/>
      <c r="AQ1064" s="75"/>
      <c r="AR1064" s="75"/>
      <c r="AS1064" s="75"/>
      <c r="AT1064" s="75"/>
    </row>
    <row r="1065" ht="22.5" customHeight="1">
      <c r="A1065" s="219"/>
      <c r="B1065" s="219"/>
      <c r="C1065" s="219"/>
      <c r="D1065" s="219"/>
      <c r="E1065" s="219"/>
      <c r="F1065" s="219"/>
      <c r="G1065" s="219"/>
      <c r="H1065" s="219"/>
      <c r="I1065" s="249"/>
      <c r="J1065" s="243"/>
      <c r="K1065" s="219"/>
      <c r="L1065" s="244"/>
      <c r="M1065" s="219"/>
      <c r="N1065" s="219"/>
      <c r="O1065" s="219"/>
      <c r="P1065" s="244"/>
      <c r="Q1065" s="219"/>
      <c r="R1065" s="302"/>
      <c r="S1065" s="219"/>
      <c r="T1065" s="219"/>
      <c r="U1065" s="219"/>
      <c r="V1065" s="303"/>
      <c r="W1065" s="247"/>
      <c r="X1065" s="245"/>
      <c r="Y1065" s="245"/>
      <c r="Z1065" s="245"/>
      <c r="AA1065" s="245"/>
      <c r="AB1065" s="245"/>
      <c r="AC1065" s="249"/>
      <c r="AD1065" s="249"/>
      <c r="AE1065" s="249"/>
      <c r="AF1065" s="8"/>
      <c r="AG1065" s="8"/>
      <c r="AH1065" s="72"/>
      <c r="AI1065" s="8"/>
      <c r="AJ1065" s="251"/>
      <c r="AK1065" s="23"/>
      <c r="AL1065" s="75"/>
      <c r="AM1065" s="75" t="str">
        <f t="shared" si="141"/>
        <v/>
      </c>
      <c r="AN1065" s="75"/>
      <c r="AO1065" s="75"/>
      <c r="AP1065" s="75"/>
      <c r="AQ1065" s="75"/>
      <c r="AR1065" s="75"/>
      <c r="AS1065" s="75"/>
      <c r="AT1065" s="75"/>
    </row>
    <row r="1066" ht="22.5" customHeight="1">
      <c r="A1066" s="219"/>
      <c r="B1066" s="219"/>
      <c r="C1066" s="219"/>
      <c r="D1066" s="219"/>
      <c r="E1066" s="219"/>
      <c r="F1066" s="219"/>
      <c r="G1066" s="219"/>
      <c r="H1066" s="219"/>
      <c r="I1066" s="249"/>
      <c r="J1066" s="243"/>
      <c r="K1066" s="219"/>
      <c r="L1066" s="244"/>
      <c r="M1066" s="219"/>
      <c r="N1066" s="219"/>
      <c r="O1066" s="219"/>
      <c r="P1066" s="244"/>
      <c r="Q1066" s="219"/>
      <c r="R1066" s="302"/>
      <c r="S1066" s="219"/>
      <c r="T1066" s="219"/>
      <c r="U1066" s="219"/>
      <c r="V1066" s="303"/>
      <c r="W1066" s="247"/>
      <c r="X1066" s="245"/>
      <c r="Y1066" s="245"/>
      <c r="Z1066" s="245"/>
      <c r="AA1066" s="245"/>
      <c r="AB1066" s="245"/>
      <c r="AC1066" s="249"/>
      <c r="AD1066" s="249"/>
      <c r="AE1066" s="249"/>
      <c r="AF1066" s="8"/>
      <c r="AG1066" s="8"/>
      <c r="AH1066" s="72"/>
      <c r="AI1066" s="8"/>
      <c r="AJ1066" s="251"/>
      <c r="AK1066" s="23"/>
      <c r="AL1066" s="75"/>
      <c r="AM1066" s="75" t="str">
        <f t="shared" si="141"/>
        <v/>
      </c>
      <c r="AN1066" s="75"/>
      <c r="AO1066" s="75"/>
      <c r="AP1066" s="75"/>
      <c r="AQ1066" s="75"/>
      <c r="AR1066" s="75"/>
      <c r="AS1066" s="75"/>
      <c r="AT1066" s="75"/>
    </row>
    <row r="1067" ht="22.5" customHeight="1">
      <c r="A1067" s="219"/>
      <c r="B1067" s="219"/>
      <c r="C1067" s="219"/>
      <c r="D1067" s="219"/>
      <c r="E1067" s="219"/>
      <c r="F1067" s="219"/>
      <c r="G1067" s="219"/>
      <c r="H1067" s="219"/>
      <c r="I1067" s="249"/>
      <c r="J1067" s="243"/>
      <c r="K1067" s="219"/>
      <c r="L1067" s="244"/>
      <c r="M1067" s="219"/>
      <c r="N1067" s="219"/>
      <c r="O1067" s="219"/>
      <c r="P1067" s="244"/>
      <c r="Q1067" s="219"/>
      <c r="R1067" s="302"/>
      <c r="S1067" s="219"/>
      <c r="T1067" s="219"/>
      <c r="U1067" s="219"/>
      <c r="V1067" s="303"/>
      <c r="W1067" s="247"/>
      <c r="X1067" s="245"/>
      <c r="Y1067" s="245"/>
      <c r="Z1067" s="245"/>
      <c r="AA1067" s="245"/>
      <c r="AB1067" s="245"/>
      <c r="AC1067" s="249"/>
      <c r="AD1067" s="249"/>
      <c r="AE1067" s="249"/>
      <c r="AF1067" s="8"/>
      <c r="AG1067" s="8"/>
      <c r="AH1067" s="72"/>
      <c r="AI1067" s="8"/>
      <c r="AJ1067" s="251"/>
      <c r="AK1067" s="23"/>
      <c r="AL1067" s="75"/>
      <c r="AM1067" s="75" t="str">
        <f t="shared" si="141"/>
        <v/>
      </c>
      <c r="AN1067" s="75"/>
      <c r="AO1067" s="75"/>
      <c r="AP1067" s="75"/>
      <c r="AQ1067" s="75"/>
      <c r="AR1067" s="75"/>
      <c r="AS1067" s="75"/>
      <c r="AT1067" s="75"/>
    </row>
    <row r="1068" ht="22.5" customHeight="1">
      <c r="A1068" s="219"/>
      <c r="B1068" s="219"/>
      <c r="C1068" s="219"/>
      <c r="D1068" s="219"/>
      <c r="E1068" s="219"/>
      <c r="F1068" s="219"/>
      <c r="G1068" s="219"/>
      <c r="H1068" s="219"/>
      <c r="I1068" s="249"/>
      <c r="J1068" s="243"/>
      <c r="K1068" s="219"/>
      <c r="L1068" s="244"/>
      <c r="M1068" s="219"/>
      <c r="N1068" s="219"/>
      <c r="O1068" s="219"/>
      <c r="P1068" s="244"/>
      <c r="Q1068" s="219"/>
      <c r="R1068" s="302"/>
      <c r="S1068" s="219"/>
      <c r="T1068" s="219"/>
      <c r="U1068" s="219"/>
      <c r="V1068" s="303"/>
      <c r="W1068" s="247"/>
      <c r="X1068" s="245"/>
      <c r="Y1068" s="245"/>
      <c r="Z1068" s="245"/>
      <c r="AA1068" s="245"/>
      <c r="AB1068" s="245"/>
      <c r="AC1068" s="249"/>
      <c r="AD1068" s="249"/>
      <c r="AE1068" s="249"/>
      <c r="AF1068" s="8"/>
      <c r="AG1068" s="8"/>
      <c r="AH1068" s="72"/>
      <c r="AI1068" s="8"/>
      <c r="AJ1068" s="251"/>
      <c r="AK1068" s="23"/>
      <c r="AL1068" s="75"/>
      <c r="AM1068" s="75" t="str">
        <f t="shared" si="141"/>
        <v/>
      </c>
      <c r="AN1068" s="75"/>
      <c r="AO1068" s="75"/>
      <c r="AP1068" s="75"/>
      <c r="AQ1068" s="75"/>
      <c r="AR1068" s="75"/>
      <c r="AS1068" s="75"/>
      <c r="AT1068" s="75"/>
    </row>
    <row r="1069" ht="22.5" customHeight="1">
      <c r="A1069" s="219"/>
      <c r="B1069" s="219"/>
      <c r="C1069" s="219"/>
      <c r="D1069" s="219"/>
      <c r="E1069" s="219"/>
      <c r="F1069" s="219"/>
      <c r="G1069" s="219"/>
      <c r="H1069" s="219"/>
      <c r="I1069" s="249"/>
      <c r="J1069" s="243"/>
      <c r="K1069" s="219"/>
      <c r="L1069" s="244"/>
      <c r="M1069" s="219"/>
      <c r="N1069" s="219"/>
      <c r="O1069" s="219"/>
      <c r="P1069" s="244"/>
      <c r="Q1069" s="219"/>
      <c r="R1069" s="302"/>
      <c r="S1069" s="219"/>
      <c r="T1069" s="219"/>
      <c r="U1069" s="219"/>
      <c r="V1069" s="303"/>
      <c r="W1069" s="247"/>
      <c r="X1069" s="245"/>
      <c r="Y1069" s="245"/>
      <c r="Z1069" s="245"/>
      <c r="AA1069" s="245"/>
      <c r="AB1069" s="245"/>
      <c r="AC1069" s="249"/>
      <c r="AD1069" s="249"/>
      <c r="AE1069" s="249"/>
      <c r="AF1069" s="8"/>
      <c r="AG1069" s="8"/>
      <c r="AH1069" s="72"/>
      <c r="AI1069" s="8"/>
      <c r="AJ1069" s="251"/>
      <c r="AK1069" s="23"/>
      <c r="AL1069" s="75"/>
      <c r="AM1069" s="75" t="str">
        <f t="shared" si="141"/>
        <v/>
      </c>
      <c r="AN1069" s="75"/>
      <c r="AO1069" s="75"/>
      <c r="AP1069" s="75"/>
      <c r="AQ1069" s="75"/>
      <c r="AR1069" s="75"/>
      <c r="AS1069" s="75"/>
      <c r="AT1069" s="75"/>
    </row>
    <row r="1070" ht="22.5" customHeight="1">
      <c r="A1070" s="219"/>
      <c r="B1070" s="219"/>
      <c r="C1070" s="219"/>
      <c r="D1070" s="219"/>
      <c r="E1070" s="219"/>
      <c r="F1070" s="219"/>
      <c r="G1070" s="219"/>
      <c r="H1070" s="219"/>
      <c r="I1070" s="249"/>
      <c r="J1070" s="243"/>
      <c r="K1070" s="219"/>
      <c r="L1070" s="244"/>
      <c r="M1070" s="219"/>
      <c r="N1070" s="219"/>
      <c r="O1070" s="219"/>
      <c r="P1070" s="244"/>
      <c r="Q1070" s="219"/>
      <c r="R1070" s="302"/>
      <c r="S1070" s="219"/>
      <c r="T1070" s="219"/>
      <c r="U1070" s="219"/>
      <c r="V1070" s="303"/>
      <c r="W1070" s="247"/>
      <c r="X1070" s="245"/>
      <c r="Y1070" s="245"/>
      <c r="Z1070" s="245"/>
      <c r="AA1070" s="245"/>
      <c r="AB1070" s="245"/>
      <c r="AC1070" s="249"/>
      <c r="AD1070" s="249"/>
      <c r="AE1070" s="249"/>
      <c r="AF1070" s="8"/>
      <c r="AG1070" s="8"/>
      <c r="AH1070" s="72"/>
      <c r="AI1070" s="8"/>
      <c r="AJ1070" s="251"/>
      <c r="AK1070" s="23"/>
      <c r="AL1070" s="75"/>
      <c r="AM1070" s="75" t="str">
        <f t="shared" si="141"/>
        <v/>
      </c>
      <c r="AN1070" s="75"/>
      <c r="AO1070" s="75"/>
      <c r="AP1070" s="75"/>
      <c r="AQ1070" s="75"/>
      <c r="AR1070" s="75"/>
      <c r="AS1070" s="75"/>
      <c r="AT1070" s="75"/>
    </row>
    <row r="1071" ht="22.5" customHeight="1">
      <c r="A1071" s="219"/>
      <c r="B1071" s="219"/>
      <c r="C1071" s="219"/>
      <c r="D1071" s="219"/>
      <c r="E1071" s="219"/>
      <c r="F1071" s="219"/>
      <c r="G1071" s="219"/>
      <c r="H1071" s="219"/>
      <c r="I1071" s="249"/>
      <c r="J1071" s="243"/>
      <c r="K1071" s="219"/>
      <c r="L1071" s="244"/>
      <c r="M1071" s="219"/>
      <c r="N1071" s="219"/>
      <c r="O1071" s="219"/>
      <c r="P1071" s="244"/>
      <c r="Q1071" s="219"/>
      <c r="R1071" s="302"/>
      <c r="S1071" s="219"/>
      <c r="T1071" s="219"/>
      <c r="U1071" s="219"/>
      <c r="V1071" s="303"/>
      <c r="W1071" s="247"/>
      <c r="X1071" s="245"/>
      <c r="Y1071" s="245"/>
      <c r="Z1071" s="245"/>
      <c r="AA1071" s="245"/>
      <c r="AB1071" s="245"/>
      <c r="AC1071" s="249"/>
      <c r="AD1071" s="249"/>
      <c r="AE1071" s="249"/>
      <c r="AF1071" s="8"/>
      <c r="AG1071" s="8"/>
      <c r="AH1071" s="72"/>
      <c r="AI1071" s="8"/>
      <c r="AJ1071" s="251"/>
      <c r="AK1071" s="23"/>
      <c r="AL1071" s="75"/>
      <c r="AM1071" s="75" t="str">
        <f t="shared" si="141"/>
        <v/>
      </c>
      <c r="AN1071" s="75"/>
      <c r="AO1071" s="75"/>
      <c r="AP1071" s="75"/>
      <c r="AQ1071" s="75"/>
      <c r="AR1071" s="75"/>
      <c r="AS1071" s="75"/>
      <c r="AT1071" s="75"/>
    </row>
    <row r="1072" ht="22.5" customHeight="1">
      <c r="A1072" s="219"/>
      <c r="B1072" s="219"/>
      <c r="C1072" s="219"/>
      <c r="D1072" s="219"/>
      <c r="E1072" s="219"/>
      <c r="F1072" s="219"/>
      <c r="G1072" s="219"/>
      <c r="H1072" s="219"/>
      <c r="I1072" s="249"/>
      <c r="J1072" s="243"/>
      <c r="K1072" s="219"/>
      <c r="L1072" s="244"/>
      <c r="M1072" s="219"/>
      <c r="N1072" s="219"/>
      <c r="O1072" s="219"/>
      <c r="P1072" s="244"/>
      <c r="Q1072" s="219"/>
      <c r="R1072" s="302"/>
      <c r="S1072" s="219"/>
      <c r="T1072" s="219"/>
      <c r="U1072" s="219"/>
      <c r="V1072" s="303"/>
      <c r="W1072" s="247"/>
      <c r="X1072" s="245"/>
      <c r="Y1072" s="245"/>
      <c r="Z1072" s="245"/>
      <c r="AA1072" s="245"/>
      <c r="AB1072" s="245"/>
      <c r="AC1072" s="249"/>
      <c r="AD1072" s="249"/>
      <c r="AE1072" s="249"/>
      <c r="AF1072" s="8"/>
      <c r="AG1072" s="8"/>
      <c r="AH1072" s="72"/>
      <c r="AI1072" s="8"/>
      <c r="AJ1072" s="251"/>
      <c r="AK1072" s="23"/>
      <c r="AL1072" s="75"/>
      <c r="AM1072" s="75" t="str">
        <f t="shared" si="141"/>
        <v/>
      </c>
      <c r="AN1072" s="75"/>
      <c r="AO1072" s="75"/>
      <c r="AP1072" s="75"/>
      <c r="AQ1072" s="75"/>
      <c r="AR1072" s="75"/>
      <c r="AS1072" s="75"/>
      <c r="AT1072" s="75"/>
    </row>
    <row r="1073" ht="22.5" customHeight="1">
      <c r="A1073" s="219"/>
      <c r="B1073" s="219"/>
      <c r="C1073" s="219"/>
      <c r="D1073" s="219"/>
      <c r="E1073" s="219"/>
      <c r="F1073" s="219"/>
      <c r="G1073" s="219"/>
      <c r="H1073" s="219"/>
      <c r="I1073" s="249"/>
      <c r="J1073" s="243"/>
      <c r="K1073" s="219"/>
      <c r="L1073" s="244"/>
      <c r="M1073" s="219"/>
      <c r="N1073" s="219"/>
      <c r="O1073" s="219"/>
      <c r="P1073" s="244"/>
      <c r="Q1073" s="219"/>
      <c r="R1073" s="302"/>
      <c r="S1073" s="219"/>
      <c r="T1073" s="219"/>
      <c r="U1073" s="219"/>
      <c r="V1073" s="303"/>
      <c r="W1073" s="247"/>
      <c r="X1073" s="245"/>
      <c r="Y1073" s="245"/>
      <c r="Z1073" s="245"/>
      <c r="AA1073" s="245"/>
      <c r="AB1073" s="245"/>
      <c r="AC1073" s="249"/>
      <c r="AD1073" s="249"/>
      <c r="AE1073" s="249"/>
      <c r="AF1073" s="8"/>
      <c r="AG1073" s="8"/>
      <c r="AH1073" s="72"/>
      <c r="AI1073" s="8"/>
      <c r="AJ1073" s="251"/>
      <c r="AK1073" s="23"/>
      <c r="AL1073" s="75"/>
      <c r="AM1073" s="75" t="str">
        <f t="shared" si="141"/>
        <v/>
      </c>
      <c r="AN1073" s="75"/>
      <c r="AO1073" s="75"/>
      <c r="AP1073" s="75"/>
      <c r="AQ1073" s="75"/>
      <c r="AR1073" s="75"/>
      <c r="AS1073" s="75"/>
      <c r="AT1073" s="75"/>
    </row>
    <row r="1074" ht="22.5" customHeight="1">
      <c r="A1074" s="219"/>
      <c r="B1074" s="219"/>
      <c r="C1074" s="219"/>
      <c r="D1074" s="219"/>
      <c r="E1074" s="219"/>
      <c r="F1074" s="219"/>
      <c r="G1074" s="219"/>
      <c r="H1074" s="219"/>
      <c r="I1074" s="249"/>
      <c r="J1074" s="243"/>
      <c r="K1074" s="219"/>
      <c r="L1074" s="244"/>
      <c r="M1074" s="219"/>
      <c r="N1074" s="219"/>
      <c r="O1074" s="219"/>
      <c r="P1074" s="244"/>
      <c r="Q1074" s="219"/>
      <c r="R1074" s="302"/>
      <c r="S1074" s="219"/>
      <c r="T1074" s="219"/>
      <c r="U1074" s="219"/>
      <c r="V1074" s="303"/>
      <c r="W1074" s="247"/>
      <c r="X1074" s="245"/>
      <c r="Y1074" s="245"/>
      <c r="Z1074" s="245"/>
      <c r="AA1074" s="245"/>
      <c r="AB1074" s="245"/>
      <c r="AC1074" s="249"/>
      <c r="AD1074" s="249"/>
      <c r="AE1074" s="249"/>
      <c r="AF1074" s="8"/>
      <c r="AG1074" s="8"/>
      <c r="AH1074" s="72"/>
      <c r="AI1074" s="8"/>
      <c r="AJ1074" s="251"/>
      <c r="AK1074" s="23"/>
      <c r="AL1074" s="75"/>
      <c r="AM1074" s="75" t="str">
        <f t="shared" si="141"/>
        <v/>
      </c>
      <c r="AN1074" s="75"/>
      <c r="AO1074" s="75"/>
      <c r="AP1074" s="75"/>
      <c r="AQ1074" s="75"/>
      <c r="AR1074" s="75"/>
      <c r="AS1074" s="75"/>
      <c r="AT1074" s="75"/>
    </row>
    <row r="1075" ht="22.5" customHeight="1">
      <c r="A1075" s="219"/>
      <c r="B1075" s="219"/>
      <c r="C1075" s="219"/>
      <c r="D1075" s="219"/>
      <c r="E1075" s="219"/>
      <c r="F1075" s="219"/>
      <c r="G1075" s="219"/>
      <c r="H1075" s="219"/>
      <c r="I1075" s="249"/>
      <c r="J1075" s="243"/>
      <c r="K1075" s="219"/>
      <c r="L1075" s="244"/>
      <c r="M1075" s="219"/>
      <c r="N1075" s="219"/>
      <c r="O1075" s="219"/>
      <c r="P1075" s="244"/>
      <c r="Q1075" s="219"/>
      <c r="R1075" s="302"/>
      <c r="S1075" s="219"/>
      <c r="T1075" s="219"/>
      <c r="U1075" s="219"/>
      <c r="V1075" s="303"/>
      <c r="W1075" s="247"/>
      <c r="X1075" s="245"/>
      <c r="Y1075" s="245"/>
      <c r="Z1075" s="245"/>
      <c r="AA1075" s="245"/>
      <c r="AB1075" s="245"/>
      <c r="AC1075" s="249"/>
      <c r="AD1075" s="249"/>
      <c r="AE1075" s="249"/>
      <c r="AF1075" s="8"/>
      <c r="AG1075" s="8"/>
      <c r="AH1075" s="72"/>
      <c r="AI1075" s="8"/>
      <c r="AJ1075" s="251"/>
      <c r="AK1075" s="23"/>
      <c r="AL1075" s="75"/>
      <c r="AM1075" s="75" t="str">
        <f t="shared" si="141"/>
        <v/>
      </c>
      <c r="AN1075" s="75"/>
      <c r="AO1075" s="75"/>
      <c r="AP1075" s="75"/>
      <c r="AQ1075" s="75"/>
      <c r="AR1075" s="75"/>
      <c r="AS1075" s="75"/>
      <c r="AT1075" s="75"/>
    </row>
    <row r="1076" ht="22.5" customHeight="1">
      <c r="A1076" s="219"/>
      <c r="B1076" s="219"/>
      <c r="C1076" s="219"/>
      <c r="D1076" s="219"/>
      <c r="E1076" s="219"/>
      <c r="F1076" s="219"/>
      <c r="G1076" s="219"/>
      <c r="H1076" s="219"/>
      <c r="I1076" s="249"/>
      <c r="J1076" s="243"/>
      <c r="K1076" s="219"/>
      <c r="L1076" s="244"/>
      <c r="M1076" s="219"/>
      <c r="N1076" s="219"/>
      <c r="O1076" s="219"/>
      <c r="P1076" s="244"/>
      <c r="Q1076" s="219"/>
      <c r="R1076" s="302"/>
      <c r="S1076" s="219"/>
      <c r="T1076" s="219"/>
      <c r="U1076" s="219"/>
      <c r="V1076" s="303"/>
      <c r="W1076" s="247"/>
      <c r="X1076" s="245"/>
      <c r="Y1076" s="245"/>
      <c r="Z1076" s="245"/>
      <c r="AA1076" s="245"/>
      <c r="AB1076" s="245"/>
      <c r="AC1076" s="249"/>
      <c r="AD1076" s="249"/>
      <c r="AE1076" s="249"/>
      <c r="AF1076" s="8"/>
      <c r="AG1076" s="8"/>
      <c r="AH1076" s="72"/>
      <c r="AI1076" s="8"/>
      <c r="AJ1076" s="251"/>
      <c r="AK1076" s="23"/>
      <c r="AL1076" s="75"/>
      <c r="AM1076" s="75" t="str">
        <f t="shared" si="141"/>
        <v/>
      </c>
      <c r="AN1076" s="75"/>
      <c r="AO1076" s="75"/>
      <c r="AP1076" s="75"/>
      <c r="AQ1076" s="75"/>
      <c r="AR1076" s="75"/>
      <c r="AS1076" s="75"/>
      <c r="AT1076" s="75"/>
    </row>
    <row r="1077" ht="22.5" customHeight="1">
      <c r="A1077" s="219"/>
      <c r="B1077" s="219"/>
      <c r="C1077" s="219"/>
      <c r="D1077" s="219"/>
      <c r="E1077" s="219"/>
      <c r="F1077" s="219"/>
      <c r="G1077" s="219"/>
      <c r="H1077" s="219"/>
      <c r="I1077" s="249"/>
      <c r="J1077" s="243"/>
      <c r="K1077" s="219"/>
      <c r="L1077" s="244"/>
      <c r="M1077" s="219"/>
      <c r="N1077" s="219"/>
      <c r="O1077" s="219"/>
      <c r="P1077" s="244"/>
      <c r="Q1077" s="219"/>
      <c r="R1077" s="302"/>
      <c r="S1077" s="219"/>
      <c r="T1077" s="219"/>
      <c r="U1077" s="219"/>
      <c r="V1077" s="303"/>
      <c r="W1077" s="247"/>
      <c r="X1077" s="245"/>
      <c r="Y1077" s="245"/>
      <c r="Z1077" s="245"/>
      <c r="AA1077" s="245"/>
      <c r="AB1077" s="245"/>
      <c r="AC1077" s="249"/>
      <c r="AD1077" s="249"/>
      <c r="AE1077" s="249"/>
      <c r="AF1077" s="8"/>
      <c r="AG1077" s="8"/>
      <c r="AH1077" s="72"/>
      <c r="AI1077" s="8"/>
      <c r="AJ1077" s="251"/>
      <c r="AK1077" s="23"/>
      <c r="AL1077" s="75"/>
      <c r="AM1077" s="75" t="str">
        <f t="shared" si="141"/>
        <v/>
      </c>
      <c r="AN1077" s="75"/>
      <c r="AO1077" s="75"/>
      <c r="AP1077" s="75"/>
      <c r="AQ1077" s="75"/>
      <c r="AR1077" s="75"/>
      <c r="AS1077" s="75"/>
      <c r="AT1077" s="75"/>
    </row>
    <row r="1078" ht="22.5" customHeight="1">
      <c r="A1078" s="219"/>
      <c r="B1078" s="219"/>
      <c r="C1078" s="219"/>
      <c r="D1078" s="219"/>
      <c r="E1078" s="219"/>
      <c r="F1078" s="219"/>
      <c r="G1078" s="219"/>
      <c r="H1078" s="219"/>
      <c r="I1078" s="249"/>
      <c r="J1078" s="243"/>
      <c r="K1078" s="219"/>
      <c r="L1078" s="244"/>
      <c r="M1078" s="219"/>
      <c r="N1078" s="219"/>
      <c r="O1078" s="219"/>
      <c r="P1078" s="244"/>
      <c r="Q1078" s="219"/>
      <c r="R1078" s="302"/>
      <c r="S1078" s="219"/>
      <c r="T1078" s="219"/>
      <c r="U1078" s="219"/>
      <c r="V1078" s="303"/>
      <c r="W1078" s="247"/>
      <c r="X1078" s="245"/>
      <c r="Y1078" s="245"/>
      <c r="Z1078" s="245"/>
      <c r="AA1078" s="245"/>
      <c r="AB1078" s="245"/>
      <c r="AC1078" s="249"/>
      <c r="AD1078" s="249"/>
      <c r="AE1078" s="249"/>
      <c r="AF1078" s="8"/>
      <c r="AG1078" s="8"/>
      <c r="AH1078" s="72"/>
      <c r="AI1078" s="8"/>
      <c r="AJ1078" s="251"/>
      <c r="AK1078" s="23"/>
      <c r="AL1078" s="75"/>
      <c r="AM1078" s="75" t="str">
        <f t="shared" si="141"/>
        <v/>
      </c>
      <c r="AN1078" s="75"/>
      <c r="AO1078" s="75"/>
      <c r="AP1078" s="75"/>
      <c r="AQ1078" s="75"/>
      <c r="AR1078" s="75"/>
      <c r="AS1078" s="75"/>
      <c r="AT1078" s="75"/>
    </row>
    <row r="1079" ht="22.5" customHeight="1">
      <c r="A1079" s="219"/>
      <c r="B1079" s="219"/>
      <c r="C1079" s="219"/>
      <c r="D1079" s="219"/>
      <c r="E1079" s="219"/>
      <c r="F1079" s="219"/>
      <c r="G1079" s="219"/>
      <c r="H1079" s="219"/>
      <c r="I1079" s="249"/>
      <c r="J1079" s="243"/>
      <c r="K1079" s="219"/>
      <c r="L1079" s="244"/>
      <c r="M1079" s="219"/>
      <c r="N1079" s="219"/>
      <c r="O1079" s="219"/>
      <c r="P1079" s="244"/>
      <c r="Q1079" s="219"/>
      <c r="R1079" s="302"/>
      <c r="S1079" s="219"/>
      <c r="T1079" s="219"/>
      <c r="U1079" s="219"/>
      <c r="V1079" s="303"/>
      <c r="W1079" s="247"/>
      <c r="X1079" s="245"/>
      <c r="Y1079" s="245"/>
      <c r="Z1079" s="245"/>
      <c r="AA1079" s="245"/>
      <c r="AB1079" s="245"/>
      <c r="AC1079" s="249"/>
      <c r="AD1079" s="249"/>
      <c r="AE1079" s="249"/>
      <c r="AF1079" s="8"/>
      <c r="AG1079" s="8"/>
      <c r="AH1079" s="72"/>
      <c r="AI1079" s="8"/>
      <c r="AJ1079" s="251"/>
      <c r="AK1079" s="23"/>
      <c r="AL1079" s="75"/>
      <c r="AM1079" s="75" t="str">
        <f t="shared" si="141"/>
        <v/>
      </c>
      <c r="AN1079" s="75"/>
      <c r="AO1079" s="75"/>
      <c r="AP1079" s="75"/>
      <c r="AQ1079" s="75"/>
      <c r="AR1079" s="75"/>
      <c r="AS1079" s="75"/>
      <c r="AT1079" s="75"/>
    </row>
    <row r="1080" ht="22.5" customHeight="1">
      <c r="A1080" s="219"/>
      <c r="B1080" s="219"/>
      <c r="C1080" s="219"/>
      <c r="D1080" s="219"/>
      <c r="E1080" s="219"/>
      <c r="F1080" s="219"/>
      <c r="G1080" s="219"/>
      <c r="H1080" s="219"/>
      <c r="I1080" s="249"/>
      <c r="J1080" s="243"/>
      <c r="K1080" s="219"/>
      <c r="L1080" s="244"/>
      <c r="M1080" s="219"/>
      <c r="N1080" s="219"/>
      <c r="O1080" s="219"/>
      <c r="P1080" s="244"/>
      <c r="Q1080" s="219"/>
      <c r="R1080" s="302"/>
      <c r="S1080" s="219"/>
      <c r="T1080" s="219"/>
      <c r="U1080" s="219"/>
      <c r="V1080" s="303"/>
      <c r="W1080" s="247"/>
      <c r="X1080" s="245"/>
      <c r="Y1080" s="245"/>
      <c r="Z1080" s="245"/>
      <c r="AA1080" s="245"/>
      <c r="AB1080" s="245"/>
      <c r="AC1080" s="249"/>
      <c r="AD1080" s="249"/>
      <c r="AE1080" s="249"/>
      <c r="AF1080" s="8"/>
      <c r="AG1080" s="8"/>
      <c r="AH1080" s="72"/>
      <c r="AI1080" s="8"/>
      <c r="AJ1080" s="251"/>
      <c r="AK1080" s="23"/>
      <c r="AL1080" s="75"/>
      <c r="AM1080" s="75" t="str">
        <f t="shared" si="141"/>
        <v/>
      </c>
      <c r="AN1080" s="75"/>
      <c r="AO1080" s="75"/>
      <c r="AP1080" s="75"/>
      <c r="AQ1080" s="75"/>
      <c r="AR1080" s="75"/>
      <c r="AS1080" s="75"/>
      <c r="AT1080" s="75"/>
    </row>
    <row r="1081" ht="22.5" customHeight="1">
      <c r="A1081" s="219"/>
      <c r="B1081" s="219"/>
      <c r="C1081" s="219"/>
      <c r="D1081" s="219"/>
      <c r="E1081" s="219"/>
      <c r="F1081" s="219"/>
      <c r="G1081" s="219"/>
      <c r="H1081" s="219"/>
      <c r="I1081" s="249"/>
      <c r="J1081" s="243"/>
      <c r="K1081" s="219"/>
      <c r="L1081" s="244"/>
      <c r="M1081" s="219"/>
      <c r="N1081" s="219"/>
      <c r="O1081" s="219"/>
      <c r="P1081" s="244"/>
      <c r="Q1081" s="219"/>
      <c r="R1081" s="302"/>
      <c r="S1081" s="219"/>
      <c r="T1081" s="219"/>
      <c r="U1081" s="219"/>
      <c r="V1081" s="303"/>
      <c r="W1081" s="247"/>
      <c r="X1081" s="245"/>
      <c r="Y1081" s="245"/>
      <c r="Z1081" s="245"/>
      <c r="AA1081" s="245"/>
      <c r="AB1081" s="245"/>
      <c r="AC1081" s="249"/>
      <c r="AD1081" s="249"/>
      <c r="AE1081" s="249"/>
      <c r="AF1081" s="8"/>
      <c r="AG1081" s="8"/>
      <c r="AH1081" s="72"/>
      <c r="AI1081" s="8"/>
      <c r="AJ1081" s="251"/>
      <c r="AK1081" s="23"/>
      <c r="AL1081" s="75"/>
      <c r="AM1081" s="75" t="str">
        <f t="shared" si="141"/>
        <v/>
      </c>
      <c r="AN1081" s="75"/>
      <c r="AO1081" s="75"/>
      <c r="AP1081" s="75"/>
      <c r="AQ1081" s="75"/>
      <c r="AR1081" s="75"/>
      <c r="AS1081" s="75"/>
      <c r="AT1081" s="75"/>
    </row>
    <row r="1082" ht="22.5" customHeight="1">
      <c r="A1082" s="219"/>
      <c r="B1082" s="219"/>
      <c r="C1082" s="219"/>
      <c r="D1082" s="219"/>
      <c r="E1082" s="219"/>
      <c r="F1082" s="219"/>
      <c r="G1082" s="219"/>
      <c r="H1082" s="219"/>
      <c r="I1082" s="249"/>
      <c r="J1082" s="243"/>
      <c r="K1082" s="219"/>
      <c r="L1082" s="244"/>
      <c r="M1082" s="219"/>
      <c r="N1082" s="219"/>
      <c r="O1082" s="219"/>
      <c r="P1082" s="244"/>
      <c r="Q1082" s="219"/>
      <c r="R1082" s="302"/>
      <c r="S1082" s="219"/>
      <c r="T1082" s="219"/>
      <c r="U1082" s="219"/>
      <c r="V1082" s="303"/>
      <c r="W1082" s="247"/>
      <c r="X1082" s="245"/>
      <c r="Y1082" s="245"/>
      <c r="Z1082" s="245"/>
      <c r="AA1082" s="245"/>
      <c r="AB1082" s="245"/>
      <c r="AC1082" s="249"/>
      <c r="AD1082" s="249"/>
      <c r="AE1082" s="249"/>
      <c r="AF1082" s="8"/>
      <c r="AG1082" s="8"/>
      <c r="AH1082" s="72"/>
      <c r="AI1082" s="8"/>
      <c r="AJ1082" s="251"/>
      <c r="AK1082" s="23"/>
      <c r="AL1082" s="75"/>
      <c r="AM1082" s="75" t="str">
        <f t="shared" si="141"/>
        <v/>
      </c>
      <c r="AN1082" s="75"/>
      <c r="AO1082" s="75"/>
      <c r="AP1082" s="75"/>
      <c r="AQ1082" s="75"/>
      <c r="AR1082" s="75"/>
      <c r="AS1082" s="75"/>
      <c r="AT1082" s="75"/>
    </row>
    <row r="1083" ht="22.5" customHeight="1">
      <c r="A1083" s="219"/>
      <c r="B1083" s="219"/>
      <c r="C1083" s="219"/>
      <c r="D1083" s="219"/>
      <c r="E1083" s="219"/>
      <c r="F1083" s="219"/>
      <c r="G1083" s="219"/>
      <c r="H1083" s="219"/>
      <c r="I1083" s="249"/>
      <c r="J1083" s="243"/>
      <c r="K1083" s="219"/>
      <c r="L1083" s="244"/>
      <c r="M1083" s="219"/>
      <c r="N1083" s="219"/>
      <c r="O1083" s="219"/>
      <c r="P1083" s="244"/>
      <c r="Q1083" s="219"/>
      <c r="R1083" s="302"/>
      <c r="S1083" s="219"/>
      <c r="T1083" s="219"/>
      <c r="U1083" s="219"/>
      <c r="V1083" s="303"/>
      <c r="W1083" s="247"/>
      <c r="X1083" s="245"/>
      <c r="Y1083" s="245"/>
      <c r="Z1083" s="245"/>
      <c r="AA1083" s="245"/>
      <c r="AB1083" s="245"/>
      <c r="AC1083" s="249"/>
      <c r="AD1083" s="249"/>
      <c r="AE1083" s="249"/>
      <c r="AF1083" s="8"/>
      <c r="AG1083" s="8"/>
      <c r="AH1083" s="72"/>
      <c r="AI1083" s="8"/>
      <c r="AJ1083" s="251"/>
      <c r="AK1083" s="23"/>
      <c r="AL1083" s="75"/>
      <c r="AM1083" s="75" t="str">
        <f t="shared" si="141"/>
        <v/>
      </c>
      <c r="AN1083" s="75"/>
      <c r="AO1083" s="75"/>
      <c r="AP1083" s="75"/>
      <c r="AQ1083" s="75"/>
      <c r="AR1083" s="75"/>
      <c r="AS1083" s="75"/>
      <c r="AT1083" s="75"/>
    </row>
    <row r="1084" ht="22.5" customHeight="1">
      <c r="A1084" s="219"/>
      <c r="B1084" s="219"/>
      <c r="C1084" s="219"/>
      <c r="D1084" s="219"/>
      <c r="E1084" s="219"/>
      <c r="F1084" s="219"/>
      <c r="G1084" s="219"/>
      <c r="H1084" s="219"/>
      <c r="I1084" s="249"/>
      <c r="J1084" s="243"/>
      <c r="K1084" s="219"/>
      <c r="L1084" s="244"/>
      <c r="M1084" s="219"/>
      <c r="N1084" s="219"/>
      <c r="O1084" s="219"/>
      <c r="P1084" s="244"/>
      <c r="Q1084" s="219"/>
      <c r="R1084" s="302"/>
      <c r="S1084" s="219"/>
      <c r="T1084" s="219"/>
      <c r="U1084" s="219"/>
      <c r="V1084" s="303"/>
      <c r="W1084" s="247"/>
      <c r="X1084" s="245"/>
      <c r="Y1084" s="245"/>
      <c r="Z1084" s="245"/>
      <c r="AA1084" s="245"/>
      <c r="AB1084" s="245"/>
      <c r="AC1084" s="249"/>
      <c r="AD1084" s="249"/>
      <c r="AE1084" s="249"/>
      <c r="AF1084" s="8"/>
      <c r="AG1084" s="8"/>
      <c r="AH1084" s="72"/>
      <c r="AI1084" s="8"/>
      <c r="AJ1084" s="251"/>
      <c r="AK1084" s="23"/>
      <c r="AL1084" s="75"/>
      <c r="AM1084" s="75" t="str">
        <f t="shared" si="141"/>
        <v/>
      </c>
      <c r="AN1084" s="75"/>
      <c r="AO1084" s="75"/>
      <c r="AP1084" s="75"/>
      <c r="AQ1084" s="75"/>
      <c r="AR1084" s="75"/>
      <c r="AS1084" s="75"/>
      <c r="AT1084" s="75"/>
    </row>
    <row r="1085" ht="22.5" customHeight="1">
      <c r="A1085" s="219"/>
      <c r="B1085" s="219"/>
      <c r="C1085" s="219"/>
      <c r="D1085" s="219"/>
      <c r="E1085" s="219"/>
      <c r="F1085" s="219"/>
      <c r="G1085" s="219"/>
      <c r="H1085" s="219"/>
      <c r="I1085" s="249"/>
      <c r="J1085" s="243"/>
      <c r="K1085" s="219"/>
      <c r="L1085" s="244"/>
      <c r="M1085" s="219"/>
      <c r="N1085" s="219"/>
      <c r="O1085" s="219"/>
      <c r="P1085" s="244"/>
      <c r="Q1085" s="219"/>
      <c r="R1085" s="302"/>
      <c r="S1085" s="219"/>
      <c r="T1085" s="219"/>
      <c r="U1085" s="219"/>
      <c r="V1085" s="303"/>
      <c r="W1085" s="247"/>
      <c r="X1085" s="245"/>
      <c r="Y1085" s="245"/>
      <c r="Z1085" s="245"/>
      <c r="AA1085" s="245"/>
      <c r="AB1085" s="245"/>
      <c r="AC1085" s="249"/>
      <c r="AD1085" s="249"/>
      <c r="AE1085" s="249"/>
      <c r="AF1085" s="8"/>
      <c r="AG1085" s="8"/>
      <c r="AH1085" s="72"/>
      <c r="AI1085" s="8"/>
      <c r="AJ1085" s="251"/>
      <c r="AK1085" s="23"/>
      <c r="AL1085" s="75"/>
      <c r="AM1085" s="75" t="str">
        <f t="shared" si="141"/>
        <v/>
      </c>
      <c r="AN1085" s="75"/>
      <c r="AO1085" s="75"/>
      <c r="AP1085" s="75"/>
      <c r="AQ1085" s="75"/>
      <c r="AR1085" s="75"/>
      <c r="AS1085" s="75"/>
      <c r="AT1085" s="75"/>
    </row>
    <row r="1086" ht="22.5" customHeight="1">
      <c r="A1086" s="219"/>
      <c r="B1086" s="219"/>
      <c r="C1086" s="219"/>
      <c r="D1086" s="219"/>
      <c r="E1086" s="219"/>
      <c r="F1086" s="219"/>
      <c r="G1086" s="219"/>
      <c r="H1086" s="219"/>
      <c r="I1086" s="249"/>
      <c r="J1086" s="243"/>
      <c r="K1086" s="219"/>
      <c r="L1086" s="244"/>
      <c r="M1086" s="219"/>
      <c r="N1086" s="219"/>
      <c r="O1086" s="219"/>
      <c r="P1086" s="244"/>
      <c r="Q1086" s="219"/>
      <c r="R1086" s="302"/>
      <c r="S1086" s="219"/>
      <c r="T1086" s="219"/>
      <c r="U1086" s="219"/>
      <c r="V1086" s="303"/>
      <c r="W1086" s="247"/>
      <c r="X1086" s="245"/>
      <c r="Y1086" s="245"/>
      <c r="Z1086" s="245"/>
      <c r="AA1086" s="245"/>
      <c r="AB1086" s="245"/>
      <c r="AC1086" s="249"/>
      <c r="AD1086" s="249"/>
      <c r="AE1086" s="249"/>
      <c r="AF1086" s="8"/>
      <c r="AG1086" s="8"/>
      <c r="AH1086" s="72"/>
      <c r="AI1086" s="8"/>
      <c r="AJ1086" s="251"/>
      <c r="AK1086" s="23"/>
      <c r="AL1086" s="75"/>
      <c r="AM1086" s="75" t="str">
        <f t="shared" si="141"/>
        <v/>
      </c>
      <c r="AN1086" s="75"/>
      <c r="AO1086" s="75"/>
      <c r="AP1086" s="75"/>
      <c r="AQ1086" s="75"/>
      <c r="AR1086" s="75"/>
      <c r="AS1086" s="75"/>
      <c r="AT1086" s="75"/>
    </row>
    <row r="1087" ht="22.5" customHeight="1">
      <c r="A1087" s="219"/>
      <c r="B1087" s="219"/>
      <c r="C1087" s="219"/>
      <c r="D1087" s="219"/>
      <c r="E1087" s="219"/>
      <c r="F1087" s="219"/>
      <c r="G1087" s="219"/>
      <c r="H1087" s="219"/>
      <c r="I1087" s="249"/>
      <c r="J1087" s="243"/>
      <c r="K1087" s="219"/>
      <c r="L1087" s="244"/>
      <c r="M1087" s="219"/>
      <c r="N1087" s="219"/>
      <c r="O1087" s="219"/>
      <c r="P1087" s="244"/>
      <c r="Q1087" s="219"/>
      <c r="R1087" s="302"/>
      <c r="S1087" s="219"/>
      <c r="T1087" s="219"/>
      <c r="U1087" s="219"/>
      <c r="V1087" s="303"/>
      <c r="W1087" s="247"/>
      <c r="X1087" s="245"/>
      <c r="Y1087" s="245"/>
      <c r="Z1087" s="245"/>
      <c r="AA1087" s="245"/>
      <c r="AB1087" s="245"/>
      <c r="AC1087" s="249"/>
      <c r="AD1087" s="249"/>
      <c r="AE1087" s="249"/>
      <c r="AF1087" s="8"/>
      <c r="AG1087" s="8"/>
      <c r="AH1087" s="72"/>
      <c r="AI1087" s="8"/>
      <c r="AJ1087" s="251"/>
      <c r="AK1087" s="23"/>
      <c r="AL1087" s="75"/>
      <c r="AM1087" s="75" t="str">
        <f t="shared" si="141"/>
        <v/>
      </c>
      <c r="AN1087" s="75"/>
      <c r="AO1087" s="75"/>
      <c r="AP1087" s="75"/>
      <c r="AQ1087" s="75"/>
      <c r="AR1087" s="75"/>
      <c r="AS1087" s="75"/>
      <c r="AT1087" s="75"/>
    </row>
    <row r="1088" ht="22.5" customHeight="1">
      <c r="A1088" s="219"/>
      <c r="B1088" s="219"/>
      <c r="C1088" s="219"/>
      <c r="D1088" s="219"/>
      <c r="E1088" s="219"/>
      <c r="F1088" s="219"/>
      <c r="G1088" s="219"/>
      <c r="H1088" s="219"/>
      <c r="I1088" s="249"/>
      <c r="J1088" s="243"/>
      <c r="K1088" s="219"/>
      <c r="L1088" s="244"/>
      <c r="M1088" s="219"/>
      <c r="N1088" s="219"/>
      <c r="O1088" s="219"/>
      <c r="P1088" s="244"/>
      <c r="Q1088" s="219"/>
      <c r="R1088" s="302"/>
      <c r="S1088" s="219"/>
      <c r="T1088" s="219"/>
      <c r="U1088" s="219"/>
      <c r="V1088" s="303"/>
      <c r="W1088" s="247"/>
      <c r="X1088" s="245"/>
      <c r="Y1088" s="245"/>
      <c r="Z1088" s="245"/>
      <c r="AA1088" s="245"/>
      <c r="AB1088" s="245"/>
      <c r="AC1088" s="249"/>
      <c r="AD1088" s="249"/>
      <c r="AE1088" s="249"/>
      <c r="AF1088" s="8"/>
      <c r="AG1088" s="8"/>
      <c r="AH1088" s="72"/>
      <c r="AI1088" s="8"/>
      <c r="AJ1088" s="251"/>
      <c r="AK1088" s="23"/>
      <c r="AL1088" s="75"/>
      <c r="AM1088" s="75" t="str">
        <f t="shared" si="141"/>
        <v/>
      </c>
      <c r="AN1088" s="75"/>
      <c r="AO1088" s="75"/>
      <c r="AP1088" s="75"/>
      <c r="AQ1088" s="75"/>
      <c r="AR1088" s="75"/>
      <c r="AS1088" s="75"/>
      <c r="AT1088" s="75"/>
    </row>
    <row r="1089" ht="22.5" customHeight="1">
      <c r="A1089" s="219"/>
      <c r="B1089" s="219"/>
      <c r="C1089" s="219"/>
      <c r="D1089" s="219"/>
      <c r="E1089" s="219"/>
      <c r="F1089" s="219"/>
      <c r="G1089" s="219"/>
      <c r="H1089" s="219"/>
      <c r="I1089" s="249"/>
      <c r="J1089" s="243"/>
      <c r="K1089" s="219"/>
      <c r="L1089" s="244"/>
      <c r="M1089" s="219"/>
      <c r="N1089" s="219"/>
      <c r="O1089" s="219"/>
      <c r="P1089" s="244"/>
      <c r="Q1089" s="219"/>
      <c r="R1089" s="302"/>
      <c r="S1089" s="219"/>
      <c r="T1089" s="219"/>
      <c r="U1089" s="219"/>
      <c r="V1089" s="303"/>
      <c r="W1089" s="247"/>
      <c r="X1089" s="245"/>
      <c r="Y1089" s="245"/>
      <c r="Z1089" s="245"/>
      <c r="AA1089" s="245"/>
      <c r="AB1089" s="245"/>
      <c r="AC1089" s="249"/>
      <c r="AD1089" s="249"/>
      <c r="AE1089" s="249"/>
      <c r="AF1089" s="8"/>
      <c r="AG1089" s="8"/>
      <c r="AH1089" s="72"/>
      <c r="AI1089" s="8"/>
      <c r="AJ1089" s="251"/>
      <c r="AK1089" s="23"/>
      <c r="AL1089" s="75"/>
      <c r="AM1089" s="75" t="str">
        <f t="shared" si="141"/>
        <v/>
      </c>
      <c r="AN1089" s="75"/>
      <c r="AO1089" s="75"/>
      <c r="AP1089" s="75"/>
      <c r="AQ1089" s="75"/>
      <c r="AR1089" s="75"/>
      <c r="AS1089" s="75"/>
      <c r="AT1089" s="75"/>
    </row>
    <row r="1090" ht="22.5" customHeight="1">
      <c r="A1090" s="219"/>
      <c r="B1090" s="219"/>
      <c r="C1090" s="219"/>
      <c r="D1090" s="219"/>
      <c r="E1090" s="219"/>
      <c r="F1090" s="219"/>
      <c r="G1090" s="219"/>
      <c r="H1090" s="219"/>
      <c r="I1090" s="249"/>
      <c r="J1090" s="243"/>
      <c r="K1090" s="219"/>
      <c r="L1090" s="244"/>
      <c r="M1090" s="219"/>
      <c r="N1090" s="219"/>
      <c r="O1090" s="219"/>
      <c r="P1090" s="244"/>
      <c r="Q1090" s="219"/>
      <c r="R1090" s="302"/>
      <c r="S1090" s="219"/>
      <c r="T1090" s="219"/>
      <c r="U1090" s="219"/>
      <c r="V1090" s="303"/>
      <c r="W1090" s="247"/>
      <c r="X1090" s="245"/>
      <c r="Y1090" s="245"/>
      <c r="Z1090" s="245"/>
      <c r="AA1090" s="245"/>
      <c r="AB1090" s="245"/>
      <c r="AC1090" s="249"/>
      <c r="AD1090" s="249"/>
      <c r="AE1090" s="249"/>
      <c r="AF1090" s="8"/>
      <c r="AG1090" s="8"/>
      <c r="AH1090" s="72"/>
      <c r="AI1090" s="8"/>
      <c r="AJ1090" s="251"/>
      <c r="AK1090" s="23"/>
      <c r="AL1090" s="75"/>
      <c r="AM1090" s="75" t="str">
        <f t="shared" si="141"/>
        <v/>
      </c>
      <c r="AN1090" s="75"/>
      <c r="AO1090" s="75"/>
      <c r="AP1090" s="75"/>
      <c r="AQ1090" s="75"/>
      <c r="AR1090" s="75"/>
      <c r="AS1090" s="75"/>
      <c r="AT1090" s="75"/>
    </row>
    <row r="1091" ht="22.5" customHeight="1">
      <c r="A1091" s="219"/>
      <c r="B1091" s="219"/>
      <c r="C1091" s="219"/>
      <c r="D1091" s="219"/>
      <c r="E1091" s="219"/>
      <c r="F1091" s="219"/>
      <c r="G1091" s="219"/>
      <c r="H1091" s="219"/>
      <c r="I1091" s="249"/>
      <c r="J1091" s="243"/>
      <c r="K1091" s="219"/>
      <c r="L1091" s="244"/>
      <c r="M1091" s="219"/>
      <c r="N1091" s="219"/>
      <c r="O1091" s="219"/>
      <c r="P1091" s="244"/>
      <c r="Q1091" s="219"/>
      <c r="R1091" s="302"/>
      <c r="S1091" s="219"/>
      <c r="T1091" s="219"/>
      <c r="U1091" s="219"/>
      <c r="V1091" s="303"/>
      <c r="W1091" s="247"/>
      <c r="X1091" s="245"/>
      <c r="Y1091" s="245"/>
      <c r="Z1091" s="245"/>
      <c r="AA1091" s="245"/>
      <c r="AB1091" s="245"/>
      <c r="AC1091" s="249"/>
      <c r="AD1091" s="249"/>
      <c r="AE1091" s="249"/>
      <c r="AF1091" s="8"/>
      <c r="AG1091" s="8"/>
      <c r="AH1091" s="72"/>
      <c r="AI1091" s="8"/>
      <c r="AJ1091" s="251"/>
      <c r="AK1091" s="23"/>
      <c r="AL1091" s="75"/>
      <c r="AM1091" s="75" t="str">
        <f t="shared" si="141"/>
        <v/>
      </c>
      <c r="AN1091" s="75"/>
      <c r="AO1091" s="75"/>
      <c r="AP1091" s="75"/>
      <c r="AQ1091" s="75"/>
      <c r="AR1091" s="75"/>
      <c r="AS1091" s="75"/>
      <c r="AT1091" s="75"/>
    </row>
    <row r="1092" ht="22.5" customHeight="1">
      <c r="A1092" s="219"/>
      <c r="B1092" s="219"/>
      <c r="C1092" s="219"/>
      <c r="D1092" s="219"/>
      <c r="E1092" s="219"/>
      <c r="F1092" s="219"/>
      <c r="G1092" s="219"/>
      <c r="H1092" s="219"/>
      <c r="I1092" s="249"/>
      <c r="J1092" s="243"/>
      <c r="K1092" s="219"/>
      <c r="L1092" s="244"/>
      <c r="M1092" s="219"/>
      <c r="N1092" s="219"/>
      <c r="O1092" s="219"/>
      <c r="P1092" s="244"/>
      <c r="Q1092" s="219"/>
      <c r="R1092" s="302"/>
      <c r="S1092" s="219"/>
      <c r="T1092" s="219"/>
      <c r="U1092" s="219"/>
      <c r="V1092" s="303"/>
      <c r="W1092" s="247"/>
      <c r="X1092" s="245"/>
      <c r="Y1092" s="245"/>
      <c r="Z1092" s="245"/>
      <c r="AA1092" s="245"/>
      <c r="AB1092" s="245"/>
      <c r="AC1092" s="249"/>
      <c r="AD1092" s="249"/>
      <c r="AE1092" s="249"/>
      <c r="AF1092" s="8"/>
      <c r="AG1092" s="8"/>
      <c r="AH1092" s="72"/>
      <c r="AI1092" s="8"/>
      <c r="AJ1092" s="251"/>
      <c r="AK1092" s="23"/>
      <c r="AL1092" s="75"/>
      <c r="AM1092" s="75" t="str">
        <f t="shared" si="141"/>
        <v/>
      </c>
      <c r="AN1092" s="75"/>
      <c r="AO1092" s="75"/>
      <c r="AP1092" s="75"/>
      <c r="AQ1092" s="75"/>
      <c r="AR1092" s="75"/>
      <c r="AS1092" s="75"/>
      <c r="AT1092" s="75"/>
    </row>
    <row r="1093" ht="22.5" customHeight="1">
      <c r="A1093" s="219"/>
      <c r="B1093" s="219"/>
      <c r="C1093" s="219"/>
      <c r="D1093" s="219"/>
      <c r="E1093" s="219"/>
      <c r="F1093" s="219"/>
      <c r="G1093" s="219"/>
      <c r="H1093" s="219"/>
      <c r="I1093" s="249"/>
      <c r="J1093" s="243"/>
      <c r="K1093" s="219"/>
      <c r="L1093" s="244"/>
      <c r="M1093" s="219"/>
      <c r="N1093" s="219"/>
      <c r="O1093" s="219"/>
      <c r="P1093" s="244"/>
      <c r="Q1093" s="219"/>
      <c r="R1093" s="302"/>
      <c r="S1093" s="219"/>
      <c r="T1093" s="219"/>
      <c r="U1093" s="219"/>
      <c r="V1093" s="303"/>
      <c r="W1093" s="247"/>
      <c r="X1093" s="245"/>
      <c r="Y1093" s="245"/>
      <c r="Z1093" s="245"/>
      <c r="AA1093" s="245"/>
      <c r="AB1093" s="245"/>
      <c r="AC1093" s="249"/>
      <c r="AD1093" s="249"/>
      <c r="AE1093" s="249"/>
      <c r="AF1093" s="8"/>
      <c r="AG1093" s="8"/>
      <c r="AH1093" s="72"/>
      <c r="AI1093" s="8"/>
      <c r="AJ1093" s="251"/>
      <c r="AK1093" s="23"/>
      <c r="AL1093" s="75"/>
      <c r="AM1093" s="75" t="str">
        <f t="shared" si="141"/>
        <v/>
      </c>
      <c r="AN1093" s="75"/>
      <c r="AO1093" s="75"/>
      <c r="AP1093" s="75"/>
      <c r="AQ1093" s="75"/>
      <c r="AR1093" s="75"/>
      <c r="AS1093" s="75"/>
      <c r="AT1093" s="75"/>
    </row>
    <row r="1094" ht="22.5" customHeight="1">
      <c r="A1094" s="219"/>
      <c r="B1094" s="219"/>
      <c r="C1094" s="219"/>
      <c r="D1094" s="219"/>
      <c r="E1094" s="219"/>
      <c r="F1094" s="219"/>
      <c r="G1094" s="219"/>
      <c r="H1094" s="219"/>
      <c r="I1094" s="249"/>
      <c r="J1094" s="243"/>
      <c r="K1094" s="219"/>
      <c r="L1094" s="244"/>
      <c r="M1094" s="219"/>
      <c r="N1094" s="219"/>
      <c r="O1094" s="219"/>
      <c r="P1094" s="244"/>
      <c r="Q1094" s="219"/>
      <c r="R1094" s="302"/>
      <c r="S1094" s="219"/>
      <c r="T1094" s="219"/>
      <c r="U1094" s="219"/>
      <c r="V1094" s="303"/>
      <c r="W1094" s="247"/>
      <c r="X1094" s="245"/>
      <c r="Y1094" s="245"/>
      <c r="Z1094" s="245"/>
      <c r="AA1094" s="245"/>
      <c r="AB1094" s="245"/>
      <c r="AC1094" s="249"/>
      <c r="AD1094" s="249"/>
      <c r="AE1094" s="249"/>
      <c r="AF1094" s="8"/>
      <c r="AG1094" s="8"/>
      <c r="AH1094" s="72"/>
      <c r="AI1094" s="8"/>
      <c r="AJ1094" s="251"/>
      <c r="AK1094" s="23"/>
      <c r="AL1094" s="75"/>
      <c r="AM1094" s="75" t="str">
        <f t="shared" si="141"/>
        <v/>
      </c>
      <c r="AN1094" s="75"/>
      <c r="AO1094" s="75"/>
      <c r="AP1094" s="75"/>
      <c r="AQ1094" s="75"/>
      <c r="AR1094" s="75"/>
      <c r="AS1094" s="75"/>
      <c r="AT1094" s="75"/>
    </row>
    <row r="1095" ht="22.5" customHeight="1">
      <c r="A1095" s="219"/>
      <c r="B1095" s="219"/>
      <c r="C1095" s="219"/>
      <c r="D1095" s="219"/>
      <c r="E1095" s="219"/>
      <c r="F1095" s="219"/>
      <c r="G1095" s="219"/>
      <c r="H1095" s="219"/>
      <c r="I1095" s="249"/>
      <c r="J1095" s="243"/>
      <c r="K1095" s="219"/>
      <c r="L1095" s="244"/>
      <c r="M1095" s="219"/>
      <c r="N1095" s="219"/>
      <c r="O1095" s="219"/>
      <c r="P1095" s="244"/>
      <c r="Q1095" s="219"/>
      <c r="R1095" s="302"/>
      <c r="S1095" s="219"/>
      <c r="T1095" s="219"/>
      <c r="U1095" s="219"/>
      <c r="V1095" s="303"/>
      <c r="W1095" s="247"/>
      <c r="X1095" s="245"/>
      <c r="Y1095" s="245"/>
      <c r="Z1095" s="245"/>
      <c r="AA1095" s="245"/>
      <c r="AB1095" s="245"/>
      <c r="AC1095" s="249"/>
      <c r="AD1095" s="249"/>
      <c r="AE1095" s="249"/>
      <c r="AF1095" s="8"/>
      <c r="AG1095" s="8"/>
      <c r="AH1095" s="72"/>
      <c r="AI1095" s="8"/>
      <c r="AJ1095" s="251"/>
      <c r="AK1095" s="23"/>
      <c r="AL1095" s="75"/>
      <c r="AM1095" s="75" t="str">
        <f t="shared" si="141"/>
        <v/>
      </c>
      <c r="AN1095" s="75"/>
      <c r="AO1095" s="75"/>
      <c r="AP1095" s="75"/>
      <c r="AQ1095" s="75"/>
      <c r="AR1095" s="75"/>
      <c r="AS1095" s="75"/>
      <c r="AT1095" s="75"/>
    </row>
    <row r="1096" ht="22.5" customHeight="1">
      <c r="A1096" s="219"/>
      <c r="B1096" s="219"/>
      <c r="C1096" s="219"/>
      <c r="D1096" s="219"/>
      <c r="E1096" s="219"/>
      <c r="F1096" s="219"/>
      <c r="G1096" s="219"/>
      <c r="H1096" s="219"/>
      <c r="I1096" s="249"/>
      <c r="J1096" s="243"/>
      <c r="K1096" s="219"/>
      <c r="L1096" s="244"/>
      <c r="M1096" s="219"/>
      <c r="N1096" s="219"/>
      <c r="O1096" s="219"/>
      <c r="P1096" s="244"/>
      <c r="Q1096" s="219"/>
      <c r="R1096" s="302"/>
      <c r="S1096" s="219"/>
      <c r="T1096" s="219"/>
      <c r="U1096" s="219"/>
      <c r="V1096" s="303"/>
      <c r="W1096" s="247"/>
      <c r="X1096" s="245"/>
      <c r="Y1096" s="245"/>
      <c r="Z1096" s="245"/>
      <c r="AA1096" s="245"/>
      <c r="AB1096" s="245"/>
      <c r="AC1096" s="249"/>
      <c r="AD1096" s="249"/>
      <c r="AE1096" s="249"/>
      <c r="AF1096" s="8"/>
      <c r="AG1096" s="8"/>
      <c r="AH1096" s="72"/>
      <c r="AI1096" s="8"/>
      <c r="AJ1096" s="251"/>
      <c r="AK1096" s="23"/>
      <c r="AL1096" s="75"/>
      <c r="AM1096" s="75" t="str">
        <f t="shared" si="141"/>
        <v/>
      </c>
      <c r="AN1096" s="75"/>
      <c r="AO1096" s="75"/>
      <c r="AP1096" s="75"/>
      <c r="AQ1096" s="75"/>
      <c r="AR1096" s="75"/>
      <c r="AS1096" s="75"/>
      <c r="AT1096" s="75"/>
    </row>
    <row r="1097" ht="22.5" customHeight="1">
      <c r="A1097" s="219"/>
      <c r="B1097" s="219"/>
      <c r="C1097" s="219"/>
      <c r="D1097" s="219"/>
      <c r="E1097" s="219"/>
      <c r="F1097" s="219"/>
      <c r="G1097" s="219"/>
      <c r="H1097" s="219"/>
      <c r="I1097" s="249"/>
      <c r="J1097" s="243"/>
      <c r="K1097" s="219"/>
      <c r="L1097" s="244"/>
      <c r="M1097" s="219"/>
      <c r="N1097" s="219"/>
      <c r="O1097" s="219"/>
      <c r="P1097" s="244"/>
      <c r="Q1097" s="219"/>
      <c r="R1097" s="302"/>
      <c r="S1097" s="219"/>
      <c r="T1097" s="219"/>
      <c r="U1097" s="219"/>
      <c r="V1097" s="303"/>
      <c r="W1097" s="247"/>
      <c r="X1097" s="245"/>
      <c r="Y1097" s="245"/>
      <c r="Z1097" s="245"/>
      <c r="AA1097" s="245"/>
      <c r="AB1097" s="245"/>
      <c r="AC1097" s="249"/>
      <c r="AD1097" s="249"/>
      <c r="AE1097" s="249"/>
      <c r="AF1097" s="8"/>
      <c r="AG1097" s="8"/>
      <c r="AH1097" s="72"/>
      <c r="AI1097" s="8"/>
      <c r="AJ1097" s="251"/>
      <c r="AK1097" s="23"/>
      <c r="AL1097" s="75"/>
      <c r="AM1097" s="75" t="str">
        <f t="shared" si="141"/>
        <v/>
      </c>
      <c r="AN1097" s="75"/>
      <c r="AO1097" s="75"/>
      <c r="AP1097" s="75"/>
      <c r="AQ1097" s="75"/>
      <c r="AR1097" s="75"/>
      <c r="AS1097" s="75"/>
      <c r="AT1097" s="75"/>
    </row>
    <row r="1098" ht="22.5" customHeight="1">
      <c r="A1098" s="219"/>
      <c r="B1098" s="219"/>
      <c r="C1098" s="219"/>
      <c r="D1098" s="219"/>
      <c r="E1098" s="219"/>
      <c r="F1098" s="219"/>
      <c r="G1098" s="219"/>
      <c r="H1098" s="219"/>
      <c r="I1098" s="249"/>
      <c r="J1098" s="243"/>
      <c r="K1098" s="219"/>
      <c r="L1098" s="244"/>
      <c r="M1098" s="219"/>
      <c r="N1098" s="219"/>
      <c r="O1098" s="219"/>
      <c r="P1098" s="244"/>
      <c r="Q1098" s="219"/>
      <c r="R1098" s="302"/>
      <c r="S1098" s="219"/>
      <c r="T1098" s="219"/>
      <c r="U1098" s="219"/>
      <c r="V1098" s="303"/>
      <c r="W1098" s="247"/>
      <c r="X1098" s="245"/>
      <c r="Y1098" s="245"/>
      <c r="Z1098" s="245"/>
      <c r="AA1098" s="245"/>
      <c r="AB1098" s="245"/>
      <c r="AC1098" s="249"/>
      <c r="AD1098" s="249"/>
      <c r="AE1098" s="249"/>
      <c r="AF1098" s="8"/>
      <c r="AG1098" s="8"/>
      <c r="AH1098" s="72"/>
      <c r="AI1098" s="8"/>
      <c r="AJ1098" s="251"/>
      <c r="AK1098" s="23"/>
      <c r="AL1098" s="75"/>
      <c r="AM1098" s="75" t="str">
        <f t="shared" si="141"/>
        <v/>
      </c>
      <c r="AN1098" s="75"/>
      <c r="AO1098" s="75"/>
      <c r="AP1098" s="75"/>
      <c r="AQ1098" s="75"/>
      <c r="AR1098" s="75"/>
      <c r="AS1098" s="75"/>
      <c r="AT1098" s="75"/>
    </row>
    <row r="1099" ht="22.5" customHeight="1">
      <c r="A1099" s="219"/>
      <c r="B1099" s="219"/>
      <c r="C1099" s="219"/>
      <c r="D1099" s="219"/>
      <c r="E1099" s="219"/>
      <c r="F1099" s="219"/>
      <c r="G1099" s="219"/>
      <c r="H1099" s="219"/>
      <c r="I1099" s="249"/>
      <c r="J1099" s="243"/>
      <c r="K1099" s="219"/>
      <c r="L1099" s="244"/>
      <c r="M1099" s="219"/>
      <c r="N1099" s="219"/>
      <c r="O1099" s="219"/>
      <c r="P1099" s="244"/>
      <c r="Q1099" s="219"/>
      <c r="R1099" s="302"/>
      <c r="S1099" s="219"/>
      <c r="T1099" s="219"/>
      <c r="U1099" s="219"/>
      <c r="V1099" s="303"/>
      <c r="W1099" s="247"/>
      <c r="X1099" s="245"/>
      <c r="Y1099" s="245"/>
      <c r="Z1099" s="245"/>
      <c r="AA1099" s="245"/>
      <c r="AB1099" s="245"/>
      <c r="AC1099" s="249"/>
      <c r="AD1099" s="249"/>
      <c r="AE1099" s="249"/>
      <c r="AF1099" s="8"/>
      <c r="AG1099" s="8"/>
      <c r="AH1099" s="72"/>
      <c r="AI1099" s="8"/>
      <c r="AJ1099" s="251"/>
      <c r="AK1099" s="23"/>
      <c r="AL1099" s="75"/>
      <c r="AM1099" s="75" t="str">
        <f t="shared" si="141"/>
        <v/>
      </c>
      <c r="AN1099" s="75"/>
      <c r="AO1099" s="75"/>
      <c r="AP1099" s="75"/>
      <c r="AQ1099" s="75"/>
      <c r="AR1099" s="75"/>
      <c r="AS1099" s="75"/>
      <c r="AT1099" s="75"/>
    </row>
    <row r="1100" ht="22.5" customHeight="1">
      <c r="A1100" s="219"/>
      <c r="B1100" s="219"/>
      <c r="C1100" s="219"/>
      <c r="D1100" s="219"/>
      <c r="E1100" s="219"/>
      <c r="F1100" s="219"/>
      <c r="G1100" s="219"/>
      <c r="H1100" s="219"/>
      <c r="I1100" s="249"/>
      <c r="J1100" s="243"/>
      <c r="K1100" s="219"/>
      <c r="L1100" s="244"/>
      <c r="M1100" s="219"/>
      <c r="N1100" s="219"/>
      <c r="O1100" s="219"/>
      <c r="P1100" s="244"/>
      <c r="Q1100" s="219"/>
      <c r="R1100" s="302"/>
      <c r="S1100" s="219"/>
      <c r="T1100" s="219"/>
      <c r="U1100" s="219"/>
      <c r="V1100" s="303"/>
      <c r="W1100" s="247"/>
      <c r="X1100" s="245"/>
      <c r="Y1100" s="245"/>
      <c r="Z1100" s="245"/>
      <c r="AA1100" s="245"/>
      <c r="AB1100" s="245"/>
      <c r="AC1100" s="249"/>
      <c r="AD1100" s="249"/>
      <c r="AE1100" s="249"/>
      <c r="AF1100" s="8"/>
      <c r="AG1100" s="8"/>
      <c r="AH1100" s="72"/>
      <c r="AI1100" s="8"/>
      <c r="AJ1100" s="251"/>
      <c r="AK1100" s="23"/>
      <c r="AL1100" s="75"/>
      <c r="AM1100" s="75" t="str">
        <f t="shared" si="141"/>
        <v/>
      </c>
      <c r="AN1100" s="75"/>
      <c r="AO1100" s="75"/>
      <c r="AP1100" s="75"/>
      <c r="AQ1100" s="75"/>
      <c r="AR1100" s="75"/>
      <c r="AS1100" s="75"/>
      <c r="AT1100" s="75"/>
    </row>
    <row r="1101" ht="22.5" customHeight="1">
      <c r="A1101" s="219"/>
      <c r="B1101" s="219"/>
      <c r="C1101" s="219"/>
      <c r="D1101" s="219"/>
      <c r="E1101" s="219"/>
      <c r="F1101" s="219"/>
      <c r="G1101" s="219"/>
      <c r="H1101" s="219"/>
      <c r="I1101" s="249"/>
      <c r="J1101" s="243"/>
      <c r="K1101" s="219"/>
      <c r="L1101" s="244"/>
      <c r="M1101" s="219"/>
      <c r="N1101" s="219"/>
      <c r="O1101" s="219"/>
      <c r="P1101" s="244"/>
      <c r="Q1101" s="219"/>
      <c r="R1101" s="302"/>
      <c r="S1101" s="219"/>
      <c r="T1101" s="219"/>
      <c r="U1101" s="219"/>
      <c r="V1101" s="303"/>
      <c r="W1101" s="247"/>
      <c r="X1101" s="245"/>
      <c r="Y1101" s="245"/>
      <c r="Z1101" s="245"/>
      <c r="AA1101" s="245"/>
      <c r="AB1101" s="245"/>
      <c r="AC1101" s="249"/>
      <c r="AD1101" s="249"/>
      <c r="AE1101" s="249"/>
      <c r="AF1101" s="8"/>
      <c r="AG1101" s="8"/>
      <c r="AH1101" s="72"/>
      <c r="AI1101" s="8"/>
      <c r="AJ1101" s="251"/>
      <c r="AK1101" s="23"/>
      <c r="AL1101" s="75"/>
      <c r="AM1101" s="75" t="str">
        <f t="shared" si="141"/>
        <v/>
      </c>
      <c r="AN1101" s="75"/>
      <c r="AO1101" s="75"/>
      <c r="AP1101" s="75"/>
      <c r="AQ1101" s="75"/>
      <c r="AR1101" s="75"/>
      <c r="AS1101" s="75"/>
      <c r="AT1101" s="75"/>
    </row>
    <row r="1102" ht="22.5" customHeight="1">
      <c r="A1102" s="219"/>
      <c r="B1102" s="219"/>
      <c r="C1102" s="219"/>
      <c r="D1102" s="219"/>
      <c r="E1102" s="219"/>
      <c r="F1102" s="219"/>
      <c r="G1102" s="219"/>
      <c r="H1102" s="219"/>
      <c r="I1102" s="249"/>
      <c r="J1102" s="243"/>
      <c r="K1102" s="219"/>
      <c r="L1102" s="244"/>
      <c r="M1102" s="219"/>
      <c r="N1102" s="219"/>
      <c r="O1102" s="219"/>
      <c r="P1102" s="244"/>
      <c r="Q1102" s="219"/>
      <c r="R1102" s="302"/>
      <c r="S1102" s="219"/>
      <c r="T1102" s="219"/>
      <c r="U1102" s="219"/>
      <c r="V1102" s="303"/>
      <c r="W1102" s="247"/>
      <c r="X1102" s="245"/>
      <c r="Y1102" s="245"/>
      <c r="Z1102" s="245"/>
      <c r="AA1102" s="245"/>
      <c r="AB1102" s="245"/>
      <c r="AC1102" s="249"/>
      <c r="AD1102" s="249"/>
      <c r="AE1102" s="249"/>
      <c r="AF1102" s="8"/>
      <c r="AG1102" s="8"/>
      <c r="AH1102" s="72"/>
      <c r="AI1102" s="8"/>
      <c r="AJ1102" s="251"/>
      <c r="AK1102" s="23"/>
      <c r="AL1102" s="75"/>
      <c r="AM1102" s="75" t="str">
        <f t="shared" si="141"/>
        <v/>
      </c>
      <c r="AN1102" s="75"/>
      <c r="AO1102" s="75"/>
      <c r="AP1102" s="75"/>
      <c r="AQ1102" s="75"/>
      <c r="AR1102" s="75"/>
      <c r="AS1102" s="75"/>
      <c r="AT1102" s="75"/>
    </row>
    <row r="1103" ht="22.5" customHeight="1">
      <c r="A1103" s="219"/>
      <c r="B1103" s="219"/>
      <c r="C1103" s="219"/>
      <c r="D1103" s="219"/>
      <c r="E1103" s="219"/>
      <c r="F1103" s="219"/>
      <c r="G1103" s="219"/>
      <c r="H1103" s="219"/>
      <c r="I1103" s="249"/>
      <c r="J1103" s="243"/>
      <c r="K1103" s="219"/>
      <c r="L1103" s="244"/>
      <c r="M1103" s="219"/>
      <c r="N1103" s="219"/>
      <c r="O1103" s="219"/>
      <c r="P1103" s="244"/>
      <c r="Q1103" s="219"/>
      <c r="R1103" s="302"/>
      <c r="S1103" s="219"/>
      <c r="T1103" s="219"/>
      <c r="U1103" s="219"/>
      <c r="V1103" s="303"/>
      <c r="W1103" s="247"/>
      <c r="X1103" s="245"/>
      <c r="Y1103" s="245"/>
      <c r="Z1103" s="245"/>
      <c r="AA1103" s="245"/>
      <c r="AB1103" s="245"/>
      <c r="AC1103" s="249"/>
      <c r="AD1103" s="249"/>
      <c r="AE1103" s="249"/>
      <c r="AF1103" s="8"/>
      <c r="AG1103" s="8"/>
      <c r="AH1103" s="72"/>
      <c r="AI1103" s="8"/>
      <c r="AJ1103" s="251"/>
      <c r="AK1103" s="23"/>
      <c r="AL1103" s="75"/>
      <c r="AM1103" s="75" t="str">
        <f t="shared" si="141"/>
        <v/>
      </c>
      <c r="AN1103" s="75"/>
      <c r="AO1103" s="75"/>
      <c r="AP1103" s="75"/>
      <c r="AQ1103" s="75"/>
      <c r="AR1103" s="75"/>
      <c r="AS1103" s="75"/>
      <c r="AT1103" s="75"/>
    </row>
    <row r="1104" ht="22.5" customHeight="1">
      <c r="A1104" s="219"/>
      <c r="B1104" s="219"/>
      <c r="C1104" s="219"/>
      <c r="D1104" s="219"/>
      <c r="E1104" s="219"/>
      <c r="F1104" s="219"/>
      <c r="G1104" s="219"/>
      <c r="H1104" s="219"/>
      <c r="I1104" s="249"/>
      <c r="J1104" s="243"/>
      <c r="K1104" s="219"/>
      <c r="L1104" s="244"/>
      <c r="M1104" s="219"/>
      <c r="N1104" s="219"/>
      <c r="O1104" s="219"/>
      <c r="P1104" s="244"/>
      <c r="Q1104" s="219"/>
      <c r="R1104" s="302"/>
      <c r="S1104" s="219"/>
      <c r="T1104" s="219"/>
      <c r="U1104" s="219"/>
      <c r="V1104" s="303"/>
      <c r="W1104" s="247"/>
      <c r="X1104" s="245"/>
      <c r="Y1104" s="245"/>
      <c r="Z1104" s="245"/>
      <c r="AA1104" s="245"/>
      <c r="AB1104" s="245"/>
      <c r="AC1104" s="249"/>
      <c r="AD1104" s="249"/>
      <c r="AE1104" s="249"/>
      <c r="AF1104" s="8"/>
      <c r="AG1104" s="8"/>
      <c r="AH1104" s="72"/>
      <c r="AI1104" s="8"/>
      <c r="AJ1104" s="251"/>
      <c r="AK1104" s="23"/>
      <c r="AL1104" s="75"/>
      <c r="AM1104" s="75" t="str">
        <f t="shared" si="141"/>
        <v/>
      </c>
      <c r="AN1104" s="75"/>
      <c r="AO1104" s="75"/>
      <c r="AP1104" s="75"/>
      <c r="AQ1104" s="75"/>
      <c r="AR1104" s="75"/>
      <c r="AS1104" s="75"/>
      <c r="AT1104" s="75"/>
    </row>
    <row r="1105" ht="22.5" customHeight="1">
      <c r="A1105" s="219"/>
      <c r="B1105" s="219"/>
      <c r="C1105" s="219"/>
      <c r="D1105" s="219"/>
      <c r="E1105" s="219"/>
      <c r="F1105" s="219"/>
      <c r="G1105" s="219"/>
      <c r="H1105" s="219"/>
      <c r="I1105" s="249"/>
      <c r="J1105" s="243"/>
      <c r="K1105" s="219"/>
      <c r="L1105" s="244"/>
      <c r="M1105" s="219"/>
      <c r="N1105" s="219"/>
      <c r="O1105" s="219"/>
      <c r="P1105" s="244"/>
      <c r="Q1105" s="219"/>
      <c r="R1105" s="302"/>
      <c r="S1105" s="219"/>
      <c r="T1105" s="219"/>
      <c r="U1105" s="219"/>
      <c r="V1105" s="303"/>
      <c r="W1105" s="247"/>
      <c r="X1105" s="245"/>
      <c r="Y1105" s="245"/>
      <c r="Z1105" s="245"/>
      <c r="AA1105" s="245"/>
      <c r="AB1105" s="245"/>
      <c r="AC1105" s="249"/>
      <c r="AD1105" s="249"/>
      <c r="AE1105" s="249"/>
      <c r="AF1105" s="8"/>
      <c r="AG1105" s="8"/>
      <c r="AH1105" s="72"/>
      <c r="AI1105" s="8"/>
      <c r="AJ1105" s="251"/>
      <c r="AK1105" s="23"/>
      <c r="AL1105" s="75"/>
      <c r="AM1105" s="75" t="str">
        <f t="shared" si="141"/>
        <v/>
      </c>
      <c r="AN1105" s="75"/>
      <c r="AO1105" s="75"/>
      <c r="AP1105" s="75"/>
      <c r="AQ1105" s="75"/>
      <c r="AR1105" s="75"/>
      <c r="AS1105" s="75"/>
      <c r="AT1105" s="75"/>
    </row>
    <row r="1106" ht="22.5" customHeight="1">
      <c r="A1106" s="219"/>
      <c r="B1106" s="219"/>
      <c r="C1106" s="219"/>
      <c r="D1106" s="219"/>
      <c r="E1106" s="219"/>
      <c r="F1106" s="219"/>
      <c r="G1106" s="219"/>
      <c r="H1106" s="219"/>
      <c r="I1106" s="249"/>
      <c r="J1106" s="243"/>
      <c r="K1106" s="219"/>
      <c r="L1106" s="244"/>
      <c r="M1106" s="219"/>
      <c r="N1106" s="219"/>
      <c r="O1106" s="219"/>
      <c r="P1106" s="244"/>
      <c r="Q1106" s="219"/>
      <c r="R1106" s="302"/>
      <c r="S1106" s="219"/>
      <c r="T1106" s="219"/>
      <c r="U1106" s="219"/>
      <c r="V1106" s="303"/>
      <c r="W1106" s="247"/>
      <c r="X1106" s="245"/>
      <c r="Y1106" s="245"/>
      <c r="Z1106" s="245"/>
      <c r="AA1106" s="245"/>
      <c r="AB1106" s="245"/>
      <c r="AC1106" s="249"/>
      <c r="AD1106" s="249"/>
      <c r="AE1106" s="249"/>
      <c r="AF1106" s="8"/>
      <c r="AG1106" s="8"/>
      <c r="AH1106" s="72"/>
      <c r="AI1106" s="8"/>
      <c r="AJ1106" s="251"/>
      <c r="AK1106" s="23"/>
      <c r="AL1106" s="75"/>
      <c r="AM1106" s="75" t="str">
        <f t="shared" si="141"/>
        <v/>
      </c>
      <c r="AN1106" s="75"/>
      <c r="AO1106" s="75"/>
      <c r="AP1106" s="75"/>
      <c r="AQ1106" s="75"/>
      <c r="AR1106" s="75"/>
      <c r="AS1106" s="75"/>
      <c r="AT1106" s="75"/>
    </row>
    <row r="1107" ht="22.5" customHeight="1">
      <c r="A1107" s="219"/>
      <c r="B1107" s="219"/>
      <c r="C1107" s="219"/>
      <c r="D1107" s="219"/>
      <c r="E1107" s="219"/>
      <c r="F1107" s="219"/>
      <c r="G1107" s="219"/>
      <c r="H1107" s="219"/>
      <c r="I1107" s="249"/>
      <c r="J1107" s="243"/>
      <c r="K1107" s="219"/>
      <c r="L1107" s="244"/>
      <c r="M1107" s="219"/>
      <c r="N1107" s="219"/>
      <c r="O1107" s="219"/>
      <c r="P1107" s="244"/>
      <c r="Q1107" s="219"/>
      <c r="R1107" s="302"/>
      <c r="S1107" s="219"/>
      <c r="T1107" s="219"/>
      <c r="U1107" s="219"/>
      <c r="V1107" s="303"/>
      <c r="W1107" s="247"/>
      <c r="X1107" s="245"/>
      <c r="Y1107" s="245"/>
      <c r="Z1107" s="245"/>
      <c r="AA1107" s="245"/>
      <c r="AB1107" s="245"/>
      <c r="AC1107" s="249"/>
      <c r="AD1107" s="249"/>
      <c r="AE1107" s="249"/>
      <c r="AF1107" s="8"/>
      <c r="AG1107" s="8"/>
      <c r="AH1107" s="72"/>
      <c r="AI1107" s="8"/>
      <c r="AJ1107" s="251"/>
      <c r="AK1107" s="23"/>
      <c r="AL1107" s="75"/>
      <c r="AM1107" s="75" t="str">
        <f t="shared" si="141"/>
        <v/>
      </c>
      <c r="AN1107" s="75"/>
      <c r="AO1107" s="75"/>
      <c r="AP1107" s="75"/>
      <c r="AQ1107" s="75"/>
      <c r="AR1107" s="75"/>
      <c r="AS1107" s="75"/>
      <c r="AT1107" s="75"/>
    </row>
    <row r="1108" ht="22.5" customHeight="1">
      <c r="A1108" s="219"/>
      <c r="B1108" s="219"/>
      <c r="C1108" s="219"/>
      <c r="D1108" s="219"/>
      <c r="E1108" s="219"/>
      <c r="F1108" s="219"/>
      <c r="G1108" s="219"/>
      <c r="H1108" s="219"/>
      <c r="I1108" s="249"/>
      <c r="J1108" s="243"/>
      <c r="K1108" s="219"/>
      <c r="L1108" s="244"/>
      <c r="M1108" s="219"/>
      <c r="N1108" s="219"/>
      <c r="O1108" s="219"/>
      <c r="P1108" s="244"/>
      <c r="Q1108" s="219"/>
      <c r="R1108" s="302"/>
      <c r="S1108" s="219"/>
      <c r="T1108" s="219"/>
      <c r="U1108" s="219"/>
      <c r="V1108" s="303"/>
      <c r="W1108" s="247"/>
      <c r="X1108" s="245"/>
      <c r="Y1108" s="245"/>
      <c r="Z1108" s="245"/>
      <c r="AA1108" s="245"/>
      <c r="AB1108" s="245"/>
      <c r="AC1108" s="249"/>
      <c r="AD1108" s="249"/>
      <c r="AE1108" s="249"/>
      <c r="AF1108" s="8"/>
      <c r="AG1108" s="8"/>
      <c r="AH1108" s="72"/>
      <c r="AI1108" s="8"/>
      <c r="AJ1108" s="251"/>
      <c r="AK1108" s="23"/>
      <c r="AL1108" s="75"/>
      <c r="AM1108" s="75" t="str">
        <f t="shared" si="141"/>
        <v/>
      </c>
      <c r="AN1108" s="75"/>
      <c r="AO1108" s="75"/>
      <c r="AP1108" s="75"/>
      <c r="AQ1108" s="75"/>
      <c r="AR1108" s="75"/>
      <c r="AS1108" s="75"/>
      <c r="AT1108" s="75"/>
    </row>
    <row r="1109" ht="22.5" customHeight="1">
      <c r="A1109" s="219"/>
      <c r="B1109" s="219"/>
      <c r="C1109" s="219"/>
      <c r="D1109" s="219"/>
      <c r="E1109" s="219"/>
      <c r="F1109" s="219"/>
      <c r="G1109" s="219"/>
      <c r="H1109" s="219"/>
      <c r="I1109" s="249"/>
      <c r="J1109" s="243"/>
      <c r="K1109" s="219"/>
      <c r="L1109" s="244"/>
      <c r="M1109" s="219"/>
      <c r="N1109" s="219"/>
      <c r="O1109" s="219"/>
      <c r="P1109" s="244"/>
      <c r="Q1109" s="219"/>
      <c r="R1109" s="302"/>
      <c r="S1109" s="219"/>
      <c r="T1109" s="219"/>
      <c r="U1109" s="219"/>
      <c r="V1109" s="303"/>
      <c r="W1109" s="247"/>
      <c r="X1109" s="245"/>
      <c r="Y1109" s="245"/>
      <c r="Z1109" s="245"/>
      <c r="AA1109" s="245"/>
      <c r="AB1109" s="245"/>
      <c r="AC1109" s="249"/>
      <c r="AD1109" s="249"/>
      <c r="AE1109" s="249"/>
      <c r="AF1109" s="8"/>
      <c r="AG1109" s="8"/>
      <c r="AH1109" s="72"/>
      <c r="AI1109" s="8"/>
      <c r="AJ1109" s="251"/>
      <c r="AK1109" s="23"/>
      <c r="AL1109" s="75"/>
      <c r="AM1109" s="75" t="str">
        <f t="shared" si="141"/>
        <v/>
      </c>
      <c r="AN1109" s="75"/>
      <c r="AO1109" s="75"/>
      <c r="AP1109" s="75"/>
      <c r="AQ1109" s="75"/>
      <c r="AR1109" s="75"/>
      <c r="AS1109" s="75"/>
      <c r="AT1109" s="75"/>
    </row>
    <row r="1110" ht="22.5" customHeight="1">
      <c r="A1110" s="219"/>
      <c r="B1110" s="219"/>
      <c r="C1110" s="219"/>
      <c r="D1110" s="219"/>
      <c r="E1110" s="219"/>
      <c r="F1110" s="219"/>
      <c r="G1110" s="219"/>
      <c r="H1110" s="219"/>
      <c r="I1110" s="249"/>
      <c r="J1110" s="243"/>
      <c r="K1110" s="219"/>
      <c r="L1110" s="244"/>
      <c r="M1110" s="219"/>
      <c r="N1110" s="219"/>
      <c r="O1110" s="219"/>
      <c r="P1110" s="244"/>
      <c r="Q1110" s="219"/>
      <c r="R1110" s="302"/>
      <c r="S1110" s="219"/>
      <c r="T1110" s="219"/>
      <c r="U1110" s="219"/>
      <c r="V1110" s="303"/>
      <c r="W1110" s="247"/>
      <c r="X1110" s="245"/>
      <c r="Y1110" s="245"/>
      <c r="Z1110" s="245"/>
      <c r="AA1110" s="245"/>
      <c r="AB1110" s="245"/>
      <c r="AC1110" s="249"/>
      <c r="AD1110" s="249"/>
      <c r="AE1110" s="249"/>
      <c r="AF1110" s="8"/>
      <c r="AG1110" s="8"/>
      <c r="AH1110" s="72"/>
      <c r="AI1110" s="8"/>
      <c r="AJ1110" s="251"/>
      <c r="AK1110" s="23"/>
      <c r="AL1110" s="75"/>
      <c r="AM1110" s="75" t="str">
        <f t="shared" si="141"/>
        <v/>
      </c>
      <c r="AN1110" s="75"/>
      <c r="AO1110" s="75"/>
      <c r="AP1110" s="75"/>
      <c r="AQ1110" s="75"/>
      <c r="AR1110" s="75"/>
      <c r="AS1110" s="75"/>
      <c r="AT1110" s="75"/>
    </row>
    <row r="1111" ht="22.5" customHeight="1">
      <c r="A1111" s="219"/>
      <c r="B1111" s="219"/>
      <c r="C1111" s="219"/>
      <c r="D1111" s="219"/>
      <c r="E1111" s="219"/>
      <c r="F1111" s="219"/>
      <c r="G1111" s="219"/>
      <c r="H1111" s="219"/>
      <c r="I1111" s="249"/>
      <c r="J1111" s="243"/>
      <c r="K1111" s="219"/>
      <c r="L1111" s="244"/>
      <c r="M1111" s="219"/>
      <c r="N1111" s="219"/>
      <c r="O1111" s="219"/>
      <c r="P1111" s="244"/>
      <c r="Q1111" s="219"/>
      <c r="R1111" s="302"/>
      <c r="S1111" s="219"/>
      <c r="T1111" s="219"/>
      <c r="U1111" s="219"/>
      <c r="V1111" s="303"/>
      <c r="W1111" s="247"/>
      <c r="X1111" s="245"/>
      <c r="Y1111" s="245"/>
      <c r="Z1111" s="245"/>
      <c r="AA1111" s="245"/>
      <c r="AB1111" s="245"/>
      <c r="AC1111" s="249"/>
      <c r="AD1111" s="249"/>
      <c r="AE1111" s="249"/>
      <c r="AF1111" s="8"/>
      <c r="AG1111" s="8"/>
      <c r="AH1111" s="72"/>
      <c r="AI1111" s="8"/>
      <c r="AJ1111" s="251"/>
      <c r="AK1111" s="23"/>
      <c r="AL1111" s="75"/>
      <c r="AM1111" s="75" t="str">
        <f t="shared" si="141"/>
        <v/>
      </c>
      <c r="AN1111" s="75"/>
      <c r="AO1111" s="75"/>
      <c r="AP1111" s="75"/>
      <c r="AQ1111" s="75"/>
      <c r="AR1111" s="75"/>
      <c r="AS1111" s="75"/>
      <c r="AT1111" s="75"/>
    </row>
    <row r="1112" ht="22.5" customHeight="1">
      <c r="A1112" s="219"/>
      <c r="B1112" s="219"/>
      <c r="C1112" s="219"/>
      <c r="D1112" s="219"/>
      <c r="E1112" s="219"/>
      <c r="F1112" s="219"/>
      <c r="G1112" s="219"/>
      <c r="H1112" s="219"/>
      <c r="I1112" s="249"/>
      <c r="J1112" s="243"/>
      <c r="K1112" s="219"/>
      <c r="L1112" s="244"/>
      <c r="M1112" s="219"/>
      <c r="N1112" s="219"/>
      <c r="O1112" s="219"/>
      <c r="P1112" s="244"/>
      <c r="Q1112" s="219"/>
      <c r="R1112" s="302"/>
      <c r="S1112" s="219"/>
      <c r="T1112" s="219"/>
      <c r="U1112" s="219"/>
      <c r="V1112" s="303"/>
      <c r="W1112" s="247"/>
      <c r="X1112" s="245"/>
      <c r="Y1112" s="245"/>
      <c r="Z1112" s="245"/>
      <c r="AA1112" s="245"/>
      <c r="AB1112" s="245"/>
      <c r="AC1112" s="249"/>
      <c r="AD1112" s="249"/>
      <c r="AE1112" s="249"/>
      <c r="AF1112" s="8"/>
      <c r="AG1112" s="8"/>
      <c r="AH1112" s="72"/>
      <c r="AI1112" s="8"/>
      <c r="AJ1112" s="251"/>
      <c r="AK1112" s="23"/>
      <c r="AL1112" s="75"/>
      <c r="AM1112" s="75" t="str">
        <f t="shared" si="141"/>
        <v/>
      </c>
      <c r="AN1112" s="75"/>
      <c r="AO1112" s="75"/>
      <c r="AP1112" s="75"/>
      <c r="AQ1112" s="75"/>
      <c r="AR1112" s="75"/>
      <c r="AS1112" s="75"/>
      <c r="AT1112" s="75"/>
    </row>
    <row r="1113" ht="22.5" customHeight="1">
      <c r="A1113" s="219"/>
      <c r="B1113" s="219"/>
      <c r="C1113" s="219"/>
      <c r="D1113" s="219"/>
      <c r="E1113" s="219"/>
      <c r="F1113" s="219"/>
      <c r="G1113" s="219"/>
      <c r="H1113" s="219"/>
      <c r="I1113" s="249"/>
      <c r="J1113" s="243"/>
      <c r="K1113" s="219"/>
      <c r="L1113" s="244"/>
      <c r="M1113" s="219"/>
      <c r="N1113" s="219"/>
      <c r="O1113" s="219"/>
      <c r="P1113" s="244"/>
      <c r="Q1113" s="219"/>
      <c r="R1113" s="302"/>
      <c r="S1113" s="219"/>
      <c r="T1113" s="219"/>
      <c r="U1113" s="219"/>
      <c r="V1113" s="303"/>
      <c r="W1113" s="247"/>
      <c r="X1113" s="245"/>
      <c r="Y1113" s="245"/>
      <c r="Z1113" s="245"/>
      <c r="AA1113" s="245"/>
      <c r="AB1113" s="245"/>
      <c r="AC1113" s="249"/>
      <c r="AD1113" s="249"/>
      <c r="AE1113" s="249"/>
      <c r="AF1113" s="8"/>
      <c r="AG1113" s="8"/>
      <c r="AH1113" s="72"/>
      <c r="AI1113" s="8"/>
      <c r="AJ1113" s="251"/>
      <c r="AK1113" s="23"/>
      <c r="AL1113" s="75"/>
      <c r="AM1113" s="75" t="str">
        <f t="shared" si="141"/>
        <v/>
      </c>
      <c r="AN1113" s="75"/>
      <c r="AO1113" s="75"/>
      <c r="AP1113" s="75"/>
      <c r="AQ1113" s="75"/>
      <c r="AR1113" s="75"/>
      <c r="AS1113" s="75"/>
      <c r="AT1113" s="75"/>
    </row>
    <row r="1114" ht="22.5" customHeight="1">
      <c r="A1114" s="219"/>
      <c r="B1114" s="219"/>
      <c r="C1114" s="219"/>
      <c r="D1114" s="219"/>
      <c r="E1114" s="219"/>
      <c r="F1114" s="219"/>
      <c r="G1114" s="219"/>
      <c r="H1114" s="219"/>
      <c r="I1114" s="249"/>
      <c r="J1114" s="243"/>
      <c r="K1114" s="219"/>
      <c r="L1114" s="244"/>
      <c r="M1114" s="219"/>
      <c r="N1114" s="219"/>
      <c r="O1114" s="219"/>
      <c r="P1114" s="244"/>
      <c r="Q1114" s="219"/>
      <c r="R1114" s="302"/>
      <c r="S1114" s="219"/>
      <c r="T1114" s="219"/>
      <c r="U1114" s="219"/>
      <c r="V1114" s="303"/>
      <c r="W1114" s="247"/>
      <c r="X1114" s="245"/>
      <c r="Y1114" s="245"/>
      <c r="Z1114" s="245"/>
      <c r="AA1114" s="245"/>
      <c r="AB1114" s="245"/>
      <c r="AC1114" s="249"/>
      <c r="AD1114" s="249"/>
      <c r="AE1114" s="249"/>
      <c r="AF1114" s="8"/>
      <c r="AG1114" s="8"/>
      <c r="AH1114" s="72"/>
      <c r="AI1114" s="8"/>
      <c r="AJ1114" s="251"/>
      <c r="AK1114" s="23"/>
      <c r="AL1114" s="75"/>
      <c r="AM1114" s="75" t="str">
        <f t="shared" si="141"/>
        <v/>
      </c>
      <c r="AN1114" s="75"/>
      <c r="AO1114" s="75"/>
      <c r="AP1114" s="75"/>
      <c r="AQ1114" s="75"/>
      <c r="AR1114" s="75"/>
      <c r="AS1114" s="75"/>
      <c r="AT1114" s="75"/>
    </row>
    <row r="1115" ht="22.5" customHeight="1">
      <c r="A1115" s="219"/>
      <c r="B1115" s="219"/>
      <c r="C1115" s="219"/>
      <c r="D1115" s="219"/>
      <c r="E1115" s="219"/>
      <c r="F1115" s="219"/>
      <c r="G1115" s="219"/>
      <c r="H1115" s="219"/>
      <c r="I1115" s="249"/>
      <c r="J1115" s="243"/>
      <c r="K1115" s="219"/>
      <c r="L1115" s="244"/>
      <c r="M1115" s="219"/>
      <c r="N1115" s="219"/>
      <c r="O1115" s="219"/>
      <c r="P1115" s="244"/>
      <c r="Q1115" s="219"/>
      <c r="R1115" s="302"/>
      <c r="S1115" s="219"/>
      <c r="T1115" s="219"/>
      <c r="U1115" s="219"/>
      <c r="V1115" s="303"/>
      <c r="W1115" s="247"/>
      <c r="X1115" s="245"/>
      <c r="Y1115" s="245"/>
      <c r="Z1115" s="245"/>
      <c r="AA1115" s="245"/>
      <c r="AB1115" s="245"/>
      <c r="AC1115" s="249"/>
      <c r="AD1115" s="249"/>
      <c r="AE1115" s="249"/>
      <c r="AF1115" s="8"/>
      <c r="AG1115" s="8"/>
      <c r="AH1115" s="72"/>
      <c r="AI1115" s="8"/>
      <c r="AJ1115" s="251"/>
      <c r="AK1115" s="23"/>
      <c r="AL1115" s="75"/>
      <c r="AM1115" s="75" t="str">
        <f t="shared" si="141"/>
        <v/>
      </c>
      <c r="AN1115" s="75"/>
      <c r="AO1115" s="75"/>
      <c r="AP1115" s="75"/>
      <c r="AQ1115" s="75"/>
      <c r="AR1115" s="75"/>
      <c r="AS1115" s="75"/>
      <c r="AT1115" s="75"/>
    </row>
    <row r="1116" ht="22.5" customHeight="1">
      <c r="A1116" s="219"/>
      <c r="B1116" s="219"/>
      <c r="C1116" s="219"/>
      <c r="D1116" s="219"/>
      <c r="E1116" s="219"/>
      <c r="F1116" s="219"/>
      <c r="G1116" s="219"/>
      <c r="H1116" s="219"/>
      <c r="I1116" s="249"/>
      <c r="J1116" s="243"/>
      <c r="K1116" s="219"/>
      <c r="L1116" s="244"/>
      <c r="M1116" s="219"/>
      <c r="N1116" s="219"/>
      <c r="O1116" s="219"/>
      <c r="P1116" s="244"/>
      <c r="Q1116" s="219"/>
      <c r="R1116" s="302"/>
      <c r="S1116" s="219"/>
      <c r="T1116" s="219"/>
      <c r="U1116" s="219"/>
      <c r="V1116" s="303"/>
      <c r="W1116" s="247"/>
      <c r="X1116" s="245"/>
      <c r="Y1116" s="245"/>
      <c r="Z1116" s="245"/>
      <c r="AA1116" s="245"/>
      <c r="AB1116" s="245"/>
      <c r="AC1116" s="249"/>
      <c r="AD1116" s="249"/>
      <c r="AE1116" s="249"/>
      <c r="AF1116" s="8"/>
      <c r="AG1116" s="8"/>
      <c r="AH1116" s="72"/>
      <c r="AI1116" s="8"/>
      <c r="AJ1116" s="251"/>
      <c r="AK1116" s="23"/>
      <c r="AL1116" s="75"/>
      <c r="AM1116" s="75" t="str">
        <f t="shared" si="141"/>
        <v/>
      </c>
      <c r="AN1116" s="75"/>
      <c r="AO1116" s="75"/>
      <c r="AP1116" s="75"/>
      <c r="AQ1116" s="75"/>
      <c r="AR1116" s="75"/>
      <c r="AS1116" s="75"/>
      <c r="AT1116" s="75"/>
    </row>
    <row r="1117" ht="22.5" customHeight="1">
      <c r="A1117" s="219"/>
      <c r="B1117" s="219"/>
      <c r="C1117" s="219"/>
      <c r="D1117" s="219"/>
      <c r="E1117" s="219"/>
      <c r="F1117" s="219"/>
      <c r="G1117" s="219"/>
      <c r="H1117" s="219"/>
      <c r="I1117" s="249"/>
      <c r="J1117" s="243"/>
      <c r="K1117" s="219"/>
      <c r="L1117" s="244"/>
      <c r="M1117" s="219"/>
      <c r="N1117" s="219"/>
      <c r="O1117" s="219"/>
      <c r="P1117" s="244"/>
      <c r="Q1117" s="219"/>
      <c r="R1117" s="302"/>
      <c r="S1117" s="219"/>
      <c r="T1117" s="219"/>
      <c r="U1117" s="219"/>
      <c r="V1117" s="303"/>
      <c r="W1117" s="247"/>
      <c r="X1117" s="245"/>
      <c r="Y1117" s="245"/>
      <c r="Z1117" s="245"/>
      <c r="AA1117" s="245"/>
      <c r="AB1117" s="245"/>
      <c r="AC1117" s="249"/>
      <c r="AD1117" s="249"/>
      <c r="AE1117" s="249"/>
      <c r="AF1117" s="8"/>
      <c r="AG1117" s="8"/>
      <c r="AH1117" s="72"/>
      <c r="AI1117" s="8"/>
      <c r="AJ1117" s="251"/>
      <c r="AK1117" s="23"/>
      <c r="AL1117" s="75"/>
      <c r="AM1117" s="75" t="str">
        <f t="shared" si="141"/>
        <v/>
      </c>
      <c r="AN1117" s="75"/>
      <c r="AO1117" s="75"/>
      <c r="AP1117" s="75"/>
      <c r="AQ1117" s="75"/>
      <c r="AR1117" s="75"/>
      <c r="AS1117" s="75"/>
      <c r="AT1117" s="75"/>
    </row>
    <row r="1118" ht="22.5" customHeight="1">
      <c r="A1118" s="219"/>
      <c r="B1118" s="219"/>
      <c r="C1118" s="219"/>
      <c r="D1118" s="219"/>
      <c r="E1118" s="219"/>
      <c r="F1118" s="219"/>
      <c r="G1118" s="219"/>
      <c r="H1118" s="219"/>
      <c r="I1118" s="249"/>
      <c r="J1118" s="243"/>
      <c r="K1118" s="219"/>
      <c r="L1118" s="244"/>
      <c r="M1118" s="219"/>
      <c r="N1118" s="219"/>
      <c r="O1118" s="219"/>
      <c r="P1118" s="244"/>
      <c r="Q1118" s="219"/>
      <c r="R1118" s="302"/>
      <c r="S1118" s="219"/>
      <c r="T1118" s="219"/>
      <c r="U1118" s="219"/>
      <c r="V1118" s="303"/>
      <c r="W1118" s="247"/>
      <c r="X1118" s="245"/>
      <c r="Y1118" s="245"/>
      <c r="Z1118" s="245"/>
      <c r="AA1118" s="245"/>
      <c r="AB1118" s="245"/>
      <c r="AC1118" s="249"/>
      <c r="AD1118" s="249"/>
      <c r="AE1118" s="249"/>
      <c r="AF1118" s="8"/>
      <c r="AG1118" s="8"/>
      <c r="AH1118" s="72"/>
      <c r="AI1118" s="8"/>
      <c r="AJ1118" s="251"/>
      <c r="AK1118" s="23"/>
      <c r="AL1118" s="75"/>
      <c r="AM1118" s="75" t="str">
        <f t="shared" si="141"/>
        <v/>
      </c>
      <c r="AN1118" s="75"/>
      <c r="AO1118" s="75"/>
      <c r="AP1118" s="75"/>
      <c r="AQ1118" s="75"/>
      <c r="AR1118" s="75"/>
      <c r="AS1118" s="75"/>
      <c r="AT1118" s="75"/>
    </row>
    <row r="1119" ht="22.5" customHeight="1">
      <c r="A1119" s="219"/>
      <c r="B1119" s="219"/>
      <c r="C1119" s="219"/>
      <c r="D1119" s="219"/>
      <c r="E1119" s="219"/>
      <c r="F1119" s="219"/>
      <c r="G1119" s="219"/>
      <c r="H1119" s="219"/>
      <c r="I1119" s="249"/>
      <c r="J1119" s="243"/>
      <c r="K1119" s="219"/>
      <c r="L1119" s="244"/>
      <c r="M1119" s="219"/>
      <c r="N1119" s="219"/>
      <c r="O1119" s="219"/>
      <c r="P1119" s="244"/>
      <c r="Q1119" s="219"/>
      <c r="R1119" s="302"/>
      <c r="S1119" s="219"/>
      <c r="T1119" s="219"/>
      <c r="U1119" s="219"/>
      <c r="V1119" s="303"/>
      <c r="W1119" s="247"/>
      <c r="X1119" s="245"/>
      <c r="Y1119" s="245"/>
      <c r="Z1119" s="245"/>
      <c r="AA1119" s="245"/>
      <c r="AB1119" s="245"/>
      <c r="AC1119" s="249"/>
      <c r="AD1119" s="249"/>
      <c r="AE1119" s="249"/>
      <c r="AF1119" s="8"/>
      <c r="AG1119" s="8"/>
      <c r="AH1119" s="72"/>
      <c r="AI1119" s="8"/>
      <c r="AJ1119" s="251"/>
      <c r="AK1119" s="23"/>
      <c r="AL1119" s="75"/>
      <c r="AM1119" s="75" t="str">
        <f t="shared" si="141"/>
        <v/>
      </c>
      <c r="AN1119" s="75"/>
      <c r="AO1119" s="75"/>
      <c r="AP1119" s="75"/>
      <c r="AQ1119" s="75"/>
      <c r="AR1119" s="75"/>
      <c r="AS1119" s="75"/>
      <c r="AT1119" s="75"/>
    </row>
    <row r="1120" ht="22.5" customHeight="1">
      <c r="A1120" s="219"/>
      <c r="B1120" s="219"/>
      <c r="C1120" s="219"/>
      <c r="D1120" s="219"/>
      <c r="E1120" s="219"/>
      <c r="F1120" s="219"/>
      <c r="G1120" s="219"/>
      <c r="H1120" s="219"/>
      <c r="I1120" s="249"/>
      <c r="J1120" s="243"/>
      <c r="K1120" s="219"/>
      <c r="L1120" s="244"/>
      <c r="M1120" s="219"/>
      <c r="N1120" s="219"/>
      <c r="O1120" s="219"/>
      <c r="P1120" s="244"/>
      <c r="Q1120" s="219"/>
      <c r="R1120" s="302"/>
      <c r="S1120" s="219"/>
      <c r="T1120" s="219"/>
      <c r="U1120" s="219"/>
      <c r="V1120" s="303"/>
      <c r="W1120" s="247"/>
      <c r="X1120" s="245"/>
      <c r="Y1120" s="245"/>
      <c r="Z1120" s="245"/>
      <c r="AA1120" s="245"/>
      <c r="AB1120" s="245"/>
      <c r="AC1120" s="249"/>
      <c r="AD1120" s="249"/>
      <c r="AE1120" s="249"/>
      <c r="AF1120" s="8"/>
      <c r="AG1120" s="8"/>
      <c r="AH1120" s="72"/>
      <c r="AI1120" s="8"/>
      <c r="AJ1120" s="251"/>
      <c r="AK1120" s="23"/>
      <c r="AL1120" s="75"/>
      <c r="AM1120" s="75" t="str">
        <f t="shared" si="141"/>
        <v/>
      </c>
      <c r="AN1120" s="75"/>
      <c r="AO1120" s="75"/>
      <c r="AP1120" s="75"/>
      <c r="AQ1120" s="75"/>
      <c r="AR1120" s="75"/>
      <c r="AS1120" s="75"/>
      <c r="AT1120" s="75"/>
    </row>
    <row r="1121" ht="22.5" customHeight="1">
      <c r="A1121" s="219"/>
      <c r="B1121" s="219"/>
      <c r="C1121" s="219"/>
      <c r="D1121" s="219"/>
      <c r="E1121" s="219"/>
      <c r="F1121" s="219"/>
      <c r="G1121" s="219"/>
      <c r="H1121" s="219"/>
      <c r="I1121" s="249"/>
      <c r="J1121" s="243"/>
      <c r="K1121" s="219"/>
      <c r="L1121" s="244"/>
      <c r="M1121" s="219"/>
      <c r="N1121" s="219"/>
      <c r="O1121" s="219"/>
      <c r="P1121" s="244"/>
      <c r="Q1121" s="219"/>
      <c r="R1121" s="302"/>
      <c r="S1121" s="219"/>
      <c r="T1121" s="219"/>
      <c r="U1121" s="219"/>
      <c r="V1121" s="303"/>
      <c r="W1121" s="247"/>
      <c r="X1121" s="245"/>
      <c r="Y1121" s="245"/>
      <c r="Z1121" s="245"/>
      <c r="AA1121" s="245"/>
      <c r="AB1121" s="245"/>
      <c r="AC1121" s="249"/>
      <c r="AD1121" s="249"/>
      <c r="AE1121" s="249"/>
      <c r="AF1121" s="8"/>
      <c r="AG1121" s="8"/>
      <c r="AH1121" s="72"/>
      <c r="AI1121" s="8"/>
      <c r="AJ1121" s="251"/>
      <c r="AK1121" s="23"/>
      <c r="AL1121" s="75"/>
      <c r="AM1121" s="75" t="str">
        <f t="shared" si="141"/>
        <v/>
      </c>
      <c r="AN1121" s="75"/>
      <c r="AO1121" s="75"/>
      <c r="AP1121" s="75"/>
      <c r="AQ1121" s="75"/>
      <c r="AR1121" s="75"/>
      <c r="AS1121" s="75"/>
      <c r="AT1121" s="75"/>
    </row>
    <row r="1122" ht="22.5" customHeight="1">
      <c r="A1122" s="219"/>
      <c r="B1122" s="219"/>
      <c r="C1122" s="219"/>
      <c r="D1122" s="219"/>
      <c r="E1122" s="219"/>
      <c r="F1122" s="219"/>
      <c r="G1122" s="219"/>
      <c r="H1122" s="219"/>
      <c r="I1122" s="249"/>
      <c r="J1122" s="243"/>
      <c r="K1122" s="219"/>
      <c r="L1122" s="244"/>
      <c r="M1122" s="219"/>
      <c r="N1122" s="219"/>
      <c r="O1122" s="219"/>
      <c r="P1122" s="244"/>
      <c r="Q1122" s="219"/>
      <c r="R1122" s="302"/>
      <c r="S1122" s="219"/>
      <c r="T1122" s="219"/>
      <c r="U1122" s="219"/>
      <c r="V1122" s="303"/>
      <c r="W1122" s="247"/>
      <c r="X1122" s="245"/>
      <c r="Y1122" s="245"/>
      <c r="Z1122" s="245"/>
      <c r="AA1122" s="245"/>
      <c r="AB1122" s="245"/>
      <c r="AC1122" s="249"/>
      <c r="AD1122" s="249"/>
      <c r="AE1122" s="249"/>
      <c r="AF1122" s="8"/>
      <c r="AG1122" s="8"/>
      <c r="AH1122" s="72"/>
      <c r="AI1122" s="8"/>
      <c r="AJ1122" s="251"/>
      <c r="AK1122" s="23"/>
      <c r="AL1122" s="75"/>
      <c r="AM1122" s="75" t="str">
        <f t="shared" si="141"/>
        <v/>
      </c>
      <c r="AN1122" s="75"/>
      <c r="AO1122" s="75"/>
      <c r="AP1122" s="75"/>
      <c r="AQ1122" s="75"/>
      <c r="AR1122" s="75"/>
      <c r="AS1122" s="75"/>
      <c r="AT1122" s="75"/>
    </row>
    <row r="1123" ht="22.5" customHeight="1">
      <c r="A1123" s="219"/>
      <c r="B1123" s="219"/>
      <c r="C1123" s="219"/>
      <c r="D1123" s="219"/>
      <c r="E1123" s="219"/>
      <c r="F1123" s="219"/>
      <c r="G1123" s="219"/>
      <c r="H1123" s="219"/>
      <c r="I1123" s="249"/>
      <c r="J1123" s="243"/>
      <c r="K1123" s="219"/>
      <c r="L1123" s="244"/>
      <c r="M1123" s="219"/>
      <c r="N1123" s="219"/>
      <c r="O1123" s="219"/>
      <c r="P1123" s="244"/>
      <c r="Q1123" s="219"/>
      <c r="R1123" s="302"/>
      <c r="S1123" s="219"/>
      <c r="T1123" s="219"/>
      <c r="U1123" s="219"/>
      <c r="V1123" s="303"/>
      <c r="W1123" s="247"/>
      <c r="X1123" s="245"/>
      <c r="Y1123" s="245"/>
      <c r="Z1123" s="245"/>
      <c r="AA1123" s="245"/>
      <c r="AB1123" s="245"/>
      <c r="AC1123" s="249"/>
      <c r="AD1123" s="249"/>
      <c r="AE1123" s="249"/>
      <c r="AF1123" s="8"/>
      <c r="AG1123" s="8"/>
      <c r="AH1123" s="72"/>
      <c r="AI1123" s="8"/>
      <c r="AJ1123" s="251"/>
      <c r="AK1123" s="23"/>
      <c r="AL1123" s="75"/>
      <c r="AM1123" s="75" t="str">
        <f t="shared" si="141"/>
        <v/>
      </c>
      <c r="AN1123" s="75"/>
      <c r="AO1123" s="75"/>
      <c r="AP1123" s="75"/>
      <c r="AQ1123" s="75"/>
      <c r="AR1123" s="75"/>
      <c r="AS1123" s="75"/>
      <c r="AT1123" s="75"/>
    </row>
    <row r="1124" ht="22.5" customHeight="1">
      <c r="A1124" s="219"/>
      <c r="B1124" s="219"/>
      <c r="C1124" s="219"/>
      <c r="D1124" s="219"/>
      <c r="E1124" s="219"/>
      <c r="F1124" s="219"/>
      <c r="G1124" s="219"/>
      <c r="H1124" s="219"/>
      <c r="I1124" s="249"/>
      <c r="J1124" s="243"/>
      <c r="K1124" s="219"/>
      <c r="L1124" s="244"/>
      <c r="M1124" s="219"/>
      <c r="N1124" s="219"/>
      <c r="O1124" s="219"/>
      <c r="P1124" s="244"/>
      <c r="Q1124" s="219"/>
      <c r="R1124" s="302"/>
      <c r="S1124" s="219"/>
      <c r="T1124" s="219"/>
      <c r="U1124" s="219"/>
      <c r="V1124" s="303"/>
      <c r="W1124" s="247"/>
      <c r="X1124" s="245"/>
      <c r="Y1124" s="245"/>
      <c r="Z1124" s="245"/>
      <c r="AA1124" s="245"/>
      <c r="AB1124" s="245"/>
      <c r="AC1124" s="249"/>
      <c r="AD1124" s="249"/>
      <c r="AE1124" s="249"/>
      <c r="AF1124" s="8"/>
      <c r="AG1124" s="8"/>
      <c r="AH1124" s="72"/>
      <c r="AI1124" s="8"/>
      <c r="AJ1124" s="251"/>
      <c r="AK1124" s="23"/>
      <c r="AL1124" s="75"/>
      <c r="AM1124" s="75" t="str">
        <f t="shared" si="141"/>
        <v/>
      </c>
      <c r="AN1124" s="75"/>
      <c r="AO1124" s="75"/>
      <c r="AP1124" s="75"/>
      <c r="AQ1124" s="75"/>
      <c r="AR1124" s="75"/>
      <c r="AS1124" s="75"/>
      <c r="AT1124" s="75"/>
    </row>
    <row r="1125" ht="22.5" customHeight="1">
      <c r="A1125" s="219"/>
      <c r="B1125" s="219"/>
      <c r="C1125" s="219"/>
      <c r="D1125" s="219"/>
      <c r="E1125" s="219"/>
      <c r="F1125" s="219"/>
      <c r="G1125" s="219"/>
      <c r="H1125" s="219"/>
      <c r="I1125" s="249"/>
      <c r="J1125" s="243"/>
      <c r="K1125" s="219"/>
      <c r="L1125" s="244"/>
      <c r="M1125" s="219"/>
      <c r="N1125" s="219"/>
      <c r="O1125" s="219"/>
      <c r="P1125" s="244"/>
      <c r="Q1125" s="219"/>
      <c r="R1125" s="302"/>
      <c r="S1125" s="219"/>
      <c r="T1125" s="219"/>
      <c r="U1125" s="219"/>
      <c r="V1125" s="303"/>
      <c r="W1125" s="247"/>
      <c r="X1125" s="245"/>
      <c r="Y1125" s="245"/>
      <c r="Z1125" s="245"/>
      <c r="AA1125" s="245"/>
      <c r="AB1125" s="245"/>
      <c r="AC1125" s="249"/>
      <c r="AD1125" s="249"/>
      <c r="AE1125" s="249"/>
      <c r="AF1125" s="8"/>
      <c r="AG1125" s="8"/>
      <c r="AH1125" s="72"/>
      <c r="AI1125" s="8"/>
      <c r="AJ1125" s="251"/>
      <c r="AK1125" s="23"/>
      <c r="AL1125" s="75"/>
      <c r="AM1125" s="75" t="str">
        <f t="shared" si="141"/>
        <v/>
      </c>
      <c r="AN1125" s="75"/>
      <c r="AO1125" s="75"/>
      <c r="AP1125" s="75"/>
      <c r="AQ1125" s="75"/>
      <c r="AR1125" s="75"/>
      <c r="AS1125" s="75"/>
      <c r="AT1125" s="75"/>
    </row>
    <row r="1126" ht="22.5" customHeight="1">
      <c r="A1126" s="219"/>
      <c r="B1126" s="219"/>
      <c r="C1126" s="219"/>
      <c r="D1126" s="219"/>
      <c r="E1126" s="219"/>
      <c r="F1126" s="219"/>
      <c r="G1126" s="219"/>
      <c r="H1126" s="219"/>
      <c r="I1126" s="249"/>
      <c r="J1126" s="243"/>
      <c r="K1126" s="219"/>
      <c r="L1126" s="244"/>
      <c r="M1126" s="219"/>
      <c r="N1126" s="219"/>
      <c r="O1126" s="219"/>
      <c r="P1126" s="244"/>
      <c r="Q1126" s="219"/>
      <c r="R1126" s="302"/>
      <c r="S1126" s="219"/>
      <c r="T1126" s="219"/>
      <c r="U1126" s="219"/>
      <c r="V1126" s="303"/>
      <c r="W1126" s="247"/>
      <c r="X1126" s="245"/>
      <c r="Y1126" s="245"/>
      <c r="Z1126" s="245"/>
      <c r="AA1126" s="245"/>
      <c r="AB1126" s="245"/>
      <c r="AC1126" s="249"/>
      <c r="AD1126" s="249"/>
      <c r="AE1126" s="249"/>
      <c r="AF1126" s="8"/>
      <c r="AG1126" s="8"/>
      <c r="AH1126" s="72"/>
      <c r="AI1126" s="8"/>
      <c r="AJ1126" s="251"/>
      <c r="AK1126" s="23"/>
      <c r="AL1126" s="75"/>
      <c r="AM1126" s="75" t="str">
        <f t="shared" si="141"/>
        <v/>
      </c>
      <c r="AN1126" s="75"/>
      <c r="AO1126" s="75"/>
      <c r="AP1126" s="75"/>
      <c r="AQ1126" s="75"/>
      <c r="AR1126" s="75"/>
      <c r="AS1126" s="75"/>
      <c r="AT1126" s="75"/>
    </row>
    <row r="1127" ht="22.5" customHeight="1">
      <c r="A1127" s="219"/>
      <c r="B1127" s="219"/>
      <c r="C1127" s="219"/>
      <c r="D1127" s="219"/>
      <c r="E1127" s="219"/>
      <c r="F1127" s="219"/>
      <c r="G1127" s="219"/>
      <c r="H1127" s="219"/>
      <c r="I1127" s="249"/>
      <c r="J1127" s="243"/>
      <c r="K1127" s="219"/>
      <c r="L1127" s="244"/>
      <c r="M1127" s="219"/>
      <c r="N1127" s="219"/>
      <c r="O1127" s="219"/>
      <c r="P1127" s="244"/>
      <c r="Q1127" s="219"/>
      <c r="R1127" s="302"/>
      <c r="S1127" s="219"/>
      <c r="T1127" s="219"/>
      <c r="U1127" s="219"/>
      <c r="V1127" s="303"/>
      <c r="W1127" s="247"/>
      <c r="X1127" s="245"/>
      <c r="Y1127" s="245"/>
      <c r="Z1127" s="245"/>
      <c r="AA1127" s="245"/>
      <c r="AB1127" s="245"/>
      <c r="AC1127" s="249"/>
      <c r="AD1127" s="249"/>
      <c r="AE1127" s="249"/>
      <c r="AF1127" s="8"/>
      <c r="AG1127" s="8"/>
      <c r="AH1127" s="72"/>
      <c r="AI1127" s="8"/>
      <c r="AJ1127" s="251"/>
      <c r="AK1127" s="23"/>
      <c r="AL1127" s="75"/>
      <c r="AM1127" s="75" t="str">
        <f t="shared" si="141"/>
        <v/>
      </c>
      <c r="AN1127" s="75"/>
      <c r="AO1127" s="75"/>
      <c r="AP1127" s="75"/>
      <c r="AQ1127" s="75"/>
      <c r="AR1127" s="75"/>
      <c r="AS1127" s="75"/>
      <c r="AT1127" s="75"/>
    </row>
    <row r="1128" ht="22.5" customHeight="1">
      <c r="A1128" s="219"/>
      <c r="B1128" s="219"/>
      <c r="C1128" s="219"/>
      <c r="D1128" s="219"/>
      <c r="E1128" s="219"/>
      <c r="F1128" s="219"/>
      <c r="G1128" s="219"/>
      <c r="H1128" s="219"/>
      <c r="I1128" s="249"/>
      <c r="J1128" s="243"/>
      <c r="K1128" s="219"/>
      <c r="L1128" s="244"/>
      <c r="M1128" s="219"/>
      <c r="N1128" s="219"/>
      <c r="O1128" s="219"/>
      <c r="P1128" s="244"/>
      <c r="Q1128" s="219"/>
      <c r="R1128" s="302"/>
      <c r="S1128" s="219"/>
      <c r="T1128" s="219"/>
      <c r="U1128" s="219"/>
      <c r="V1128" s="303"/>
      <c r="W1128" s="247"/>
      <c r="X1128" s="245"/>
      <c r="Y1128" s="245"/>
      <c r="Z1128" s="245"/>
      <c r="AA1128" s="245"/>
      <c r="AB1128" s="245"/>
      <c r="AC1128" s="249"/>
      <c r="AD1128" s="249"/>
      <c r="AE1128" s="249"/>
      <c r="AF1128" s="8"/>
      <c r="AG1128" s="8"/>
      <c r="AH1128" s="72"/>
      <c r="AI1128" s="8"/>
      <c r="AJ1128" s="251"/>
      <c r="AK1128" s="23"/>
      <c r="AL1128" s="75"/>
      <c r="AM1128" s="75" t="str">
        <f t="shared" si="141"/>
        <v/>
      </c>
      <c r="AN1128" s="75"/>
      <c r="AO1128" s="75"/>
      <c r="AP1128" s="75"/>
      <c r="AQ1128" s="75"/>
      <c r="AR1128" s="75"/>
      <c r="AS1128" s="75"/>
      <c r="AT1128" s="75"/>
    </row>
    <row r="1129" ht="22.5" customHeight="1">
      <c r="A1129" s="219"/>
      <c r="B1129" s="219"/>
      <c r="C1129" s="219"/>
      <c r="D1129" s="219"/>
      <c r="E1129" s="219"/>
      <c r="F1129" s="219"/>
      <c r="G1129" s="219"/>
      <c r="H1129" s="219"/>
      <c r="I1129" s="249"/>
      <c r="J1129" s="243"/>
      <c r="K1129" s="219"/>
      <c r="L1129" s="244"/>
      <c r="M1129" s="219"/>
      <c r="N1129" s="219"/>
      <c r="O1129" s="219"/>
      <c r="P1129" s="244"/>
      <c r="Q1129" s="219"/>
      <c r="R1129" s="302"/>
      <c r="S1129" s="219"/>
      <c r="T1129" s="219"/>
      <c r="U1129" s="219"/>
      <c r="V1129" s="303"/>
      <c r="W1129" s="247"/>
      <c r="X1129" s="245"/>
      <c r="Y1129" s="245"/>
      <c r="Z1129" s="245"/>
      <c r="AA1129" s="245"/>
      <c r="AB1129" s="245"/>
      <c r="AC1129" s="249"/>
      <c r="AD1129" s="249"/>
      <c r="AE1129" s="249"/>
      <c r="AF1129" s="8"/>
      <c r="AG1129" s="8"/>
      <c r="AH1129" s="72"/>
      <c r="AI1129" s="8"/>
      <c r="AJ1129" s="251"/>
      <c r="AK1129" s="23"/>
      <c r="AL1129" s="75"/>
      <c r="AM1129" s="75" t="str">
        <f t="shared" si="141"/>
        <v/>
      </c>
      <c r="AN1129" s="75"/>
      <c r="AO1129" s="75"/>
      <c r="AP1129" s="75"/>
      <c r="AQ1129" s="75"/>
      <c r="AR1129" s="75"/>
      <c r="AS1129" s="75"/>
      <c r="AT1129" s="75"/>
    </row>
    <row r="1130" ht="22.5" customHeight="1">
      <c r="A1130" s="219"/>
      <c r="B1130" s="219"/>
      <c r="C1130" s="219"/>
      <c r="D1130" s="219"/>
      <c r="E1130" s="219"/>
      <c r="F1130" s="219"/>
      <c r="G1130" s="219"/>
      <c r="H1130" s="219"/>
      <c r="I1130" s="249"/>
      <c r="J1130" s="243"/>
      <c r="K1130" s="219"/>
      <c r="L1130" s="244"/>
      <c r="M1130" s="219"/>
      <c r="N1130" s="219"/>
      <c r="O1130" s="219"/>
      <c r="P1130" s="244"/>
      <c r="Q1130" s="219"/>
      <c r="R1130" s="302"/>
      <c r="S1130" s="219"/>
      <c r="T1130" s="219"/>
      <c r="U1130" s="219"/>
      <c r="V1130" s="303"/>
      <c r="W1130" s="247"/>
      <c r="X1130" s="245"/>
      <c r="Y1130" s="245"/>
      <c r="Z1130" s="245"/>
      <c r="AA1130" s="245"/>
      <c r="AB1130" s="245"/>
      <c r="AC1130" s="249"/>
      <c r="AD1130" s="249"/>
      <c r="AE1130" s="249"/>
      <c r="AF1130" s="8"/>
      <c r="AG1130" s="8"/>
      <c r="AH1130" s="72"/>
      <c r="AI1130" s="8"/>
      <c r="AJ1130" s="251"/>
      <c r="AK1130" s="23"/>
      <c r="AL1130" s="75"/>
      <c r="AM1130" s="75" t="str">
        <f t="shared" si="141"/>
        <v/>
      </c>
      <c r="AN1130" s="75"/>
      <c r="AO1130" s="75"/>
      <c r="AP1130" s="75"/>
      <c r="AQ1130" s="75"/>
      <c r="AR1130" s="75"/>
      <c r="AS1130" s="75"/>
      <c r="AT1130" s="75"/>
    </row>
    <row r="1131" ht="22.5" customHeight="1">
      <c r="A1131" s="219"/>
      <c r="B1131" s="219"/>
      <c r="C1131" s="219"/>
      <c r="D1131" s="219"/>
      <c r="E1131" s="219"/>
      <c r="F1131" s="219"/>
      <c r="G1131" s="219"/>
      <c r="H1131" s="219"/>
      <c r="I1131" s="249"/>
      <c r="J1131" s="243"/>
      <c r="K1131" s="219"/>
      <c r="L1131" s="244"/>
      <c r="M1131" s="219"/>
      <c r="N1131" s="219"/>
      <c r="O1131" s="219"/>
      <c r="P1131" s="244"/>
      <c r="Q1131" s="219"/>
      <c r="R1131" s="302"/>
      <c r="S1131" s="219"/>
      <c r="T1131" s="219"/>
      <c r="U1131" s="219"/>
      <c r="V1131" s="303"/>
      <c r="W1131" s="247"/>
      <c r="X1131" s="245"/>
      <c r="Y1131" s="245"/>
      <c r="Z1131" s="245"/>
      <c r="AA1131" s="245"/>
      <c r="AB1131" s="245"/>
      <c r="AC1131" s="249"/>
      <c r="AD1131" s="249"/>
      <c r="AE1131" s="249"/>
      <c r="AF1131" s="8"/>
      <c r="AG1131" s="8"/>
      <c r="AH1131" s="72"/>
      <c r="AI1131" s="8"/>
      <c r="AJ1131" s="251"/>
      <c r="AK1131" s="23"/>
      <c r="AL1131" s="75"/>
      <c r="AM1131" s="75" t="str">
        <f t="shared" si="141"/>
        <v/>
      </c>
      <c r="AN1131" s="75"/>
      <c r="AO1131" s="75"/>
      <c r="AP1131" s="75"/>
      <c r="AQ1131" s="75"/>
      <c r="AR1131" s="75"/>
      <c r="AS1131" s="75"/>
      <c r="AT1131" s="75"/>
    </row>
    <row r="1132" ht="22.5" customHeight="1">
      <c r="A1132" s="219"/>
      <c r="B1132" s="219"/>
      <c r="C1132" s="219"/>
      <c r="D1132" s="219"/>
      <c r="E1132" s="219"/>
      <c r="F1132" s="219"/>
      <c r="G1132" s="219"/>
      <c r="H1132" s="219"/>
      <c r="I1132" s="249"/>
      <c r="J1132" s="243"/>
      <c r="K1132" s="219"/>
      <c r="L1132" s="244"/>
      <c r="M1132" s="219"/>
      <c r="N1132" s="219"/>
      <c r="O1132" s="219"/>
      <c r="P1132" s="244"/>
      <c r="Q1132" s="219"/>
      <c r="R1132" s="302"/>
      <c r="S1132" s="219"/>
      <c r="T1132" s="219"/>
      <c r="U1132" s="219"/>
      <c r="V1132" s="303"/>
      <c r="W1132" s="247"/>
      <c r="X1132" s="245"/>
      <c r="Y1132" s="245"/>
      <c r="Z1132" s="245"/>
      <c r="AA1132" s="245"/>
      <c r="AB1132" s="245"/>
      <c r="AC1132" s="249"/>
      <c r="AD1132" s="249"/>
      <c r="AE1132" s="249"/>
      <c r="AF1132" s="8"/>
      <c r="AG1132" s="8"/>
      <c r="AH1132" s="72"/>
      <c r="AI1132" s="8"/>
      <c r="AJ1132" s="251"/>
      <c r="AK1132" s="23"/>
      <c r="AL1132" s="75"/>
      <c r="AM1132" s="75" t="str">
        <f t="shared" si="141"/>
        <v/>
      </c>
      <c r="AN1132" s="75"/>
      <c r="AO1132" s="75"/>
      <c r="AP1132" s="75"/>
      <c r="AQ1132" s="75"/>
      <c r="AR1132" s="75"/>
      <c r="AS1132" s="75"/>
      <c r="AT1132" s="75"/>
    </row>
    <row r="1133" ht="22.5" customHeight="1">
      <c r="A1133" s="219"/>
      <c r="B1133" s="219"/>
      <c r="C1133" s="219"/>
      <c r="D1133" s="219"/>
      <c r="E1133" s="219"/>
      <c r="F1133" s="219"/>
      <c r="G1133" s="219"/>
      <c r="H1133" s="219"/>
      <c r="I1133" s="249"/>
      <c r="J1133" s="243"/>
      <c r="K1133" s="219"/>
      <c r="L1133" s="244"/>
      <c r="M1133" s="219"/>
      <c r="N1133" s="219"/>
      <c r="O1133" s="219"/>
      <c r="P1133" s="244"/>
      <c r="Q1133" s="219"/>
      <c r="R1133" s="302"/>
      <c r="S1133" s="219"/>
      <c r="T1133" s="219"/>
      <c r="U1133" s="219"/>
      <c r="V1133" s="303"/>
      <c r="W1133" s="247"/>
      <c r="X1133" s="245"/>
      <c r="Y1133" s="245"/>
      <c r="Z1133" s="245"/>
      <c r="AA1133" s="245"/>
      <c r="AB1133" s="245"/>
      <c r="AC1133" s="249"/>
      <c r="AD1133" s="249"/>
      <c r="AE1133" s="249"/>
      <c r="AF1133" s="8"/>
      <c r="AG1133" s="8"/>
      <c r="AH1133" s="72"/>
      <c r="AI1133" s="8"/>
      <c r="AJ1133" s="251"/>
      <c r="AK1133" s="23"/>
      <c r="AL1133" s="75"/>
      <c r="AM1133" s="75" t="str">
        <f t="shared" si="141"/>
        <v/>
      </c>
      <c r="AN1133" s="75"/>
      <c r="AO1133" s="75"/>
      <c r="AP1133" s="75"/>
      <c r="AQ1133" s="75"/>
      <c r="AR1133" s="75"/>
      <c r="AS1133" s="75"/>
      <c r="AT1133" s="75"/>
    </row>
    <row r="1134" ht="22.5" customHeight="1">
      <c r="A1134" s="219"/>
      <c r="B1134" s="219"/>
      <c r="C1134" s="219"/>
      <c r="D1134" s="219"/>
      <c r="E1134" s="219"/>
      <c r="F1134" s="219"/>
      <c r="G1134" s="219"/>
      <c r="H1134" s="219"/>
      <c r="I1134" s="249"/>
      <c r="J1134" s="243"/>
      <c r="K1134" s="219"/>
      <c r="L1134" s="244"/>
      <c r="M1134" s="219"/>
      <c r="N1134" s="219"/>
      <c r="O1134" s="219"/>
      <c r="P1134" s="244"/>
      <c r="Q1134" s="219"/>
      <c r="R1134" s="302"/>
      <c r="S1134" s="219"/>
      <c r="T1134" s="219"/>
      <c r="U1134" s="219"/>
      <c r="V1134" s="303"/>
      <c r="W1134" s="247"/>
      <c r="X1134" s="245"/>
      <c r="Y1134" s="245"/>
      <c r="Z1134" s="245"/>
      <c r="AA1134" s="245"/>
      <c r="AB1134" s="245"/>
      <c r="AC1134" s="249"/>
      <c r="AD1134" s="249"/>
      <c r="AE1134" s="249"/>
      <c r="AF1134" s="8"/>
      <c r="AG1134" s="8"/>
      <c r="AH1134" s="72"/>
      <c r="AI1134" s="8"/>
      <c r="AJ1134" s="251"/>
      <c r="AK1134" s="23"/>
      <c r="AL1134" s="75"/>
      <c r="AM1134" s="75" t="str">
        <f t="shared" si="141"/>
        <v/>
      </c>
      <c r="AN1134" s="75"/>
      <c r="AO1134" s="75"/>
      <c r="AP1134" s="75"/>
      <c r="AQ1134" s="75"/>
      <c r="AR1134" s="75"/>
      <c r="AS1134" s="75"/>
      <c r="AT1134" s="75"/>
    </row>
    <row r="1135" ht="22.5" customHeight="1">
      <c r="A1135" s="219"/>
      <c r="B1135" s="219"/>
      <c r="C1135" s="219"/>
      <c r="D1135" s="219"/>
      <c r="E1135" s="219"/>
      <c r="F1135" s="219"/>
      <c r="G1135" s="219"/>
      <c r="H1135" s="219"/>
      <c r="I1135" s="249"/>
      <c r="J1135" s="243"/>
      <c r="K1135" s="219"/>
      <c r="L1135" s="244"/>
      <c r="M1135" s="219"/>
      <c r="N1135" s="219"/>
      <c r="O1135" s="219"/>
      <c r="P1135" s="244"/>
      <c r="Q1135" s="219"/>
      <c r="R1135" s="302"/>
      <c r="S1135" s="219"/>
      <c r="T1135" s="219"/>
      <c r="U1135" s="219"/>
      <c r="V1135" s="303"/>
      <c r="W1135" s="247"/>
      <c r="X1135" s="245"/>
      <c r="Y1135" s="245"/>
      <c r="Z1135" s="245"/>
      <c r="AA1135" s="245"/>
      <c r="AB1135" s="245"/>
      <c r="AC1135" s="249"/>
      <c r="AD1135" s="249"/>
      <c r="AE1135" s="249"/>
      <c r="AF1135" s="8"/>
      <c r="AG1135" s="8"/>
      <c r="AH1135" s="72"/>
      <c r="AI1135" s="8"/>
      <c r="AJ1135" s="251"/>
      <c r="AK1135" s="23"/>
      <c r="AL1135" s="75"/>
      <c r="AM1135" s="75" t="str">
        <f t="shared" si="141"/>
        <v/>
      </c>
      <c r="AN1135" s="75"/>
      <c r="AO1135" s="75"/>
      <c r="AP1135" s="75"/>
      <c r="AQ1135" s="75"/>
      <c r="AR1135" s="75"/>
      <c r="AS1135" s="75"/>
      <c r="AT1135" s="75"/>
    </row>
    <row r="1136" ht="22.5" customHeight="1">
      <c r="A1136" s="219"/>
      <c r="B1136" s="219"/>
      <c r="C1136" s="219"/>
      <c r="D1136" s="219"/>
      <c r="E1136" s="219"/>
      <c r="F1136" s="219"/>
      <c r="G1136" s="219"/>
      <c r="H1136" s="219"/>
      <c r="I1136" s="249"/>
      <c r="J1136" s="243"/>
      <c r="K1136" s="219"/>
      <c r="L1136" s="244"/>
      <c r="M1136" s="219"/>
      <c r="N1136" s="219"/>
      <c r="O1136" s="219"/>
      <c r="P1136" s="244"/>
      <c r="Q1136" s="219"/>
      <c r="R1136" s="302"/>
      <c r="S1136" s="219"/>
      <c r="T1136" s="219"/>
      <c r="U1136" s="219"/>
      <c r="V1136" s="303"/>
      <c r="W1136" s="247"/>
      <c r="X1136" s="245"/>
      <c r="Y1136" s="245"/>
      <c r="Z1136" s="245"/>
      <c r="AA1136" s="245"/>
      <c r="AB1136" s="245"/>
      <c r="AC1136" s="249"/>
      <c r="AD1136" s="249"/>
      <c r="AE1136" s="249"/>
      <c r="AF1136" s="8"/>
      <c r="AG1136" s="8"/>
      <c r="AH1136" s="72"/>
      <c r="AI1136" s="8"/>
      <c r="AJ1136" s="251"/>
      <c r="AK1136" s="23"/>
      <c r="AL1136" s="75"/>
      <c r="AM1136" s="75" t="str">
        <f t="shared" si="141"/>
        <v/>
      </c>
      <c r="AN1136" s="75"/>
      <c r="AO1136" s="75"/>
      <c r="AP1136" s="75"/>
      <c r="AQ1136" s="75"/>
      <c r="AR1136" s="75"/>
      <c r="AS1136" s="75"/>
      <c r="AT1136" s="75"/>
    </row>
    <row r="1137" ht="22.5" customHeight="1">
      <c r="A1137" s="219"/>
      <c r="B1137" s="219"/>
      <c r="C1137" s="219"/>
      <c r="D1137" s="219"/>
      <c r="E1137" s="219"/>
      <c r="F1137" s="219"/>
      <c r="G1137" s="219"/>
      <c r="H1137" s="219"/>
      <c r="I1137" s="249"/>
      <c r="J1137" s="243"/>
      <c r="K1137" s="219"/>
      <c r="L1137" s="244"/>
      <c r="M1137" s="219"/>
      <c r="N1137" s="219"/>
      <c r="O1137" s="219"/>
      <c r="P1137" s="244"/>
      <c r="Q1137" s="219"/>
      <c r="R1137" s="302"/>
      <c r="S1137" s="219"/>
      <c r="T1137" s="219"/>
      <c r="U1137" s="219"/>
      <c r="V1137" s="303"/>
      <c r="W1137" s="247"/>
      <c r="X1137" s="245"/>
      <c r="Y1137" s="245"/>
      <c r="Z1137" s="245"/>
      <c r="AA1137" s="245"/>
      <c r="AB1137" s="245"/>
      <c r="AC1137" s="249"/>
      <c r="AD1137" s="249"/>
      <c r="AE1137" s="249"/>
      <c r="AF1137" s="8"/>
      <c r="AG1137" s="8"/>
      <c r="AH1137" s="72"/>
      <c r="AI1137" s="8"/>
      <c r="AJ1137" s="251"/>
      <c r="AK1137" s="23"/>
      <c r="AL1137" s="75"/>
      <c r="AM1137" s="75" t="str">
        <f t="shared" si="141"/>
        <v/>
      </c>
      <c r="AN1137" s="75"/>
      <c r="AO1137" s="75"/>
      <c r="AP1137" s="75"/>
      <c r="AQ1137" s="75"/>
      <c r="AR1137" s="75"/>
      <c r="AS1137" s="75"/>
      <c r="AT1137" s="75"/>
    </row>
    <row r="1138" ht="22.5" customHeight="1">
      <c r="A1138" s="219"/>
      <c r="B1138" s="219"/>
      <c r="C1138" s="219"/>
      <c r="D1138" s="219"/>
      <c r="E1138" s="219"/>
      <c r="F1138" s="219"/>
      <c r="G1138" s="219"/>
      <c r="H1138" s="219"/>
      <c r="I1138" s="249"/>
      <c r="J1138" s="243"/>
      <c r="K1138" s="219"/>
      <c r="L1138" s="244"/>
      <c r="M1138" s="219"/>
      <c r="N1138" s="219"/>
      <c r="O1138" s="219"/>
      <c r="P1138" s="244"/>
      <c r="Q1138" s="219"/>
      <c r="R1138" s="302"/>
      <c r="S1138" s="219"/>
      <c r="T1138" s="219"/>
      <c r="U1138" s="219"/>
      <c r="V1138" s="303"/>
      <c r="W1138" s="247"/>
      <c r="X1138" s="245"/>
      <c r="Y1138" s="245"/>
      <c r="Z1138" s="245"/>
      <c r="AA1138" s="245"/>
      <c r="AB1138" s="245"/>
      <c r="AC1138" s="249"/>
      <c r="AD1138" s="249"/>
      <c r="AE1138" s="249"/>
      <c r="AF1138" s="8"/>
      <c r="AG1138" s="8"/>
      <c r="AH1138" s="72"/>
      <c r="AI1138" s="8"/>
      <c r="AJ1138" s="251"/>
      <c r="AK1138" s="23"/>
      <c r="AL1138" s="75"/>
      <c r="AM1138" s="75" t="str">
        <f t="shared" si="141"/>
        <v/>
      </c>
      <c r="AN1138" s="75"/>
      <c r="AO1138" s="75"/>
      <c r="AP1138" s="75"/>
      <c r="AQ1138" s="75"/>
      <c r="AR1138" s="75"/>
      <c r="AS1138" s="75"/>
      <c r="AT1138" s="75"/>
    </row>
    <row r="1139" ht="22.5" customHeight="1">
      <c r="A1139" s="219"/>
      <c r="B1139" s="219"/>
      <c r="C1139" s="219"/>
      <c r="D1139" s="219"/>
      <c r="E1139" s="219"/>
      <c r="F1139" s="219"/>
      <c r="G1139" s="219"/>
      <c r="H1139" s="219"/>
      <c r="I1139" s="249"/>
      <c r="J1139" s="243"/>
      <c r="K1139" s="219"/>
      <c r="L1139" s="244"/>
      <c r="M1139" s="219"/>
      <c r="N1139" s="219"/>
      <c r="O1139" s="219"/>
      <c r="P1139" s="244"/>
      <c r="Q1139" s="219"/>
      <c r="R1139" s="302"/>
      <c r="S1139" s="219"/>
      <c r="T1139" s="219"/>
      <c r="U1139" s="219"/>
      <c r="V1139" s="303"/>
      <c r="W1139" s="247"/>
      <c r="X1139" s="245"/>
      <c r="Y1139" s="245"/>
      <c r="Z1139" s="245"/>
      <c r="AA1139" s="245"/>
      <c r="AB1139" s="245"/>
      <c r="AC1139" s="249"/>
      <c r="AD1139" s="249"/>
      <c r="AE1139" s="249"/>
      <c r="AF1139" s="8"/>
      <c r="AG1139" s="8"/>
      <c r="AH1139" s="72"/>
      <c r="AI1139" s="8"/>
      <c r="AJ1139" s="251"/>
      <c r="AK1139" s="23"/>
      <c r="AL1139" s="75"/>
      <c r="AM1139" s="75" t="str">
        <f t="shared" si="141"/>
        <v/>
      </c>
      <c r="AN1139" s="75"/>
      <c r="AO1139" s="75"/>
      <c r="AP1139" s="75"/>
      <c r="AQ1139" s="75"/>
      <c r="AR1139" s="75"/>
      <c r="AS1139" s="75"/>
      <c r="AT1139" s="75"/>
    </row>
    <row r="1140" ht="22.5" customHeight="1">
      <c r="A1140" s="219"/>
      <c r="B1140" s="219"/>
      <c r="C1140" s="219"/>
      <c r="D1140" s="219"/>
      <c r="E1140" s="219"/>
      <c r="F1140" s="219"/>
      <c r="G1140" s="219"/>
      <c r="H1140" s="219"/>
      <c r="I1140" s="249"/>
      <c r="J1140" s="243"/>
      <c r="K1140" s="219"/>
      <c r="L1140" s="244"/>
      <c r="M1140" s="219"/>
      <c r="N1140" s="219"/>
      <c r="O1140" s="219"/>
      <c r="P1140" s="244"/>
      <c r="Q1140" s="219"/>
      <c r="R1140" s="302"/>
      <c r="S1140" s="219"/>
      <c r="T1140" s="219"/>
      <c r="U1140" s="219"/>
      <c r="V1140" s="303"/>
      <c r="W1140" s="247"/>
      <c r="X1140" s="245"/>
      <c r="Y1140" s="245"/>
      <c r="Z1140" s="245"/>
      <c r="AA1140" s="245"/>
      <c r="AB1140" s="245"/>
      <c r="AC1140" s="249"/>
      <c r="AD1140" s="249"/>
      <c r="AE1140" s="249"/>
      <c r="AF1140" s="8"/>
      <c r="AG1140" s="8"/>
      <c r="AH1140" s="72"/>
      <c r="AI1140" s="8"/>
      <c r="AJ1140" s="251"/>
      <c r="AK1140" s="23"/>
      <c r="AL1140" s="75"/>
      <c r="AM1140" s="75" t="str">
        <f t="shared" si="141"/>
        <v/>
      </c>
      <c r="AN1140" s="75"/>
      <c r="AO1140" s="75"/>
      <c r="AP1140" s="75"/>
      <c r="AQ1140" s="75"/>
      <c r="AR1140" s="75"/>
      <c r="AS1140" s="75"/>
      <c r="AT1140" s="75"/>
    </row>
    <row r="1141" ht="22.5" customHeight="1">
      <c r="A1141" s="219"/>
      <c r="B1141" s="219"/>
      <c r="C1141" s="219"/>
      <c r="D1141" s="219"/>
      <c r="E1141" s="219"/>
      <c r="F1141" s="219"/>
      <c r="G1141" s="219"/>
      <c r="H1141" s="219"/>
      <c r="I1141" s="249"/>
      <c r="J1141" s="243"/>
      <c r="K1141" s="219"/>
      <c r="L1141" s="244"/>
      <c r="M1141" s="219"/>
      <c r="N1141" s="219"/>
      <c r="O1141" s="219"/>
      <c r="P1141" s="244"/>
      <c r="Q1141" s="219"/>
      <c r="R1141" s="302"/>
      <c r="S1141" s="219"/>
      <c r="T1141" s="219"/>
      <c r="U1141" s="219"/>
      <c r="V1141" s="303"/>
      <c r="W1141" s="247"/>
      <c r="X1141" s="245"/>
      <c r="Y1141" s="245"/>
      <c r="Z1141" s="245"/>
      <c r="AA1141" s="245"/>
      <c r="AB1141" s="245"/>
      <c r="AC1141" s="249"/>
      <c r="AD1141" s="249"/>
      <c r="AE1141" s="249"/>
      <c r="AF1141" s="8"/>
      <c r="AG1141" s="8"/>
      <c r="AH1141" s="72"/>
      <c r="AI1141" s="8"/>
      <c r="AJ1141" s="251"/>
      <c r="AK1141" s="23"/>
      <c r="AL1141" s="75"/>
      <c r="AM1141" s="75" t="str">
        <f t="shared" si="141"/>
        <v/>
      </c>
      <c r="AN1141" s="75"/>
      <c r="AO1141" s="75"/>
      <c r="AP1141" s="75"/>
      <c r="AQ1141" s="75"/>
      <c r="AR1141" s="75"/>
      <c r="AS1141" s="75"/>
      <c r="AT1141" s="75"/>
    </row>
    <row r="1142" ht="22.5" customHeight="1">
      <c r="A1142" s="219"/>
      <c r="B1142" s="219"/>
      <c r="C1142" s="219"/>
      <c r="D1142" s="219"/>
      <c r="E1142" s="219"/>
      <c r="F1142" s="219"/>
      <c r="G1142" s="219"/>
      <c r="H1142" s="219"/>
      <c r="I1142" s="249"/>
      <c r="J1142" s="243"/>
      <c r="K1142" s="219"/>
      <c r="L1142" s="244"/>
      <c r="M1142" s="219"/>
      <c r="N1142" s="219"/>
      <c r="O1142" s="219"/>
      <c r="P1142" s="244"/>
      <c r="Q1142" s="219"/>
      <c r="R1142" s="302"/>
      <c r="S1142" s="219"/>
      <c r="T1142" s="219"/>
      <c r="U1142" s="219"/>
      <c r="V1142" s="303"/>
      <c r="W1142" s="247"/>
      <c r="X1142" s="245"/>
      <c r="Y1142" s="245"/>
      <c r="Z1142" s="245"/>
      <c r="AA1142" s="245"/>
      <c r="AB1142" s="245"/>
      <c r="AC1142" s="249"/>
      <c r="AD1142" s="249"/>
      <c r="AE1142" s="249"/>
      <c r="AF1142" s="8"/>
      <c r="AG1142" s="8"/>
      <c r="AH1142" s="72"/>
      <c r="AI1142" s="8"/>
      <c r="AJ1142" s="251"/>
      <c r="AK1142" s="23"/>
      <c r="AL1142" s="75"/>
      <c r="AM1142" s="75" t="str">
        <f t="shared" si="141"/>
        <v/>
      </c>
      <c r="AN1142" s="75"/>
      <c r="AO1142" s="75"/>
      <c r="AP1142" s="75"/>
      <c r="AQ1142" s="75"/>
      <c r="AR1142" s="75"/>
      <c r="AS1142" s="75"/>
      <c r="AT1142" s="75"/>
    </row>
    <row r="1143" ht="22.5" customHeight="1">
      <c r="A1143" s="219"/>
      <c r="B1143" s="219"/>
      <c r="C1143" s="219"/>
      <c r="D1143" s="219"/>
      <c r="E1143" s="219"/>
      <c r="F1143" s="219"/>
      <c r="G1143" s="219"/>
      <c r="H1143" s="219"/>
      <c r="I1143" s="249"/>
      <c r="J1143" s="243"/>
      <c r="K1143" s="219"/>
      <c r="L1143" s="244"/>
      <c r="M1143" s="219"/>
      <c r="N1143" s="219"/>
      <c r="O1143" s="219"/>
      <c r="P1143" s="244"/>
      <c r="Q1143" s="219"/>
      <c r="R1143" s="302"/>
      <c r="S1143" s="219"/>
      <c r="T1143" s="219"/>
      <c r="U1143" s="219"/>
      <c r="V1143" s="303"/>
      <c r="W1143" s="247"/>
      <c r="X1143" s="245"/>
      <c r="Y1143" s="245"/>
      <c r="Z1143" s="245"/>
      <c r="AA1143" s="245"/>
      <c r="AB1143" s="245"/>
      <c r="AC1143" s="249"/>
      <c r="AD1143" s="249"/>
      <c r="AE1143" s="249"/>
      <c r="AF1143" s="8"/>
      <c r="AG1143" s="8"/>
      <c r="AH1143" s="72"/>
      <c r="AI1143" s="8"/>
      <c r="AJ1143" s="251"/>
      <c r="AK1143" s="23"/>
      <c r="AL1143" s="75"/>
      <c r="AM1143" s="75" t="str">
        <f t="shared" si="141"/>
        <v/>
      </c>
      <c r="AN1143" s="75"/>
      <c r="AO1143" s="75"/>
      <c r="AP1143" s="75"/>
      <c r="AQ1143" s="75"/>
      <c r="AR1143" s="75"/>
      <c r="AS1143" s="75"/>
      <c r="AT1143" s="75"/>
    </row>
    <row r="1144" ht="22.5" customHeight="1">
      <c r="A1144" s="219"/>
      <c r="B1144" s="219"/>
      <c r="C1144" s="219"/>
      <c r="D1144" s="219"/>
      <c r="E1144" s="219"/>
      <c r="F1144" s="219"/>
      <c r="G1144" s="219"/>
      <c r="H1144" s="219"/>
      <c r="I1144" s="249"/>
      <c r="J1144" s="243"/>
      <c r="K1144" s="219"/>
      <c r="L1144" s="244"/>
      <c r="M1144" s="219"/>
      <c r="N1144" s="219"/>
      <c r="O1144" s="219"/>
      <c r="P1144" s="244"/>
      <c r="Q1144" s="219"/>
      <c r="R1144" s="302"/>
      <c r="S1144" s="219"/>
      <c r="T1144" s="219"/>
      <c r="U1144" s="219"/>
      <c r="V1144" s="303"/>
      <c r="W1144" s="247"/>
      <c r="X1144" s="245"/>
      <c r="Y1144" s="245"/>
      <c r="Z1144" s="245"/>
      <c r="AA1144" s="245"/>
      <c r="AB1144" s="245"/>
      <c r="AC1144" s="249"/>
      <c r="AD1144" s="249"/>
      <c r="AE1144" s="249"/>
      <c r="AF1144" s="8"/>
      <c r="AG1144" s="8"/>
      <c r="AH1144" s="72"/>
      <c r="AI1144" s="8"/>
      <c r="AJ1144" s="251"/>
      <c r="AK1144" s="23"/>
      <c r="AL1144" s="75"/>
      <c r="AM1144" s="75" t="str">
        <f t="shared" si="141"/>
        <v/>
      </c>
      <c r="AN1144" s="75"/>
      <c r="AO1144" s="75"/>
      <c r="AP1144" s="75"/>
      <c r="AQ1144" s="75"/>
      <c r="AR1144" s="75"/>
      <c r="AS1144" s="75"/>
      <c r="AT1144" s="75"/>
    </row>
    <row r="1145" ht="22.5" customHeight="1">
      <c r="A1145" s="219"/>
      <c r="B1145" s="219"/>
      <c r="C1145" s="219"/>
      <c r="D1145" s="219"/>
      <c r="E1145" s="219"/>
      <c r="F1145" s="219"/>
      <c r="G1145" s="219"/>
      <c r="H1145" s="219"/>
      <c r="I1145" s="249"/>
      <c r="J1145" s="243"/>
      <c r="K1145" s="219"/>
      <c r="L1145" s="244"/>
      <c r="M1145" s="219"/>
      <c r="N1145" s="219"/>
      <c r="O1145" s="219"/>
      <c r="P1145" s="244"/>
      <c r="Q1145" s="219"/>
      <c r="R1145" s="302"/>
      <c r="S1145" s="219"/>
      <c r="T1145" s="219"/>
      <c r="U1145" s="219"/>
      <c r="V1145" s="303"/>
      <c r="W1145" s="247"/>
      <c r="X1145" s="245"/>
      <c r="Y1145" s="245"/>
      <c r="Z1145" s="245"/>
      <c r="AA1145" s="245"/>
      <c r="AB1145" s="245"/>
      <c r="AC1145" s="249"/>
      <c r="AD1145" s="249"/>
      <c r="AE1145" s="249"/>
      <c r="AF1145" s="8"/>
      <c r="AG1145" s="8"/>
      <c r="AH1145" s="72"/>
      <c r="AI1145" s="8"/>
      <c r="AJ1145" s="251"/>
      <c r="AK1145" s="23"/>
      <c r="AL1145" s="75"/>
      <c r="AM1145" s="75" t="str">
        <f t="shared" si="141"/>
        <v/>
      </c>
      <c r="AN1145" s="75"/>
      <c r="AO1145" s="75"/>
      <c r="AP1145" s="75"/>
      <c r="AQ1145" s="75"/>
      <c r="AR1145" s="75"/>
      <c r="AS1145" s="75"/>
      <c r="AT1145" s="75"/>
    </row>
    <row r="1146" ht="22.5" customHeight="1">
      <c r="A1146" s="219"/>
      <c r="B1146" s="219"/>
      <c r="C1146" s="219"/>
      <c r="D1146" s="219"/>
      <c r="E1146" s="219"/>
      <c r="F1146" s="219"/>
      <c r="G1146" s="219"/>
      <c r="H1146" s="219"/>
      <c r="I1146" s="249"/>
      <c r="J1146" s="243"/>
      <c r="K1146" s="219"/>
      <c r="L1146" s="244"/>
      <c r="M1146" s="219"/>
      <c r="N1146" s="219"/>
      <c r="O1146" s="219"/>
      <c r="P1146" s="244"/>
      <c r="Q1146" s="219"/>
      <c r="R1146" s="302"/>
      <c r="S1146" s="219"/>
      <c r="T1146" s="219"/>
      <c r="U1146" s="219"/>
      <c r="V1146" s="303"/>
      <c r="W1146" s="247"/>
      <c r="X1146" s="245"/>
      <c r="Y1146" s="245"/>
      <c r="Z1146" s="245"/>
      <c r="AA1146" s="245"/>
      <c r="AB1146" s="245"/>
      <c r="AC1146" s="249"/>
      <c r="AD1146" s="249"/>
      <c r="AE1146" s="249"/>
      <c r="AF1146" s="8"/>
      <c r="AG1146" s="8"/>
      <c r="AH1146" s="72"/>
      <c r="AI1146" s="8"/>
      <c r="AJ1146" s="251"/>
      <c r="AK1146" s="23"/>
      <c r="AL1146" s="75"/>
      <c r="AM1146" s="75" t="str">
        <f t="shared" si="141"/>
        <v/>
      </c>
      <c r="AN1146" s="75"/>
      <c r="AO1146" s="75"/>
      <c r="AP1146" s="75"/>
      <c r="AQ1146" s="75"/>
      <c r="AR1146" s="75"/>
      <c r="AS1146" s="75"/>
      <c r="AT1146" s="75"/>
    </row>
    <row r="1147" ht="22.5" customHeight="1">
      <c r="A1147" s="219"/>
      <c r="B1147" s="219"/>
      <c r="C1147" s="219"/>
      <c r="D1147" s="219"/>
      <c r="E1147" s="219"/>
      <c r="F1147" s="219"/>
      <c r="G1147" s="219"/>
      <c r="H1147" s="219"/>
      <c r="I1147" s="249"/>
      <c r="J1147" s="243"/>
      <c r="K1147" s="219"/>
      <c r="L1147" s="244"/>
      <c r="M1147" s="219"/>
      <c r="N1147" s="219"/>
      <c r="O1147" s="219"/>
      <c r="P1147" s="244"/>
      <c r="Q1147" s="219"/>
      <c r="R1147" s="302"/>
      <c r="S1147" s="219"/>
      <c r="T1147" s="219"/>
      <c r="U1147" s="219"/>
      <c r="V1147" s="303"/>
      <c r="W1147" s="247"/>
      <c r="X1147" s="245"/>
      <c r="Y1147" s="245"/>
      <c r="Z1147" s="245"/>
      <c r="AA1147" s="245"/>
      <c r="AB1147" s="245"/>
      <c r="AC1147" s="249"/>
      <c r="AD1147" s="249"/>
      <c r="AE1147" s="249"/>
      <c r="AF1147" s="8"/>
      <c r="AG1147" s="8"/>
      <c r="AH1147" s="72"/>
      <c r="AI1147" s="8"/>
      <c r="AJ1147" s="251"/>
      <c r="AK1147" s="23"/>
      <c r="AL1147" s="75"/>
      <c r="AM1147" s="75" t="str">
        <f t="shared" si="141"/>
        <v/>
      </c>
      <c r="AN1147" s="75"/>
      <c r="AO1147" s="75"/>
      <c r="AP1147" s="75"/>
      <c r="AQ1147" s="75"/>
      <c r="AR1147" s="75"/>
      <c r="AS1147" s="75"/>
      <c r="AT1147" s="75"/>
    </row>
    <row r="1148" ht="22.5" customHeight="1">
      <c r="A1148" s="219"/>
      <c r="B1148" s="219"/>
      <c r="C1148" s="219"/>
      <c r="D1148" s="219"/>
      <c r="E1148" s="219"/>
      <c r="F1148" s="219"/>
      <c r="G1148" s="219"/>
      <c r="H1148" s="219"/>
      <c r="I1148" s="249"/>
      <c r="J1148" s="243"/>
      <c r="K1148" s="219"/>
      <c r="L1148" s="244"/>
      <c r="M1148" s="219"/>
      <c r="N1148" s="219"/>
      <c r="O1148" s="219"/>
      <c r="P1148" s="244"/>
      <c r="Q1148" s="219"/>
      <c r="R1148" s="302"/>
      <c r="S1148" s="219"/>
      <c r="T1148" s="219"/>
      <c r="U1148" s="219"/>
      <c r="V1148" s="303"/>
      <c r="W1148" s="247"/>
      <c r="X1148" s="245"/>
      <c r="Y1148" s="245"/>
      <c r="Z1148" s="245"/>
      <c r="AA1148" s="245"/>
      <c r="AB1148" s="245"/>
      <c r="AC1148" s="249"/>
      <c r="AD1148" s="249"/>
      <c r="AE1148" s="249"/>
      <c r="AF1148" s="8"/>
      <c r="AG1148" s="8"/>
      <c r="AH1148" s="72"/>
      <c r="AI1148" s="8"/>
      <c r="AJ1148" s="251"/>
      <c r="AK1148" s="23"/>
      <c r="AL1148" s="75"/>
      <c r="AM1148" s="75" t="str">
        <f t="shared" si="141"/>
        <v/>
      </c>
      <c r="AN1148" s="75"/>
      <c r="AO1148" s="75"/>
      <c r="AP1148" s="75"/>
      <c r="AQ1148" s="75"/>
      <c r="AR1148" s="75"/>
      <c r="AS1148" s="75"/>
      <c r="AT1148" s="75"/>
    </row>
    <row r="1149" ht="22.5" customHeight="1">
      <c r="A1149" s="219"/>
      <c r="B1149" s="219"/>
      <c r="C1149" s="219"/>
      <c r="D1149" s="219"/>
      <c r="E1149" s="219"/>
      <c r="F1149" s="219"/>
      <c r="G1149" s="219"/>
      <c r="H1149" s="219"/>
      <c r="I1149" s="249"/>
      <c r="J1149" s="243"/>
      <c r="K1149" s="219"/>
      <c r="L1149" s="244"/>
      <c r="M1149" s="219"/>
      <c r="N1149" s="219"/>
      <c r="O1149" s="219"/>
      <c r="P1149" s="244"/>
      <c r="Q1149" s="219"/>
      <c r="R1149" s="302"/>
      <c r="S1149" s="219"/>
      <c r="T1149" s="219"/>
      <c r="U1149" s="219"/>
      <c r="V1149" s="303"/>
      <c r="W1149" s="247"/>
      <c r="X1149" s="245"/>
      <c r="Y1149" s="245"/>
      <c r="Z1149" s="245"/>
      <c r="AA1149" s="245"/>
      <c r="AB1149" s="245"/>
      <c r="AC1149" s="249"/>
      <c r="AD1149" s="249"/>
      <c r="AE1149" s="249"/>
      <c r="AF1149" s="8"/>
      <c r="AG1149" s="8"/>
      <c r="AH1149" s="72"/>
      <c r="AI1149" s="8"/>
      <c r="AJ1149" s="251"/>
      <c r="AK1149" s="23"/>
      <c r="AL1149" s="75"/>
      <c r="AM1149" s="75" t="str">
        <f t="shared" si="141"/>
        <v/>
      </c>
      <c r="AN1149" s="75"/>
      <c r="AO1149" s="75"/>
      <c r="AP1149" s="75"/>
      <c r="AQ1149" s="75"/>
      <c r="AR1149" s="75"/>
      <c r="AS1149" s="75"/>
      <c r="AT1149" s="75"/>
    </row>
    <row r="1150" ht="22.5" customHeight="1">
      <c r="A1150" s="219"/>
      <c r="B1150" s="219"/>
      <c r="C1150" s="219"/>
      <c r="D1150" s="219"/>
      <c r="E1150" s="219"/>
      <c r="F1150" s="219"/>
      <c r="G1150" s="219"/>
      <c r="H1150" s="219"/>
      <c r="I1150" s="249"/>
      <c r="J1150" s="243"/>
      <c r="K1150" s="219"/>
      <c r="L1150" s="244"/>
      <c r="M1150" s="219"/>
      <c r="N1150" s="219"/>
      <c r="O1150" s="219"/>
      <c r="P1150" s="244"/>
      <c r="Q1150" s="219"/>
      <c r="R1150" s="302"/>
      <c r="S1150" s="219"/>
      <c r="T1150" s="219"/>
      <c r="U1150" s="219"/>
      <c r="V1150" s="303"/>
      <c r="W1150" s="247"/>
      <c r="X1150" s="245"/>
      <c r="Y1150" s="245"/>
      <c r="Z1150" s="245"/>
      <c r="AA1150" s="245"/>
      <c r="AB1150" s="245"/>
      <c r="AC1150" s="249"/>
      <c r="AD1150" s="249"/>
      <c r="AE1150" s="249"/>
      <c r="AF1150" s="8"/>
      <c r="AG1150" s="8"/>
      <c r="AH1150" s="72"/>
      <c r="AI1150" s="8"/>
      <c r="AJ1150" s="251"/>
      <c r="AK1150" s="23"/>
      <c r="AL1150" s="75"/>
      <c r="AM1150" s="75" t="str">
        <f t="shared" si="141"/>
        <v/>
      </c>
      <c r="AN1150" s="75"/>
      <c r="AO1150" s="75"/>
      <c r="AP1150" s="75"/>
      <c r="AQ1150" s="75"/>
      <c r="AR1150" s="75"/>
      <c r="AS1150" s="75"/>
      <c r="AT1150" s="75"/>
    </row>
    <row r="1151" ht="22.5" customHeight="1">
      <c r="A1151" s="219"/>
      <c r="B1151" s="219"/>
      <c r="C1151" s="219"/>
      <c r="D1151" s="219"/>
      <c r="E1151" s="219"/>
      <c r="F1151" s="219"/>
      <c r="G1151" s="219"/>
      <c r="H1151" s="219"/>
      <c r="I1151" s="249"/>
      <c r="J1151" s="243"/>
      <c r="K1151" s="219"/>
      <c r="L1151" s="244"/>
      <c r="M1151" s="219"/>
      <c r="N1151" s="219"/>
      <c r="O1151" s="219"/>
      <c r="P1151" s="244"/>
      <c r="Q1151" s="219"/>
      <c r="R1151" s="302"/>
      <c r="S1151" s="219"/>
      <c r="T1151" s="219"/>
      <c r="U1151" s="219"/>
      <c r="V1151" s="303"/>
      <c r="W1151" s="247"/>
      <c r="X1151" s="245"/>
      <c r="Y1151" s="245"/>
      <c r="Z1151" s="245"/>
      <c r="AA1151" s="245"/>
      <c r="AB1151" s="245"/>
      <c r="AC1151" s="249"/>
      <c r="AD1151" s="249"/>
      <c r="AE1151" s="249"/>
      <c r="AF1151" s="8"/>
      <c r="AG1151" s="8"/>
      <c r="AH1151" s="72"/>
      <c r="AI1151" s="8"/>
      <c r="AJ1151" s="251"/>
      <c r="AK1151" s="23"/>
      <c r="AL1151" s="75"/>
      <c r="AM1151" s="75" t="str">
        <f t="shared" si="141"/>
        <v/>
      </c>
      <c r="AN1151" s="75"/>
      <c r="AO1151" s="75"/>
      <c r="AP1151" s="75"/>
      <c r="AQ1151" s="75"/>
      <c r="AR1151" s="75"/>
      <c r="AS1151" s="75"/>
      <c r="AT1151" s="75"/>
    </row>
    <row r="1152" ht="22.5" customHeight="1">
      <c r="A1152" s="219"/>
      <c r="B1152" s="219"/>
      <c r="C1152" s="219"/>
      <c r="D1152" s="219"/>
      <c r="E1152" s="219"/>
      <c r="F1152" s="219"/>
      <c r="G1152" s="219"/>
      <c r="H1152" s="219"/>
      <c r="I1152" s="249"/>
      <c r="J1152" s="243"/>
      <c r="K1152" s="219"/>
      <c r="L1152" s="244"/>
      <c r="M1152" s="219"/>
      <c r="N1152" s="219"/>
      <c r="O1152" s="219"/>
      <c r="P1152" s="244"/>
      <c r="Q1152" s="219"/>
      <c r="R1152" s="302"/>
      <c r="S1152" s="219"/>
      <c r="T1152" s="219"/>
      <c r="U1152" s="219"/>
      <c r="V1152" s="303"/>
      <c r="W1152" s="247"/>
      <c r="X1152" s="245"/>
      <c r="Y1152" s="245"/>
      <c r="Z1152" s="245"/>
      <c r="AA1152" s="245"/>
      <c r="AB1152" s="245"/>
      <c r="AC1152" s="249"/>
      <c r="AD1152" s="249"/>
      <c r="AE1152" s="249"/>
      <c r="AF1152" s="8"/>
      <c r="AG1152" s="8"/>
      <c r="AH1152" s="72"/>
      <c r="AI1152" s="8"/>
      <c r="AJ1152" s="251"/>
      <c r="AK1152" s="23"/>
      <c r="AL1152" s="75"/>
      <c r="AM1152" s="75" t="str">
        <f t="shared" si="141"/>
        <v/>
      </c>
      <c r="AN1152" s="75"/>
      <c r="AO1152" s="75"/>
      <c r="AP1152" s="75"/>
      <c r="AQ1152" s="75"/>
      <c r="AR1152" s="75"/>
      <c r="AS1152" s="75"/>
      <c r="AT1152" s="75"/>
    </row>
    <row r="1153" ht="22.5" customHeight="1">
      <c r="A1153" s="219"/>
      <c r="B1153" s="219"/>
      <c r="C1153" s="219"/>
      <c r="D1153" s="219"/>
      <c r="E1153" s="219"/>
      <c r="F1153" s="219"/>
      <c r="G1153" s="219"/>
      <c r="H1153" s="219"/>
      <c r="I1153" s="249"/>
      <c r="J1153" s="243"/>
      <c r="K1153" s="219"/>
      <c r="L1153" s="244"/>
      <c r="M1153" s="219"/>
      <c r="N1153" s="219"/>
      <c r="O1153" s="219"/>
      <c r="P1153" s="244"/>
      <c r="Q1153" s="219"/>
      <c r="R1153" s="302"/>
      <c r="S1153" s="219"/>
      <c r="T1153" s="219"/>
      <c r="U1153" s="219"/>
      <c r="V1153" s="303"/>
      <c r="W1153" s="247"/>
      <c r="X1153" s="245"/>
      <c r="Y1153" s="245"/>
      <c r="Z1153" s="245"/>
      <c r="AA1153" s="245"/>
      <c r="AB1153" s="245"/>
      <c r="AC1153" s="249"/>
      <c r="AD1153" s="249"/>
      <c r="AE1153" s="249"/>
      <c r="AF1153" s="8"/>
      <c r="AG1153" s="8"/>
      <c r="AH1153" s="72"/>
      <c r="AI1153" s="8"/>
      <c r="AJ1153" s="251"/>
      <c r="AK1153" s="23"/>
      <c r="AL1153" s="75"/>
      <c r="AM1153" s="75" t="str">
        <f t="shared" si="141"/>
        <v/>
      </c>
      <c r="AN1153" s="75"/>
      <c r="AO1153" s="75"/>
      <c r="AP1153" s="75"/>
      <c r="AQ1153" s="75"/>
      <c r="AR1153" s="75"/>
      <c r="AS1153" s="75"/>
      <c r="AT1153" s="75"/>
    </row>
    <row r="1154" ht="22.5" customHeight="1">
      <c r="A1154" s="219"/>
      <c r="B1154" s="219"/>
      <c r="C1154" s="219"/>
      <c r="D1154" s="219"/>
      <c r="E1154" s="219"/>
      <c r="F1154" s="219"/>
      <c r="G1154" s="219"/>
      <c r="H1154" s="219"/>
      <c r="I1154" s="249"/>
      <c r="J1154" s="243"/>
      <c r="K1154" s="219"/>
      <c r="L1154" s="244"/>
      <c r="M1154" s="219"/>
      <c r="N1154" s="219"/>
      <c r="O1154" s="219"/>
      <c r="P1154" s="244"/>
      <c r="Q1154" s="219"/>
      <c r="R1154" s="302"/>
      <c r="S1154" s="219"/>
      <c r="T1154" s="219"/>
      <c r="U1154" s="219"/>
      <c r="V1154" s="303"/>
      <c r="W1154" s="247"/>
      <c r="X1154" s="245"/>
      <c r="Y1154" s="245"/>
      <c r="Z1154" s="245"/>
      <c r="AA1154" s="245"/>
      <c r="AB1154" s="245"/>
      <c r="AC1154" s="249"/>
      <c r="AD1154" s="249"/>
      <c r="AE1154" s="249"/>
      <c r="AF1154" s="8"/>
      <c r="AG1154" s="8"/>
      <c r="AH1154" s="72"/>
      <c r="AI1154" s="8"/>
      <c r="AJ1154" s="251"/>
      <c r="AK1154" s="23"/>
      <c r="AL1154" s="75"/>
      <c r="AM1154" s="75" t="str">
        <f t="shared" si="141"/>
        <v/>
      </c>
      <c r="AN1154" s="75"/>
      <c r="AO1154" s="75"/>
      <c r="AP1154" s="75"/>
      <c r="AQ1154" s="75"/>
      <c r="AR1154" s="75"/>
      <c r="AS1154" s="75"/>
      <c r="AT1154" s="75"/>
    </row>
    <row r="1155" ht="22.5" customHeight="1">
      <c r="A1155" s="219"/>
      <c r="B1155" s="219"/>
      <c r="C1155" s="219"/>
      <c r="D1155" s="219"/>
      <c r="E1155" s="219"/>
      <c r="F1155" s="219"/>
      <c r="G1155" s="219"/>
      <c r="H1155" s="219"/>
      <c r="I1155" s="249"/>
      <c r="J1155" s="243"/>
      <c r="K1155" s="219"/>
      <c r="L1155" s="244"/>
      <c r="M1155" s="219"/>
      <c r="N1155" s="219"/>
      <c r="O1155" s="219"/>
      <c r="P1155" s="244"/>
      <c r="Q1155" s="219"/>
      <c r="R1155" s="302"/>
      <c r="S1155" s="219"/>
      <c r="T1155" s="219"/>
      <c r="U1155" s="219"/>
      <c r="V1155" s="303"/>
      <c r="W1155" s="247"/>
      <c r="X1155" s="245"/>
      <c r="Y1155" s="245"/>
      <c r="Z1155" s="245"/>
      <c r="AA1155" s="245"/>
      <c r="AB1155" s="245"/>
      <c r="AC1155" s="249"/>
      <c r="AD1155" s="249"/>
      <c r="AE1155" s="249"/>
      <c r="AF1155" s="8"/>
      <c r="AG1155" s="8"/>
      <c r="AH1155" s="72"/>
      <c r="AI1155" s="8"/>
      <c r="AJ1155" s="251"/>
      <c r="AK1155" s="23"/>
      <c r="AL1155" s="75"/>
      <c r="AM1155" s="75" t="str">
        <f t="shared" si="141"/>
        <v/>
      </c>
      <c r="AN1155" s="75"/>
      <c r="AO1155" s="75"/>
      <c r="AP1155" s="75"/>
      <c r="AQ1155" s="75"/>
      <c r="AR1155" s="75"/>
      <c r="AS1155" s="75"/>
      <c r="AT1155" s="75"/>
    </row>
    <row r="1156" ht="22.5" customHeight="1">
      <c r="A1156" s="219"/>
      <c r="B1156" s="219"/>
      <c r="C1156" s="219"/>
      <c r="D1156" s="219"/>
      <c r="E1156" s="219"/>
      <c r="F1156" s="219"/>
      <c r="G1156" s="219"/>
      <c r="H1156" s="219"/>
      <c r="I1156" s="249"/>
      <c r="J1156" s="243"/>
      <c r="K1156" s="219"/>
      <c r="L1156" s="244"/>
      <c r="M1156" s="219"/>
      <c r="N1156" s="219"/>
      <c r="O1156" s="219"/>
      <c r="P1156" s="244"/>
      <c r="Q1156" s="219"/>
      <c r="R1156" s="302"/>
      <c r="S1156" s="219"/>
      <c r="T1156" s="219"/>
      <c r="U1156" s="219"/>
      <c r="V1156" s="303"/>
      <c r="W1156" s="247"/>
      <c r="X1156" s="245"/>
      <c r="Y1156" s="245"/>
      <c r="Z1156" s="245"/>
      <c r="AA1156" s="245"/>
      <c r="AB1156" s="245"/>
      <c r="AC1156" s="249"/>
      <c r="AD1156" s="249"/>
      <c r="AE1156" s="249"/>
      <c r="AF1156" s="8"/>
      <c r="AG1156" s="8"/>
      <c r="AH1156" s="72"/>
      <c r="AI1156" s="8"/>
      <c r="AJ1156" s="251"/>
      <c r="AK1156" s="23"/>
      <c r="AL1156" s="75"/>
      <c r="AM1156" s="75" t="str">
        <f t="shared" si="141"/>
        <v/>
      </c>
      <c r="AN1156" s="75"/>
      <c r="AO1156" s="75"/>
      <c r="AP1156" s="75"/>
      <c r="AQ1156" s="75"/>
      <c r="AR1156" s="75"/>
      <c r="AS1156" s="75"/>
      <c r="AT1156" s="75"/>
    </row>
    <row r="1157" ht="22.5" customHeight="1">
      <c r="A1157" s="219"/>
      <c r="B1157" s="219"/>
      <c r="C1157" s="219"/>
      <c r="D1157" s="219"/>
      <c r="E1157" s="219"/>
      <c r="F1157" s="219"/>
      <c r="G1157" s="219"/>
      <c r="H1157" s="219"/>
      <c r="I1157" s="249"/>
      <c r="J1157" s="243"/>
      <c r="K1157" s="219"/>
      <c r="L1157" s="244"/>
      <c r="M1157" s="219"/>
      <c r="N1157" s="219"/>
      <c r="O1157" s="219"/>
      <c r="P1157" s="244"/>
      <c r="Q1157" s="219"/>
      <c r="R1157" s="302"/>
      <c r="S1157" s="219"/>
      <c r="T1157" s="219"/>
      <c r="U1157" s="219"/>
      <c r="V1157" s="303"/>
      <c r="W1157" s="247"/>
      <c r="X1157" s="245"/>
      <c r="Y1157" s="245"/>
      <c r="Z1157" s="245"/>
      <c r="AA1157" s="245"/>
      <c r="AB1157" s="245"/>
      <c r="AC1157" s="249"/>
      <c r="AD1157" s="249"/>
      <c r="AE1157" s="249"/>
      <c r="AF1157" s="8"/>
      <c r="AG1157" s="8"/>
      <c r="AH1157" s="72"/>
      <c r="AI1157" s="8"/>
      <c r="AJ1157" s="251"/>
      <c r="AK1157" s="23"/>
      <c r="AL1157" s="75"/>
      <c r="AM1157" s="75" t="str">
        <f t="shared" si="141"/>
        <v/>
      </c>
      <c r="AN1157" s="75"/>
      <c r="AO1157" s="75"/>
      <c r="AP1157" s="75"/>
      <c r="AQ1157" s="75"/>
      <c r="AR1157" s="75"/>
      <c r="AS1157" s="75"/>
      <c r="AT1157" s="75"/>
    </row>
    <row r="1158" ht="22.5" customHeight="1">
      <c r="A1158" s="219"/>
      <c r="B1158" s="219"/>
      <c r="C1158" s="219"/>
      <c r="D1158" s="219"/>
      <c r="E1158" s="219"/>
      <c r="F1158" s="219"/>
      <c r="G1158" s="219"/>
      <c r="H1158" s="219"/>
      <c r="I1158" s="249"/>
      <c r="J1158" s="243"/>
      <c r="K1158" s="219"/>
      <c r="L1158" s="244"/>
      <c r="M1158" s="219"/>
      <c r="N1158" s="219"/>
      <c r="O1158" s="219"/>
      <c r="P1158" s="244"/>
      <c r="Q1158" s="219"/>
      <c r="R1158" s="302"/>
      <c r="S1158" s="219"/>
      <c r="T1158" s="219"/>
      <c r="U1158" s="219"/>
      <c r="V1158" s="303"/>
      <c r="W1158" s="247"/>
      <c r="X1158" s="245"/>
      <c r="Y1158" s="245"/>
      <c r="Z1158" s="245"/>
      <c r="AA1158" s="245"/>
      <c r="AB1158" s="245"/>
      <c r="AC1158" s="249"/>
      <c r="AD1158" s="249"/>
      <c r="AE1158" s="249"/>
      <c r="AF1158" s="8"/>
      <c r="AG1158" s="8"/>
      <c r="AH1158" s="72"/>
      <c r="AI1158" s="8"/>
      <c r="AJ1158" s="251"/>
      <c r="AK1158" s="23"/>
      <c r="AL1158" s="75"/>
      <c r="AM1158" s="75" t="str">
        <f t="shared" si="141"/>
        <v/>
      </c>
      <c r="AN1158" s="75"/>
      <c r="AO1158" s="75"/>
      <c r="AP1158" s="75"/>
      <c r="AQ1158" s="75"/>
      <c r="AR1158" s="75"/>
      <c r="AS1158" s="75"/>
      <c r="AT1158" s="75"/>
    </row>
    <row r="1159" ht="22.5" customHeight="1">
      <c r="A1159" s="219"/>
      <c r="B1159" s="219"/>
      <c r="C1159" s="219"/>
      <c r="D1159" s="219"/>
      <c r="E1159" s="219"/>
      <c r="F1159" s="219"/>
      <c r="G1159" s="219"/>
      <c r="H1159" s="219"/>
      <c r="I1159" s="249"/>
      <c r="J1159" s="243"/>
      <c r="K1159" s="219"/>
      <c r="L1159" s="244"/>
      <c r="M1159" s="219"/>
      <c r="N1159" s="219"/>
      <c r="O1159" s="219"/>
      <c r="P1159" s="244"/>
      <c r="Q1159" s="219"/>
      <c r="R1159" s="302"/>
      <c r="S1159" s="219"/>
      <c r="T1159" s="219"/>
      <c r="U1159" s="219"/>
      <c r="V1159" s="303"/>
      <c r="W1159" s="247"/>
      <c r="X1159" s="245"/>
      <c r="Y1159" s="245"/>
      <c r="Z1159" s="245"/>
      <c r="AA1159" s="245"/>
      <c r="AB1159" s="245"/>
      <c r="AC1159" s="249"/>
      <c r="AD1159" s="249"/>
      <c r="AE1159" s="249"/>
      <c r="AF1159" s="8"/>
      <c r="AG1159" s="8"/>
      <c r="AH1159" s="72"/>
      <c r="AI1159" s="8"/>
      <c r="AJ1159" s="251"/>
      <c r="AK1159" s="23"/>
      <c r="AL1159" s="75"/>
      <c r="AM1159" s="75" t="str">
        <f t="shared" si="141"/>
        <v/>
      </c>
      <c r="AN1159" s="75"/>
      <c r="AO1159" s="75"/>
      <c r="AP1159" s="75"/>
      <c r="AQ1159" s="75"/>
      <c r="AR1159" s="75"/>
      <c r="AS1159" s="75"/>
      <c r="AT1159" s="75"/>
    </row>
    <row r="1160" ht="22.5" customHeight="1">
      <c r="A1160" s="219"/>
      <c r="B1160" s="219"/>
      <c r="C1160" s="219"/>
      <c r="D1160" s="219"/>
      <c r="E1160" s="219"/>
      <c r="F1160" s="219"/>
      <c r="G1160" s="219"/>
      <c r="H1160" s="219"/>
      <c r="I1160" s="249"/>
      <c r="J1160" s="243"/>
      <c r="K1160" s="219"/>
      <c r="L1160" s="244"/>
      <c r="M1160" s="219"/>
      <c r="N1160" s="219"/>
      <c r="O1160" s="219"/>
      <c r="P1160" s="244"/>
      <c r="Q1160" s="219"/>
      <c r="R1160" s="302"/>
      <c r="S1160" s="219"/>
      <c r="T1160" s="219"/>
      <c r="U1160" s="219"/>
      <c r="V1160" s="303"/>
      <c r="W1160" s="247"/>
      <c r="X1160" s="245"/>
      <c r="Y1160" s="245"/>
      <c r="Z1160" s="245"/>
      <c r="AA1160" s="245"/>
      <c r="AB1160" s="245"/>
      <c r="AC1160" s="249"/>
      <c r="AD1160" s="249"/>
      <c r="AE1160" s="249"/>
      <c r="AF1160" s="8"/>
      <c r="AG1160" s="8"/>
      <c r="AH1160" s="72"/>
      <c r="AI1160" s="8"/>
      <c r="AJ1160" s="251"/>
      <c r="AK1160" s="23"/>
      <c r="AL1160" s="75"/>
      <c r="AM1160" s="75" t="str">
        <f t="shared" si="141"/>
        <v/>
      </c>
      <c r="AN1160" s="75"/>
      <c r="AO1160" s="75"/>
      <c r="AP1160" s="75"/>
      <c r="AQ1160" s="75"/>
      <c r="AR1160" s="75"/>
      <c r="AS1160" s="75"/>
      <c r="AT1160" s="75"/>
    </row>
    <row r="1161" ht="22.5" customHeight="1">
      <c r="A1161" s="219"/>
      <c r="B1161" s="219"/>
      <c r="C1161" s="219"/>
      <c r="D1161" s="219"/>
      <c r="E1161" s="219"/>
      <c r="F1161" s="219"/>
      <c r="G1161" s="219"/>
      <c r="H1161" s="219"/>
      <c r="I1161" s="249"/>
      <c r="J1161" s="243"/>
      <c r="K1161" s="219"/>
      <c r="L1161" s="244"/>
      <c r="M1161" s="219"/>
      <c r="N1161" s="219"/>
      <c r="O1161" s="219"/>
      <c r="P1161" s="244"/>
      <c r="Q1161" s="219"/>
      <c r="R1161" s="302"/>
      <c r="S1161" s="219"/>
      <c r="T1161" s="219"/>
      <c r="U1161" s="219"/>
      <c r="V1161" s="303"/>
      <c r="W1161" s="247"/>
      <c r="X1161" s="245"/>
      <c r="Y1161" s="245"/>
      <c r="Z1161" s="245"/>
      <c r="AA1161" s="245"/>
      <c r="AB1161" s="245"/>
      <c r="AC1161" s="249"/>
      <c r="AD1161" s="249"/>
      <c r="AE1161" s="249"/>
      <c r="AF1161" s="8"/>
      <c r="AG1161" s="8"/>
      <c r="AH1161" s="72"/>
      <c r="AI1161" s="8"/>
      <c r="AJ1161" s="251"/>
      <c r="AK1161" s="23"/>
      <c r="AL1161" s="75"/>
      <c r="AM1161" s="75" t="str">
        <f t="shared" si="141"/>
        <v/>
      </c>
      <c r="AN1161" s="75"/>
      <c r="AO1161" s="75"/>
      <c r="AP1161" s="75"/>
      <c r="AQ1161" s="75"/>
      <c r="AR1161" s="75"/>
      <c r="AS1161" s="75"/>
      <c r="AT1161" s="75"/>
    </row>
    <row r="1162" ht="22.5" customHeight="1">
      <c r="A1162" s="219"/>
      <c r="B1162" s="219"/>
      <c r="C1162" s="219"/>
      <c r="D1162" s="219"/>
      <c r="E1162" s="219"/>
      <c r="F1162" s="219"/>
      <c r="G1162" s="219"/>
      <c r="H1162" s="219"/>
      <c r="I1162" s="249"/>
      <c r="J1162" s="243"/>
      <c r="K1162" s="219"/>
      <c r="L1162" s="244"/>
      <c r="M1162" s="219"/>
      <c r="N1162" s="219"/>
      <c r="O1162" s="219"/>
      <c r="P1162" s="244"/>
      <c r="Q1162" s="219"/>
      <c r="R1162" s="302"/>
      <c r="S1162" s="219"/>
      <c r="T1162" s="219"/>
      <c r="U1162" s="219"/>
      <c r="V1162" s="303"/>
      <c r="W1162" s="247"/>
      <c r="X1162" s="245"/>
      <c r="Y1162" s="245"/>
      <c r="Z1162" s="245"/>
      <c r="AA1162" s="245"/>
      <c r="AB1162" s="245"/>
      <c r="AC1162" s="249"/>
      <c r="AD1162" s="249"/>
      <c r="AE1162" s="249"/>
      <c r="AF1162" s="8"/>
      <c r="AG1162" s="8"/>
      <c r="AH1162" s="72"/>
      <c r="AI1162" s="8"/>
      <c r="AJ1162" s="251"/>
      <c r="AK1162" s="23"/>
      <c r="AL1162" s="75"/>
      <c r="AM1162" s="75" t="str">
        <f t="shared" si="141"/>
        <v/>
      </c>
      <c r="AN1162" s="75"/>
      <c r="AO1162" s="75"/>
      <c r="AP1162" s="75"/>
      <c r="AQ1162" s="75"/>
      <c r="AR1162" s="75"/>
      <c r="AS1162" s="75"/>
      <c r="AT1162" s="75"/>
    </row>
    <row r="1163" ht="22.5" customHeight="1">
      <c r="A1163" s="219"/>
      <c r="B1163" s="219"/>
      <c r="C1163" s="219"/>
      <c r="D1163" s="219"/>
      <c r="E1163" s="219"/>
      <c r="F1163" s="219"/>
      <c r="G1163" s="219"/>
      <c r="H1163" s="219"/>
      <c r="I1163" s="249"/>
      <c r="J1163" s="243"/>
      <c r="K1163" s="219"/>
      <c r="L1163" s="244"/>
      <c r="M1163" s="219"/>
      <c r="N1163" s="219"/>
      <c r="O1163" s="219"/>
      <c r="P1163" s="244"/>
      <c r="Q1163" s="219"/>
      <c r="R1163" s="302"/>
      <c r="S1163" s="219"/>
      <c r="T1163" s="219"/>
      <c r="U1163" s="219"/>
      <c r="V1163" s="303"/>
      <c r="W1163" s="247"/>
      <c r="X1163" s="245"/>
      <c r="Y1163" s="245"/>
      <c r="Z1163" s="245"/>
      <c r="AA1163" s="245"/>
      <c r="AB1163" s="245"/>
      <c r="AC1163" s="249"/>
      <c r="AD1163" s="249"/>
      <c r="AE1163" s="249"/>
      <c r="AF1163" s="8"/>
      <c r="AG1163" s="8"/>
      <c r="AH1163" s="72"/>
      <c r="AI1163" s="8"/>
      <c r="AJ1163" s="251"/>
      <c r="AK1163" s="23"/>
      <c r="AL1163" s="75"/>
      <c r="AM1163" s="75" t="str">
        <f t="shared" si="141"/>
        <v/>
      </c>
      <c r="AN1163" s="75"/>
      <c r="AO1163" s="75"/>
      <c r="AP1163" s="75"/>
      <c r="AQ1163" s="75"/>
      <c r="AR1163" s="75"/>
      <c r="AS1163" s="75"/>
      <c r="AT1163" s="75"/>
    </row>
    <row r="1164" ht="22.5" customHeight="1">
      <c r="A1164" s="219"/>
      <c r="B1164" s="219"/>
      <c r="C1164" s="219"/>
      <c r="D1164" s="219"/>
      <c r="E1164" s="219"/>
      <c r="F1164" s="219"/>
      <c r="G1164" s="219"/>
      <c r="H1164" s="219"/>
      <c r="I1164" s="249"/>
      <c r="J1164" s="243"/>
      <c r="K1164" s="219"/>
      <c r="L1164" s="244"/>
      <c r="M1164" s="219"/>
      <c r="N1164" s="219"/>
      <c r="O1164" s="219"/>
      <c r="P1164" s="244"/>
      <c r="Q1164" s="219"/>
      <c r="R1164" s="302"/>
      <c r="S1164" s="219"/>
      <c r="T1164" s="219"/>
      <c r="U1164" s="219"/>
      <c r="V1164" s="303"/>
      <c r="W1164" s="247"/>
      <c r="X1164" s="245"/>
      <c r="Y1164" s="245"/>
      <c r="Z1164" s="245"/>
      <c r="AA1164" s="245"/>
      <c r="AB1164" s="245"/>
      <c r="AC1164" s="249"/>
      <c r="AD1164" s="249"/>
      <c r="AE1164" s="249"/>
      <c r="AF1164" s="8"/>
      <c r="AG1164" s="8"/>
      <c r="AH1164" s="72"/>
      <c r="AI1164" s="8"/>
      <c r="AJ1164" s="251"/>
      <c r="AK1164" s="23"/>
      <c r="AL1164" s="75"/>
      <c r="AM1164" s="75" t="str">
        <f t="shared" si="141"/>
        <v/>
      </c>
      <c r="AN1164" s="75"/>
      <c r="AO1164" s="75"/>
      <c r="AP1164" s="75"/>
      <c r="AQ1164" s="75"/>
      <c r="AR1164" s="75"/>
      <c r="AS1164" s="75"/>
      <c r="AT1164" s="75"/>
    </row>
    <row r="1165" ht="22.5" customHeight="1">
      <c r="A1165" s="219"/>
      <c r="B1165" s="219"/>
      <c r="C1165" s="219"/>
      <c r="D1165" s="219"/>
      <c r="E1165" s="219"/>
      <c r="F1165" s="219"/>
      <c r="G1165" s="219"/>
      <c r="H1165" s="219"/>
      <c r="I1165" s="249"/>
      <c r="J1165" s="243"/>
      <c r="K1165" s="219"/>
      <c r="L1165" s="244"/>
      <c r="M1165" s="219"/>
      <c r="N1165" s="219"/>
      <c r="O1165" s="219"/>
      <c r="P1165" s="244"/>
      <c r="Q1165" s="219"/>
      <c r="R1165" s="302"/>
      <c r="S1165" s="219"/>
      <c r="T1165" s="219"/>
      <c r="U1165" s="219"/>
      <c r="V1165" s="303"/>
      <c r="W1165" s="247"/>
      <c r="X1165" s="245"/>
      <c r="Y1165" s="245"/>
      <c r="Z1165" s="245"/>
      <c r="AA1165" s="245"/>
      <c r="AB1165" s="245"/>
      <c r="AC1165" s="249"/>
      <c r="AD1165" s="249"/>
      <c r="AE1165" s="249"/>
      <c r="AF1165" s="8"/>
      <c r="AG1165" s="8"/>
      <c r="AH1165" s="72"/>
      <c r="AI1165" s="8"/>
      <c r="AJ1165" s="251"/>
      <c r="AK1165" s="23"/>
      <c r="AL1165" s="75"/>
      <c r="AM1165" s="75" t="str">
        <f t="shared" si="141"/>
        <v/>
      </c>
      <c r="AN1165" s="75"/>
      <c r="AO1165" s="75"/>
      <c r="AP1165" s="75"/>
      <c r="AQ1165" s="75"/>
      <c r="AR1165" s="75"/>
      <c r="AS1165" s="75"/>
      <c r="AT1165" s="75"/>
    </row>
    <row r="1166" ht="22.5" customHeight="1">
      <c r="A1166" s="219"/>
      <c r="B1166" s="219"/>
      <c r="C1166" s="219"/>
      <c r="D1166" s="219"/>
      <c r="E1166" s="219"/>
      <c r="F1166" s="219"/>
      <c r="G1166" s="219"/>
      <c r="H1166" s="219"/>
      <c r="I1166" s="249"/>
      <c r="J1166" s="243"/>
      <c r="K1166" s="219"/>
      <c r="L1166" s="244"/>
      <c r="M1166" s="219"/>
      <c r="N1166" s="219"/>
      <c r="O1166" s="219"/>
      <c r="P1166" s="244"/>
      <c r="Q1166" s="219"/>
      <c r="R1166" s="302"/>
      <c r="S1166" s="219"/>
      <c r="T1166" s="219"/>
      <c r="U1166" s="219"/>
      <c r="V1166" s="303"/>
      <c r="W1166" s="247"/>
      <c r="X1166" s="245"/>
      <c r="Y1166" s="245"/>
      <c r="Z1166" s="245"/>
      <c r="AA1166" s="245"/>
      <c r="AB1166" s="245"/>
      <c r="AC1166" s="249"/>
      <c r="AD1166" s="249"/>
      <c r="AE1166" s="249"/>
      <c r="AF1166" s="8"/>
      <c r="AG1166" s="8"/>
      <c r="AH1166" s="72"/>
      <c r="AI1166" s="8"/>
      <c r="AJ1166" s="251"/>
      <c r="AK1166" s="23"/>
      <c r="AL1166" s="75"/>
      <c r="AM1166" s="75" t="str">
        <f t="shared" si="141"/>
        <v/>
      </c>
      <c r="AN1166" s="75"/>
      <c r="AO1166" s="75"/>
      <c r="AP1166" s="75"/>
      <c r="AQ1166" s="75"/>
      <c r="AR1166" s="75"/>
      <c r="AS1166" s="75"/>
      <c r="AT1166" s="75"/>
    </row>
    <row r="1167" ht="22.5" customHeight="1">
      <c r="A1167" s="219"/>
      <c r="B1167" s="219"/>
      <c r="C1167" s="219"/>
      <c r="D1167" s="219"/>
      <c r="E1167" s="219"/>
      <c r="F1167" s="219"/>
      <c r="G1167" s="219"/>
      <c r="H1167" s="219"/>
      <c r="I1167" s="249"/>
      <c r="J1167" s="243"/>
      <c r="K1167" s="219"/>
      <c r="L1167" s="244"/>
      <c r="M1167" s="219"/>
      <c r="N1167" s="219"/>
      <c r="O1167" s="219"/>
      <c r="P1167" s="244"/>
      <c r="Q1167" s="219"/>
      <c r="R1167" s="302"/>
      <c r="S1167" s="219"/>
      <c r="T1167" s="219"/>
      <c r="U1167" s="219"/>
      <c r="V1167" s="303"/>
      <c r="W1167" s="247"/>
      <c r="X1167" s="245"/>
      <c r="Y1167" s="245"/>
      <c r="Z1167" s="245"/>
      <c r="AA1167" s="245"/>
      <c r="AB1167" s="245"/>
      <c r="AC1167" s="249"/>
      <c r="AD1167" s="249"/>
      <c r="AE1167" s="249"/>
      <c r="AF1167" s="8"/>
      <c r="AG1167" s="8"/>
      <c r="AH1167" s="72"/>
      <c r="AI1167" s="8"/>
      <c r="AJ1167" s="251"/>
      <c r="AK1167" s="23"/>
      <c r="AL1167" s="75"/>
      <c r="AM1167" s="75" t="str">
        <f t="shared" si="141"/>
        <v/>
      </c>
      <c r="AN1167" s="75"/>
      <c r="AO1167" s="75"/>
      <c r="AP1167" s="75"/>
      <c r="AQ1167" s="75"/>
      <c r="AR1167" s="75"/>
      <c r="AS1167" s="75"/>
      <c r="AT1167" s="75"/>
    </row>
    <row r="1168" ht="22.5" customHeight="1">
      <c r="A1168" s="219"/>
      <c r="B1168" s="219"/>
      <c r="C1168" s="219"/>
      <c r="D1168" s="219"/>
      <c r="E1168" s="219"/>
      <c r="F1168" s="219"/>
      <c r="G1168" s="219"/>
      <c r="H1168" s="219"/>
      <c r="I1168" s="249"/>
      <c r="J1168" s="243"/>
      <c r="K1168" s="219"/>
      <c r="L1168" s="244"/>
      <c r="M1168" s="219"/>
      <c r="N1168" s="219"/>
      <c r="O1168" s="219"/>
      <c r="P1168" s="244"/>
      <c r="Q1168" s="219"/>
      <c r="R1168" s="302"/>
      <c r="S1168" s="219"/>
      <c r="T1168" s="219"/>
      <c r="U1168" s="219"/>
      <c r="V1168" s="303"/>
      <c r="W1168" s="247"/>
      <c r="X1168" s="245"/>
      <c r="Y1168" s="245"/>
      <c r="Z1168" s="245"/>
      <c r="AA1168" s="245"/>
      <c r="AB1168" s="245"/>
      <c r="AC1168" s="249"/>
      <c r="AD1168" s="249"/>
      <c r="AE1168" s="249"/>
      <c r="AF1168" s="8"/>
      <c r="AG1168" s="8"/>
      <c r="AH1168" s="72"/>
      <c r="AI1168" s="8"/>
      <c r="AJ1168" s="251"/>
      <c r="AK1168" s="23"/>
      <c r="AL1168" s="75"/>
      <c r="AM1168" s="75" t="str">
        <f t="shared" si="141"/>
        <v/>
      </c>
      <c r="AN1168" s="75"/>
      <c r="AO1168" s="75"/>
      <c r="AP1168" s="75"/>
      <c r="AQ1168" s="75"/>
      <c r="AR1168" s="75"/>
      <c r="AS1168" s="75"/>
      <c r="AT1168" s="75"/>
    </row>
    <row r="1169" ht="22.5" customHeight="1">
      <c r="A1169" s="219"/>
      <c r="B1169" s="219"/>
      <c r="C1169" s="219"/>
      <c r="D1169" s="219"/>
      <c r="E1169" s="219"/>
      <c r="F1169" s="219"/>
      <c r="G1169" s="219"/>
      <c r="H1169" s="219"/>
      <c r="I1169" s="249"/>
      <c r="J1169" s="243"/>
      <c r="K1169" s="219"/>
      <c r="L1169" s="244"/>
      <c r="M1169" s="219"/>
      <c r="N1169" s="219"/>
      <c r="O1169" s="219"/>
      <c r="P1169" s="244"/>
      <c r="Q1169" s="219"/>
      <c r="R1169" s="302"/>
      <c r="S1169" s="219"/>
      <c r="T1169" s="219"/>
      <c r="U1169" s="219"/>
      <c r="V1169" s="303"/>
      <c r="W1169" s="247"/>
      <c r="X1169" s="245"/>
      <c r="Y1169" s="245"/>
      <c r="Z1169" s="245"/>
      <c r="AA1169" s="245"/>
      <c r="AB1169" s="245"/>
      <c r="AC1169" s="249"/>
      <c r="AD1169" s="249"/>
      <c r="AE1169" s="249"/>
      <c r="AF1169" s="8"/>
      <c r="AG1169" s="8"/>
      <c r="AH1169" s="72"/>
      <c r="AI1169" s="8"/>
      <c r="AJ1169" s="251"/>
      <c r="AK1169" s="23"/>
      <c r="AL1169" s="75"/>
      <c r="AM1169" s="75" t="str">
        <f t="shared" si="141"/>
        <v/>
      </c>
      <c r="AN1169" s="75"/>
      <c r="AO1169" s="75"/>
      <c r="AP1169" s="75"/>
      <c r="AQ1169" s="75"/>
      <c r="AR1169" s="75"/>
      <c r="AS1169" s="75"/>
      <c r="AT1169" s="75"/>
    </row>
    <row r="1170" ht="22.5" customHeight="1">
      <c r="A1170" s="219"/>
      <c r="B1170" s="219"/>
      <c r="C1170" s="219"/>
      <c r="D1170" s="219"/>
      <c r="E1170" s="219"/>
      <c r="F1170" s="219"/>
      <c r="G1170" s="219"/>
      <c r="H1170" s="219"/>
      <c r="I1170" s="249"/>
      <c r="J1170" s="243"/>
      <c r="K1170" s="219"/>
      <c r="L1170" s="244"/>
      <c r="M1170" s="219"/>
      <c r="N1170" s="219"/>
      <c r="O1170" s="219"/>
      <c r="P1170" s="244"/>
      <c r="Q1170" s="219"/>
      <c r="R1170" s="302"/>
      <c r="S1170" s="219"/>
      <c r="T1170" s="219"/>
      <c r="U1170" s="219"/>
      <c r="V1170" s="303"/>
      <c r="W1170" s="247"/>
      <c r="X1170" s="245"/>
      <c r="Y1170" s="245"/>
      <c r="Z1170" s="245"/>
      <c r="AA1170" s="245"/>
      <c r="AB1170" s="245"/>
      <c r="AC1170" s="249"/>
      <c r="AD1170" s="249"/>
      <c r="AE1170" s="249"/>
      <c r="AF1170" s="8"/>
      <c r="AG1170" s="8"/>
      <c r="AH1170" s="72"/>
      <c r="AI1170" s="8"/>
      <c r="AJ1170" s="251"/>
      <c r="AK1170" s="23"/>
      <c r="AL1170" s="75"/>
      <c r="AM1170" s="75" t="str">
        <f t="shared" si="141"/>
        <v/>
      </c>
      <c r="AN1170" s="75"/>
      <c r="AO1170" s="75"/>
      <c r="AP1170" s="75"/>
      <c r="AQ1170" s="75"/>
      <c r="AR1170" s="75"/>
      <c r="AS1170" s="75"/>
      <c r="AT1170" s="75"/>
    </row>
    <row r="1171" ht="22.5" customHeight="1">
      <c r="A1171" s="219"/>
      <c r="B1171" s="219"/>
      <c r="C1171" s="219"/>
      <c r="D1171" s="219"/>
      <c r="E1171" s="219"/>
      <c r="F1171" s="219"/>
      <c r="G1171" s="219"/>
      <c r="H1171" s="219"/>
      <c r="I1171" s="249"/>
      <c r="J1171" s="243"/>
      <c r="K1171" s="219"/>
      <c r="L1171" s="244"/>
      <c r="M1171" s="219"/>
      <c r="N1171" s="219"/>
      <c r="O1171" s="219"/>
      <c r="P1171" s="244"/>
      <c r="Q1171" s="219"/>
      <c r="R1171" s="302"/>
      <c r="S1171" s="219"/>
      <c r="T1171" s="219"/>
      <c r="U1171" s="219"/>
      <c r="V1171" s="303"/>
      <c r="W1171" s="247"/>
      <c r="X1171" s="245"/>
      <c r="Y1171" s="245"/>
      <c r="Z1171" s="245"/>
      <c r="AA1171" s="245"/>
      <c r="AB1171" s="245"/>
      <c r="AC1171" s="249"/>
      <c r="AD1171" s="249"/>
      <c r="AE1171" s="249"/>
      <c r="AF1171" s="8"/>
      <c r="AG1171" s="8"/>
      <c r="AH1171" s="72"/>
      <c r="AI1171" s="8"/>
      <c r="AJ1171" s="251"/>
      <c r="AK1171" s="23"/>
      <c r="AL1171" s="75"/>
      <c r="AM1171" s="75" t="str">
        <f t="shared" si="141"/>
        <v/>
      </c>
      <c r="AN1171" s="75"/>
      <c r="AO1171" s="75"/>
      <c r="AP1171" s="75"/>
      <c r="AQ1171" s="75"/>
      <c r="AR1171" s="75"/>
      <c r="AS1171" s="75"/>
      <c r="AT1171" s="75"/>
    </row>
    <row r="1172" ht="22.5" customHeight="1">
      <c r="A1172" s="219"/>
      <c r="B1172" s="219"/>
      <c r="C1172" s="219"/>
      <c r="D1172" s="219"/>
      <c r="E1172" s="219"/>
      <c r="F1172" s="219"/>
      <c r="G1172" s="219"/>
      <c r="H1172" s="219"/>
      <c r="I1172" s="249"/>
      <c r="J1172" s="243"/>
      <c r="K1172" s="219"/>
      <c r="L1172" s="244"/>
      <c r="M1172" s="219"/>
      <c r="N1172" s="219"/>
      <c r="O1172" s="219"/>
      <c r="P1172" s="244"/>
      <c r="Q1172" s="219"/>
      <c r="R1172" s="302"/>
      <c r="S1172" s="219"/>
      <c r="T1172" s="219"/>
      <c r="U1172" s="219"/>
      <c r="V1172" s="303"/>
      <c r="W1172" s="247"/>
      <c r="X1172" s="245"/>
      <c r="Y1172" s="245"/>
      <c r="Z1172" s="245"/>
      <c r="AA1172" s="245"/>
      <c r="AB1172" s="245"/>
      <c r="AC1172" s="249"/>
      <c r="AD1172" s="249"/>
      <c r="AE1172" s="249"/>
      <c r="AF1172" s="8"/>
      <c r="AG1172" s="8"/>
      <c r="AH1172" s="72"/>
      <c r="AI1172" s="8"/>
      <c r="AJ1172" s="251"/>
      <c r="AK1172" s="23"/>
      <c r="AL1172" s="75"/>
      <c r="AM1172" s="75" t="str">
        <f t="shared" si="141"/>
        <v/>
      </c>
      <c r="AN1172" s="75"/>
      <c r="AO1172" s="75"/>
      <c r="AP1172" s="75"/>
      <c r="AQ1172" s="75"/>
      <c r="AR1172" s="75"/>
      <c r="AS1172" s="75"/>
      <c r="AT1172" s="75"/>
    </row>
    <row r="1173" ht="22.5" customHeight="1">
      <c r="A1173" s="219"/>
      <c r="B1173" s="219"/>
      <c r="C1173" s="219"/>
      <c r="D1173" s="219"/>
      <c r="E1173" s="219"/>
      <c r="F1173" s="219"/>
      <c r="G1173" s="219"/>
      <c r="H1173" s="219"/>
      <c r="I1173" s="249"/>
      <c r="J1173" s="243"/>
      <c r="K1173" s="219"/>
      <c r="L1173" s="244"/>
      <c r="M1173" s="219"/>
      <c r="N1173" s="219"/>
      <c r="O1173" s="219"/>
      <c r="P1173" s="244"/>
      <c r="Q1173" s="219"/>
      <c r="R1173" s="302"/>
      <c r="S1173" s="219"/>
      <c r="T1173" s="219"/>
      <c r="U1173" s="219"/>
      <c r="V1173" s="303"/>
      <c r="W1173" s="247"/>
      <c r="X1173" s="245"/>
      <c r="Y1173" s="245"/>
      <c r="Z1173" s="245"/>
      <c r="AA1173" s="245"/>
      <c r="AB1173" s="245"/>
      <c r="AC1173" s="249"/>
      <c r="AD1173" s="249"/>
      <c r="AE1173" s="249"/>
      <c r="AF1173" s="8"/>
      <c r="AG1173" s="8"/>
      <c r="AH1173" s="72"/>
      <c r="AI1173" s="8"/>
      <c r="AJ1173" s="251"/>
      <c r="AK1173" s="23"/>
      <c r="AL1173" s="75"/>
      <c r="AM1173" s="75" t="str">
        <f t="shared" si="141"/>
        <v/>
      </c>
      <c r="AN1173" s="75"/>
      <c r="AO1173" s="75"/>
      <c r="AP1173" s="75"/>
      <c r="AQ1173" s="75"/>
      <c r="AR1173" s="75"/>
      <c r="AS1173" s="75"/>
      <c r="AT1173" s="75"/>
    </row>
    <row r="1174" ht="22.5" customHeight="1">
      <c r="A1174" s="219"/>
      <c r="B1174" s="219"/>
      <c r="C1174" s="219"/>
      <c r="D1174" s="219"/>
      <c r="E1174" s="219"/>
      <c r="F1174" s="219"/>
      <c r="G1174" s="219"/>
      <c r="H1174" s="219"/>
      <c r="I1174" s="249"/>
      <c r="J1174" s="243"/>
      <c r="K1174" s="219"/>
      <c r="L1174" s="244"/>
      <c r="M1174" s="219"/>
      <c r="N1174" s="219"/>
      <c r="O1174" s="219"/>
      <c r="P1174" s="244"/>
      <c r="Q1174" s="219"/>
      <c r="R1174" s="302"/>
      <c r="S1174" s="219"/>
      <c r="T1174" s="219"/>
      <c r="U1174" s="219"/>
      <c r="V1174" s="303"/>
      <c r="W1174" s="247"/>
      <c r="X1174" s="245"/>
      <c r="Y1174" s="245"/>
      <c r="Z1174" s="245"/>
      <c r="AA1174" s="245"/>
      <c r="AB1174" s="245"/>
      <c r="AC1174" s="249"/>
      <c r="AD1174" s="249"/>
      <c r="AE1174" s="249"/>
      <c r="AF1174" s="8"/>
      <c r="AG1174" s="8"/>
      <c r="AH1174" s="72"/>
      <c r="AI1174" s="8"/>
      <c r="AJ1174" s="251"/>
      <c r="AK1174" s="23"/>
      <c r="AL1174" s="75"/>
      <c r="AM1174" s="75" t="str">
        <f t="shared" si="141"/>
        <v/>
      </c>
      <c r="AN1174" s="75"/>
      <c r="AO1174" s="75"/>
      <c r="AP1174" s="75"/>
      <c r="AQ1174" s="75"/>
      <c r="AR1174" s="75"/>
      <c r="AS1174" s="75"/>
      <c r="AT1174" s="75"/>
    </row>
    <row r="1175" ht="22.5" customHeight="1">
      <c r="A1175" s="219"/>
      <c r="B1175" s="219"/>
      <c r="C1175" s="219"/>
      <c r="D1175" s="219"/>
      <c r="E1175" s="219"/>
      <c r="F1175" s="219"/>
      <c r="G1175" s="219"/>
      <c r="H1175" s="219"/>
      <c r="I1175" s="249"/>
      <c r="J1175" s="243"/>
      <c r="K1175" s="219"/>
      <c r="L1175" s="244"/>
      <c r="M1175" s="219"/>
      <c r="N1175" s="219"/>
      <c r="O1175" s="219"/>
      <c r="P1175" s="244"/>
      <c r="Q1175" s="219"/>
      <c r="R1175" s="302"/>
      <c r="S1175" s="219"/>
      <c r="T1175" s="219"/>
      <c r="U1175" s="219"/>
      <c r="V1175" s="303"/>
      <c r="W1175" s="247"/>
      <c r="X1175" s="245"/>
      <c r="Y1175" s="245"/>
      <c r="Z1175" s="245"/>
      <c r="AA1175" s="245"/>
      <c r="AB1175" s="245"/>
      <c r="AC1175" s="249"/>
      <c r="AD1175" s="249"/>
      <c r="AE1175" s="249"/>
      <c r="AF1175" s="8"/>
      <c r="AG1175" s="8"/>
      <c r="AH1175" s="72"/>
      <c r="AI1175" s="8"/>
      <c r="AJ1175" s="251"/>
      <c r="AK1175" s="23"/>
      <c r="AL1175" s="75"/>
      <c r="AM1175" s="75" t="str">
        <f t="shared" si="141"/>
        <v/>
      </c>
      <c r="AN1175" s="75"/>
      <c r="AO1175" s="75"/>
      <c r="AP1175" s="75"/>
      <c r="AQ1175" s="75"/>
      <c r="AR1175" s="75"/>
      <c r="AS1175" s="75"/>
      <c r="AT1175" s="75"/>
    </row>
    <row r="1176" ht="22.5" customHeight="1">
      <c r="A1176" s="219"/>
      <c r="B1176" s="219"/>
      <c r="C1176" s="219"/>
      <c r="D1176" s="219"/>
      <c r="E1176" s="219"/>
      <c r="F1176" s="219"/>
      <c r="G1176" s="219"/>
      <c r="H1176" s="219"/>
      <c r="I1176" s="249"/>
      <c r="J1176" s="243"/>
      <c r="K1176" s="219"/>
      <c r="L1176" s="244"/>
      <c r="M1176" s="219"/>
      <c r="N1176" s="219"/>
      <c r="O1176" s="219"/>
      <c r="P1176" s="244"/>
      <c r="Q1176" s="219"/>
      <c r="R1176" s="302"/>
      <c r="S1176" s="219"/>
      <c r="T1176" s="219"/>
      <c r="U1176" s="219"/>
      <c r="V1176" s="303"/>
      <c r="W1176" s="247"/>
      <c r="X1176" s="245"/>
      <c r="Y1176" s="245"/>
      <c r="Z1176" s="245"/>
      <c r="AA1176" s="245"/>
      <c r="AB1176" s="245"/>
      <c r="AC1176" s="249"/>
      <c r="AD1176" s="249"/>
      <c r="AE1176" s="249"/>
      <c r="AF1176" s="8"/>
      <c r="AG1176" s="8"/>
      <c r="AH1176" s="72"/>
      <c r="AI1176" s="8"/>
      <c r="AJ1176" s="251"/>
      <c r="AK1176" s="23"/>
      <c r="AL1176" s="75"/>
      <c r="AM1176" s="75" t="str">
        <f t="shared" si="141"/>
        <v/>
      </c>
      <c r="AN1176" s="75"/>
      <c r="AO1176" s="75"/>
      <c r="AP1176" s="75"/>
      <c r="AQ1176" s="75"/>
      <c r="AR1176" s="75"/>
      <c r="AS1176" s="75"/>
      <c r="AT1176" s="75"/>
    </row>
    <row r="1177" ht="22.5" customHeight="1">
      <c r="A1177" s="219"/>
      <c r="B1177" s="219"/>
      <c r="C1177" s="219"/>
      <c r="D1177" s="219"/>
      <c r="E1177" s="219"/>
      <c r="F1177" s="219"/>
      <c r="G1177" s="219"/>
      <c r="H1177" s="219"/>
      <c r="I1177" s="249"/>
      <c r="J1177" s="243"/>
      <c r="K1177" s="219"/>
      <c r="L1177" s="244"/>
      <c r="M1177" s="219"/>
      <c r="N1177" s="219"/>
      <c r="O1177" s="219"/>
      <c r="P1177" s="244"/>
      <c r="Q1177" s="219"/>
      <c r="R1177" s="302"/>
      <c r="S1177" s="219"/>
      <c r="T1177" s="219"/>
      <c r="U1177" s="219"/>
      <c r="V1177" s="303"/>
      <c r="W1177" s="247"/>
      <c r="X1177" s="245"/>
      <c r="Y1177" s="245"/>
      <c r="Z1177" s="245"/>
      <c r="AA1177" s="245"/>
      <c r="AB1177" s="245"/>
      <c r="AC1177" s="249"/>
      <c r="AD1177" s="249"/>
      <c r="AE1177" s="249"/>
      <c r="AF1177" s="8"/>
      <c r="AG1177" s="8"/>
      <c r="AH1177" s="72"/>
      <c r="AI1177" s="8"/>
      <c r="AJ1177" s="251"/>
      <c r="AK1177" s="23"/>
      <c r="AL1177" s="75"/>
      <c r="AM1177" s="75" t="str">
        <f t="shared" si="141"/>
        <v/>
      </c>
      <c r="AN1177" s="75"/>
      <c r="AO1177" s="75"/>
      <c r="AP1177" s="75"/>
      <c r="AQ1177" s="75"/>
      <c r="AR1177" s="75"/>
      <c r="AS1177" s="75"/>
      <c r="AT1177" s="75"/>
    </row>
    <row r="1178" ht="22.5" customHeight="1">
      <c r="A1178" s="219"/>
      <c r="B1178" s="219"/>
      <c r="C1178" s="219"/>
      <c r="D1178" s="219"/>
      <c r="E1178" s="219"/>
      <c r="F1178" s="219"/>
      <c r="G1178" s="219"/>
      <c r="H1178" s="219"/>
      <c r="I1178" s="249"/>
      <c r="J1178" s="243"/>
      <c r="K1178" s="219"/>
      <c r="L1178" s="244"/>
      <c r="M1178" s="219"/>
      <c r="N1178" s="219"/>
      <c r="O1178" s="219"/>
      <c r="P1178" s="244"/>
      <c r="Q1178" s="219"/>
      <c r="R1178" s="302"/>
      <c r="S1178" s="219"/>
      <c r="T1178" s="219"/>
      <c r="U1178" s="219"/>
      <c r="V1178" s="303"/>
      <c r="W1178" s="247"/>
      <c r="X1178" s="245"/>
      <c r="Y1178" s="245"/>
      <c r="Z1178" s="245"/>
      <c r="AA1178" s="245"/>
      <c r="AB1178" s="245"/>
      <c r="AC1178" s="249"/>
      <c r="AD1178" s="249"/>
      <c r="AE1178" s="249"/>
      <c r="AF1178" s="8"/>
      <c r="AG1178" s="8"/>
      <c r="AH1178" s="72"/>
      <c r="AI1178" s="8"/>
      <c r="AJ1178" s="251"/>
      <c r="AK1178" s="23"/>
      <c r="AL1178" s="75"/>
      <c r="AM1178" s="75" t="str">
        <f t="shared" si="141"/>
        <v/>
      </c>
      <c r="AN1178" s="75"/>
      <c r="AO1178" s="75"/>
      <c r="AP1178" s="75"/>
      <c r="AQ1178" s="75"/>
      <c r="AR1178" s="75"/>
      <c r="AS1178" s="75"/>
      <c r="AT1178" s="75"/>
    </row>
    <row r="1179" ht="22.5" customHeight="1">
      <c r="A1179" s="219"/>
      <c r="B1179" s="219"/>
      <c r="C1179" s="219"/>
      <c r="D1179" s="219"/>
      <c r="E1179" s="219"/>
      <c r="F1179" s="219"/>
      <c r="G1179" s="219"/>
      <c r="H1179" s="219"/>
      <c r="I1179" s="249"/>
      <c r="J1179" s="243"/>
      <c r="K1179" s="219"/>
      <c r="L1179" s="244"/>
      <c r="M1179" s="219"/>
      <c r="N1179" s="219"/>
      <c r="O1179" s="219"/>
      <c r="P1179" s="244"/>
      <c r="Q1179" s="219"/>
      <c r="R1179" s="302"/>
      <c r="S1179" s="219"/>
      <c r="T1179" s="219"/>
      <c r="U1179" s="219"/>
      <c r="V1179" s="303"/>
      <c r="W1179" s="247"/>
      <c r="X1179" s="245"/>
      <c r="Y1179" s="245"/>
      <c r="Z1179" s="245"/>
      <c r="AA1179" s="245"/>
      <c r="AB1179" s="245"/>
      <c r="AC1179" s="249"/>
      <c r="AD1179" s="249"/>
      <c r="AE1179" s="249"/>
      <c r="AF1179" s="8"/>
      <c r="AG1179" s="8"/>
      <c r="AH1179" s="72"/>
      <c r="AI1179" s="8"/>
      <c r="AJ1179" s="251"/>
      <c r="AK1179" s="23"/>
      <c r="AL1179" s="75"/>
      <c r="AM1179" s="75" t="str">
        <f t="shared" si="141"/>
        <v/>
      </c>
      <c r="AN1179" s="75"/>
      <c r="AO1179" s="75"/>
      <c r="AP1179" s="75"/>
      <c r="AQ1179" s="75"/>
      <c r="AR1179" s="75"/>
      <c r="AS1179" s="75"/>
      <c r="AT1179" s="75"/>
    </row>
    <row r="1180" ht="22.5" customHeight="1">
      <c r="A1180" s="219"/>
      <c r="B1180" s="219"/>
      <c r="C1180" s="219"/>
      <c r="D1180" s="219"/>
      <c r="E1180" s="219"/>
      <c r="F1180" s="219"/>
      <c r="G1180" s="219"/>
      <c r="H1180" s="219"/>
      <c r="I1180" s="249"/>
      <c r="J1180" s="243"/>
      <c r="K1180" s="219"/>
      <c r="L1180" s="244"/>
      <c r="M1180" s="219"/>
      <c r="N1180" s="219"/>
      <c r="O1180" s="219"/>
      <c r="P1180" s="244"/>
      <c r="Q1180" s="219"/>
      <c r="R1180" s="302"/>
      <c r="S1180" s="219"/>
      <c r="T1180" s="219"/>
      <c r="U1180" s="219"/>
      <c r="V1180" s="303"/>
      <c r="W1180" s="247"/>
      <c r="X1180" s="245"/>
      <c r="Y1180" s="245"/>
      <c r="Z1180" s="245"/>
      <c r="AA1180" s="245"/>
      <c r="AB1180" s="245"/>
      <c r="AC1180" s="249"/>
      <c r="AD1180" s="249"/>
      <c r="AE1180" s="249"/>
      <c r="AF1180" s="8"/>
      <c r="AG1180" s="8"/>
      <c r="AH1180" s="72"/>
      <c r="AI1180" s="8"/>
      <c r="AJ1180" s="251"/>
      <c r="AK1180" s="23"/>
      <c r="AL1180" s="75"/>
      <c r="AM1180" s="75" t="str">
        <f t="shared" si="141"/>
        <v/>
      </c>
      <c r="AN1180" s="75"/>
      <c r="AO1180" s="75"/>
      <c r="AP1180" s="75"/>
      <c r="AQ1180" s="75"/>
      <c r="AR1180" s="75"/>
      <c r="AS1180" s="75"/>
      <c r="AT1180" s="75"/>
    </row>
    <row r="1181" ht="22.5" customHeight="1">
      <c r="A1181" s="219"/>
      <c r="B1181" s="219"/>
      <c r="C1181" s="219"/>
      <c r="D1181" s="219"/>
      <c r="E1181" s="219"/>
      <c r="F1181" s="219"/>
      <c r="G1181" s="219"/>
      <c r="H1181" s="219"/>
      <c r="I1181" s="249"/>
      <c r="J1181" s="243"/>
      <c r="K1181" s="219"/>
      <c r="L1181" s="244"/>
      <c r="M1181" s="219"/>
      <c r="N1181" s="219"/>
      <c r="O1181" s="219"/>
      <c r="P1181" s="244"/>
      <c r="Q1181" s="219"/>
      <c r="R1181" s="302"/>
      <c r="S1181" s="219"/>
      <c r="T1181" s="219"/>
      <c r="U1181" s="219"/>
      <c r="V1181" s="303"/>
      <c r="W1181" s="247"/>
      <c r="X1181" s="245"/>
      <c r="Y1181" s="245"/>
      <c r="Z1181" s="245"/>
      <c r="AA1181" s="245"/>
      <c r="AB1181" s="245"/>
      <c r="AC1181" s="249"/>
      <c r="AD1181" s="249"/>
      <c r="AE1181" s="249"/>
      <c r="AF1181" s="8"/>
      <c r="AG1181" s="8"/>
      <c r="AH1181" s="72"/>
      <c r="AI1181" s="8"/>
      <c r="AJ1181" s="251"/>
      <c r="AK1181" s="23"/>
      <c r="AL1181" s="75"/>
      <c r="AM1181" s="75" t="str">
        <f t="shared" si="141"/>
        <v/>
      </c>
      <c r="AN1181" s="75"/>
      <c r="AO1181" s="75"/>
      <c r="AP1181" s="75"/>
      <c r="AQ1181" s="75"/>
      <c r="AR1181" s="75"/>
      <c r="AS1181" s="75"/>
      <c r="AT1181" s="75"/>
    </row>
    <row r="1182" ht="22.5" customHeight="1">
      <c r="A1182" s="219"/>
      <c r="B1182" s="219"/>
      <c r="C1182" s="219"/>
      <c r="D1182" s="219"/>
      <c r="E1182" s="219"/>
      <c r="F1182" s="219"/>
      <c r="G1182" s="219"/>
      <c r="H1182" s="219"/>
      <c r="I1182" s="249"/>
      <c r="J1182" s="243"/>
      <c r="K1182" s="219"/>
      <c r="L1182" s="244"/>
      <c r="M1182" s="219"/>
      <c r="N1182" s="219"/>
      <c r="O1182" s="219"/>
      <c r="P1182" s="244"/>
      <c r="Q1182" s="219"/>
      <c r="R1182" s="302"/>
      <c r="S1182" s="219"/>
      <c r="T1182" s="219"/>
      <c r="U1182" s="219"/>
      <c r="V1182" s="303"/>
      <c r="W1182" s="247"/>
      <c r="X1182" s="245"/>
      <c r="Y1182" s="245"/>
      <c r="Z1182" s="245"/>
      <c r="AA1182" s="245"/>
      <c r="AB1182" s="245"/>
      <c r="AC1182" s="249"/>
      <c r="AD1182" s="249"/>
      <c r="AE1182" s="249"/>
      <c r="AF1182" s="8"/>
      <c r="AG1182" s="8"/>
      <c r="AH1182" s="72"/>
      <c r="AI1182" s="8"/>
      <c r="AJ1182" s="251"/>
      <c r="AK1182" s="23"/>
      <c r="AL1182" s="75"/>
      <c r="AM1182" s="75" t="str">
        <f t="shared" si="141"/>
        <v/>
      </c>
      <c r="AN1182" s="75"/>
      <c r="AO1182" s="75"/>
      <c r="AP1182" s="75"/>
      <c r="AQ1182" s="75"/>
      <c r="AR1182" s="75"/>
      <c r="AS1182" s="75"/>
      <c r="AT1182" s="75"/>
    </row>
    <row r="1183" ht="22.5" customHeight="1">
      <c r="A1183" s="219"/>
      <c r="B1183" s="219"/>
      <c r="C1183" s="219"/>
      <c r="D1183" s="219"/>
      <c r="E1183" s="219"/>
      <c r="F1183" s="219"/>
      <c r="G1183" s="219"/>
      <c r="H1183" s="219"/>
      <c r="I1183" s="249"/>
      <c r="J1183" s="243"/>
      <c r="K1183" s="219"/>
      <c r="L1183" s="244"/>
      <c r="M1183" s="219"/>
      <c r="N1183" s="219"/>
      <c r="O1183" s="219"/>
      <c r="P1183" s="244"/>
      <c r="Q1183" s="219"/>
      <c r="R1183" s="302"/>
      <c r="S1183" s="219"/>
      <c r="T1183" s="219"/>
      <c r="U1183" s="219"/>
      <c r="V1183" s="303"/>
      <c r="W1183" s="247"/>
      <c r="X1183" s="245"/>
      <c r="Y1183" s="245"/>
      <c r="Z1183" s="245"/>
      <c r="AA1183" s="245"/>
      <c r="AB1183" s="245"/>
      <c r="AC1183" s="249"/>
      <c r="AD1183" s="249"/>
      <c r="AE1183" s="249"/>
      <c r="AF1183" s="8"/>
      <c r="AG1183" s="8"/>
      <c r="AH1183" s="72"/>
      <c r="AI1183" s="8"/>
      <c r="AJ1183" s="251"/>
      <c r="AK1183" s="23"/>
      <c r="AL1183" s="75"/>
      <c r="AM1183" s="75" t="str">
        <f t="shared" si="141"/>
        <v/>
      </c>
      <c r="AN1183" s="75"/>
      <c r="AO1183" s="75"/>
      <c r="AP1183" s="75"/>
      <c r="AQ1183" s="75"/>
      <c r="AR1183" s="75"/>
      <c r="AS1183" s="75"/>
      <c r="AT1183" s="75"/>
    </row>
    <row r="1184" ht="22.5" customHeight="1">
      <c r="A1184" s="219"/>
      <c r="B1184" s="219"/>
      <c r="C1184" s="219"/>
      <c r="D1184" s="219"/>
      <c r="E1184" s="219"/>
      <c r="F1184" s="219"/>
      <c r="G1184" s="219"/>
      <c r="H1184" s="219"/>
      <c r="I1184" s="249"/>
      <c r="J1184" s="243"/>
      <c r="K1184" s="219"/>
      <c r="L1184" s="244"/>
      <c r="M1184" s="219"/>
      <c r="N1184" s="219"/>
      <c r="O1184" s="219"/>
      <c r="P1184" s="244"/>
      <c r="Q1184" s="219"/>
      <c r="R1184" s="302"/>
      <c r="S1184" s="219"/>
      <c r="T1184" s="219"/>
      <c r="U1184" s="219"/>
      <c r="V1184" s="303"/>
      <c r="W1184" s="247"/>
      <c r="X1184" s="245"/>
      <c r="Y1184" s="245"/>
      <c r="Z1184" s="245"/>
      <c r="AA1184" s="245"/>
      <c r="AB1184" s="245"/>
      <c r="AC1184" s="249"/>
      <c r="AD1184" s="249"/>
      <c r="AE1184" s="249"/>
      <c r="AF1184" s="8"/>
      <c r="AG1184" s="8"/>
      <c r="AH1184" s="72"/>
      <c r="AI1184" s="8"/>
      <c r="AJ1184" s="251"/>
      <c r="AK1184" s="23"/>
      <c r="AL1184" s="75"/>
      <c r="AM1184" s="75" t="str">
        <f t="shared" si="141"/>
        <v/>
      </c>
      <c r="AN1184" s="75"/>
      <c r="AO1184" s="75"/>
      <c r="AP1184" s="75"/>
      <c r="AQ1184" s="75"/>
      <c r="AR1184" s="75"/>
      <c r="AS1184" s="75"/>
      <c r="AT1184" s="75"/>
    </row>
    <row r="1185" ht="22.5" customHeight="1">
      <c r="A1185" s="219"/>
      <c r="B1185" s="219"/>
      <c r="C1185" s="219"/>
      <c r="D1185" s="219"/>
      <c r="E1185" s="219"/>
      <c r="F1185" s="219"/>
      <c r="G1185" s="219"/>
      <c r="H1185" s="219"/>
      <c r="I1185" s="249"/>
      <c r="J1185" s="243"/>
      <c r="K1185" s="219"/>
      <c r="L1185" s="244"/>
      <c r="M1185" s="219"/>
      <c r="N1185" s="219"/>
      <c r="O1185" s="219"/>
      <c r="P1185" s="244"/>
      <c r="Q1185" s="219"/>
      <c r="R1185" s="302"/>
      <c r="S1185" s="219"/>
      <c r="T1185" s="219"/>
      <c r="U1185" s="219"/>
      <c r="V1185" s="303"/>
      <c r="W1185" s="247"/>
      <c r="X1185" s="245"/>
      <c r="Y1185" s="245"/>
      <c r="Z1185" s="245"/>
      <c r="AA1185" s="245"/>
      <c r="AB1185" s="245"/>
      <c r="AC1185" s="249"/>
      <c r="AD1185" s="249"/>
      <c r="AE1185" s="249"/>
      <c r="AF1185" s="8"/>
      <c r="AG1185" s="8"/>
      <c r="AH1185" s="72"/>
      <c r="AI1185" s="8"/>
      <c r="AJ1185" s="251"/>
      <c r="AK1185" s="23"/>
      <c r="AL1185" s="75"/>
      <c r="AM1185" s="75" t="str">
        <f t="shared" si="141"/>
        <v/>
      </c>
      <c r="AN1185" s="75"/>
      <c r="AO1185" s="75"/>
      <c r="AP1185" s="75"/>
      <c r="AQ1185" s="75"/>
      <c r="AR1185" s="75"/>
      <c r="AS1185" s="75"/>
      <c r="AT1185" s="75"/>
    </row>
    <row r="1186" ht="22.5" customHeight="1">
      <c r="A1186" s="219"/>
      <c r="B1186" s="219"/>
      <c r="C1186" s="219"/>
      <c r="D1186" s="219"/>
      <c r="E1186" s="219"/>
      <c r="F1186" s="219"/>
      <c r="G1186" s="219"/>
      <c r="H1186" s="219"/>
      <c r="I1186" s="249"/>
      <c r="J1186" s="243"/>
      <c r="K1186" s="219"/>
      <c r="L1186" s="244"/>
      <c r="M1186" s="219"/>
      <c r="N1186" s="219"/>
      <c r="O1186" s="219"/>
      <c r="P1186" s="244"/>
      <c r="Q1186" s="219"/>
      <c r="R1186" s="302"/>
      <c r="S1186" s="219"/>
      <c r="T1186" s="219"/>
      <c r="U1186" s="219"/>
      <c r="V1186" s="303"/>
      <c r="W1186" s="247"/>
      <c r="X1186" s="245"/>
      <c r="Y1186" s="245"/>
      <c r="Z1186" s="245"/>
      <c r="AA1186" s="245"/>
      <c r="AB1186" s="245"/>
      <c r="AC1186" s="249"/>
      <c r="AD1186" s="249"/>
      <c r="AE1186" s="249"/>
      <c r="AF1186" s="8"/>
      <c r="AG1186" s="8"/>
      <c r="AH1186" s="72"/>
      <c r="AI1186" s="8"/>
      <c r="AJ1186" s="251"/>
      <c r="AK1186" s="23"/>
      <c r="AL1186" s="75"/>
      <c r="AM1186" s="75" t="str">
        <f t="shared" si="141"/>
        <v/>
      </c>
      <c r="AN1186" s="75"/>
      <c r="AO1186" s="75"/>
      <c r="AP1186" s="75"/>
      <c r="AQ1186" s="75"/>
      <c r="AR1186" s="75"/>
      <c r="AS1186" s="75"/>
      <c r="AT1186" s="75"/>
    </row>
    <row r="1187" ht="22.5" customHeight="1">
      <c r="A1187" s="219"/>
      <c r="B1187" s="219"/>
      <c r="C1187" s="219"/>
      <c r="D1187" s="219"/>
      <c r="E1187" s="219"/>
      <c r="F1187" s="219"/>
      <c r="G1187" s="219"/>
      <c r="H1187" s="219"/>
      <c r="I1187" s="249"/>
      <c r="J1187" s="243"/>
      <c r="K1187" s="219"/>
      <c r="L1187" s="244"/>
      <c r="M1187" s="219"/>
      <c r="N1187" s="219"/>
      <c r="O1187" s="219"/>
      <c r="P1187" s="244"/>
      <c r="Q1187" s="219"/>
      <c r="R1187" s="302"/>
      <c r="S1187" s="219"/>
      <c r="T1187" s="219"/>
      <c r="U1187" s="219"/>
      <c r="V1187" s="303"/>
      <c r="W1187" s="247"/>
      <c r="X1187" s="245"/>
      <c r="Y1187" s="245"/>
      <c r="Z1187" s="245"/>
      <c r="AA1187" s="245"/>
      <c r="AB1187" s="245"/>
      <c r="AC1187" s="249"/>
      <c r="AD1187" s="249"/>
      <c r="AE1187" s="249"/>
      <c r="AF1187" s="8"/>
      <c r="AG1187" s="8"/>
      <c r="AH1187" s="72"/>
      <c r="AI1187" s="8"/>
      <c r="AJ1187" s="251"/>
      <c r="AK1187" s="23"/>
      <c r="AL1187" s="75"/>
      <c r="AM1187" s="75" t="str">
        <f t="shared" si="141"/>
        <v/>
      </c>
      <c r="AN1187" s="75"/>
      <c r="AO1187" s="75"/>
      <c r="AP1187" s="75"/>
      <c r="AQ1187" s="75"/>
      <c r="AR1187" s="75"/>
      <c r="AS1187" s="75"/>
      <c r="AT1187" s="75"/>
    </row>
    <row r="1188" ht="22.5" customHeight="1">
      <c r="A1188" s="219"/>
      <c r="B1188" s="219"/>
      <c r="C1188" s="219"/>
      <c r="D1188" s="219"/>
      <c r="E1188" s="219"/>
      <c r="F1188" s="219"/>
      <c r="G1188" s="219"/>
      <c r="H1188" s="219"/>
      <c r="I1188" s="249"/>
      <c r="J1188" s="243"/>
      <c r="K1188" s="219"/>
      <c r="L1188" s="244"/>
      <c r="M1188" s="219"/>
      <c r="N1188" s="219"/>
      <c r="O1188" s="219"/>
      <c r="P1188" s="244"/>
      <c r="Q1188" s="219"/>
      <c r="R1188" s="302"/>
      <c r="S1188" s="219"/>
      <c r="T1188" s="219"/>
      <c r="U1188" s="219"/>
      <c r="V1188" s="303"/>
      <c r="W1188" s="247"/>
      <c r="X1188" s="245"/>
      <c r="Y1188" s="245"/>
      <c r="Z1188" s="245"/>
      <c r="AA1188" s="245"/>
      <c r="AB1188" s="245"/>
      <c r="AC1188" s="249"/>
      <c r="AD1188" s="249"/>
      <c r="AE1188" s="249"/>
      <c r="AF1188" s="8"/>
      <c r="AG1188" s="8"/>
      <c r="AH1188" s="72"/>
      <c r="AI1188" s="8"/>
      <c r="AJ1188" s="251"/>
      <c r="AK1188" s="23"/>
      <c r="AL1188" s="75"/>
      <c r="AM1188" s="75" t="str">
        <f t="shared" si="141"/>
        <v/>
      </c>
      <c r="AN1188" s="75"/>
      <c r="AO1188" s="75"/>
      <c r="AP1188" s="75"/>
      <c r="AQ1188" s="75"/>
      <c r="AR1188" s="75"/>
      <c r="AS1188" s="75"/>
      <c r="AT1188" s="75"/>
    </row>
    <row r="1189" ht="22.5" customHeight="1">
      <c r="A1189" s="219"/>
      <c r="B1189" s="219"/>
      <c r="C1189" s="219"/>
      <c r="D1189" s="219"/>
      <c r="E1189" s="219"/>
      <c r="F1189" s="219"/>
      <c r="G1189" s="219"/>
      <c r="H1189" s="219"/>
      <c r="I1189" s="249"/>
      <c r="J1189" s="243"/>
      <c r="K1189" s="219"/>
      <c r="L1189" s="244"/>
      <c r="M1189" s="219"/>
      <c r="N1189" s="219"/>
      <c r="O1189" s="219"/>
      <c r="P1189" s="244"/>
      <c r="Q1189" s="219"/>
      <c r="R1189" s="302"/>
      <c r="S1189" s="219"/>
      <c r="T1189" s="219"/>
      <c r="U1189" s="219"/>
      <c r="V1189" s="303"/>
      <c r="W1189" s="247"/>
      <c r="X1189" s="245"/>
      <c r="Y1189" s="245"/>
      <c r="Z1189" s="245"/>
      <c r="AA1189" s="245"/>
      <c r="AB1189" s="245"/>
      <c r="AC1189" s="249"/>
      <c r="AD1189" s="249"/>
      <c r="AE1189" s="249"/>
      <c r="AF1189" s="8"/>
      <c r="AG1189" s="8"/>
      <c r="AH1189" s="72"/>
      <c r="AI1189" s="8"/>
      <c r="AJ1189" s="251"/>
      <c r="AK1189" s="23"/>
      <c r="AL1189" s="75"/>
      <c r="AM1189" s="75" t="str">
        <f t="shared" si="141"/>
        <v/>
      </c>
      <c r="AN1189" s="75"/>
      <c r="AO1189" s="75"/>
      <c r="AP1189" s="75"/>
      <c r="AQ1189" s="75"/>
      <c r="AR1189" s="75"/>
      <c r="AS1189" s="75"/>
      <c r="AT1189" s="75"/>
    </row>
    <row r="1190" ht="22.5" customHeight="1">
      <c r="A1190" s="219"/>
      <c r="B1190" s="219"/>
      <c r="C1190" s="219"/>
      <c r="D1190" s="219"/>
      <c r="E1190" s="219"/>
      <c r="F1190" s="219"/>
      <c r="G1190" s="219"/>
      <c r="H1190" s="219"/>
      <c r="I1190" s="249"/>
      <c r="J1190" s="243"/>
      <c r="K1190" s="219"/>
      <c r="L1190" s="244"/>
      <c r="M1190" s="219"/>
      <c r="N1190" s="219"/>
      <c r="O1190" s="219"/>
      <c r="P1190" s="244"/>
      <c r="Q1190" s="219"/>
      <c r="R1190" s="302"/>
      <c r="S1190" s="219"/>
      <c r="T1190" s="219"/>
      <c r="U1190" s="219"/>
      <c r="V1190" s="303"/>
      <c r="W1190" s="247"/>
      <c r="X1190" s="245"/>
      <c r="Y1190" s="245"/>
      <c r="Z1190" s="245"/>
      <c r="AA1190" s="245"/>
      <c r="AB1190" s="245"/>
      <c r="AC1190" s="249"/>
      <c r="AD1190" s="249"/>
      <c r="AE1190" s="249"/>
      <c r="AF1190" s="8"/>
      <c r="AG1190" s="8"/>
      <c r="AH1190" s="72"/>
      <c r="AI1190" s="8"/>
      <c r="AJ1190" s="251"/>
      <c r="AK1190" s="23"/>
      <c r="AL1190" s="75"/>
      <c r="AM1190" s="75" t="str">
        <f t="shared" si="141"/>
        <v/>
      </c>
      <c r="AN1190" s="75"/>
      <c r="AO1190" s="75"/>
      <c r="AP1190" s="75"/>
      <c r="AQ1190" s="75"/>
      <c r="AR1190" s="75"/>
      <c r="AS1190" s="75"/>
      <c r="AT1190" s="75"/>
    </row>
    <row r="1191" ht="22.5" customHeight="1">
      <c r="A1191" s="219"/>
      <c r="B1191" s="219"/>
      <c r="C1191" s="219"/>
      <c r="D1191" s="219"/>
      <c r="E1191" s="219"/>
      <c r="F1191" s="219"/>
      <c r="G1191" s="219"/>
      <c r="H1191" s="219"/>
      <c r="I1191" s="249"/>
      <c r="J1191" s="243"/>
      <c r="K1191" s="219"/>
      <c r="L1191" s="244"/>
      <c r="M1191" s="219"/>
      <c r="N1191" s="219"/>
      <c r="O1191" s="219"/>
      <c r="P1191" s="244"/>
      <c r="Q1191" s="219"/>
      <c r="R1191" s="302"/>
      <c r="S1191" s="219"/>
      <c r="T1191" s="219"/>
      <c r="U1191" s="219"/>
      <c r="V1191" s="303"/>
      <c r="W1191" s="247"/>
      <c r="X1191" s="245"/>
      <c r="Y1191" s="245"/>
      <c r="Z1191" s="245"/>
      <c r="AA1191" s="245"/>
      <c r="AB1191" s="245"/>
      <c r="AC1191" s="249"/>
      <c r="AD1191" s="249"/>
      <c r="AE1191" s="249"/>
      <c r="AF1191" s="8"/>
      <c r="AG1191" s="8"/>
      <c r="AH1191" s="72"/>
      <c r="AI1191" s="8"/>
      <c r="AJ1191" s="251"/>
      <c r="AK1191" s="23"/>
      <c r="AL1191" s="75"/>
      <c r="AM1191" s="75" t="str">
        <f t="shared" si="141"/>
        <v/>
      </c>
      <c r="AN1191" s="75"/>
      <c r="AO1191" s="75"/>
      <c r="AP1191" s="75"/>
      <c r="AQ1191" s="75"/>
      <c r="AR1191" s="75"/>
      <c r="AS1191" s="75"/>
      <c r="AT1191" s="75"/>
    </row>
    <row r="1192" ht="22.5" customHeight="1">
      <c r="A1192" s="219"/>
      <c r="B1192" s="219"/>
      <c r="C1192" s="219"/>
      <c r="D1192" s="219"/>
      <c r="E1192" s="219"/>
      <c r="F1192" s="219"/>
      <c r="G1192" s="219"/>
      <c r="H1192" s="219"/>
      <c r="I1192" s="249"/>
      <c r="J1192" s="243"/>
      <c r="K1192" s="219"/>
      <c r="L1192" s="244"/>
      <c r="M1192" s="219"/>
      <c r="N1192" s="219"/>
      <c r="O1192" s="219"/>
      <c r="P1192" s="244"/>
      <c r="Q1192" s="219"/>
      <c r="R1192" s="302"/>
      <c r="S1192" s="219"/>
      <c r="T1192" s="219"/>
      <c r="U1192" s="219"/>
      <c r="V1192" s="303"/>
      <c r="W1192" s="247"/>
      <c r="X1192" s="245"/>
      <c r="Y1192" s="245"/>
      <c r="Z1192" s="245"/>
      <c r="AA1192" s="245"/>
      <c r="AB1192" s="245"/>
      <c r="AC1192" s="249"/>
      <c r="AD1192" s="249"/>
      <c r="AE1192" s="249"/>
      <c r="AF1192" s="8"/>
      <c r="AG1192" s="8"/>
      <c r="AH1192" s="72"/>
      <c r="AI1192" s="8"/>
      <c r="AJ1192" s="251"/>
      <c r="AK1192" s="23"/>
      <c r="AL1192" s="75"/>
      <c r="AM1192" s="75" t="str">
        <f t="shared" si="141"/>
        <v/>
      </c>
      <c r="AN1192" s="75"/>
      <c r="AO1192" s="75"/>
      <c r="AP1192" s="75"/>
      <c r="AQ1192" s="75"/>
      <c r="AR1192" s="75"/>
      <c r="AS1192" s="75"/>
      <c r="AT1192" s="75"/>
    </row>
    <row r="1193" ht="22.5" customHeight="1">
      <c r="A1193" s="219"/>
      <c r="B1193" s="219"/>
      <c r="C1193" s="219"/>
      <c r="D1193" s="219"/>
      <c r="E1193" s="219"/>
      <c r="F1193" s="219"/>
      <c r="G1193" s="219"/>
      <c r="H1193" s="219"/>
      <c r="I1193" s="249"/>
      <c r="J1193" s="243"/>
      <c r="K1193" s="219"/>
      <c r="L1193" s="244"/>
      <c r="M1193" s="219"/>
      <c r="N1193" s="219"/>
      <c r="O1193" s="219"/>
      <c r="P1193" s="244"/>
      <c r="Q1193" s="219"/>
      <c r="R1193" s="302"/>
      <c r="S1193" s="219"/>
      <c r="T1193" s="219"/>
      <c r="U1193" s="219"/>
      <c r="V1193" s="303"/>
      <c r="W1193" s="247"/>
      <c r="X1193" s="245"/>
      <c r="Y1193" s="245"/>
      <c r="Z1193" s="245"/>
      <c r="AA1193" s="245"/>
      <c r="AB1193" s="245"/>
      <c r="AC1193" s="249"/>
      <c r="AD1193" s="249"/>
      <c r="AE1193" s="249"/>
      <c r="AF1193" s="8"/>
      <c r="AG1193" s="8"/>
      <c r="AH1193" s="72"/>
      <c r="AI1193" s="8"/>
      <c r="AJ1193" s="251"/>
      <c r="AK1193" s="23"/>
      <c r="AL1193" s="75"/>
      <c r="AM1193" s="75" t="str">
        <f t="shared" si="141"/>
        <v/>
      </c>
      <c r="AN1193" s="75"/>
      <c r="AO1193" s="75"/>
      <c r="AP1193" s="75"/>
      <c r="AQ1193" s="75"/>
      <c r="AR1193" s="75"/>
      <c r="AS1193" s="75"/>
      <c r="AT1193" s="75"/>
    </row>
    <row r="1194" ht="22.5" customHeight="1">
      <c r="A1194" s="219"/>
      <c r="B1194" s="219"/>
      <c r="C1194" s="219"/>
      <c r="D1194" s="219"/>
      <c r="E1194" s="219"/>
      <c r="F1194" s="219"/>
      <c r="G1194" s="219"/>
      <c r="H1194" s="219"/>
      <c r="I1194" s="249"/>
      <c r="J1194" s="243"/>
      <c r="K1194" s="219"/>
      <c r="L1194" s="244"/>
      <c r="M1194" s="219"/>
      <c r="N1194" s="219"/>
      <c r="O1194" s="219"/>
      <c r="P1194" s="244"/>
      <c r="Q1194" s="219"/>
      <c r="R1194" s="302"/>
      <c r="S1194" s="219"/>
      <c r="T1194" s="219"/>
      <c r="U1194" s="219"/>
      <c r="V1194" s="303"/>
      <c r="W1194" s="247"/>
      <c r="X1194" s="245"/>
      <c r="Y1194" s="245"/>
      <c r="Z1194" s="245"/>
      <c r="AA1194" s="245"/>
      <c r="AB1194" s="245"/>
      <c r="AC1194" s="249"/>
      <c r="AD1194" s="249"/>
      <c r="AE1194" s="249"/>
      <c r="AF1194" s="8"/>
      <c r="AG1194" s="8"/>
      <c r="AH1194" s="72"/>
      <c r="AI1194" s="8"/>
      <c r="AJ1194" s="251"/>
      <c r="AK1194" s="23"/>
      <c r="AL1194" s="75"/>
      <c r="AM1194" s="75" t="str">
        <f t="shared" si="141"/>
        <v/>
      </c>
      <c r="AN1194" s="75"/>
      <c r="AO1194" s="75"/>
      <c r="AP1194" s="75"/>
      <c r="AQ1194" s="75"/>
      <c r="AR1194" s="75"/>
      <c r="AS1194" s="75"/>
      <c r="AT1194" s="75"/>
    </row>
    <row r="1195" ht="22.5" customHeight="1">
      <c r="A1195" s="219"/>
      <c r="B1195" s="219"/>
      <c r="C1195" s="219"/>
      <c r="D1195" s="219"/>
      <c r="E1195" s="219"/>
      <c r="F1195" s="219"/>
      <c r="G1195" s="219"/>
      <c r="H1195" s="219"/>
      <c r="I1195" s="249"/>
      <c r="J1195" s="243"/>
      <c r="K1195" s="219"/>
      <c r="L1195" s="244"/>
      <c r="M1195" s="219"/>
      <c r="N1195" s="219"/>
      <c r="O1195" s="219"/>
      <c r="P1195" s="244"/>
      <c r="Q1195" s="219"/>
      <c r="R1195" s="302"/>
      <c r="S1195" s="219"/>
      <c r="T1195" s="219"/>
      <c r="U1195" s="219"/>
      <c r="V1195" s="303"/>
      <c r="W1195" s="247"/>
      <c r="X1195" s="245"/>
      <c r="Y1195" s="245"/>
      <c r="Z1195" s="245"/>
      <c r="AA1195" s="245"/>
      <c r="AB1195" s="245"/>
      <c r="AC1195" s="249"/>
      <c r="AD1195" s="249"/>
      <c r="AE1195" s="249"/>
      <c r="AF1195" s="8"/>
      <c r="AG1195" s="8"/>
      <c r="AH1195" s="72"/>
      <c r="AI1195" s="8"/>
      <c r="AJ1195" s="251"/>
      <c r="AK1195" s="23"/>
      <c r="AL1195" s="75"/>
      <c r="AM1195" s="75" t="str">
        <f t="shared" si="141"/>
        <v/>
      </c>
      <c r="AN1195" s="75"/>
      <c r="AO1195" s="75"/>
      <c r="AP1195" s="75"/>
      <c r="AQ1195" s="75"/>
      <c r="AR1195" s="75"/>
      <c r="AS1195" s="75"/>
      <c r="AT1195" s="75"/>
    </row>
    <row r="1196" ht="22.5" customHeight="1">
      <c r="A1196" s="219"/>
      <c r="B1196" s="219"/>
      <c r="C1196" s="219"/>
      <c r="D1196" s="219"/>
      <c r="E1196" s="219"/>
      <c r="F1196" s="219"/>
      <c r="G1196" s="219"/>
      <c r="H1196" s="219"/>
      <c r="I1196" s="249"/>
      <c r="J1196" s="243"/>
      <c r="K1196" s="219"/>
      <c r="L1196" s="244"/>
      <c r="M1196" s="219"/>
      <c r="N1196" s="219"/>
      <c r="O1196" s="219"/>
      <c r="P1196" s="244"/>
      <c r="Q1196" s="219"/>
      <c r="R1196" s="302"/>
      <c r="S1196" s="219"/>
      <c r="T1196" s="219"/>
      <c r="U1196" s="219"/>
      <c r="V1196" s="303"/>
      <c r="W1196" s="247"/>
      <c r="X1196" s="245"/>
      <c r="Y1196" s="245"/>
      <c r="Z1196" s="245"/>
      <c r="AA1196" s="245"/>
      <c r="AB1196" s="245"/>
      <c r="AC1196" s="249"/>
      <c r="AD1196" s="249"/>
      <c r="AE1196" s="249"/>
      <c r="AF1196" s="8"/>
      <c r="AG1196" s="8"/>
      <c r="AH1196" s="72"/>
      <c r="AI1196" s="8"/>
      <c r="AJ1196" s="251"/>
      <c r="AK1196" s="23"/>
      <c r="AL1196" s="75"/>
      <c r="AM1196" s="75" t="str">
        <f t="shared" si="141"/>
        <v/>
      </c>
      <c r="AN1196" s="75"/>
      <c r="AO1196" s="75"/>
      <c r="AP1196" s="75"/>
      <c r="AQ1196" s="75"/>
      <c r="AR1196" s="75"/>
      <c r="AS1196" s="75"/>
      <c r="AT1196" s="75"/>
    </row>
    <row r="1197" ht="22.5" customHeight="1">
      <c r="A1197" s="219"/>
      <c r="B1197" s="219"/>
      <c r="C1197" s="219"/>
      <c r="D1197" s="219"/>
      <c r="E1197" s="219"/>
      <c r="F1197" s="219"/>
      <c r="G1197" s="219"/>
      <c r="H1197" s="219"/>
      <c r="I1197" s="249"/>
      <c r="J1197" s="243"/>
      <c r="K1197" s="219"/>
      <c r="L1197" s="244"/>
      <c r="M1197" s="219"/>
      <c r="N1197" s="219"/>
      <c r="O1197" s="219"/>
      <c r="P1197" s="244"/>
      <c r="Q1197" s="219"/>
      <c r="R1197" s="302"/>
      <c r="S1197" s="219"/>
      <c r="T1197" s="219"/>
      <c r="U1197" s="219"/>
      <c r="V1197" s="303"/>
      <c r="W1197" s="247"/>
      <c r="X1197" s="245"/>
      <c r="Y1197" s="245"/>
      <c r="Z1197" s="245"/>
      <c r="AA1197" s="245"/>
      <c r="AB1197" s="245"/>
      <c r="AC1197" s="249"/>
      <c r="AD1197" s="249"/>
      <c r="AE1197" s="249"/>
      <c r="AF1197" s="8"/>
      <c r="AG1197" s="8"/>
      <c r="AH1197" s="72"/>
      <c r="AI1197" s="8"/>
      <c r="AJ1197" s="251"/>
      <c r="AK1197" s="23"/>
      <c r="AL1197" s="75"/>
      <c r="AM1197" s="75" t="str">
        <f t="shared" si="141"/>
        <v/>
      </c>
      <c r="AN1197" s="75"/>
      <c r="AO1197" s="75"/>
      <c r="AP1197" s="75"/>
      <c r="AQ1197" s="75"/>
      <c r="AR1197" s="75"/>
      <c r="AS1197" s="75"/>
      <c r="AT1197" s="75"/>
    </row>
    <row r="1198" ht="22.5" customHeight="1">
      <c r="A1198" s="219"/>
      <c r="B1198" s="219"/>
      <c r="C1198" s="219"/>
      <c r="D1198" s="219"/>
      <c r="E1198" s="219"/>
      <c r="F1198" s="219"/>
      <c r="G1198" s="219"/>
      <c r="H1198" s="219"/>
      <c r="I1198" s="249"/>
      <c r="J1198" s="243"/>
      <c r="K1198" s="219"/>
      <c r="L1198" s="244"/>
      <c r="M1198" s="219"/>
      <c r="N1198" s="219"/>
      <c r="O1198" s="219"/>
      <c r="P1198" s="244"/>
      <c r="Q1198" s="219"/>
      <c r="R1198" s="302"/>
      <c r="S1198" s="219"/>
      <c r="T1198" s="219"/>
      <c r="U1198" s="219"/>
      <c r="V1198" s="303"/>
      <c r="W1198" s="247"/>
      <c r="X1198" s="245"/>
      <c r="Y1198" s="245"/>
      <c r="Z1198" s="245"/>
      <c r="AA1198" s="245"/>
      <c r="AB1198" s="245"/>
      <c r="AC1198" s="249"/>
      <c r="AD1198" s="249"/>
      <c r="AE1198" s="249"/>
      <c r="AF1198" s="8"/>
      <c r="AG1198" s="8"/>
      <c r="AH1198" s="72"/>
      <c r="AI1198" s="8"/>
      <c r="AJ1198" s="251"/>
      <c r="AK1198" s="23"/>
      <c r="AL1198" s="75"/>
      <c r="AM1198" s="75" t="str">
        <f t="shared" si="141"/>
        <v/>
      </c>
      <c r="AN1198" s="75"/>
      <c r="AO1198" s="75"/>
      <c r="AP1198" s="75"/>
      <c r="AQ1198" s="75"/>
      <c r="AR1198" s="75"/>
      <c r="AS1198" s="75"/>
      <c r="AT1198" s="75"/>
    </row>
    <row r="1199" ht="22.5" customHeight="1">
      <c r="A1199" s="219"/>
      <c r="B1199" s="219"/>
      <c r="C1199" s="219"/>
      <c r="D1199" s="219"/>
      <c r="E1199" s="219"/>
      <c r="F1199" s="219"/>
      <c r="G1199" s="219"/>
      <c r="H1199" s="219"/>
      <c r="I1199" s="249"/>
      <c r="J1199" s="243"/>
      <c r="K1199" s="219"/>
      <c r="L1199" s="244"/>
      <c r="M1199" s="219"/>
      <c r="N1199" s="219"/>
      <c r="O1199" s="219"/>
      <c r="P1199" s="244"/>
      <c r="Q1199" s="219"/>
      <c r="R1199" s="302"/>
      <c r="S1199" s="219"/>
      <c r="T1199" s="219"/>
      <c r="U1199" s="219"/>
      <c r="V1199" s="303"/>
      <c r="W1199" s="247"/>
      <c r="X1199" s="245"/>
      <c r="Y1199" s="245"/>
      <c r="Z1199" s="245"/>
      <c r="AA1199" s="245"/>
      <c r="AB1199" s="245"/>
      <c r="AC1199" s="249"/>
      <c r="AD1199" s="249"/>
      <c r="AE1199" s="249"/>
      <c r="AF1199" s="8"/>
      <c r="AG1199" s="8"/>
      <c r="AH1199" s="72"/>
      <c r="AI1199" s="8"/>
      <c r="AJ1199" s="251"/>
      <c r="AK1199" s="23"/>
      <c r="AL1199" s="75"/>
      <c r="AM1199" s="75" t="str">
        <f t="shared" si="141"/>
        <v/>
      </c>
      <c r="AN1199" s="75"/>
      <c r="AO1199" s="75"/>
      <c r="AP1199" s="75"/>
      <c r="AQ1199" s="75"/>
      <c r="AR1199" s="75"/>
      <c r="AS1199" s="75"/>
      <c r="AT1199" s="75"/>
    </row>
    <row r="1200" ht="22.5" customHeight="1">
      <c r="A1200" s="219"/>
      <c r="B1200" s="219"/>
      <c r="C1200" s="219"/>
      <c r="D1200" s="219"/>
      <c r="E1200" s="219"/>
      <c r="F1200" s="219"/>
      <c r="G1200" s="219"/>
      <c r="H1200" s="219"/>
      <c r="I1200" s="249"/>
      <c r="J1200" s="243"/>
      <c r="K1200" s="219"/>
      <c r="L1200" s="244"/>
      <c r="M1200" s="219"/>
      <c r="N1200" s="219"/>
      <c r="O1200" s="219"/>
      <c r="P1200" s="244"/>
      <c r="Q1200" s="219"/>
      <c r="R1200" s="302"/>
      <c r="S1200" s="219"/>
      <c r="T1200" s="219"/>
      <c r="U1200" s="219"/>
      <c r="V1200" s="303"/>
      <c r="W1200" s="247"/>
      <c r="X1200" s="245"/>
      <c r="Y1200" s="245"/>
      <c r="Z1200" s="245"/>
      <c r="AA1200" s="245"/>
      <c r="AB1200" s="245"/>
      <c r="AC1200" s="249"/>
      <c r="AD1200" s="249"/>
      <c r="AE1200" s="249"/>
      <c r="AF1200" s="8"/>
      <c r="AG1200" s="8"/>
      <c r="AH1200" s="72"/>
      <c r="AI1200" s="8"/>
      <c r="AJ1200" s="251"/>
      <c r="AK1200" s="23"/>
      <c r="AL1200" s="75"/>
      <c r="AM1200" s="75" t="str">
        <f t="shared" si="141"/>
        <v/>
      </c>
      <c r="AN1200" s="75"/>
      <c r="AO1200" s="75"/>
      <c r="AP1200" s="75"/>
      <c r="AQ1200" s="75"/>
      <c r="AR1200" s="75"/>
      <c r="AS1200" s="75"/>
      <c r="AT1200" s="75"/>
    </row>
    <row r="1201" ht="22.5" customHeight="1">
      <c r="A1201" s="219"/>
      <c r="B1201" s="219"/>
      <c r="C1201" s="219"/>
      <c r="D1201" s="219"/>
      <c r="E1201" s="219"/>
      <c r="F1201" s="219"/>
      <c r="G1201" s="219"/>
      <c r="H1201" s="219"/>
      <c r="I1201" s="249"/>
      <c r="J1201" s="243"/>
      <c r="K1201" s="219"/>
      <c r="L1201" s="244"/>
      <c r="M1201" s="219"/>
      <c r="N1201" s="219"/>
      <c r="O1201" s="219"/>
      <c r="P1201" s="244"/>
      <c r="Q1201" s="219"/>
      <c r="R1201" s="302"/>
      <c r="S1201" s="219"/>
      <c r="T1201" s="219"/>
      <c r="U1201" s="219"/>
      <c r="V1201" s="303"/>
      <c r="W1201" s="247"/>
      <c r="X1201" s="245"/>
      <c r="Y1201" s="245"/>
      <c r="Z1201" s="245"/>
      <c r="AA1201" s="245"/>
      <c r="AB1201" s="245"/>
      <c r="AC1201" s="249"/>
      <c r="AD1201" s="249"/>
      <c r="AE1201" s="249"/>
      <c r="AF1201" s="8"/>
      <c r="AG1201" s="8"/>
      <c r="AH1201" s="72"/>
      <c r="AI1201" s="8"/>
      <c r="AJ1201" s="251"/>
      <c r="AK1201" s="23"/>
      <c r="AL1201" s="75"/>
      <c r="AM1201" s="75" t="str">
        <f t="shared" si="141"/>
        <v/>
      </c>
      <c r="AN1201" s="75"/>
      <c r="AO1201" s="75"/>
      <c r="AP1201" s="75"/>
      <c r="AQ1201" s="75"/>
      <c r="AR1201" s="75"/>
      <c r="AS1201" s="75"/>
      <c r="AT1201" s="75"/>
    </row>
    <row r="1202" ht="22.5" customHeight="1">
      <c r="A1202" s="219"/>
      <c r="B1202" s="219"/>
      <c r="C1202" s="219"/>
      <c r="D1202" s="219"/>
      <c r="E1202" s="219"/>
      <c r="F1202" s="219"/>
      <c r="G1202" s="219"/>
      <c r="H1202" s="219"/>
      <c r="I1202" s="249"/>
      <c r="J1202" s="243"/>
      <c r="K1202" s="219"/>
      <c r="L1202" s="244"/>
      <c r="M1202" s="219"/>
      <c r="N1202" s="219"/>
      <c r="O1202" s="219"/>
      <c r="P1202" s="244"/>
      <c r="Q1202" s="219"/>
      <c r="R1202" s="302"/>
      <c r="S1202" s="219"/>
      <c r="T1202" s="219"/>
      <c r="U1202" s="219"/>
      <c r="V1202" s="303"/>
      <c r="W1202" s="247"/>
      <c r="X1202" s="245"/>
      <c r="Y1202" s="245"/>
      <c r="Z1202" s="245"/>
      <c r="AA1202" s="245"/>
      <c r="AB1202" s="245"/>
      <c r="AC1202" s="249"/>
      <c r="AD1202" s="249"/>
      <c r="AE1202" s="249"/>
      <c r="AF1202" s="8"/>
      <c r="AG1202" s="8"/>
      <c r="AH1202" s="72"/>
      <c r="AI1202" s="8"/>
      <c r="AJ1202" s="251"/>
      <c r="AK1202" s="23"/>
      <c r="AL1202" s="75"/>
      <c r="AM1202" s="75" t="str">
        <f t="shared" si="141"/>
        <v/>
      </c>
      <c r="AN1202" s="75"/>
      <c r="AO1202" s="75"/>
      <c r="AP1202" s="75"/>
      <c r="AQ1202" s="75"/>
      <c r="AR1202" s="75"/>
      <c r="AS1202" s="75"/>
      <c r="AT1202" s="75"/>
    </row>
    <row r="1203" ht="22.5" customHeight="1">
      <c r="A1203" s="219"/>
      <c r="B1203" s="219"/>
      <c r="C1203" s="219"/>
      <c r="D1203" s="219"/>
      <c r="E1203" s="219"/>
      <c r="F1203" s="219"/>
      <c r="G1203" s="219"/>
      <c r="H1203" s="219"/>
      <c r="I1203" s="249"/>
      <c r="J1203" s="243"/>
      <c r="K1203" s="219"/>
      <c r="L1203" s="244"/>
      <c r="M1203" s="219"/>
      <c r="N1203" s="219"/>
      <c r="O1203" s="219"/>
      <c r="P1203" s="244"/>
      <c r="Q1203" s="219"/>
      <c r="R1203" s="302"/>
      <c r="S1203" s="219"/>
      <c r="T1203" s="219"/>
      <c r="U1203" s="219"/>
      <c r="V1203" s="303"/>
      <c r="W1203" s="247"/>
      <c r="X1203" s="245"/>
      <c r="Y1203" s="245"/>
      <c r="Z1203" s="245"/>
      <c r="AA1203" s="245"/>
      <c r="AB1203" s="245"/>
      <c r="AC1203" s="249"/>
      <c r="AD1203" s="249"/>
      <c r="AE1203" s="249"/>
      <c r="AF1203" s="8"/>
      <c r="AG1203" s="8"/>
      <c r="AH1203" s="72"/>
      <c r="AI1203" s="8"/>
      <c r="AJ1203" s="251"/>
      <c r="AK1203" s="23"/>
      <c r="AL1203" s="75"/>
      <c r="AM1203" s="75" t="str">
        <f t="shared" si="141"/>
        <v/>
      </c>
      <c r="AN1203" s="75"/>
      <c r="AO1203" s="75"/>
      <c r="AP1203" s="75"/>
      <c r="AQ1203" s="75"/>
      <c r="AR1203" s="75"/>
      <c r="AS1203" s="75"/>
      <c r="AT1203" s="75"/>
    </row>
    <row r="1204" ht="22.5" customHeight="1">
      <c r="A1204" s="219"/>
      <c r="B1204" s="219"/>
      <c r="C1204" s="219"/>
      <c r="D1204" s="219"/>
      <c r="E1204" s="219"/>
      <c r="F1204" s="219"/>
      <c r="G1204" s="219"/>
      <c r="H1204" s="219"/>
      <c r="I1204" s="249"/>
      <c r="J1204" s="243"/>
      <c r="K1204" s="219"/>
      <c r="L1204" s="244"/>
      <c r="M1204" s="219"/>
      <c r="N1204" s="219"/>
      <c r="O1204" s="219"/>
      <c r="P1204" s="244"/>
      <c r="Q1204" s="219"/>
      <c r="R1204" s="302"/>
      <c r="S1204" s="219"/>
      <c r="T1204" s="219"/>
      <c r="U1204" s="219"/>
      <c r="V1204" s="303"/>
      <c r="W1204" s="247"/>
      <c r="X1204" s="245"/>
      <c r="Y1204" s="245"/>
      <c r="Z1204" s="245"/>
      <c r="AA1204" s="245"/>
      <c r="AB1204" s="245"/>
      <c r="AC1204" s="249"/>
      <c r="AD1204" s="249"/>
      <c r="AE1204" s="249"/>
      <c r="AF1204" s="8"/>
      <c r="AG1204" s="8"/>
      <c r="AH1204" s="72"/>
      <c r="AI1204" s="8"/>
      <c r="AJ1204" s="251"/>
      <c r="AK1204" s="23"/>
      <c r="AL1204" s="75"/>
      <c r="AM1204" s="75" t="str">
        <f t="shared" si="141"/>
        <v/>
      </c>
      <c r="AN1204" s="75"/>
      <c r="AO1204" s="75"/>
      <c r="AP1204" s="75"/>
      <c r="AQ1204" s="75"/>
      <c r="AR1204" s="75"/>
      <c r="AS1204" s="75"/>
      <c r="AT1204" s="75"/>
    </row>
    <row r="1205" ht="22.5" customHeight="1">
      <c r="A1205" s="219"/>
      <c r="B1205" s="219"/>
      <c r="C1205" s="219"/>
      <c r="D1205" s="219"/>
      <c r="E1205" s="219"/>
      <c r="F1205" s="219"/>
      <c r="G1205" s="219"/>
      <c r="H1205" s="219"/>
      <c r="I1205" s="249"/>
      <c r="J1205" s="243"/>
      <c r="K1205" s="219"/>
      <c r="L1205" s="244"/>
      <c r="M1205" s="219"/>
      <c r="N1205" s="219"/>
      <c r="O1205" s="219"/>
      <c r="P1205" s="244"/>
      <c r="Q1205" s="219"/>
      <c r="R1205" s="302"/>
      <c r="S1205" s="219"/>
      <c r="T1205" s="219"/>
      <c r="U1205" s="219"/>
      <c r="V1205" s="303"/>
      <c r="W1205" s="247"/>
      <c r="X1205" s="245"/>
      <c r="Y1205" s="245"/>
      <c r="Z1205" s="245"/>
      <c r="AA1205" s="245"/>
      <c r="AB1205" s="245"/>
      <c r="AC1205" s="249"/>
      <c r="AD1205" s="249"/>
      <c r="AE1205" s="249"/>
      <c r="AF1205" s="8"/>
      <c r="AG1205" s="8"/>
      <c r="AH1205" s="72"/>
      <c r="AI1205" s="8"/>
      <c r="AJ1205" s="251"/>
      <c r="AK1205" s="23"/>
      <c r="AL1205" s="75"/>
      <c r="AM1205" s="75" t="str">
        <f t="shared" si="141"/>
        <v/>
      </c>
      <c r="AN1205" s="75"/>
      <c r="AO1205" s="75"/>
      <c r="AP1205" s="75"/>
      <c r="AQ1205" s="75"/>
      <c r="AR1205" s="75"/>
      <c r="AS1205" s="75"/>
      <c r="AT1205" s="75"/>
    </row>
    <row r="1206" ht="22.5" customHeight="1">
      <c r="A1206" s="219"/>
      <c r="B1206" s="219"/>
      <c r="C1206" s="219"/>
      <c r="D1206" s="219"/>
      <c r="E1206" s="219"/>
      <c r="F1206" s="219"/>
      <c r="G1206" s="219"/>
      <c r="H1206" s="219"/>
      <c r="I1206" s="249"/>
      <c r="J1206" s="243"/>
      <c r="K1206" s="219"/>
      <c r="L1206" s="244"/>
      <c r="M1206" s="219"/>
      <c r="N1206" s="219"/>
      <c r="O1206" s="219"/>
      <c r="P1206" s="244"/>
      <c r="Q1206" s="219"/>
      <c r="R1206" s="302"/>
      <c r="S1206" s="219"/>
      <c r="T1206" s="219"/>
      <c r="U1206" s="219"/>
      <c r="V1206" s="303"/>
      <c r="W1206" s="247"/>
      <c r="X1206" s="245"/>
      <c r="Y1206" s="245"/>
      <c r="Z1206" s="245"/>
      <c r="AA1206" s="245"/>
      <c r="AB1206" s="245"/>
      <c r="AC1206" s="249"/>
      <c r="AD1206" s="249"/>
      <c r="AE1206" s="249"/>
      <c r="AF1206" s="8"/>
      <c r="AG1206" s="8"/>
      <c r="AH1206" s="72"/>
      <c r="AI1206" s="8"/>
      <c r="AJ1206" s="251"/>
      <c r="AK1206" s="23"/>
      <c r="AL1206" s="75"/>
      <c r="AM1206" s="75" t="str">
        <f t="shared" si="141"/>
        <v/>
      </c>
      <c r="AN1206" s="75"/>
      <c r="AO1206" s="75"/>
      <c r="AP1206" s="75"/>
      <c r="AQ1206" s="75"/>
      <c r="AR1206" s="75"/>
      <c r="AS1206" s="75"/>
      <c r="AT1206" s="75"/>
    </row>
    <row r="1207" ht="22.5" customHeight="1">
      <c r="A1207" s="219"/>
      <c r="B1207" s="219"/>
      <c r="C1207" s="219"/>
      <c r="D1207" s="219"/>
      <c r="E1207" s="219"/>
      <c r="F1207" s="219"/>
      <c r="G1207" s="219"/>
      <c r="H1207" s="219"/>
      <c r="I1207" s="249"/>
      <c r="J1207" s="243"/>
      <c r="K1207" s="219"/>
      <c r="L1207" s="244"/>
      <c r="M1207" s="219"/>
      <c r="N1207" s="219"/>
      <c r="O1207" s="219"/>
      <c r="P1207" s="244"/>
      <c r="Q1207" s="219"/>
      <c r="R1207" s="302"/>
      <c r="S1207" s="219"/>
      <c r="T1207" s="219"/>
      <c r="U1207" s="219"/>
      <c r="V1207" s="303"/>
      <c r="W1207" s="247"/>
      <c r="X1207" s="245"/>
      <c r="Y1207" s="245"/>
      <c r="Z1207" s="245"/>
      <c r="AA1207" s="245"/>
      <c r="AB1207" s="245"/>
      <c r="AC1207" s="249"/>
      <c r="AD1207" s="249"/>
      <c r="AE1207" s="249"/>
      <c r="AF1207" s="8"/>
      <c r="AG1207" s="8"/>
      <c r="AH1207" s="72"/>
      <c r="AI1207" s="8"/>
      <c r="AJ1207" s="251"/>
      <c r="AK1207" s="23"/>
      <c r="AL1207" s="75"/>
      <c r="AM1207" s="75" t="str">
        <f t="shared" si="141"/>
        <v/>
      </c>
      <c r="AN1207" s="75"/>
      <c r="AO1207" s="75"/>
      <c r="AP1207" s="75"/>
      <c r="AQ1207" s="75"/>
      <c r="AR1207" s="75"/>
      <c r="AS1207" s="75"/>
      <c r="AT1207" s="75"/>
    </row>
    <row r="1208" ht="22.5" customHeight="1">
      <c r="A1208" s="219"/>
      <c r="B1208" s="219"/>
      <c r="C1208" s="219"/>
      <c r="D1208" s="219"/>
      <c r="E1208" s="219"/>
      <c r="F1208" s="219"/>
      <c r="G1208" s="219"/>
      <c r="H1208" s="219"/>
      <c r="I1208" s="249"/>
      <c r="J1208" s="243"/>
      <c r="K1208" s="219"/>
      <c r="L1208" s="244"/>
      <c r="M1208" s="219"/>
      <c r="N1208" s="219"/>
      <c r="O1208" s="219"/>
      <c r="P1208" s="244"/>
      <c r="Q1208" s="219"/>
      <c r="R1208" s="302"/>
      <c r="S1208" s="219"/>
      <c r="T1208" s="219"/>
      <c r="U1208" s="219"/>
      <c r="V1208" s="303"/>
      <c r="W1208" s="247"/>
      <c r="X1208" s="245"/>
      <c r="Y1208" s="245"/>
      <c r="Z1208" s="245"/>
      <c r="AA1208" s="245"/>
      <c r="AB1208" s="245"/>
      <c r="AC1208" s="249"/>
      <c r="AD1208" s="249"/>
      <c r="AE1208" s="249"/>
      <c r="AF1208" s="8"/>
      <c r="AG1208" s="8"/>
      <c r="AH1208" s="72"/>
      <c r="AI1208" s="8"/>
      <c r="AJ1208" s="251"/>
      <c r="AK1208" s="23"/>
      <c r="AL1208" s="75"/>
      <c r="AM1208" s="75" t="str">
        <f t="shared" si="141"/>
        <v/>
      </c>
      <c r="AN1208" s="75"/>
      <c r="AO1208" s="75"/>
      <c r="AP1208" s="75"/>
      <c r="AQ1208" s="75"/>
      <c r="AR1208" s="75"/>
      <c r="AS1208" s="75"/>
      <c r="AT1208" s="75"/>
    </row>
    <row r="1209" ht="22.5" customHeight="1">
      <c r="A1209" s="219"/>
      <c r="B1209" s="219"/>
      <c r="C1209" s="219"/>
      <c r="D1209" s="219"/>
      <c r="E1209" s="219"/>
      <c r="F1209" s="219"/>
      <c r="G1209" s="219"/>
      <c r="H1209" s="219"/>
      <c r="I1209" s="249"/>
      <c r="J1209" s="243"/>
      <c r="K1209" s="219"/>
      <c r="L1209" s="244"/>
      <c r="M1209" s="219"/>
      <c r="N1209" s="219"/>
      <c r="O1209" s="219"/>
      <c r="P1209" s="244"/>
      <c r="Q1209" s="219"/>
      <c r="R1209" s="302"/>
      <c r="S1209" s="219"/>
      <c r="T1209" s="219"/>
      <c r="U1209" s="219"/>
      <c r="V1209" s="303"/>
      <c r="W1209" s="247"/>
      <c r="X1209" s="245"/>
      <c r="Y1209" s="245"/>
      <c r="Z1209" s="245"/>
      <c r="AA1209" s="245"/>
      <c r="AB1209" s="245"/>
      <c r="AC1209" s="249"/>
      <c r="AD1209" s="249"/>
      <c r="AE1209" s="249"/>
      <c r="AF1209" s="8"/>
      <c r="AG1209" s="8"/>
      <c r="AH1209" s="72"/>
      <c r="AI1209" s="8"/>
      <c r="AJ1209" s="251"/>
      <c r="AK1209" s="23"/>
      <c r="AL1209" s="75"/>
      <c r="AM1209" s="75" t="str">
        <f t="shared" si="141"/>
        <v/>
      </c>
      <c r="AN1209" s="75"/>
      <c r="AO1209" s="75"/>
      <c r="AP1209" s="75"/>
      <c r="AQ1209" s="75"/>
      <c r="AR1209" s="75"/>
      <c r="AS1209" s="75"/>
      <c r="AT1209" s="75"/>
    </row>
    <row r="1210" ht="22.5" customHeight="1">
      <c r="A1210" s="219"/>
      <c r="B1210" s="219"/>
      <c r="C1210" s="219"/>
      <c r="D1210" s="219"/>
      <c r="E1210" s="219"/>
      <c r="F1210" s="219"/>
      <c r="G1210" s="219"/>
      <c r="H1210" s="219"/>
      <c r="I1210" s="249"/>
      <c r="J1210" s="243"/>
      <c r="K1210" s="219"/>
      <c r="L1210" s="244"/>
      <c r="M1210" s="219"/>
      <c r="N1210" s="219"/>
      <c r="O1210" s="219"/>
      <c r="P1210" s="244"/>
      <c r="Q1210" s="219"/>
      <c r="R1210" s="302"/>
      <c r="S1210" s="219"/>
      <c r="T1210" s="219"/>
      <c r="U1210" s="219"/>
      <c r="V1210" s="303"/>
      <c r="W1210" s="247"/>
      <c r="X1210" s="245"/>
      <c r="Y1210" s="245"/>
      <c r="Z1210" s="245"/>
      <c r="AA1210" s="245"/>
      <c r="AB1210" s="245"/>
      <c r="AC1210" s="249"/>
      <c r="AD1210" s="249"/>
      <c r="AE1210" s="249"/>
      <c r="AF1210" s="8"/>
      <c r="AG1210" s="8"/>
      <c r="AH1210" s="72"/>
      <c r="AI1210" s="8"/>
      <c r="AJ1210" s="251"/>
      <c r="AK1210" s="23"/>
      <c r="AL1210" s="75"/>
      <c r="AM1210" s="75" t="str">
        <f t="shared" si="141"/>
        <v/>
      </c>
      <c r="AN1210" s="75"/>
      <c r="AO1210" s="75"/>
      <c r="AP1210" s="75"/>
      <c r="AQ1210" s="75"/>
      <c r="AR1210" s="75"/>
      <c r="AS1210" s="75"/>
      <c r="AT1210" s="75"/>
    </row>
    <row r="1211" ht="22.5" customHeight="1">
      <c r="A1211" s="219"/>
      <c r="B1211" s="219"/>
      <c r="C1211" s="219"/>
      <c r="D1211" s="219"/>
      <c r="E1211" s="219"/>
      <c r="F1211" s="219"/>
      <c r="G1211" s="219"/>
      <c r="H1211" s="219"/>
      <c r="I1211" s="249"/>
      <c r="J1211" s="243"/>
      <c r="K1211" s="219"/>
      <c r="L1211" s="244"/>
      <c r="M1211" s="219"/>
      <c r="N1211" s="219"/>
      <c r="O1211" s="219"/>
      <c r="P1211" s="244"/>
      <c r="Q1211" s="219"/>
      <c r="R1211" s="302"/>
      <c r="S1211" s="219"/>
      <c r="T1211" s="219"/>
      <c r="U1211" s="219"/>
      <c r="V1211" s="303"/>
      <c r="W1211" s="247"/>
      <c r="X1211" s="245"/>
      <c r="Y1211" s="245"/>
      <c r="Z1211" s="245"/>
      <c r="AA1211" s="245"/>
      <c r="AB1211" s="245"/>
      <c r="AC1211" s="249"/>
      <c r="AD1211" s="249"/>
      <c r="AE1211" s="249"/>
      <c r="AF1211" s="8"/>
      <c r="AG1211" s="8"/>
      <c r="AH1211" s="72"/>
      <c r="AI1211" s="8"/>
      <c r="AJ1211" s="251"/>
      <c r="AK1211" s="23"/>
      <c r="AL1211" s="75"/>
      <c r="AM1211" s="75" t="str">
        <f t="shared" si="141"/>
        <v/>
      </c>
      <c r="AN1211" s="75"/>
      <c r="AO1211" s="75"/>
      <c r="AP1211" s="75"/>
      <c r="AQ1211" s="75"/>
      <c r="AR1211" s="75"/>
      <c r="AS1211" s="75"/>
      <c r="AT1211" s="75"/>
    </row>
    <row r="1212" ht="22.5" customHeight="1">
      <c r="A1212" s="219"/>
      <c r="B1212" s="219"/>
      <c r="C1212" s="219"/>
      <c r="D1212" s="219"/>
      <c r="E1212" s="219"/>
      <c r="F1212" s="219"/>
      <c r="G1212" s="219"/>
      <c r="H1212" s="219"/>
      <c r="I1212" s="249"/>
      <c r="J1212" s="243"/>
      <c r="K1212" s="219"/>
      <c r="L1212" s="244"/>
      <c r="M1212" s="219"/>
      <c r="N1212" s="219"/>
      <c r="O1212" s="219"/>
      <c r="P1212" s="244"/>
      <c r="Q1212" s="219"/>
      <c r="R1212" s="302"/>
      <c r="S1212" s="219"/>
      <c r="T1212" s="219"/>
      <c r="U1212" s="219"/>
      <c r="V1212" s="303"/>
      <c r="W1212" s="247"/>
      <c r="X1212" s="245"/>
      <c r="Y1212" s="245"/>
      <c r="Z1212" s="245"/>
      <c r="AA1212" s="245"/>
      <c r="AB1212" s="245"/>
      <c r="AC1212" s="249"/>
      <c r="AD1212" s="249"/>
      <c r="AE1212" s="249"/>
      <c r="AF1212" s="8"/>
      <c r="AG1212" s="8"/>
      <c r="AH1212" s="72"/>
      <c r="AI1212" s="8"/>
      <c r="AJ1212" s="251"/>
      <c r="AK1212" s="23"/>
      <c r="AL1212" s="75"/>
      <c r="AM1212" s="75" t="str">
        <f t="shared" si="141"/>
        <v/>
      </c>
      <c r="AN1212" s="75"/>
      <c r="AO1212" s="75"/>
      <c r="AP1212" s="75"/>
      <c r="AQ1212" s="75"/>
      <c r="AR1212" s="75"/>
      <c r="AS1212" s="75"/>
      <c r="AT1212" s="75"/>
    </row>
    <row r="1213" ht="22.5" customHeight="1">
      <c r="A1213" s="219"/>
      <c r="B1213" s="219"/>
      <c r="C1213" s="219"/>
      <c r="D1213" s="219"/>
      <c r="E1213" s="219"/>
      <c r="F1213" s="219"/>
      <c r="G1213" s="219"/>
      <c r="H1213" s="219"/>
      <c r="I1213" s="249"/>
      <c r="J1213" s="243"/>
      <c r="K1213" s="219"/>
      <c r="L1213" s="244"/>
      <c r="M1213" s="219"/>
      <c r="N1213" s="219"/>
      <c r="O1213" s="219"/>
      <c r="P1213" s="244"/>
      <c r="Q1213" s="219"/>
      <c r="R1213" s="302"/>
      <c r="S1213" s="219"/>
      <c r="T1213" s="219"/>
      <c r="U1213" s="219"/>
      <c r="V1213" s="303"/>
      <c r="W1213" s="247"/>
      <c r="X1213" s="245"/>
      <c r="Y1213" s="245"/>
      <c r="Z1213" s="245"/>
      <c r="AA1213" s="245"/>
      <c r="AB1213" s="245"/>
      <c r="AC1213" s="249"/>
      <c r="AD1213" s="249"/>
      <c r="AE1213" s="249"/>
      <c r="AF1213" s="8"/>
      <c r="AG1213" s="8"/>
      <c r="AH1213" s="72"/>
      <c r="AI1213" s="8"/>
      <c r="AJ1213" s="251"/>
      <c r="AK1213" s="23"/>
      <c r="AL1213" s="75"/>
      <c r="AM1213" s="75" t="str">
        <f t="shared" si="141"/>
        <v/>
      </c>
      <c r="AN1213" s="75"/>
      <c r="AO1213" s="75"/>
      <c r="AP1213" s="75"/>
      <c r="AQ1213" s="75"/>
      <c r="AR1213" s="75"/>
      <c r="AS1213" s="75"/>
      <c r="AT1213" s="75"/>
    </row>
    <row r="1214" ht="22.5" customHeight="1">
      <c r="A1214" s="219"/>
      <c r="B1214" s="219"/>
      <c r="C1214" s="219"/>
      <c r="D1214" s="219"/>
      <c r="E1214" s="219"/>
      <c r="F1214" s="219"/>
      <c r="G1214" s="219"/>
      <c r="H1214" s="219"/>
      <c r="I1214" s="249"/>
      <c r="J1214" s="243"/>
      <c r="K1214" s="219"/>
      <c r="L1214" s="244"/>
      <c r="M1214" s="219"/>
      <c r="N1214" s="219"/>
      <c r="O1214" s="219"/>
      <c r="P1214" s="244"/>
      <c r="Q1214" s="219"/>
      <c r="R1214" s="302"/>
      <c r="S1214" s="219"/>
      <c r="T1214" s="219"/>
      <c r="U1214" s="219"/>
      <c r="V1214" s="303"/>
      <c r="W1214" s="247"/>
      <c r="X1214" s="245"/>
      <c r="Y1214" s="245"/>
      <c r="Z1214" s="245"/>
      <c r="AA1214" s="245"/>
      <c r="AB1214" s="245"/>
      <c r="AC1214" s="249"/>
      <c r="AD1214" s="249"/>
      <c r="AE1214" s="249"/>
      <c r="AF1214" s="8"/>
      <c r="AG1214" s="8"/>
      <c r="AH1214" s="72"/>
      <c r="AI1214" s="8"/>
      <c r="AJ1214" s="251"/>
      <c r="AK1214" s="23"/>
      <c r="AL1214" s="75"/>
      <c r="AM1214" s="75" t="str">
        <f t="shared" si="141"/>
        <v/>
      </c>
      <c r="AN1214" s="75"/>
      <c r="AO1214" s="75"/>
      <c r="AP1214" s="75"/>
      <c r="AQ1214" s="75"/>
      <c r="AR1214" s="75"/>
      <c r="AS1214" s="75"/>
      <c r="AT1214" s="75"/>
    </row>
    <row r="1215" ht="22.5" customHeight="1">
      <c r="A1215" s="219"/>
      <c r="B1215" s="219"/>
      <c r="C1215" s="219"/>
      <c r="D1215" s="219"/>
      <c r="E1215" s="219"/>
      <c r="F1215" s="219"/>
      <c r="G1215" s="219"/>
      <c r="H1215" s="219"/>
      <c r="I1215" s="249"/>
      <c r="J1215" s="243"/>
      <c r="K1215" s="219"/>
      <c r="L1215" s="244"/>
      <c r="M1215" s="219"/>
      <c r="N1215" s="219"/>
      <c r="O1215" s="219"/>
      <c r="P1215" s="244"/>
      <c r="Q1215" s="219"/>
      <c r="R1215" s="302"/>
      <c r="S1215" s="219"/>
      <c r="T1215" s="219"/>
      <c r="U1215" s="219"/>
      <c r="V1215" s="303"/>
      <c r="W1215" s="247"/>
      <c r="X1215" s="245"/>
      <c r="Y1215" s="245"/>
      <c r="Z1215" s="245"/>
      <c r="AA1215" s="245"/>
      <c r="AB1215" s="245"/>
      <c r="AC1215" s="249"/>
      <c r="AD1215" s="249"/>
      <c r="AE1215" s="249"/>
      <c r="AF1215" s="8"/>
      <c r="AG1215" s="8"/>
      <c r="AH1215" s="72"/>
      <c r="AI1215" s="8"/>
      <c r="AJ1215" s="251"/>
      <c r="AK1215" s="23"/>
      <c r="AL1215" s="75"/>
      <c r="AM1215" s="75" t="str">
        <f t="shared" si="141"/>
        <v/>
      </c>
      <c r="AN1215" s="75"/>
      <c r="AO1215" s="75"/>
      <c r="AP1215" s="75"/>
      <c r="AQ1215" s="75"/>
      <c r="AR1215" s="75"/>
      <c r="AS1215" s="75"/>
      <c r="AT1215" s="75"/>
    </row>
    <row r="1216" ht="22.5" customHeight="1">
      <c r="A1216" s="219"/>
      <c r="B1216" s="219"/>
      <c r="C1216" s="219"/>
      <c r="D1216" s="219"/>
      <c r="E1216" s="219"/>
      <c r="F1216" s="219"/>
      <c r="G1216" s="219"/>
      <c r="H1216" s="219"/>
      <c r="I1216" s="249"/>
      <c r="J1216" s="243"/>
      <c r="K1216" s="219"/>
      <c r="L1216" s="244"/>
      <c r="M1216" s="219"/>
      <c r="N1216" s="219"/>
      <c r="O1216" s="219"/>
      <c r="P1216" s="244"/>
      <c r="Q1216" s="219"/>
      <c r="R1216" s="302"/>
      <c r="S1216" s="219"/>
      <c r="T1216" s="219"/>
      <c r="U1216" s="219"/>
      <c r="V1216" s="303"/>
      <c r="W1216" s="247"/>
      <c r="X1216" s="245"/>
      <c r="Y1216" s="245"/>
      <c r="Z1216" s="245"/>
      <c r="AA1216" s="245"/>
      <c r="AB1216" s="245"/>
      <c r="AC1216" s="249"/>
      <c r="AD1216" s="249"/>
      <c r="AE1216" s="249"/>
      <c r="AF1216" s="8"/>
      <c r="AG1216" s="8"/>
      <c r="AH1216" s="72"/>
      <c r="AI1216" s="8"/>
      <c r="AJ1216" s="251"/>
      <c r="AK1216" s="23"/>
      <c r="AL1216" s="75"/>
      <c r="AM1216" s="75" t="str">
        <f t="shared" si="141"/>
        <v/>
      </c>
      <c r="AN1216" s="75"/>
      <c r="AO1216" s="75"/>
      <c r="AP1216" s="75"/>
      <c r="AQ1216" s="75"/>
      <c r="AR1216" s="75"/>
      <c r="AS1216" s="75"/>
      <c r="AT1216" s="75"/>
    </row>
    <row r="1217" ht="22.5" customHeight="1">
      <c r="A1217" s="219"/>
      <c r="B1217" s="219"/>
      <c r="C1217" s="219"/>
      <c r="D1217" s="219"/>
      <c r="E1217" s="219"/>
      <c r="F1217" s="219"/>
      <c r="G1217" s="219"/>
      <c r="H1217" s="219"/>
      <c r="I1217" s="249"/>
      <c r="J1217" s="243"/>
      <c r="K1217" s="219"/>
      <c r="L1217" s="244"/>
      <c r="M1217" s="219"/>
      <c r="N1217" s="219"/>
      <c r="O1217" s="219"/>
      <c r="P1217" s="244"/>
      <c r="Q1217" s="219"/>
      <c r="R1217" s="302"/>
      <c r="S1217" s="219"/>
      <c r="T1217" s="219"/>
      <c r="U1217" s="219"/>
      <c r="V1217" s="303"/>
      <c r="W1217" s="247"/>
      <c r="X1217" s="245"/>
      <c r="Y1217" s="245"/>
      <c r="Z1217" s="245"/>
      <c r="AA1217" s="245"/>
      <c r="AB1217" s="245"/>
      <c r="AC1217" s="249"/>
      <c r="AD1217" s="249"/>
      <c r="AE1217" s="249"/>
      <c r="AF1217" s="8"/>
      <c r="AG1217" s="8"/>
      <c r="AH1217" s="72"/>
      <c r="AI1217" s="8"/>
      <c r="AJ1217" s="251"/>
      <c r="AK1217" s="23"/>
      <c r="AL1217" s="75"/>
      <c r="AM1217" s="75" t="str">
        <f t="shared" si="141"/>
        <v/>
      </c>
      <c r="AN1217" s="75"/>
      <c r="AO1217" s="75"/>
      <c r="AP1217" s="75"/>
      <c r="AQ1217" s="75"/>
      <c r="AR1217" s="75"/>
      <c r="AS1217" s="75"/>
      <c r="AT1217" s="75"/>
    </row>
    <row r="1218" ht="22.5" customHeight="1">
      <c r="A1218" s="219"/>
      <c r="B1218" s="219"/>
      <c r="C1218" s="219"/>
      <c r="D1218" s="219"/>
      <c r="E1218" s="219"/>
      <c r="F1218" s="219"/>
      <c r="G1218" s="219"/>
      <c r="H1218" s="219"/>
      <c r="I1218" s="249"/>
      <c r="J1218" s="243"/>
      <c r="K1218" s="219"/>
      <c r="L1218" s="244"/>
      <c r="M1218" s="219"/>
      <c r="N1218" s="219"/>
      <c r="O1218" s="219"/>
      <c r="P1218" s="244"/>
      <c r="Q1218" s="219"/>
      <c r="R1218" s="302"/>
      <c r="S1218" s="219"/>
      <c r="T1218" s="219"/>
      <c r="U1218" s="219"/>
      <c r="V1218" s="303"/>
      <c r="W1218" s="247"/>
      <c r="X1218" s="245"/>
      <c r="Y1218" s="245"/>
      <c r="Z1218" s="245"/>
      <c r="AA1218" s="245"/>
      <c r="AB1218" s="245"/>
      <c r="AC1218" s="249"/>
      <c r="AD1218" s="249"/>
      <c r="AE1218" s="249"/>
      <c r="AF1218" s="8"/>
      <c r="AG1218" s="8"/>
      <c r="AH1218" s="72"/>
      <c r="AI1218" s="8"/>
      <c r="AJ1218" s="251"/>
      <c r="AK1218" s="23"/>
      <c r="AL1218" s="75"/>
      <c r="AM1218" s="75" t="str">
        <f t="shared" si="141"/>
        <v/>
      </c>
      <c r="AN1218" s="75"/>
      <c r="AO1218" s="75"/>
      <c r="AP1218" s="75"/>
      <c r="AQ1218" s="75"/>
      <c r="AR1218" s="75"/>
      <c r="AS1218" s="75"/>
      <c r="AT1218" s="75"/>
    </row>
    <row r="1219" ht="22.5" customHeight="1">
      <c r="A1219" s="219"/>
      <c r="B1219" s="219"/>
      <c r="C1219" s="219"/>
      <c r="D1219" s="219"/>
      <c r="E1219" s="219"/>
      <c r="F1219" s="219"/>
      <c r="G1219" s="219"/>
      <c r="H1219" s="219"/>
      <c r="I1219" s="249"/>
      <c r="J1219" s="243"/>
      <c r="K1219" s="219"/>
      <c r="L1219" s="244"/>
      <c r="M1219" s="219"/>
      <c r="N1219" s="219"/>
      <c r="O1219" s="219"/>
      <c r="P1219" s="244"/>
      <c r="Q1219" s="219"/>
      <c r="R1219" s="302"/>
      <c r="S1219" s="219"/>
      <c r="T1219" s="219"/>
      <c r="U1219" s="219"/>
      <c r="V1219" s="303"/>
      <c r="W1219" s="247"/>
      <c r="X1219" s="245"/>
      <c r="Y1219" s="245"/>
      <c r="Z1219" s="245"/>
      <c r="AA1219" s="245"/>
      <c r="AB1219" s="245"/>
      <c r="AC1219" s="249"/>
      <c r="AD1219" s="249"/>
      <c r="AE1219" s="249"/>
      <c r="AF1219" s="8"/>
      <c r="AG1219" s="8"/>
      <c r="AH1219" s="72"/>
      <c r="AI1219" s="8"/>
      <c r="AJ1219" s="251"/>
      <c r="AK1219" s="23"/>
      <c r="AL1219" s="75"/>
      <c r="AM1219" s="75" t="str">
        <f t="shared" si="141"/>
        <v/>
      </c>
      <c r="AN1219" s="75"/>
      <c r="AO1219" s="75"/>
      <c r="AP1219" s="75"/>
      <c r="AQ1219" s="75"/>
      <c r="AR1219" s="75"/>
      <c r="AS1219" s="75"/>
      <c r="AT1219" s="75"/>
    </row>
    <row r="1220" ht="22.5" customHeight="1">
      <c r="A1220" s="219"/>
      <c r="B1220" s="219"/>
      <c r="C1220" s="219"/>
      <c r="D1220" s="219"/>
      <c r="E1220" s="219"/>
      <c r="F1220" s="219"/>
      <c r="G1220" s="219"/>
      <c r="H1220" s="219"/>
      <c r="I1220" s="249"/>
      <c r="J1220" s="243"/>
      <c r="K1220" s="219"/>
      <c r="L1220" s="244"/>
      <c r="M1220" s="219"/>
      <c r="N1220" s="219"/>
      <c r="O1220" s="219"/>
      <c r="P1220" s="244"/>
      <c r="Q1220" s="219"/>
      <c r="R1220" s="302"/>
      <c r="S1220" s="219"/>
      <c r="T1220" s="219"/>
      <c r="U1220" s="219"/>
      <c r="V1220" s="303"/>
      <c r="W1220" s="247"/>
      <c r="X1220" s="245"/>
      <c r="Y1220" s="245"/>
      <c r="Z1220" s="245"/>
      <c r="AA1220" s="245"/>
      <c r="AB1220" s="245"/>
      <c r="AC1220" s="249"/>
      <c r="AD1220" s="249"/>
      <c r="AE1220" s="249"/>
      <c r="AF1220" s="8"/>
      <c r="AG1220" s="8"/>
      <c r="AH1220" s="72"/>
      <c r="AI1220" s="8"/>
      <c r="AJ1220" s="251"/>
      <c r="AK1220" s="23"/>
      <c r="AL1220" s="75"/>
      <c r="AM1220" s="75" t="str">
        <f t="shared" si="141"/>
        <v/>
      </c>
      <c r="AN1220" s="75"/>
      <c r="AO1220" s="75"/>
      <c r="AP1220" s="75"/>
      <c r="AQ1220" s="75"/>
      <c r="AR1220" s="75"/>
      <c r="AS1220" s="75"/>
      <c r="AT1220" s="75"/>
    </row>
    <row r="1221" ht="22.5" customHeight="1">
      <c r="A1221" s="219"/>
      <c r="B1221" s="219"/>
      <c r="C1221" s="219"/>
      <c r="D1221" s="219"/>
      <c r="E1221" s="219"/>
      <c r="F1221" s="219"/>
      <c r="G1221" s="219"/>
      <c r="H1221" s="219"/>
      <c r="I1221" s="249"/>
      <c r="J1221" s="243"/>
      <c r="K1221" s="219"/>
      <c r="L1221" s="244"/>
      <c r="M1221" s="219"/>
      <c r="N1221" s="219"/>
      <c r="O1221" s="219"/>
      <c r="P1221" s="244"/>
      <c r="Q1221" s="219"/>
      <c r="R1221" s="302"/>
      <c r="S1221" s="219"/>
      <c r="T1221" s="219"/>
      <c r="U1221" s="219"/>
      <c r="V1221" s="303"/>
      <c r="W1221" s="247"/>
      <c r="X1221" s="245"/>
      <c r="Y1221" s="245"/>
      <c r="Z1221" s="245"/>
      <c r="AA1221" s="245"/>
      <c r="AB1221" s="245"/>
      <c r="AC1221" s="249"/>
      <c r="AD1221" s="249"/>
      <c r="AE1221" s="249"/>
      <c r="AF1221" s="8"/>
      <c r="AG1221" s="8"/>
      <c r="AH1221" s="72"/>
      <c r="AI1221" s="8"/>
      <c r="AJ1221" s="251"/>
      <c r="AK1221" s="23"/>
      <c r="AL1221" s="75"/>
      <c r="AM1221" s="75" t="str">
        <f t="shared" si="141"/>
        <v/>
      </c>
      <c r="AN1221" s="75"/>
      <c r="AO1221" s="75"/>
      <c r="AP1221" s="75"/>
      <c r="AQ1221" s="75"/>
      <c r="AR1221" s="75"/>
      <c r="AS1221" s="75"/>
      <c r="AT1221" s="75"/>
    </row>
    <row r="1222" ht="22.5" customHeight="1">
      <c r="A1222" s="219"/>
      <c r="B1222" s="219"/>
      <c r="C1222" s="219"/>
      <c r="D1222" s="219"/>
      <c r="E1222" s="219"/>
      <c r="F1222" s="219"/>
      <c r="G1222" s="219"/>
      <c r="H1222" s="219"/>
      <c r="I1222" s="249"/>
      <c r="J1222" s="243"/>
      <c r="K1222" s="219"/>
      <c r="L1222" s="244"/>
      <c r="M1222" s="219"/>
      <c r="N1222" s="219"/>
      <c r="O1222" s="219"/>
      <c r="P1222" s="244"/>
      <c r="Q1222" s="219"/>
      <c r="R1222" s="302"/>
      <c r="S1222" s="219"/>
      <c r="T1222" s="219"/>
      <c r="U1222" s="219"/>
      <c r="V1222" s="303"/>
      <c r="W1222" s="247"/>
      <c r="X1222" s="245"/>
      <c r="Y1222" s="245"/>
      <c r="Z1222" s="245"/>
      <c r="AA1222" s="245"/>
      <c r="AB1222" s="245"/>
      <c r="AC1222" s="249"/>
      <c r="AD1222" s="249"/>
      <c r="AE1222" s="249"/>
      <c r="AF1222" s="8"/>
      <c r="AG1222" s="8"/>
      <c r="AH1222" s="72"/>
      <c r="AI1222" s="8"/>
      <c r="AJ1222" s="251"/>
      <c r="AK1222" s="23"/>
      <c r="AL1222" s="75"/>
      <c r="AM1222" s="75" t="str">
        <f t="shared" si="141"/>
        <v/>
      </c>
      <c r="AN1222" s="75"/>
      <c r="AO1222" s="75"/>
      <c r="AP1222" s="75"/>
      <c r="AQ1222" s="75"/>
      <c r="AR1222" s="75"/>
      <c r="AS1222" s="75"/>
      <c r="AT1222" s="75"/>
    </row>
    <row r="1223" ht="22.5" customHeight="1">
      <c r="A1223" s="219"/>
      <c r="B1223" s="219"/>
      <c r="C1223" s="219"/>
      <c r="D1223" s="219"/>
      <c r="E1223" s="219"/>
      <c r="F1223" s="219"/>
      <c r="G1223" s="219"/>
      <c r="H1223" s="219"/>
      <c r="I1223" s="249"/>
      <c r="J1223" s="243"/>
      <c r="K1223" s="219"/>
      <c r="L1223" s="244"/>
      <c r="M1223" s="219"/>
      <c r="N1223" s="219"/>
      <c r="O1223" s="219"/>
      <c r="P1223" s="244"/>
      <c r="Q1223" s="219"/>
      <c r="R1223" s="302"/>
      <c r="S1223" s="219"/>
      <c r="T1223" s="219"/>
      <c r="U1223" s="219"/>
      <c r="V1223" s="303"/>
      <c r="W1223" s="247"/>
      <c r="X1223" s="245"/>
      <c r="Y1223" s="245"/>
      <c r="Z1223" s="245"/>
      <c r="AA1223" s="245"/>
      <c r="AB1223" s="245"/>
      <c r="AC1223" s="249"/>
      <c r="AD1223" s="249"/>
      <c r="AE1223" s="249"/>
      <c r="AF1223" s="8"/>
      <c r="AG1223" s="8"/>
      <c r="AH1223" s="72"/>
      <c r="AI1223" s="8"/>
      <c r="AJ1223" s="251"/>
      <c r="AK1223" s="23"/>
      <c r="AL1223" s="75"/>
      <c r="AM1223" s="75" t="str">
        <f t="shared" si="141"/>
        <v/>
      </c>
      <c r="AN1223" s="75"/>
      <c r="AO1223" s="75"/>
      <c r="AP1223" s="75"/>
      <c r="AQ1223" s="75"/>
      <c r="AR1223" s="75"/>
      <c r="AS1223" s="75"/>
      <c r="AT1223" s="75"/>
    </row>
    <row r="1224" ht="22.5" customHeight="1">
      <c r="A1224" s="219"/>
      <c r="B1224" s="219"/>
      <c r="C1224" s="219"/>
      <c r="D1224" s="219"/>
      <c r="E1224" s="219"/>
      <c r="F1224" s="219"/>
      <c r="G1224" s="219"/>
      <c r="H1224" s="219"/>
      <c r="I1224" s="249"/>
      <c r="J1224" s="243"/>
      <c r="K1224" s="219"/>
      <c r="L1224" s="244"/>
      <c r="M1224" s="219"/>
      <c r="N1224" s="219"/>
      <c r="O1224" s="219"/>
      <c r="P1224" s="244"/>
      <c r="Q1224" s="219"/>
      <c r="R1224" s="302"/>
      <c r="S1224" s="219"/>
      <c r="T1224" s="219"/>
      <c r="U1224" s="219"/>
      <c r="V1224" s="303"/>
      <c r="W1224" s="247"/>
      <c r="X1224" s="245"/>
      <c r="Y1224" s="245"/>
      <c r="Z1224" s="245"/>
      <c r="AA1224" s="245"/>
      <c r="AB1224" s="245"/>
      <c r="AC1224" s="249"/>
      <c r="AD1224" s="249"/>
      <c r="AE1224" s="249"/>
      <c r="AF1224" s="8"/>
      <c r="AG1224" s="8"/>
      <c r="AH1224" s="72"/>
      <c r="AI1224" s="8"/>
      <c r="AJ1224" s="251"/>
      <c r="AK1224" s="23"/>
      <c r="AL1224" s="75"/>
      <c r="AM1224" s="75" t="str">
        <f t="shared" si="141"/>
        <v/>
      </c>
      <c r="AN1224" s="75"/>
      <c r="AO1224" s="75"/>
      <c r="AP1224" s="75"/>
      <c r="AQ1224" s="75"/>
      <c r="AR1224" s="75"/>
      <c r="AS1224" s="75"/>
      <c r="AT1224" s="75"/>
    </row>
    <row r="1225" ht="22.5" customHeight="1">
      <c r="A1225" s="219"/>
      <c r="B1225" s="219"/>
      <c r="C1225" s="219"/>
      <c r="D1225" s="219"/>
      <c r="E1225" s="219"/>
      <c r="F1225" s="219"/>
      <c r="G1225" s="219"/>
      <c r="H1225" s="219"/>
      <c r="I1225" s="249"/>
      <c r="J1225" s="243"/>
      <c r="K1225" s="219"/>
      <c r="L1225" s="244"/>
      <c r="M1225" s="219"/>
      <c r="N1225" s="219"/>
      <c r="O1225" s="219"/>
      <c r="P1225" s="244"/>
      <c r="Q1225" s="219"/>
      <c r="R1225" s="302"/>
      <c r="S1225" s="219"/>
      <c r="T1225" s="219"/>
      <c r="U1225" s="219"/>
      <c r="V1225" s="303"/>
      <c r="W1225" s="247"/>
      <c r="X1225" s="245"/>
      <c r="Y1225" s="245"/>
      <c r="Z1225" s="245"/>
      <c r="AA1225" s="245"/>
      <c r="AB1225" s="245"/>
      <c r="AC1225" s="249"/>
      <c r="AD1225" s="249"/>
      <c r="AE1225" s="249"/>
      <c r="AF1225" s="8"/>
      <c r="AG1225" s="8"/>
      <c r="AH1225" s="72"/>
      <c r="AI1225" s="8"/>
      <c r="AJ1225" s="251"/>
      <c r="AK1225" s="23"/>
      <c r="AL1225" s="75"/>
      <c r="AM1225" s="75" t="str">
        <f t="shared" si="141"/>
        <v/>
      </c>
      <c r="AN1225" s="75"/>
      <c r="AO1225" s="75"/>
      <c r="AP1225" s="75"/>
      <c r="AQ1225" s="75"/>
      <c r="AR1225" s="75"/>
      <c r="AS1225" s="75"/>
      <c r="AT1225" s="75"/>
    </row>
    <row r="1226" ht="22.5" customHeight="1">
      <c r="A1226" s="219"/>
      <c r="B1226" s="219"/>
      <c r="C1226" s="219"/>
      <c r="D1226" s="219"/>
      <c r="E1226" s="219"/>
      <c r="F1226" s="219"/>
      <c r="G1226" s="219"/>
      <c r="H1226" s="219"/>
      <c r="I1226" s="249"/>
      <c r="J1226" s="243"/>
      <c r="K1226" s="219"/>
      <c r="L1226" s="244"/>
      <c r="M1226" s="219"/>
      <c r="N1226" s="219"/>
      <c r="O1226" s="219"/>
      <c r="P1226" s="244"/>
      <c r="Q1226" s="219"/>
      <c r="R1226" s="302"/>
      <c r="S1226" s="219"/>
      <c r="T1226" s="219"/>
      <c r="U1226" s="219"/>
      <c r="V1226" s="303"/>
      <c r="W1226" s="247"/>
      <c r="X1226" s="245"/>
      <c r="Y1226" s="245"/>
      <c r="Z1226" s="245"/>
      <c r="AA1226" s="245"/>
      <c r="AB1226" s="245"/>
      <c r="AC1226" s="249"/>
      <c r="AD1226" s="249"/>
      <c r="AE1226" s="249"/>
      <c r="AF1226" s="8"/>
      <c r="AG1226" s="8"/>
      <c r="AH1226" s="72"/>
      <c r="AI1226" s="8"/>
      <c r="AJ1226" s="251"/>
      <c r="AK1226" s="23"/>
      <c r="AL1226" s="75"/>
      <c r="AM1226" s="75" t="str">
        <f t="shared" si="141"/>
        <v/>
      </c>
      <c r="AN1226" s="75"/>
      <c r="AO1226" s="75"/>
      <c r="AP1226" s="75"/>
      <c r="AQ1226" s="75"/>
      <c r="AR1226" s="75"/>
      <c r="AS1226" s="75"/>
      <c r="AT1226" s="75"/>
    </row>
    <row r="1227" ht="22.5" customHeight="1">
      <c r="A1227" s="219"/>
      <c r="B1227" s="219"/>
      <c r="C1227" s="219"/>
      <c r="D1227" s="219"/>
      <c r="E1227" s="219"/>
      <c r="F1227" s="219"/>
      <c r="G1227" s="219"/>
      <c r="H1227" s="219"/>
      <c r="I1227" s="249"/>
      <c r="J1227" s="243"/>
      <c r="K1227" s="219"/>
      <c r="L1227" s="244"/>
      <c r="M1227" s="219"/>
      <c r="N1227" s="219"/>
      <c r="O1227" s="219"/>
      <c r="P1227" s="244"/>
      <c r="Q1227" s="219"/>
      <c r="R1227" s="302"/>
      <c r="S1227" s="219"/>
      <c r="T1227" s="219"/>
      <c r="U1227" s="219"/>
      <c r="V1227" s="303"/>
      <c r="W1227" s="247"/>
      <c r="X1227" s="245"/>
      <c r="Y1227" s="245"/>
      <c r="Z1227" s="245"/>
      <c r="AA1227" s="245"/>
      <c r="AB1227" s="245"/>
      <c r="AC1227" s="249"/>
      <c r="AD1227" s="249"/>
      <c r="AE1227" s="249"/>
      <c r="AF1227" s="8"/>
      <c r="AG1227" s="8"/>
      <c r="AH1227" s="72"/>
      <c r="AI1227" s="8"/>
      <c r="AJ1227" s="251"/>
      <c r="AK1227" s="23"/>
      <c r="AL1227" s="75"/>
      <c r="AM1227" s="75" t="str">
        <f t="shared" si="141"/>
        <v/>
      </c>
      <c r="AN1227" s="75"/>
      <c r="AO1227" s="75"/>
      <c r="AP1227" s="75"/>
      <c r="AQ1227" s="75"/>
      <c r="AR1227" s="75"/>
      <c r="AS1227" s="75"/>
      <c r="AT1227" s="75"/>
    </row>
    <row r="1228" ht="22.5" customHeight="1">
      <c r="A1228" s="219"/>
      <c r="B1228" s="219"/>
      <c r="C1228" s="219"/>
      <c r="D1228" s="219"/>
      <c r="E1228" s="219"/>
      <c r="F1228" s="219"/>
      <c r="G1228" s="219"/>
      <c r="H1228" s="219"/>
      <c r="I1228" s="249"/>
      <c r="J1228" s="243"/>
      <c r="K1228" s="219"/>
      <c r="L1228" s="244"/>
      <c r="M1228" s="219"/>
      <c r="N1228" s="219"/>
      <c r="O1228" s="219"/>
      <c r="P1228" s="244"/>
      <c r="Q1228" s="219"/>
      <c r="R1228" s="302"/>
      <c r="S1228" s="219"/>
      <c r="T1228" s="219"/>
      <c r="U1228" s="219"/>
      <c r="V1228" s="303"/>
      <c r="W1228" s="247"/>
      <c r="X1228" s="245"/>
      <c r="Y1228" s="245"/>
      <c r="Z1228" s="245"/>
      <c r="AA1228" s="245"/>
      <c r="AB1228" s="245"/>
      <c r="AC1228" s="249"/>
      <c r="AD1228" s="249"/>
      <c r="AE1228" s="249"/>
      <c r="AF1228" s="8"/>
      <c r="AG1228" s="8"/>
      <c r="AH1228" s="72"/>
      <c r="AI1228" s="8"/>
      <c r="AJ1228" s="251"/>
      <c r="AK1228" s="23"/>
      <c r="AL1228" s="75"/>
      <c r="AM1228" s="75" t="str">
        <f t="shared" si="141"/>
        <v/>
      </c>
      <c r="AN1228" s="75"/>
      <c r="AO1228" s="75"/>
      <c r="AP1228" s="75"/>
      <c r="AQ1228" s="75"/>
      <c r="AR1228" s="75"/>
      <c r="AS1228" s="75"/>
      <c r="AT1228" s="75"/>
    </row>
    <row r="1229" ht="22.5" customHeight="1">
      <c r="A1229" s="219"/>
      <c r="B1229" s="219"/>
      <c r="C1229" s="219"/>
      <c r="D1229" s="219"/>
      <c r="E1229" s="219"/>
      <c r="F1229" s="219"/>
      <c r="G1229" s="219"/>
      <c r="H1229" s="219"/>
      <c r="I1229" s="249"/>
      <c r="J1229" s="243"/>
      <c r="K1229" s="219"/>
      <c r="L1229" s="244"/>
      <c r="M1229" s="219"/>
      <c r="N1229" s="219"/>
      <c r="O1229" s="219"/>
      <c r="P1229" s="244"/>
      <c r="Q1229" s="219"/>
      <c r="R1229" s="302"/>
      <c r="S1229" s="219"/>
      <c r="T1229" s="219"/>
      <c r="U1229" s="219"/>
      <c r="V1229" s="303"/>
      <c r="W1229" s="247"/>
      <c r="X1229" s="245"/>
      <c r="Y1229" s="245"/>
      <c r="Z1229" s="245"/>
      <c r="AA1229" s="245"/>
      <c r="AB1229" s="245"/>
      <c r="AC1229" s="249"/>
      <c r="AD1229" s="249"/>
      <c r="AE1229" s="249"/>
      <c r="AF1229" s="8"/>
      <c r="AG1229" s="8"/>
      <c r="AH1229" s="72"/>
      <c r="AI1229" s="8"/>
      <c r="AJ1229" s="251"/>
      <c r="AK1229" s="23"/>
      <c r="AL1229" s="75"/>
      <c r="AM1229" s="75" t="str">
        <f t="shared" si="141"/>
        <v/>
      </c>
      <c r="AN1229" s="75"/>
      <c r="AO1229" s="75"/>
      <c r="AP1229" s="75"/>
      <c r="AQ1229" s="75"/>
      <c r="AR1229" s="75"/>
      <c r="AS1229" s="75"/>
      <c r="AT1229" s="75"/>
    </row>
    <row r="1230" ht="22.5" customHeight="1">
      <c r="A1230" s="219"/>
      <c r="B1230" s="219"/>
      <c r="C1230" s="219"/>
      <c r="D1230" s="219"/>
      <c r="E1230" s="219"/>
      <c r="F1230" s="219"/>
      <c r="G1230" s="219"/>
      <c r="H1230" s="219"/>
      <c r="I1230" s="249"/>
      <c r="J1230" s="243"/>
      <c r="K1230" s="219"/>
      <c r="L1230" s="244"/>
      <c r="M1230" s="219"/>
      <c r="N1230" s="219"/>
      <c r="O1230" s="219"/>
      <c r="P1230" s="244"/>
      <c r="Q1230" s="219"/>
      <c r="R1230" s="302"/>
      <c r="S1230" s="219"/>
      <c r="T1230" s="219"/>
      <c r="U1230" s="219"/>
      <c r="V1230" s="303"/>
      <c r="W1230" s="247"/>
      <c r="X1230" s="245"/>
      <c r="Y1230" s="245"/>
      <c r="Z1230" s="245"/>
      <c r="AA1230" s="245"/>
      <c r="AB1230" s="245"/>
      <c r="AC1230" s="249"/>
      <c r="AD1230" s="249"/>
      <c r="AE1230" s="249"/>
      <c r="AF1230" s="8"/>
      <c r="AG1230" s="8"/>
      <c r="AH1230" s="72"/>
      <c r="AI1230" s="8"/>
      <c r="AJ1230" s="251"/>
      <c r="AK1230" s="23"/>
      <c r="AL1230" s="75"/>
      <c r="AM1230" s="75" t="str">
        <f t="shared" si="141"/>
        <v/>
      </c>
      <c r="AN1230" s="75"/>
      <c r="AO1230" s="75"/>
      <c r="AP1230" s="75"/>
      <c r="AQ1230" s="75"/>
      <c r="AR1230" s="75"/>
      <c r="AS1230" s="75"/>
      <c r="AT1230" s="75"/>
    </row>
    <row r="1231" ht="22.5" customHeight="1">
      <c r="A1231" s="219"/>
      <c r="B1231" s="219"/>
      <c r="C1231" s="219"/>
      <c r="D1231" s="219"/>
      <c r="E1231" s="219"/>
      <c r="F1231" s="219"/>
      <c r="G1231" s="219"/>
      <c r="H1231" s="219"/>
      <c r="I1231" s="249"/>
      <c r="J1231" s="243"/>
      <c r="K1231" s="219"/>
      <c r="L1231" s="244"/>
      <c r="M1231" s="219"/>
      <c r="N1231" s="219"/>
      <c r="O1231" s="219"/>
      <c r="P1231" s="244"/>
      <c r="Q1231" s="219"/>
      <c r="R1231" s="302"/>
      <c r="S1231" s="219"/>
      <c r="T1231" s="219"/>
      <c r="U1231" s="219"/>
      <c r="V1231" s="303"/>
      <c r="W1231" s="247"/>
      <c r="X1231" s="245"/>
      <c r="Y1231" s="245"/>
      <c r="Z1231" s="245"/>
      <c r="AA1231" s="245"/>
      <c r="AB1231" s="245"/>
      <c r="AC1231" s="249"/>
      <c r="AD1231" s="249"/>
      <c r="AE1231" s="249"/>
      <c r="AF1231" s="8"/>
      <c r="AG1231" s="8"/>
      <c r="AH1231" s="72"/>
      <c r="AI1231" s="8"/>
      <c r="AJ1231" s="251"/>
      <c r="AK1231" s="23"/>
      <c r="AL1231" s="75"/>
      <c r="AM1231" s="75" t="str">
        <f t="shared" si="141"/>
        <v/>
      </c>
      <c r="AN1231" s="75"/>
      <c r="AO1231" s="75"/>
      <c r="AP1231" s="75"/>
      <c r="AQ1231" s="75"/>
      <c r="AR1231" s="75"/>
      <c r="AS1231" s="75"/>
      <c r="AT1231" s="75"/>
    </row>
    <row r="1232" ht="22.5" customHeight="1">
      <c r="A1232" s="219"/>
      <c r="B1232" s="219"/>
      <c r="C1232" s="219"/>
      <c r="D1232" s="219"/>
      <c r="E1232" s="219"/>
      <c r="F1232" s="219"/>
      <c r="G1232" s="219"/>
      <c r="H1232" s="219"/>
      <c r="I1232" s="249"/>
      <c r="J1232" s="243"/>
      <c r="K1232" s="219"/>
      <c r="L1232" s="244"/>
      <c r="M1232" s="219"/>
      <c r="N1232" s="219"/>
      <c r="O1232" s="219"/>
      <c r="P1232" s="244"/>
      <c r="Q1232" s="219"/>
      <c r="R1232" s="302"/>
      <c r="S1232" s="219"/>
      <c r="T1232" s="219"/>
      <c r="U1232" s="219"/>
      <c r="V1232" s="303"/>
      <c r="W1232" s="247"/>
      <c r="X1232" s="245"/>
      <c r="Y1232" s="245"/>
      <c r="Z1232" s="245"/>
      <c r="AA1232" s="245"/>
      <c r="AB1232" s="245"/>
      <c r="AC1232" s="249"/>
      <c r="AD1232" s="249"/>
      <c r="AE1232" s="249"/>
      <c r="AF1232" s="8"/>
      <c r="AG1232" s="8"/>
      <c r="AH1232" s="72"/>
      <c r="AI1232" s="8"/>
      <c r="AJ1232" s="251"/>
      <c r="AK1232" s="23"/>
      <c r="AL1232" s="75"/>
      <c r="AM1232" s="75" t="str">
        <f t="shared" si="141"/>
        <v/>
      </c>
      <c r="AN1232" s="75"/>
      <c r="AO1232" s="75"/>
      <c r="AP1232" s="75"/>
      <c r="AQ1232" s="75"/>
      <c r="AR1232" s="75"/>
      <c r="AS1232" s="75"/>
      <c r="AT1232" s="75"/>
    </row>
    <row r="1233" ht="22.5" customHeight="1">
      <c r="A1233" s="219"/>
      <c r="B1233" s="219"/>
      <c r="C1233" s="219"/>
      <c r="D1233" s="219"/>
      <c r="E1233" s="219"/>
      <c r="F1233" s="219"/>
      <c r="G1233" s="219"/>
      <c r="H1233" s="219"/>
      <c r="I1233" s="249"/>
      <c r="J1233" s="243"/>
      <c r="K1233" s="219"/>
      <c r="L1233" s="244"/>
      <c r="M1233" s="219"/>
      <c r="N1233" s="219"/>
      <c r="O1233" s="219"/>
      <c r="P1233" s="244"/>
      <c r="Q1233" s="219"/>
      <c r="R1233" s="302"/>
      <c r="S1233" s="219"/>
      <c r="T1233" s="219"/>
      <c r="U1233" s="219"/>
      <c r="V1233" s="303"/>
      <c r="W1233" s="247"/>
      <c r="X1233" s="245"/>
      <c r="Y1233" s="245"/>
      <c r="Z1233" s="245"/>
      <c r="AA1233" s="245"/>
      <c r="AB1233" s="245"/>
      <c r="AC1233" s="249"/>
      <c r="AD1233" s="249"/>
      <c r="AE1233" s="249"/>
      <c r="AF1233" s="8"/>
      <c r="AG1233" s="8"/>
      <c r="AH1233" s="72"/>
      <c r="AI1233" s="8"/>
      <c r="AJ1233" s="251"/>
      <c r="AK1233" s="23"/>
      <c r="AL1233" s="75"/>
      <c r="AM1233" s="75" t="str">
        <f t="shared" si="141"/>
        <v/>
      </c>
      <c r="AN1233" s="75"/>
      <c r="AO1233" s="75"/>
      <c r="AP1233" s="75"/>
      <c r="AQ1233" s="75"/>
      <c r="AR1233" s="75"/>
      <c r="AS1233" s="75"/>
      <c r="AT1233" s="75"/>
    </row>
    <row r="1234" ht="22.5" customHeight="1">
      <c r="A1234" s="219"/>
      <c r="B1234" s="219"/>
      <c r="C1234" s="219"/>
      <c r="D1234" s="219"/>
      <c r="E1234" s="219"/>
      <c r="F1234" s="219"/>
      <c r="G1234" s="219"/>
      <c r="H1234" s="219"/>
      <c r="I1234" s="249"/>
      <c r="J1234" s="243"/>
      <c r="K1234" s="219"/>
      <c r="L1234" s="244"/>
      <c r="M1234" s="219"/>
      <c r="N1234" s="219"/>
      <c r="O1234" s="219"/>
      <c r="P1234" s="244"/>
      <c r="Q1234" s="219"/>
      <c r="R1234" s="302"/>
      <c r="S1234" s="219"/>
      <c r="T1234" s="219"/>
      <c r="U1234" s="219"/>
      <c r="V1234" s="303"/>
      <c r="W1234" s="247"/>
      <c r="X1234" s="245"/>
      <c r="Y1234" s="245"/>
      <c r="Z1234" s="245"/>
      <c r="AA1234" s="245"/>
      <c r="AB1234" s="245"/>
      <c r="AC1234" s="249"/>
      <c r="AD1234" s="249"/>
      <c r="AE1234" s="249"/>
      <c r="AF1234" s="8"/>
      <c r="AG1234" s="8"/>
      <c r="AH1234" s="72"/>
      <c r="AI1234" s="8"/>
      <c r="AJ1234" s="251"/>
      <c r="AK1234" s="23"/>
      <c r="AL1234" s="75"/>
      <c r="AM1234" s="75" t="str">
        <f t="shared" si="141"/>
        <v/>
      </c>
      <c r="AN1234" s="75"/>
      <c r="AO1234" s="75"/>
      <c r="AP1234" s="75"/>
      <c r="AQ1234" s="75"/>
      <c r="AR1234" s="75"/>
      <c r="AS1234" s="75"/>
      <c r="AT1234" s="75"/>
    </row>
    <row r="1235" ht="22.5" customHeight="1">
      <c r="A1235" s="219"/>
      <c r="B1235" s="219"/>
      <c r="C1235" s="219"/>
      <c r="D1235" s="219"/>
      <c r="E1235" s="219"/>
      <c r="F1235" s="219"/>
      <c r="G1235" s="219"/>
      <c r="H1235" s="219"/>
      <c r="I1235" s="249"/>
      <c r="J1235" s="243"/>
      <c r="K1235" s="219"/>
      <c r="L1235" s="244"/>
      <c r="M1235" s="219"/>
      <c r="N1235" s="219"/>
      <c r="O1235" s="219"/>
      <c r="P1235" s="244"/>
      <c r="Q1235" s="219"/>
      <c r="R1235" s="302"/>
      <c r="S1235" s="219"/>
      <c r="T1235" s="219"/>
      <c r="U1235" s="219"/>
      <c r="V1235" s="303"/>
      <c r="W1235" s="247"/>
      <c r="X1235" s="245"/>
      <c r="Y1235" s="245"/>
      <c r="Z1235" s="245"/>
      <c r="AA1235" s="245"/>
      <c r="AB1235" s="245"/>
      <c r="AC1235" s="249"/>
      <c r="AD1235" s="249"/>
      <c r="AE1235" s="249"/>
      <c r="AF1235" s="8"/>
      <c r="AG1235" s="8"/>
      <c r="AH1235" s="72"/>
      <c r="AI1235" s="8"/>
      <c r="AJ1235" s="251"/>
      <c r="AK1235" s="23"/>
      <c r="AL1235" s="75"/>
      <c r="AM1235" s="75" t="str">
        <f t="shared" si="141"/>
        <v/>
      </c>
      <c r="AN1235" s="75"/>
      <c r="AO1235" s="75"/>
      <c r="AP1235" s="75"/>
      <c r="AQ1235" s="75"/>
      <c r="AR1235" s="75"/>
      <c r="AS1235" s="75"/>
      <c r="AT1235" s="75"/>
    </row>
    <row r="1236" ht="22.5" customHeight="1">
      <c r="A1236" s="219"/>
      <c r="B1236" s="219"/>
      <c r="C1236" s="219"/>
      <c r="D1236" s="219"/>
      <c r="E1236" s="219"/>
      <c r="F1236" s="219"/>
      <c r="G1236" s="219"/>
      <c r="H1236" s="219"/>
      <c r="I1236" s="249"/>
      <c r="J1236" s="243"/>
      <c r="K1236" s="219"/>
      <c r="L1236" s="244"/>
      <c r="M1236" s="219"/>
      <c r="N1236" s="219"/>
      <c r="O1236" s="219"/>
      <c r="P1236" s="244"/>
      <c r="Q1236" s="219"/>
      <c r="R1236" s="302"/>
      <c r="S1236" s="219"/>
      <c r="T1236" s="219"/>
      <c r="U1236" s="219"/>
      <c r="V1236" s="303"/>
      <c r="W1236" s="247"/>
      <c r="X1236" s="245"/>
      <c r="Y1236" s="245"/>
      <c r="Z1236" s="245"/>
      <c r="AA1236" s="245"/>
      <c r="AB1236" s="245"/>
      <c r="AC1236" s="249"/>
      <c r="AD1236" s="249"/>
      <c r="AE1236" s="249"/>
      <c r="AF1236" s="8"/>
      <c r="AG1236" s="8"/>
      <c r="AH1236" s="72"/>
      <c r="AI1236" s="8"/>
      <c r="AJ1236" s="251"/>
      <c r="AK1236" s="23"/>
      <c r="AL1236" s="75"/>
      <c r="AM1236" s="75" t="str">
        <f t="shared" si="141"/>
        <v/>
      </c>
      <c r="AN1236" s="75"/>
      <c r="AO1236" s="75"/>
      <c r="AP1236" s="75"/>
      <c r="AQ1236" s="75"/>
      <c r="AR1236" s="75"/>
      <c r="AS1236" s="75"/>
      <c r="AT1236" s="75"/>
    </row>
    <row r="1237" ht="22.5" customHeight="1">
      <c r="A1237" s="219"/>
      <c r="B1237" s="219"/>
      <c r="C1237" s="219"/>
      <c r="D1237" s="219"/>
      <c r="E1237" s="219"/>
      <c r="F1237" s="219"/>
      <c r="G1237" s="219"/>
      <c r="H1237" s="219"/>
      <c r="I1237" s="249"/>
      <c r="J1237" s="243"/>
      <c r="K1237" s="219"/>
      <c r="L1237" s="244"/>
      <c r="M1237" s="219"/>
      <c r="N1237" s="219"/>
      <c r="O1237" s="219"/>
      <c r="P1237" s="244"/>
      <c r="Q1237" s="219"/>
      <c r="R1237" s="302"/>
      <c r="S1237" s="219"/>
      <c r="T1237" s="219"/>
      <c r="U1237" s="219"/>
      <c r="V1237" s="303"/>
      <c r="W1237" s="247"/>
      <c r="X1237" s="245"/>
      <c r="Y1237" s="245"/>
      <c r="Z1237" s="245"/>
      <c r="AA1237" s="245"/>
      <c r="AB1237" s="245"/>
      <c r="AC1237" s="249"/>
      <c r="AD1237" s="249"/>
      <c r="AE1237" s="249"/>
      <c r="AF1237" s="8"/>
      <c r="AG1237" s="8"/>
      <c r="AH1237" s="72"/>
      <c r="AI1237" s="8"/>
      <c r="AJ1237" s="251"/>
      <c r="AK1237" s="23"/>
      <c r="AL1237" s="75"/>
      <c r="AM1237" s="75" t="str">
        <f t="shared" si="141"/>
        <v/>
      </c>
      <c r="AN1237" s="75"/>
      <c r="AO1237" s="75"/>
      <c r="AP1237" s="75"/>
      <c r="AQ1237" s="75"/>
      <c r="AR1237" s="75"/>
      <c r="AS1237" s="75"/>
      <c r="AT1237" s="75"/>
    </row>
    <row r="1238" ht="22.5" customHeight="1">
      <c r="A1238" s="219"/>
      <c r="B1238" s="219"/>
      <c r="C1238" s="219"/>
      <c r="D1238" s="219"/>
      <c r="E1238" s="219"/>
      <c r="F1238" s="219"/>
      <c r="G1238" s="219"/>
      <c r="H1238" s="219"/>
      <c r="I1238" s="249"/>
      <c r="J1238" s="243"/>
      <c r="K1238" s="219"/>
      <c r="L1238" s="244"/>
      <c r="M1238" s="219"/>
      <c r="N1238" s="219"/>
      <c r="O1238" s="219"/>
      <c r="P1238" s="244"/>
      <c r="Q1238" s="219"/>
      <c r="R1238" s="302"/>
      <c r="S1238" s="219"/>
      <c r="T1238" s="219"/>
      <c r="U1238" s="219"/>
      <c r="V1238" s="303"/>
      <c r="W1238" s="247"/>
      <c r="X1238" s="245"/>
      <c r="Y1238" s="245"/>
      <c r="Z1238" s="245"/>
      <c r="AA1238" s="245"/>
      <c r="AB1238" s="245"/>
      <c r="AC1238" s="249"/>
      <c r="AD1238" s="249"/>
      <c r="AE1238" s="249"/>
      <c r="AF1238" s="8"/>
      <c r="AG1238" s="8"/>
      <c r="AH1238" s="72"/>
      <c r="AI1238" s="8"/>
      <c r="AJ1238" s="251"/>
      <c r="AK1238" s="23"/>
      <c r="AL1238" s="75"/>
      <c r="AM1238" s="75" t="str">
        <f t="shared" si="141"/>
        <v/>
      </c>
      <c r="AN1238" s="75"/>
      <c r="AO1238" s="75"/>
      <c r="AP1238" s="75"/>
      <c r="AQ1238" s="75"/>
      <c r="AR1238" s="75"/>
      <c r="AS1238" s="75"/>
      <c r="AT1238" s="75"/>
    </row>
    <row r="1239" ht="22.5" customHeight="1">
      <c r="A1239" s="219"/>
      <c r="B1239" s="219"/>
      <c r="C1239" s="219"/>
      <c r="D1239" s="219"/>
      <c r="E1239" s="219"/>
      <c r="F1239" s="219"/>
      <c r="G1239" s="219"/>
      <c r="H1239" s="219"/>
      <c r="I1239" s="249"/>
      <c r="J1239" s="243"/>
      <c r="K1239" s="219"/>
      <c r="L1239" s="244"/>
      <c r="M1239" s="219"/>
      <c r="N1239" s="219"/>
      <c r="O1239" s="219"/>
      <c r="P1239" s="244"/>
      <c r="Q1239" s="219"/>
      <c r="R1239" s="302"/>
      <c r="S1239" s="219"/>
      <c r="T1239" s="219"/>
      <c r="U1239" s="219"/>
      <c r="V1239" s="303"/>
      <c r="W1239" s="247"/>
      <c r="X1239" s="245"/>
      <c r="Y1239" s="245"/>
      <c r="Z1239" s="245"/>
      <c r="AA1239" s="245"/>
      <c r="AB1239" s="245"/>
      <c r="AC1239" s="249"/>
      <c r="AD1239" s="249"/>
      <c r="AE1239" s="249"/>
      <c r="AF1239" s="8"/>
      <c r="AG1239" s="8"/>
      <c r="AH1239" s="72"/>
      <c r="AI1239" s="8"/>
      <c r="AJ1239" s="251"/>
      <c r="AK1239" s="23"/>
      <c r="AL1239" s="75"/>
      <c r="AM1239" s="75" t="str">
        <f t="shared" si="141"/>
        <v/>
      </c>
      <c r="AN1239" s="75"/>
      <c r="AO1239" s="75"/>
      <c r="AP1239" s="75"/>
      <c r="AQ1239" s="75"/>
      <c r="AR1239" s="75"/>
      <c r="AS1239" s="75"/>
      <c r="AT1239" s="75"/>
    </row>
    <row r="1240" ht="22.5" customHeight="1">
      <c r="A1240" s="219"/>
      <c r="B1240" s="219"/>
      <c r="C1240" s="219"/>
      <c r="D1240" s="219"/>
      <c r="E1240" s="219"/>
      <c r="F1240" s="219"/>
      <c r="G1240" s="219"/>
      <c r="H1240" s="219"/>
      <c r="I1240" s="249"/>
      <c r="J1240" s="243"/>
      <c r="K1240" s="219"/>
      <c r="L1240" s="244"/>
      <c r="M1240" s="219"/>
      <c r="N1240" s="219"/>
      <c r="O1240" s="219"/>
      <c r="P1240" s="244"/>
      <c r="Q1240" s="219"/>
      <c r="R1240" s="302"/>
      <c r="S1240" s="219"/>
      <c r="T1240" s="219"/>
      <c r="U1240" s="219"/>
      <c r="V1240" s="303"/>
      <c r="W1240" s="247"/>
      <c r="X1240" s="245"/>
      <c r="Y1240" s="245"/>
      <c r="Z1240" s="245"/>
      <c r="AA1240" s="245"/>
      <c r="AB1240" s="245"/>
      <c r="AC1240" s="249"/>
      <c r="AD1240" s="249"/>
      <c r="AE1240" s="249"/>
      <c r="AF1240" s="8"/>
      <c r="AG1240" s="8"/>
      <c r="AH1240" s="72"/>
      <c r="AI1240" s="8"/>
      <c r="AJ1240" s="251"/>
      <c r="AK1240" s="23"/>
      <c r="AL1240" s="75"/>
      <c r="AM1240" s="75" t="str">
        <f t="shared" si="141"/>
        <v/>
      </c>
      <c r="AN1240" s="75"/>
      <c r="AO1240" s="75"/>
      <c r="AP1240" s="75"/>
      <c r="AQ1240" s="75"/>
      <c r="AR1240" s="75"/>
      <c r="AS1240" s="75"/>
      <c r="AT1240" s="75"/>
    </row>
    <row r="1241" ht="22.5" customHeight="1">
      <c r="A1241" s="219"/>
      <c r="B1241" s="219"/>
      <c r="C1241" s="219"/>
      <c r="D1241" s="219"/>
      <c r="E1241" s="219"/>
      <c r="F1241" s="219"/>
      <c r="G1241" s="219"/>
      <c r="H1241" s="219"/>
      <c r="I1241" s="249"/>
      <c r="J1241" s="243"/>
      <c r="K1241" s="219"/>
      <c r="L1241" s="244"/>
      <c r="M1241" s="219"/>
      <c r="N1241" s="219"/>
      <c r="O1241" s="219"/>
      <c r="P1241" s="244"/>
      <c r="Q1241" s="219"/>
      <c r="R1241" s="302"/>
      <c r="S1241" s="219"/>
      <c r="T1241" s="219"/>
      <c r="U1241" s="219"/>
      <c r="V1241" s="303"/>
      <c r="W1241" s="247"/>
      <c r="X1241" s="245"/>
      <c r="Y1241" s="245"/>
      <c r="Z1241" s="245"/>
      <c r="AA1241" s="245"/>
      <c r="AB1241" s="245"/>
      <c r="AC1241" s="249"/>
      <c r="AD1241" s="249"/>
      <c r="AE1241" s="249"/>
      <c r="AF1241" s="8"/>
      <c r="AG1241" s="8"/>
      <c r="AH1241" s="72"/>
      <c r="AI1241" s="8"/>
      <c r="AJ1241" s="251"/>
      <c r="AK1241" s="23"/>
      <c r="AL1241" s="75"/>
      <c r="AM1241" s="75" t="str">
        <f t="shared" si="141"/>
        <v/>
      </c>
      <c r="AN1241" s="75"/>
      <c r="AO1241" s="75"/>
      <c r="AP1241" s="75"/>
      <c r="AQ1241" s="75"/>
      <c r="AR1241" s="75"/>
      <c r="AS1241" s="75"/>
      <c r="AT1241" s="75"/>
    </row>
    <row r="1242" ht="22.5" customHeight="1">
      <c r="A1242" s="219"/>
      <c r="B1242" s="219"/>
      <c r="C1242" s="219"/>
      <c r="D1242" s="219"/>
      <c r="E1242" s="219"/>
      <c r="F1242" s="219"/>
      <c r="G1242" s="219"/>
      <c r="H1242" s="219"/>
      <c r="I1242" s="249"/>
      <c r="J1242" s="243"/>
      <c r="K1242" s="219"/>
      <c r="L1242" s="244"/>
      <c r="M1242" s="219"/>
      <c r="N1242" s="219"/>
      <c r="O1242" s="219"/>
      <c r="P1242" s="244"/>
      <c r="Q1242" s="219"/>
      <c r="R1242" s="302"/>
      <c r="S1242" s="219"/>
      <c r="T1242" s="219"/>
      <c r="U1242" s="219"/>
      <c r="V1242" s="303"/>
      <c r="W1242" s="247"/>
      <c r="X1242" s="245"/>
      <c r="Y1242" s="245"/>
      <c r="Z1242" s="245"/>
      <c r="AA1242" s="245"/>
      <c r="AB1242" s="245"/>
      <c r="AC1242" s="249"/>
      <c r="AD1242" s="249"/>
      <c r="AE1242" s="249"/>
      <c r="AF1242" s="8"/>
      <c r="AG1242" s="8"/>
      <c r="AH1242" s="72"/>
      <c r="AI1242" s="8"/>
      <c r="AJ1242" s="251"/>
      <c r="AK1242" s="23"/>
      <c r="AL1242" s="75"/>
      <c r="AM1242" s="75" t="str">
        <f t="shared" si="141"/>
        <v/>
      </c>
      <c r="AN1242" s="75"/>
      <c r="AO1242" s="75"/>
      <c r="AP1242" s="75"/>
      <c r="AQ1242" s="75"/>
      <c r="AR1242" s="75"/>
      <c r="AS1242" s="75"/>
      <c r="AT1242" s="75"/>
    </row>
    <row r="1243" ht="22.5" customHeight="1">
      <c r="A1243" s="219"/>
      <c r="B1243" s="219"/>
      <c r="C1243" s="219"/>
      <c r="D1243" s="219"/>
      <c r="E1243" s="219"/>
      <c r="F1243" s="219"/>
      <c r="G1243" s="219"/>
      <c r="H1243" s="219"/>
      <c r="I1243" s="249"/>
      <c r="J1243" s="243"/>
      <c r="K1243" s="219"/>
      <c r="L1243" s="244"/>
      <c r="M1243" s="219"/>
      <c r="N1243" s="219"/>
      <c r="O1243" s="219"/>
      <c r="P1243" s="244"/>
      <c r="Q1243" s="219"/>
      <c r="R1243" s="302"/>
      <c r="S1243" s="219"/>
      <c r="T1243" s="219"/>
      <c r="U1243" s="219"/>
      <c r="V1243" s="303"/>
      <c r="W1243" s="247"/>
      <c r="X1243" s="245"/>
      <c r="Y1243" s="245"/>
      <c r="Z1243" s="245"/>
      <c r="AA1243" s="245"/>
      <c r="AB1243" s="245"/>
      <c r="AC1243" s="249"/>
      <c r="AD1243" s="249"/>
      <c r="AE1243" s="249"/>
      <c r="AF1243" s="8"/>
      <c r="AG1243" s="8"/>
      <c r="AH1243" s="72"/>
      <c r="AI1243" s="8"/>
      <c r="AJ1243" s="251"/>
      <c r="AK1243" s="23"/>
      <c r="AL1243" s="75"/>
      <c r="AM1243" s="75" t="str">
        <f t="shared" si="141"/>
        <v/>
      </c>
      <c r="AN1243" s="75"/>
      <c r="AO1243" s="75"/>
      <c r="AP1243" s="75"/>
      <c r="AQ1243" s="75"/>
      <c r="AR1243" s="75"/>
      <c r="AS1243" s="75"/>
      <c r="AT1243" s="75"/>
    </row>
    <row r="1244" ht="22.5" customHeight="1">
      <c r="A1244" s="219"/>
      <c r="B1244" s="219"/>
      <c r="C1244" s="219"/>
      <c r="D1244" s="219"/>
      <c r="E1244" s="219"/>
      <c r="F1244" s="219"/>
      <c r="G1244" s="219"/>
      <c r="H1244" s="219"/>
      <c r="I1244" s="249"/>
      <c r="J1244" s="243"/>
      <c r="K1244" s="219"/>
      <c r="L1244" s="244"/>
      <c r="M1244" s="219"/>
      <c r="N1244" s="219"/>
      <c r="O1244" s="219"/>
      <c r="P1244" s="244"/>
      <c r="Q1244" s="219"/>
      <c r="R1244" s="302"/>
      <c r="S1244" s="219"/>
      <c r="T1244" s="219"/>
      <c r="U1244" s="219"/>
      <c r="V1244" s="303"/>
      <c r="W1244" s="247"/>
      <c r="X1244" s="245"/>
      <c r="Y1244" s="245"/>
      <c r="Z1244" s="245"/>
      <c r="AA1244" s="245"/>
      <c r="AB1244" s="245"/>
      <c r="AC1244" s="249"/>
      <c r="AD1244" s="249"/>
      <c r="AE1244" s="249"/>
      <c r="AF1244" s="8"/>
      <c r="AG1244" s="8"/>
      <c r="AH1244" s="72"/>
      <c r="AI1244" s="8"/>
      <c r="AJ1244" s="251"/>
      <c r="AK1244" s="23"/>
      <c r="AL1244" s="75"/>
      <c r="AM1244" s="75" t="str">
        <f t="shared" si="141"/>
        <v/>
      </c>
      <c r="AN1244" s="75"/>
      <c r="AO1244" s="75"/>
      <c r="AP1244" s="75"/>
      <c r="AQ1244" s="75"/>
      <c r="AR1244" s="75"/>
      <c r="AS1244" s="75"/>
      <c r="AT1244" s="75"/>
    </row>
    <row r="1245" ht="22.5" customHeight="1">
      <c r="A1245" s="219"/>
      <c r="B1245" s="219"/>
      <c r="C1245" s="219"/>
      <c r="D1245" s="219"/>
      <c r="E1245" s="219"/>
      <c r="F1245" s="219"/>
      <c r="G1245" s="219"/>
      <c r="H1245" s="219"/>
      <c r="I1245" s="249"/>
      <c r="J1245" s="243"/>
      <c r="K1245" s="219"/>
      <c r="L1245" s="244"/>
      <c r="M1245" s="219"/>
      <c r="N1245" s="219"/>
      <c r="O1245" s="219"/>
      <c r="P1245" s="244"/>
      <c r="Q1245" s="219"/>
      <c r="R1245" s="302"/>
      <c r="S1245" s="219"/>
      <c r="T1245" s="219"/>
      <c r="U1245" s="219"/>
      <c r="V1245" s="303"/>
      <c r="W1245" s="247"/>
      <c r="X1245" s="245"/>
      <c r="Y1245" s="245"/>
      <c r="Z1245" s="245"/>
      <c r="AA1245" s="245"/>
      <c r="AB1245" s="245"/>
      <c r="AC1245" s="249"/>
      <c r="AD1245" s="249"/>
      <c r="AE1245" s="249"/>
      <c r="AF1245" s="8"/>
      <c r="AG1245" s="8"/>
      <c r="AH1245" s="72"/>
      <c r="AI1245" s="8"/>
      <c r="AJ1245" s="251"/>
      <c r="AK1245" s="23"/>
      <c r="AL1245" s="75"/>
      <c r="AM1245" s="75" t="str">
        <f t="shared" si="141"/>
        <v/>
      </c>
      <c r="AN1245" s="75"/>
      <c r="AO1245" s="75"/>
      <c r="AP1245" s="75"/>
      <c r="AQ1245" s="75"/>
      <c r="AR1245" s="75"/>
      <c r="AS1245" s="75"/>
      <c r="AT1245" s="75"/>
    </row>
    <row r="1246" ht="22.5" customHeight="1">
      <c r="A1246" s="219"/>
      <c r="B1246" s="219"/>
      <c r="C1246" s="219"/>
      <c r="D1246" s="219"/>
      <c r="E1246" s="219"/>
      <c r="F1246" s="219"/>
      <c r="G1246" s="219"/>
      <c r="H1246" s="219"/>
      <c r="I1246" s="249"/>
      <c r="J1246" s="243"/>
      <c r="K1246" s="219"/>
      <c r="L1246" s="244"/>
      <c r="M1246" s="219"/>
      <c r="N1246" s="219"/>
      <c r="O1246" s="219"/>
      <c r="P1246" s="244"/>
      <c r="Q1246" s="219"/>
      <c r="R1246" s="302"/>
      <c r="S1246" s="219"/>
      <c r="T1246" s="219"/>
      <c r="U1246" s="219"/>
      <c r="V1246" s="303"/>
      <c r="W1246" s="247"/>
      <c r="X1246" s="245"/>
      <c r="Y1246" s="245"/>
      <c r="Z1246" s="245"/>
      <c r="AA1246" s="245"/>
      <c r="AB1246" s="245"/>
      <c r="AC1246" s="249"/>
      <c r="AD1246" s="249"/>
      <c r="AE1246" s="249"/>
      <c r="AF1246" s="8"/>
      <c r="AG1246" s="8"/>
      <c r="AH1246" s="72"/>
      <c r="AI1246" s="8"/>
      <c r="AJ1246" s="251"/>
      <c r="AK1246" s="23"/>
      <c r="AL1246" s="75"/>
      <c r="AM1246" s="75" t="str">
        <f t="shared" si="141"/>
        <v/>
      </c>
      <c r="AN1246" s="75"/>
      <c r="AO1246" s="75"/>
      <c r="AP1246" s="75"/>
      <c r="AQ1246" s="75"/>
      <c r="AR1246" s="75"/>
      <c r="AS1246" s="75"/>
      <c r="AT1246" s="75"/>
    </row>
    <row r="1247" ht="22.5" customHeight="1">
      <c r="A1247" s="219"/>
      <c r="B1247" s="219"/>
      <c r="C1247" s="219"/>
      <c r="D1247" s="219"/>
      <c r="E1247" s="219"/>
      <c r="F1247" s="219"/>
      <c r="G1247" s="219"/>
      <c r="H1247" s="219"/>
      <c r="I1247" s="249"/>
      <c r="J1247" s="243"/>
      <c r="K1247" s="219"/>
      <c r="L1247" s="244"/>
      <c r="M1247" s="219"/>
      <c r="N1247" s="219"/>
      <c r="O1247" s="219"/>
      <c r="P1247" s="244"/>
      <c r="Q1247" s="219"/>
      <c r="R1247" s="302"/>
      <c r="S1247" s="219"/>
      <c r="T1247" s="219"/>
      <c r="U1247" s="219"/>
      <c r="V1247" s="303"/>
      <c r="W1247" s="247"/>
      <c r="X1247" s="245"/>
      <c r="Y1247" s="245"/>
      <c r="Z1247" s="245"/>
      <c r="AA1247" s="245"/>
      <c r="AB1247" s="245"/>
      <c r="AC1247" s="249"/>
      <c r="AD1247" s="249"/>
      <c r="AE1247" s="249"/>
      <c r="AF1247" s="8"/>
      <c r="AG1247" s="8"/>
      <c r="AH1247" s="72"/>
      <c r="AI1247" s="8"/>
      <c r="AJ1247" s="251"/>
      <c r="AK1247" s="23"/>
      <c r="AL1247" s="75"/>
      <c r="AM1247" s="75" t="str">
        <f t="shared" si="141"/>
        <v/>
      </c>
      <c r="AN1247" s="75"/>
      <c r="AO1247" s="75"/>
      <c r="AP1247" s="75"/>
      <c r="AQ1247" s="75"/>
      <c r="AR1247" s="75"/>
      <c r="AS1247" s="75"/>
      <c r="AT1247" s="75"/>
    </row>
    <row r="1248" ht="22.5" customHeight="1">
      <c r="A1248" s="219"/>
      <c r="B1248" s="219"/>
      <c r="C1248" s="219"/>
      <c r="D1248" s="219"/>
      <c r="E1248" s="219"/>
      <c r="F1248" s="219"/>
      <c r="G1248" s="219"/>
      <c r="H1248" s="219"/>
      <c r="I1248" s="249"/>
      <c r="J1248" s="243"/>
      <c r="K1248" s="219"/>
      <c r="L1248" s="244"/>
      <c r="M1248" s="219"/>
      <c r="N1248" s="219"/>
      <c r="O1248" s="219"/>
      <c r="P1248" s="244"/>
      <c r="Q1248" s="219"/>
      <c r="R1248" s="302"/>
      <c r="S1248" s="219"/>
      <c r="T1248" s="219"/>
      <c r="U1248" s="219"/>
      <c r="V1248" s="303"/>
      <c r="W1248" s="247"/>
      <c r="X1248" s="245"/>
      <c r="Y1248" s="245"/>
      <c r="Z1248" s="245"/>
      <c r="AA1248" s="245"/>
      <c r="AB1248" s="245"/>
      <c r="AC1248" s="249"/>
      <c r="AD1248" s="249"/>
      <c r="AE1248" s="249"/>
      <c r="AF1248" s="8"/>
      <c r="AG1248" s="8"/>
      <c r="AH1248" s="72"/>
      <c r="AI1248" s="8"/>
      <c r="AJ1248" s="251"/>
      <c r="AK1248" s="23"/>
      <c r="AL1248" s="75"/>
      <c r="AM1248" s="75" t="str">
        <f t="shared" si="141"/>
        <v/>
      </c>
      <c r="AN1248" s="75"/>
      <c r="AO1248" s="75"/>
      <c r="AP1248" s="75"/>
      <c r="AQ1248" s="75"/>
      <c r="AR1248" s="75"/>
      <c r="AS1248" s="75"/>
      <c r="AT1248" s="75"/>
    </row>
    <row r="1249" ht="22.5" customHeight="1">
      <c r="A1249" s="219"/>
      <c r="B1249" s="219"/>
      <c r="C1249" s="219"/>
      <c r="D1249" s="219"/>
      <c r="E1249" s="219"/>
      <c r="F1249" s="219"/>
      <c r="G1249" s="219"/>
      <c r="H1249" s="219"/>
      <c r="I1249" s="249"/>
      <c r="J1249" s="243"/>
      <c r="K1249" s="219"/>
      <c r="L1249" s="244"/>
      <c r="M1249" s="219"/>
      <c r="N1249" s="219"/>
      <c r="O1249" s="219"/>
      <c r="P1249" s="244"/>
      <c r="Q1249" s="219"/>
      <c r="R1249" s="302"/>
      <c r="S1249" s="219"/>
      <c r="T1249" s="219"/>
      <c r="U1249" s="219"/>
      <c r="V1249" s="303"/>
      <c r="W1249" s="247"/>
      <c r="X1249" s="245"/>
      <c r="Y1249" s="245"/>
      <c r="Z1249" s="245"/>
      <c r="AA1249" s="245"/>
      <c r="AB1249" s="245"/>
      <c r="AC1249" s="249"/>
      <c r="AD1249" s="249"/>
      <c r="AE1249" s="249"/>
      <c r="AF1249" s="8"/>
      <c r="AG1249" s="8"/>
      <c r="AH1249" s="72"/>
      <c r="AI1249" s="8"/>
      <c r="AJ1249" s="251"/>
      <c r="AK1249" s="23"/>
      <c r="AL1249" s="75"/>
      <c r="AM1249" s="75" t="str">
        <f t="shared" si="141"/>
        <v/>
      </c>
      <c r="AN1249" s="75"/>
      <c r="AO1249" s="75"/>
      <c r="AP1249" s="75"/>
      <c r="AQ1249" s="75"/>
      <c r="AR1249" s="75"/>
      <c r="AS1249" s="75"/>
      <c r="AT1249" s="75"/>
    </row>
    <row r="1250" ht="22.5" customHeight="1">
      <c r="A1250" s="219"/>
      <c r="B1250" s="219"/>
      <c r="C1250" s="219"/>
      <c r="D1250" s="219"/>
      <c r="E1250" s="219"/>
      <c r="F1250" s="219"/>
      <c r="G1250" s="219"/>
      <c r="H1250" s="219"/>
      <c r="I1250" s="249"/>
      <c r="J1250" s="243"/>
      <c r="K1250" s="219"/>
      <c r="L1250" s="244"/>
      <c r="M1250" s="219"/>
      <c r="N1250" s="219"/>
      <c r="O1250" s="219"/>
      <c r="P1250" s="244"/>
      <c r="Q1250" s="219"/>
      <c r="R1250" s="302"/>
      <c r="S1250" s="219"/>
      <c r="T1250" s="219"/>
      <c r="U1250" s="219"/>
      <c r="V1250" s="303"/>
      <c r="W1250" s="247"/>
      <c r="X1250" s="245"/>
      <c r="Y1250" s="245"/>
      <c r="Z1250" s="245"/>
      <c r="AA1250" s="245"/>
      <c r="AB1250" s="245"/>
      <c r="AC1250" s="249"/>
      <c r="AD1250" s="249"/>
      <c r="AE1250" s="249"/>
      <c r="AF1250" s="8"/>
      <c r="AG1250" s="8"/>
      <c r="AH1250" s="72"/>
      <c r="AI1250" s="8"/>
      <c r="AJ1250" s="251"/>
      <c r="AK1250" s="23"/>
      <c r="AL1250" s="75"/>
      <c r="AM1250" s="75" t="str">
        <f t="shared" si="141"/>
        <v/>
      </c>
      <c r="AN1250" s="75"/>
      <c r="AO1250" s="75"/>
      <c r="AP1250" s="75"/>
      <c r="AQ1250" s="75"/>
      <c r="AR1250" s="75"/>
      <c r="AS1250" s="75"/>
      <c r="AT1250" s="75"/>
    </row>
    <row r="1251" ht="22.5" customHeight="1">
      <c r="A1251" s="219"/>
      <c r="B1251" s="219"/>
      <c r="C1251" s="219"/>
      <c r="D1251" s="219"/>
      <c r="E1251" s="219"/>
      <c r="F1251" s="219"/>
      <c r="G1251" s="219"/>
      <c r="H1251" s="219"/>
      <c r="I1251" s="249"/>
      <c r="J1251" s="243"/>
      <c r="K1251" s="219"/>
      <c r="L1251" s="244"/>
      <c r="M1251" s="219"/>
      <c r="N1251" s="219"/>
      <c r="O1251" s="219"/>
      <c r="P1251" s="244"/>
      <c r="Q1251" s="219"/>
      <c r="R1251" s="302"/>
      <c r="S1251" s="219"/>
      <c r="T1251" s="219"/>
      <c r="U1251" s="219"/>
      <c r="V1251" s="303"/>
      <c r="W1251" s="247"/>
      <c r="X1251" s="245"/>
      <c r="Y1251" s="245"/>
      <c r="Z1251" s="245"/>
      <c r="AA1251" s="245"/>
      <c r="AB1251" s="245"/>
      <c r="AC1251" s="249"/>
      <c r="AD1251" s="249"/>
      <c r="AE1251" s="249"/>
      <c r="AF1251" s="8"/>
      <c r="AG1251" s="8"/>
      <c r="AH1251" s="72"/>
      <c r="AI1251" s="8"/>
      <c r="AJ1251" s="251"/>
      <c r="AK1251" s="23"/>
      <c r="AL1251" s="75"/>
      <c r="AM1251" s="75" t="str">
        <f t="shared" si="141"/>
        <v/>
      </c>
      <c r="AN1251" s="75"/>
      <c r="AO1251" s="75"/>
      <c r="AP1251" s="75"/>
      <c r="AQ1251" s="75"/>
      <c r="AR1251" s="75"/>
      <c r="AS1251" s="75"/>
      <c r="AT1251" s="75"/>
    </row>
    <row r="1252" ht="22.5" customHeight="1">
      <c r="A1252" s="219"/>
      <c r="B1252" s="219"/>
      <c r="C1252" s="219"/>
      <c r="D1252" s="219"/>
      <c r="E1252" s="219"/>
      <c r="F1252" s="219"/>
      <c r="G1252" s="219"/>
      <c r="H1252" s="219"/>
      <c r="I1252" s="249"/>
      <c r="J1252" s="243"/>
      <c r="K1252" s="219"/>
      <c r="L1252" s="244"/>
      <c r="M1252" s="219"/>
      <c r="N1252" s="219"/>
      <c r="O1252" s="219"/>
      <c r="P1252" s="244"/>
      <c r="Q1252" s="219"/>
      <c r="R1252" s="302"/>
      <c r="S1252" s="219"/>
      <c r="T1252" s="219"/>
      <c r="U1252" s="219"/>
      <c r="V1252" s="303"/>
      <c r="W1252" s="247"/>
      <c r="X1252" s="245"/>
      <c r="Y1252" s="245"/>
      <c r="Z1252" s="245"/>
      <c r="AA1252" s="245"/>
      <c r="AB1252" s="245"/>
      <c r="AC1252" s="249"/>
      <c r="AD1252" s="249"/>
      <c r="AE1252" s="249"/>
      <c r="AF1252" s="8"/>
      <c r="AG1252" s="8"/>
      <c r="AH1252" s="72"/>
      <c r="AI1252" s="8"/>
      <c r="AJ1252" s="251"/>
      <c r="AK1252" s="23"/>
      <c r="AL1252" s="75"/>
      <c r="AM1252" s="75" t="str">
        <f t="shared" si="141"/>
        <v/>
      </c>
      <c r="AN1252" s="75"/>
      <c r="AO1252" s="75"/>
      <c r="AP1252" s="75"/>
      <c r="AQ1252" s="75"/>
      <c r="AR1252" s="75"/>
      <c r="AS1252" s="75"/>
      <c r="AT1252" s="75"/>
    </row>
    <row r="1253" ht="22.5" customHeight="1">
      <c r="A1253" s="219"/>
      <c r="B1253" s="219"/>
      <c r="C1253" s="219"/>
      <c r="D1253" s="219"/>
      <c r="E1253" s="219"/>
      <c r="F1253" s="219"/>
      <c r="G1253" s="219"/>
      <c r="H1253" s="219"/>
      <c r="I1253" s="249"/>
      <c r="J1253" s="243"/>
      <c r="K1253" s="219"/>
      <c r="L1253" s="244"/>
      <c r="M1253" s="219"/>
      <c r="N1253" s="219"/>
      <c r="O1253" s="219"/>
      <c r="P1253" s="244"/>
      <c r="Q1253" s="219"/>
      <c r="R1253" s="302"/>
      <c r="S1253" s="219"/>
      <c r="T1253" s="219"/>
      <c r="U1253" s="219"/>
      <c r="V1253" s="303"/>
      <c r="W1253" s="247"/>
      <c r="X1253" s="245"/>
      <c r="Y1253" s="245"/>
      <c r="Z1253" s="245"/>
      <c r="AA1253" s="245"/>
      <c r="AB1253" s="245"/>
      <c r="AC1253" s="249"/>
      <c r="AD1253" s="249"/>
      <c r="AE1253" s="249"/>
      <c r="AF1253" s="8"/>
      <c r="AG1253" s="8"/>
      <c r="AH1253" s="72"/>
      <c r="AI1253" s="8"/>
      <c r="AJ1253" s="251"/>
      <c r="AK1253" s="23"/>
      <c r="AL1253" s="75"/>
      <c r="AM1253" s="75" t="str">
        <f t="shared" si="141"/>
        <v/>
      </c>
      <c r="AN1253" s="75"/>
      <c r="AO1253" s="75"/>
      <c r="AP1253" s="75"/>
      <c r="AQ1253" s="75"/>
      <c r="AR1253" s="75"/>
      <c r="AS1253" s="75"/>
      <c r="AT1253" s="75"/>
    </row>
    <row r="1254" ht="22.5" customHeight="1">
      <c r="A1254" s="219"/>
      <c r="B1254" s="219"/>
      <c r="C1254" s="219"/>
      <c r="D1254" s="219"/>
      <c r="E1254" s="219"/>
      <c r="F1254" s="219"/>
      <c r="G1254" s="219"/>
      <c r="H1254" s="219"/>
      <c r="I1254" s="249"/>
      <c r="J1254" s="243"/>
      <c r="K1254" s="219"/>
      <c r="L1254" s="244"/>
      <c r="M1254" s="219"/>
      <c r="N1254" s="219"/>
      <c r="O1254" s="219"/>
      <c r="P1254" s="244"/>
      <c r="Q1254" s="219"/>
      <c r="R1254" s="302"/>
      <c r="S1254" s="219"/>
      <c r="T1254" s="219"/>
      <c r="U1254" s="219"/>
      <c r="V1254" s="303"/>
      <c r="W1254" s="247"/>
      <c r="X1254" s="245"/>
      <c r="Y1254" s="245"/>
      <c r="Z1254" s="245"/>
      <c r="AA1254" s="245"/>
      <c r="AB1254" s="245"/>
      <c r="AC1254" s="249"/>
      <c r="AD1254" s="249"/>
      <c r="AE1254" s="249"/>
      <c r="AF1254" s="8"/>
      <c r="AG1254" s="8"/>
      <c r="AH1254" s="72"/>
      <c r="AI1254" s="8"/>
      <c r="AJ1254" s="251"/>
      <c r="AK1254" s="23"/>
      <c r="AL1254" s="75"/>
      <c r="AM1254" s="75" t="str">
        <f t="shared" si="141"/>
        <v/>
      </c>
      <c r="AN1254" s="75"/>
      <c r="AO1254" s="75"/>
      <c r="AP1254" s="75"/>
      <c r="AQ1254" s="75"/>
      <c r="AR1254" s="75"/>
      <c r="AS1254" s="75"/>
      <c r="AT1254" s="75"/>
    </row>
    <row r="1255" ht="22.5" customHeight="1">
      <c r="A1255" s="219"/>
      <c r="B1255" s="219"/>
      <c r="C1255" s="219"/>
      <c r="D1255" s="219"/>
      <c r="E1255" s="219"/>
      <c r="F1255" s="219"/>
      <c r="G1255" s="219"/>
      <c r="H1255" s="219"/>
      <c r="I1255" s="249"/>
      <c r="J1255" s="243"/>
      <c r="K1255" s="219"/>
      <c r="L1255" s="244"/>
      <c r="M1255" s="219"/>
      <c r="N1255" s="219"/>
      <c r="O1255" s="219"/>
      <c r="P1255" s="244"/>
      <c r="Q1255" s="219"/>
      <c r="R1255" s="302"/>
      <c r="S1255" s="219"/>
      <c r="T1255" s="219"/>
      <c r="U1255" s="219"/>
      <c r="V1255" s="303"/>
      <c r="W1255" s="247"/>
      <c r="X1255" s="245"/>
      <c r="Y1255" s="245"/>
      <c r="Z1255" s="245"/>
      <c r="AA1255" s="245"/>
      <c r="AB1255" s="245"/>
      <c r="AC1255" s="249"/>
      <c r="AD1255" s="249"/>
      <c r="AE1255" s="249"/>
      <c r="AF1255" s="8"/>
      <c r="AG1255" s="8"/>
      <c r="AH1255" s="72"/>
      <c r="AI1255" s="8"/>
      <c r="AJ1255" s="251"/>
      <c r="AK1255" s="23"/>
      <c r="AL1255" s="75"/>
      <c r="AM1255" s="75" t="str">
        <f t="shared" si="141"/>
        <v/>
      </c>
      <c r="AN1255" s="75"/>
      <c r="AO1255" s="75"/>
      <c r="AP1255" s="75"/>
      <c r="AQ1255" s="75"/>
      <c r="AR1255" s="75"/>
      <c r="AS1255" s="75"/>
      <c r="AT1255" s="75"/>
    </row>
    <row r="1256" ht="22.5" customHeight="1">
      <c r="A1256" s="219"/>
      <c r="B1256" s="219"/>
      <c r="C1256" s="219"/>
      <c r="D1256" s="219"/>
      <c r="E1256" s="219"/>
      <c r="F1256" s="219"/>
      <c r="G1256" s="219"/>
      <c r="H1256" s="219"/>
      <c r="I1256" s="249"/>
      <c r="J1256" s="243"/>
      <c r="K1256" s="219"/>
      <c r="L1256" s="244"/>
      <c r="M1256" s="219"/>
      <c r="N1256" s="219"/>
      <c r="O1256" s="219"/>
      <c r="P1256" s="244"/>
      <c r="Q1256" s="219"/>
      <c r="R1256" s="302"/>
      <c r="S1256" s="219"/>
      <c r="T1256" s="219"/>
      <c r="U1256" s="219"/>
      <c r="V1256" s="303"/>
      <c r="W1256" s="247"/>
      <c r="X1256" s="245"/>
      <c r="Y1256" s="245"/>
      <c r="Z1256" s="245"/>
      <c r="AA1256" s="245"/>
      <c r="AB1256" s="245"/>
      <c r="AC1256" s="249"/>
      <c r="AD1256" s="249"/>
      <c r="AE1256" s="249"/>
      <c r="AF1256" s="8"/>
      <c r="AG1256" s="8"/>
      <c r="AH1256" s="72"/>
      <c r="AI1256" s="8"/>
      <c r="AJ1256" s="251"/>
      <c r="AK1256" s="23"/>
      <c r="AL1256" s="75"/>
      <c r="AM1256" s="75" t="str">
        <f t="shared" si="141"/>
        <v/>
      </c>
      <c r="AN1256" s="75"/>
      <c r="AO1256" s="75"/>
      <c r="AP1256" s="75"/>
      <c r="AQ1256" s="75"/>
      <c r="AR1256" s="75"/>
      <c r="AS1256" s="75"/>
      <c r="AT1256" s="75"/>
    </row>
    <row r="1257" ht="22.5" customHeight="1">
      <c r="A1257" s="219"/>
      <c r="B1257" s="219"/>
      <c r="C1257" s="219"/>
      <c r="D1257" s="219"/>
      <c r="E1257" s="219"/>
      <c r="F1257" s="219"/>
      <c r="G1257" s="219"/>
      <c r="H1257" s="219"/>
      <c r="I1257" s="249"/>
      <c r="J1257" s="243"/>
      <c r="K1257" s="219"/>
      <c r="L1257" s="244"/>
      <c r="M1257" s="219"/>
      <c r="N1257" s="219"/>
      <c r="O1257" s="219"/>
      <c r="P1257" s="244"/>
      <c r="Q1257" s="219"/>
      <c r="R1257" s="302"/>
      <c r="S1257" s="219"/>
      <c r="T1257" s="219"/>
      <c r="U1257" s="219"/>
      <c r="V1257" s="303"/>
      <c r="W1257" s="247"/>
      <c r="X1257" s="245"/>
      <c r="Y1257" s="245"/>
      <c r="Z1257" s="245"/>
      <c r="AA1257" s="245"/>
      <c r="AB1257" s="245"/>
      <c r="AC1257" s="249"/>
      <c r="AD1257" s="249"/>
      <c r="AE1257" s="249"/>
      <c r="AF1257" s="8"/>
      <c r="AG1257" s="8"/>
      <c r="AH1257" s="72"/>
      <c r="AI1257" s="8"/>
      <c r="AJ1257" s="251"/>
      <c r="AK1257" s="23"/>
      <c r="AL1257" s="75"/>
      <c r="AM1257" s="75" t="str">
        <f t="shared" si="141"/>
        <v/>
      </c>
      <c r="AN1257" s="75"/>
      <c r="AO1257" s="75"/>
      <c r="AP1257" s="75"/>
      <c r="AQ1257" s="75"/>
      <c r="AR1257" s="75"/>
      <c r="AS1257" s="75"/>
      <c r="AT1257" s="75"/>
    </row>
    <row r="1258" ht="22.5" customHeight="1">
      <c r="A1258" s="219"/>
      <c r="B1258" s="219"/>
      <c r="C1258" s="219"/>
      <c r="D1258" s="219"/>
      <c r="E1258" s="219"/>
      <c r="F1258" s="219"/>
      <c r="G1258" s="219"/>
      <c r="H1258" s="219"/>
      <c r="I1258" s="249"/>
      <c r="J1258" s="243"/>
      <c r="K1258" s="219"/>
      <c r="L1258" s="244"/>
      <c r="M1258" s="219"/>
      <c r="N1258" s="219"/>
      <c r="O1258" s="219"/>
      <c r="P1258" s="244"/>
      <c r="Q1258" s="219"/>
      <c r="R1258" s="302"/>
      <c r="S1258" s="219"/>
      <c r="T1258" s="219"/>
      <c r="U1258" s="219"/>
      <c r="V1258" s="303"/>
      <c r="W1258" s="247"/>
      <c r="X1258" s="245"/>
      <c r="Y1258" s="245"/>
      <c r="Z1258" s="245"/>
      <c r="AA1258" s="245"/>
      <c r="AB1258" s="245"/>
      <c r="AC1258" s="249"/>
      <c r="AD1258" s="249"/>
      <c r="AE1258" s="249"/>
      <c r="AF1258" s="8"/>
      <c r="AG1258" s="8"/>
      <c r="AH1258" s="72"/>
      <c r="AI1258" s="8"/>
      <c r="AJ1258" s="251"/>
      <c r="AK1258" s="23"/>
      <c r="AL1258" s="75"/>
      <c r="AM1258" s="75" t="str">
        <f t="shared" si="141"/>
        <v/>
      </c>
      <c r="AN1258" s="75"/>
      <c r="AO1258" s="75"/>
      <c r="AP1258" s="75"/>
      <c r="AQ1258" s="75"/>
      <c r="AR1258" s="75"/>
      <c r="AS1258" s="75"/>
      <c r="AT1258" s="75"/>
    </row>
    <row r="1259" ht="22.5" customHeight="1">
      <c r="A1259" s="219"/>
      <c r="B1259" s="219"/>
      <c r="C1259" s="219"/>
      <c r="D1259" s="219"/>
      <c r="E1259" s="219"/>
      <c r="F1259" s="219"/>
      <c r="G1259" s="219"/>
      <c r="H1259" s="219"/>
      <c r="I1259" s="249"/>
      <c r="J1259" s="243"/>
      <c r="K1259" s="219"/>
      <c r="L1259" s="244"/>
      <c r="M1259" s="219"/>
      <c r="N1259" s="219"/>
      <c r="O1259" s="219"/>
      <c r="P1259" s="244"/>
      <c r="Q1259" s="219"/>
      <c r="R1259" s="302"/>
      <c r="S1259" s="219"/>
      <c r="T1259" s="219"/>
      <c r="U1259" s="219"/>
      <c r="V1259" s="303"/>
      <c r="W1259" s="247"/>
      <c r="X1259" s="245"/>
      <c r="Y1259" s="245"/>
      <c r="Z1259" s="245"/>
      <c r="AA1259" s="245"/>
      <c r="AB1259" s="245"/>
      <c r="AC1259" s="249"/>
      <c r="AD1259" s="249"/>
      <c r="AE1259" s="249"/>
      <c r="AF1259" s="8"/>
      <c r="AG1259" s="8"/>
      <c r="AH1259" s="72"/>
      <c r="AI1259" s="8"/>
      <c r="AJ1259" s="251"/>
      <c r="AK1259" s="23"/>
      <c r="AL1259" s="75"/>
      <c r="AM1259" s="75" t="str">
        <f t="shared" si="141"/>
        <v/>
      </c>
      <c r="AN1259" s="75"/>
      <c r="AO1259" s="75"/>
      <c r="AP1259" s="75"/>
      <c r="AQ1259" s="75"/>
      <c r="AR1259" s="75"/>
      <c r="AS1259" s="75"/>
      <c r="AT1259" s="75"/>
    </row>
    <row r="1260" ht="22.5" customHeight="1">
      <c r="A1260" s="219"/>
      <c r="B1260" s="219"/>
      <c r="C1260" s="219"/>
      <c r="D1260" s="219"/>
      <c r="E1260" s="219"/>
      <c r="F1260" s="219"/>
      <c r="G1260" s="219"/>
      <c r="H1260" s="219"/>
      <c r="I1260" s="249"/>
      <c r="J1260" s="243"/>
      <c r="K1260" s="219"/>
      <c r="L1260" s="244"/>
      <c r="M1260" s="219"/>
      <c r="N1260" s="219"/>
      <c r="O1260" s="219"/>
      <c r="P1260" s="244"/>
      <c r="Q1260" s="219"/>
      <c r="R1260" s="302"/>
      <c r="S1260" s="219"/>
      <c r="T1260" s="219"/>
      <c r="U1260" s="219"/>
      <c r="V1260" s="303"/>
      <c r="W1260" s="247"/>
      <c r="X1260" s="245"/>
      <c r="Y1260" s="245"/>
      <c r="Z1260" s="245"/>
      <c r="AA1260" s="245"/>
      <c r="AB1260" s="245"/>
      <c r="AC1260" s="249"/>
      <c r="AD1260" s="249"/>
      <c r="AE1260" s="249"/>
      <c r="AF1260" s="8"/>
      <c r="AG1260" s="8"/>
      <c r="AH1260" s="72"/>
      <c r="AI1260" s="8"/>
      <c r="AJ1260" s="251"/>
      <c r="AK1260" s="23"/>
      <c r="AL1260" s="75"/>
      <c r="AM1260" s="75" t="str">
        <f t="shared" si="141"/>
        <v/>
      </c>
      <c r="AN1260" s="75"/>
      <c r="AO1260" s="75"/>
      <c r="AP1260" s="75"/>
      <c r="AQ1260" s="75"/>
      <c r="AR1260" s="75"/>
      <c r="AS1260" s="75"/>
      <c r="AT1260" s="75"/>
    </row>
    <row r="1261" ht="22.5" customHeight="1">
      <c r="A1261" s="219"/>
      <c r="B1261" s="219"/>
      <c r="C1261" s="219"/>
      <c r="D1261" s="219"/>
      <c r="E1261" s="219"/>
      <c r="F1261" s="219"/>
      <c r="G1261" s="219"/>
      <c r="H1261" s="219"/>
      <c r="I1261" s="249"/>
      <c r="J1261" s="243"/>
      <c r="K1261" s="219"/>
      <c r="L1261" s="244"/>
      <c r="M1261" s="219"/>
      <c r="N1261" s="219"/>
      <c r="O1261" s="219"/>
      <c r="P1261" s="244"/>
      <c r="Q1261" s="219"/>
      <c r="R1261" s="302"/>
      <c r="S1261" s="219"/>
      <c r="T1261" s="219"/>
      <c r="U1261" s="219"/>
      <c r="V1261" s="303"/>
      <c r="W1261" s="247"/>
      <c r="X1261" s="245"/>
      <c r="Y1261" s="245"/>
      <c r="Z1261" s="245"/>
      <c r="AA1261" s="245"/>
      <c r="AB1261" s="245"/>
      <c r="AC1261" s="249"/>
      <c r="AD1261" s="249"/>
      <c r="AE1261" s="249"/>
      <c r="AF1261" s="8"/>
      <c r="AG1261" s="8"/>
      <c r="AH1261" s="72"/>
      <c r="AI1261" s="8"/>
      <c r="AJ1261" s="251"/>
      <c r="AK1261" s="23"/>
      <c r="AL1261" s="75"/>
      <c r="AM1261" s="75" t="str">
        <f t="shared" si="141"/>
        <v/>
      </c>
      <c r="AN1261" s="75"/>
      <c r="AO1261" s="75"/>
      <c r="AP1261" s="75"/>
      <c r="AQ1261" s="75"/>
      <c r="AR1261" s="75"/>
      <c r="AS1261" s="75"/>
      <c r="AT1261" s="75"/>
    </row>
    <row r="1262" ht="22.5" customHeight="1">
      <c r="A1262" s="219"/>
      <c r="B1262" s="219"/>
      <c r="C1262" s="219"/>
      <c r="D1262" s="219"/>
      <c r="E1262" s="219"/>
      <c r="F1262" s="219"/>
      <c r="G1262" s="219"/>
      <c r="H1262" s="219"/>
      <c r="I1262" s="249"/>
      <c r="J1262" s="243"/>
      <c r="K1262" s="219"/>
      <c r="L1262" s="244"/>
      <c r="M1262" s="219"/>
      <c r="N1262" s="219"/>
      <c r="O1262" s="219"/>
      <c r="P1262" s="244"/>
      <c r="Q1262" s="219"/>
      <c r="R1262" s="302"/>
      <c r="S1262" s="219"/>
      <c r="T1262" s="219"/>
      <c r="U1262" s="219"/>
      <c r="V1262" s="303"/>
      <c r="W1262" s="247"/>
      <c r="X1262" s="245"/>
      <c r="Y1262" s="245"/>
      <c r="Z1262" s="245"/>
      <c r="AA1262" s="245"/>
      <c r="AB1262" s="245"/>
      <c r="AC1262" s="249"/>
      <c r="AD1262" s="249"/>
      <c r="AE1262" s="249"/>
      <c r="AF1262" s="8"/>
      <c r="AG1262" s="8"/>
      <c r="AH1262" s="72"/>
      <c r="AI1262" s="8"/>
      <c r="AJ1262" s="251"/>
      <c r="AK1262" s="23"/>
      <c r="AL1262" s="75"/>
      <c r="AM1262" s="75" t="str">
        <f t="shared" si="141"/>
        <v/>
      </c>
      <c r="AN1262" s="75"/>
      <c r="AO1262" s="75"/>
      <c r="AP1262" s="75"/>
      <c r="AQ1262" s="75"/>
      <c r="AR1262" s="75"/>
      <c r="AS1262" s="75"/>
      <c r="AT1262" s="75"/>
    </row>
    <row r="1263" ht="22.5" customHeight="1">
      <c r="A1263" s="219"/>
      <c r="B1263" s="219"/>
      <c r="C1263" s="219"/>
      <c r="D1263" s="219"/>
      <c r="E1263" s="219"/>
      <c r="F1263" s="219"/>
      <c r="G1263" s="219"/>
      <c r="H1263" s="219"/>
      <c r="I1263" s="249"/>
      <c r="J1263" s="243"/>
      <c r="K1263" s="219"/>
      <c r="L1263" s="244"/>
      <c r="M1263" s="219"/>
      <c r="N1263" s="219"/>
      <c r="O1263" s="219"/>
      <c r="P1263" s="244"/>
      <c r="Q1263" s="219"/>
      <c r="R1263" s="302"/>
      <c r="S1263" s="219"/>
      <c r="T1263" s="219"/>
      <c r="U1263" s="219"/>
      <c r="V1263" s="303"/>
      <c r="W1263" s="247"/>
      <c r="X1263" s="245"/>
      <c r="Y1263" s="245"/>
      <c r="Z1263" s="245"/>
      <c r="AA1263" s="245"/>
      <c r="AB1263" s="245"/>
      <c r="AC1263" s="249"/>
      <c r="AD1263" s="249"/>
      <c r="AE1263" s="249"/>
      <c r="AF1263" s="8"/>
      <c r="AG1263" s="8"/>
      <c r="AH1263" s="72"/>
      <c r="AI1263" s="8"/>
      <c r="AJ1263" s="251"/>
      <c r="AK1263" s="23"/>
      <c r="AL1263" s="75"/>
      <c r="AM1263" s="75" t="str">
        <f t="shared" si="141"/>
        <v/>
      </c>
      <c r="AN1263" s="75"/>
      <c r="AO1263" s="75"/>
      <c r="AP1263" s="75"/>
      <c r="AQ1263" s="75"/>
      <c r="AR1263" s="75"/>
      <c r="AS1263" s="75"/>
      <c r="AT1263" s="75"/>
    </row>
    <row r="1264" ht="22.5" customHeight="1">
      <c r="A1264" s="219"/>
      <c r="B1264" s="219"/>
      <c r="C1264" s="219"/>
      <c r="D1264" s="219"/>
      <c r="E1264" s="219"/>
      <c r="F1264" s="219"/>
      <c r="G1264" s="219"/>
      <c r="H1264" s="219"/>
      <c r="I1264" s="249"/>
      <c r="J1264" s="243"/>
      <c r="K1264" s="219"/>
      <c r="L1264" s="244"/>
      <c r="M1264" s="219"/>
      <c r="N1264" s="219"/>
      <c r="O1264" s="219"/>
      <c r="P1264" s="244"/>
      <c r="Q1264" s="219"/>
      <c r="R1264" s="302"/>
      <c r="S1264" s="219"/>
      <c r="T1264" s="219"/>
      <c r="U1264" s="219"/>
      <c r="V1264" s="303"/>
      <c r="W1264" s="247"/>
      <c r="X1264" s="245"/>
      <c r="Y1264" s="245"/>
      <c r="Z1264" s="245"/>
      <c r="AA1264" s="245"/>
      <c r="AB1264" s="245"/>
      <c r="AC1264" s="249"/>
      <c r="AD1264" s="249"/>
      <c r="AE1264" s="249"/>
      <c r="AF1264" s="8"/>
      <c r="AG1264" s="8"/>
      <c r="AH1264" s="72"/>
      <c r="AI1264" s="8"/>
      <c r="AJ1264" s="251"/>
      <c r="AK1264" s="23"/>
      <c r="AL1264" s="75"/>
      <c r="AM1264" s="75" t="str">
        <f t="shared" si="141"/>
        <v/>
      </c>
      <c r="AN1264" s="75"/>
      <c r="AO1264" s="75"/>
      <c r="AP1264" s="75"/>
      <c r="AQ1264" s="75"/>
      <c r="AR1264" s="75"/>
      <c r="AS1264" s="75"/>
      <c r="AT1264" s="75"/>
    </row>
    <row r="1265" ht="22.5" customHeight="1">
      <c r="A1265" s="219"/>
      <c r="B1265" s="219"/>
      <c r="C1265" s="219"/>
      <c r="D1265" s="219"/>
      <c r="E1265" s="219"/>
      <c r="F1265" s="219"/>
      <c r="G1265" s="219"/>
      <c r="H1265" s="219"/>
      <c r="I1265" s="249"/>
      <c r="J1265" s="243"/>
      <c r="K1265" s="219"/>
      <c r="L1265" s="244"/>
      <c r="M1265" s="219"/>
      <c r="N1265" s="219"/>
      <c r="O1265" s="219"/>
      <c r="P1265" s="244"/>
      <c r="Q1265" s="219"/>
      <c r="R1265" s="302"/>
      <c r="S1265" s="219"/>
      <c r="T1265" s="219"/>
      <c r="U1265" s="219"/>
      <c r="V1265" s="303"/>
      <c r="W1265" s="247"/>
      <c r="X1265" s="245"/>
      <c r="Y1265" s="245"/>
      <c r="Z1265" s="245"/>
      <c r="AA1265" s="245"/>
      <c r="AB1265" s="245"/>
      <c r="AC1265" s="249"/>
      <c r="AD1265" s="249"/>
      <c r="AE1265" s="249"/>
      <c r="AF1265" s="8"/>
      <c r="AG1265" s="8"/>
      <c r="AH1265" s="72"/>
      <c r="AI1265" s="8"/>
      <c r="AJ1265" s="251"/>
      <c r="AK1265" s="23"/>
      <c r="AL1265" s="75"/>
      <c r="AM1265" s="75" t="str">
        <f t="shared" si="141"/>
        <v/>
      </c>
      <c r="AN1265" s="75"/>
      <c r="AO1265" s="75"/>
      <c r="AP1265" s="75"/>
      <c r="AQ1265" s="75"/>
      <c r="AR1265" s="75"/>
      <c r="AS1265" s="75"/>
      <c r="AT1265" s="75"/>
    </row>
    <row r="1266" ht="22.5" customHeight="1">
      <c r="A1266" s="219"/>
      <c r="B1266" s="219"/>
      <c r="C1266" s="219"/>
      <c r="D1266" s="219"/>
      <c r="E1266" s="219"/>
      <c r="F1266" s="219"/>
      <c r="G1266" s="219"/>
      <c r="H1266" s="219"/>
      <c r="I1266" s="249"/>
      <c r="J1266" s="243"/>
      <c r="K1266" s="219"/>
      <c r="L1266" s="244"/>
      <c r="M1266" s="219"/>
      <c r="N1266" s="219"/>
      <c r="O1266" s="219"/>
      <c r="P1266" s="244"/>
      <c r="Q1266" s="219"/>
      <c r="R1266" s="302"/>
      <c r="S1266" s="219"/>
      <c r="T1266" s="219"/>
      <c r="U1266" s="219"/>
      <c r="V1266" s="303"/>
      <c r="W1266" s="247"/>
      <c r="X1266" s="245"/>
      <c r="Y1266" s="245"/>
      <c r="Z1266" s="245"/>
      <c r="AA1266" s="245"/>
      <c r="AB1266" s="245"/>
      <c r="AC1266" s="249"/>
      <c r="AD1266" s="249"/>
      <c r="AE1266" s="249"/>
      <c r="AF1266" s="8"/>
      <c r="AG1266" s="8"/>
      <c r="AH1266" s="72"/>
      <c r="AI1266" s="8"/>
      <c r="AJ1266" s="251"/>
      <c r="AK1266" s="23"/>
      <c r="AL1266" s="75"/>
      <c r="AM1266" s="75" t="str">
        <f t="shared" si="141"/>
        <v/>
      </c>
      <c r="AN1266" s="75"/>
      <c r="AO1266" s="75"/>
      <c r="AP1266" s="75"/>
      <c r="AQ1266" s="75"/>
      <c r="AR1266" s="75"/>
      <c r="AS1266" s="75"/>
      <c r="AT1266" s="75"/>
    </row>
    <row r="1267" ht="22.5" customHeight="1">
      <c r="A1267" s="219"/>
      <c r="B1267" s="219"/>
      <c r="C1267" s="219"/>
      <c r="D1267" s="219"/>
      <c r="E1267" s="219"/>
      <c r="F1267" s="219"/>
      <c r="G1267" s="219"/>
      <c r="H1267" s="219"/>
      <c r="I1267" s="249"/>
      <c r="J1267" s="243"/>
      <c r="K1267" s="219"/>
      <c r="L1267" s="244"/>
      <c r="M1267" s="219"/>
      <c r="N1267" s="219"/>
      <c r="O1267" s="219"/>
      <c r="P1267" s="244"/>
      <c r="Q1267" s="219"/>
      <c r="R1267" s="302"/>
      <c r="S1267" s="219"/>
      <c r="T1267" s="219"/>
      <c r="U1267" s="219"/>
      <c r="V1267" s="303"/>
      <c r="W1267" s="247"/>
      <c r="X1267" s="245"/>
      <c r="Y1267" s="245"/>
      <c r="Z1267" s="245"/>
      <c r="AA1267" s="245"/>
      <c r="AB1267" s="245"/>
      <c r="AC1267" s="249"/>
      <c r="AD1267" s="249"/>
      <c r="AE1267" s="249"/>
      <c r="AF1267" s="8"/>
      <c r="AG1267" s="8"/>
      <c r="AH1267" s="72"/>
      <c r="AI1267" s="8"/>
      <c r="AJ1267" s="251"/>
      <c r="AK1267" s="23"/>
      <c r="AL1267" s="75"/>
      <c r="AM1267" s="75" t="str">
        <f t="shared" si="141"/>
        <v/>
      </c>
      <c r="AN1267" s="75"/>
      <c r="AO1267" s="75"/>
      <c r="AP1267" s="75"/>
      <c r="AQ1267" s="75"/>
      <c r="AR1267" s="75"/>
      <c r="AS1267" s="75"/>
      <c r="AT1267" s="75"/>
    </row>
    <row r="1268" ht="22.5" customHeight="1">
      <c r="A1268" s="219"/>
      <c r="B1268" s="219"/>
      <c r="C1268" s="219"/>
      <c r="D1268" s="219"/>
      <c r="E1268" s="219"/>
      <c r="F1268" s="219"/>
      <c r="G1268" s="219"/>
      <c r="H1268" s="219"/>
      <c r="I1268" s="249"/>
      <c r="J1268" s="243"/>
      <c r="K1268" s="219"/>
      <c r="L1268" s="244"/>
      <c r="M1268" s="219"/>
      <c r="N1268" s="219"/>
      <c r="O1268" s="219"/>
      <c r="P1268" s="244"/>
      <c r="Q1268" s="219"/>
      <c r="R1268" s="302"/>
      <c r="S1268" s="219"/>
      <c r="T1268" s="219"/>
      <c r="U1268" s="219"/>
      <c r="V1268" s="303"/>
      <c r="W1268" s="247"/>
      <c r="X1268" s="245"/>
      <c r="Y1268" s="245"/>
      <c r="Z1268" s="245"/>
      <c r="AA1268" s="245"/>
      <c r="AB1268" s="245"/>
      <c r="AC1268" s="249"/>
      <c r="AD1268" s="249"/>
      <c r="AE1268" s="249"/>
      <c r="AF1268" s="8"/>
      <c r="AG1268" s="8"/>
      <c r="AH1268" s="72"/>
      <c r="AI1268" s="8"/>
      <c r="AJ1268" s="251"/>
      <c r="AK1268" s="23"/>
      <c r="AL1268" s="75"/>
      <c r="AM1268" s="75" t="str">
        <f t="shared" si="141"/>
        <v/>
      </c>
      <c r="AN1268" s="75"/>
      <c r="AO1268" s="75"/>
      <c r="AP1268" s="75"/>
      <c r="AQ1268" s="75"/>
      <c r="AR1268" s="75"/>
      <c r="AS1268" s="75"/>
      <c r="AT1268" s="75"/>
    </row>
    <row r="1269" ht="22.5" customHeight="1">
      <c r="A1269" s="219"/>
      <c r="B1269" s="219"/>
      <c r="C1269" s="219"/>
      <c r="D1269" s="219"/>
      <c r="E1269" s="219"/>
      <c r="F1269" s="219"/>
      <c r="G1269" s="219"/>
      <c r="H1269" s="219"/>
      <c r="I1269" s="249"/>
      <c r="J1269" s="243"/>
      <c r="K1269" s="219"/>
      <c r="L1269" s="244"/>
      <c r="M1269" s="219"/>
      <c r="N1269" s="219"/>
      <c r="O1269" s="219"/>
      <c r="P1269" s="244"/>
      <c r="Q1269" s="219"/>
      <c r="R1269" s="302"/>
      <c r="S1269" s="219"/>
      <c r="T1269" s="219"/>
      <c r="U1269" s="219"/>
      <c r="V1269" s="303"/>
      <c r="W1269" s="247"/>
      <c r="X1269" s="245"/>
      <c r="Y1269" s="245"/>
      <c r="Z1269" s="245"/>
      <c r="AA1269" s="245"/>
      <c r="AB1269" s="245"/>
      <c r="AC1269" s="249"/>
      <c r="AD1269" s="249"/>
      <c r="AE1269" s="249"/>
      <c r="AF1269" s="8"/>
      <c r="AG1269" s="8"/>
      <c r="AH1269" s="72"/>
      <c r="AI1269" s="8"/>
      <c r="AJ1269" s="251"/>
      <c r="AK1269" s="23"/>
      <c r="AL1269" s="75"/>
      <c r="AM1269" s="75" t="str">
        <f t="shared" si="141"/>
        <v/>
      </c>
      <c r="AN1269" s="75"/>
      <c r="AO1269" s="75"/>
      <c r="AP1269" s="75"/>
      <c r="AQ1269" s="75"/>
      <c r="AR1269" s="75"/>
      <c r="AS1269" s="75"/>
      <c r="AT1269" s="75"/>
    </row>
    <row r="1270" ht="22.5" customHeight="1">
      <c r="A1270" s="219"/>
      <c r="B1270" s="219"/>
      <c r="C1270" s="219"/>
      <c r="D1270" s="219"/>
      <c r="E1270" s="219"/>
      <c r="F1270" s="219"/>
      <c r="G1270" s="219"/>
      <c r="H1270" s="219"/>
      <c r="I1270" s="249"/>
      <c r="J1270" s="243"/>
      <c r="K1270" s="219"/>
      <c r="L1270" s="244"/>
      <c r="M1270" s="219"/>
      <c r="N1270" s="219"/>
      <c r="O1270" s="219"/>
      <c r="P1270" s="244"/>
      <c r="Q1270" s="219"/>
      <c r="R1270" s="302"/>
      <c r="S1270" s="219"/>
      <c r="T1270" s="219"/>
      <c r="U1270" s="219"/>
      <c r="V1270" s="303"/>
      <c r="W1270" s="247"/>
      <c r="X1270" s="245"/>
      <c r="Y1270" s="245"/>
      <c r="Z1270" s="245"/>
      <c r="AA1270" s="245"/>
      <c r="AB1270" s="245"/>
      <c r="AC1270" s="249"/>
      <c r="AD1270" s="249"/>
      <c r="AE1270" s="249"/>
      <c r="AF1270" s="8"/>
      <c r="AG1270" s="8"/>
      <c r="AH1270" s="72"/>
      <c r="AI1270" s="8"/>
      <c r="AJ1270" s="251"/>
      <c r="AK1270" s="23"/>
      <c r="AL1270" s="75"/>
      <c r="AM1270" s="75" t="str">
        <f t="shared" si="141"/>
        <v/>
      </c>
      <c r="AN1270" s="75"/>
      <c r="AO1270" s="75"/>
      <c r="AP1270" s="75"/>
      <c r="AQ1270" s="75"/>
      <c r="AR1270" s="75"/>
      <c r="AS1270" s="75"/>
      <c r="AT1270" s="75"/>
    </row>
    <row r="1271" ht="22.5" customHeight="1">
      <c r="A1271" s="219"/>
      <c r="B1271" s="219"/>
      <c r="C1271" s="219"/>
      <c r="D1271" s="219"/>
      <c r="E1271" s="219"/>
      <c r="F1271" s="219"/>
      <c r="G1271" s="219"/>
      <c r="H1271" s="219"/>
      <c r="I1271" s="249"/>
      <c r="J1271" s="243"/>
      <c r="K1271" s="219"/>
      <c r="L1271" s="244"/>
      <c r="M1271" s="219"/>
      <c r="N1271" s="219"/>
      <c r="O1271" s="219"/>
      <c r="P1271" s="244"/>
      <c r="Q1271" s="219"/>
      <c r="R1271" s="302"/>
      <c r="S1271" s="219"/>
      <c r="T1271" s="219"/>
      <c r="U1271" s="219"/>
      <c r="V1271" s="303"/>
      <c r="W1271" s="247"/>
      <c r="X1271" s="245"/>
      <c r="Y1271" s="245"/>
      <c r="Z1271" s="245"/>
      <c r="AA1271" s="245"/>
      <c r="AB1271" s="245"/>
      <c r="AC1271" s="249"/>
      <c r="AD1271" s="249"/>
      <c r="AE1271" s="249"/>
      <c r="AF1271" s="8"/>
      <c r="AG1271" s="8"/>
      <c r="AH1271" s="72"/>
      <c r="AI1271" s="8"/>
      <c r="AJ1271" s="251"/>
      <c r="AK1271" s="23"/>
      <c r="AL1271" s="75"/>
      <c r="AM1271" s="75" t="str">
        <f t="shared" si="141"/>
        <v/>
      </c>
      <c r="AN1271" s="75"/>
      <c r="AO1271" s="75"/>
      <c r="AP1271" s="75"/>
      <c r="AQ1271" s="75"/>
      <c r="AR1271" s="75"/>
      <c r="AS1271" s="75"/>
      <c r="AT1271" s="75"/>
    </row>
    <row r="1272" ht="22.5" customHeight="1">
      <c r="A1272" s="219"/>
      <c r="B1272" s="219"/>
      <c r="C1272" s="219"/>
      <c r="D1272" s="219"/>
      <c r="E1272" s="219"/>
      <c r="F1272" s="219"/>
      <c r="G1272" s="219"/>
      <c r="H1272" s="219"/>
      <c r="I1272" s="249"/>
      <c r="J1272" s="243"/>
      <c r="K1272" s="219"/>
      <c r="L1272" s="244"/>
      <c r="M1272" s="219"/>
      <c r="N1272" s="219"/>
      <c r="O1272" s="219"/>
      <c r="P1272" s="244"/>
      <c r="Q1272" s="219"/>
      <c r="R1272" s="302"/>
      <c r="S1272" s="219"/>
      <c r="T1272" s="219"/>
      <c r="U1272" s="219"/>
      <c r="V1272" s="303"/>
      <c r="W1272" s="247"/>
      <c r="X1272" s="245"/>
      <c r="Y1272" s="245"/>
      <c r="Z1272" s="245"/>
      <c r="AA1272" s="245"/>
      <c r="AB1272" s="245"/>
      <c r="AC1272" s="249"/>
      <c r="AD1272" s="249"/>
      <c r="AE1272" s="249"/>
      <c r="AF1272" s="8"/>
      <c r="AG1272" s="8"/>
      <c r="AH1272" s="72"/>
      <c r="AI1272" s="8"/>
      <c r="AJ1272" s="251"/>
      <c r="AK1272" s="23"/>
      <c r="AL1272" s="75"/>
      <c r="AM1272" s="75" t="str">
        <f t="shared" si="141"/>
        <v/>
      </c>
      <c r="AN1272" s="75"/>
      <c r="AO1272" s="75"/>
      <c r="AP1272" s="75"/>
      <c r="AQ1272" s="75"/>
      <c r="AR1272" s="75"/>
      <c r="AS1272" s="75"/>
      <c r="AT1272" s="75"/>
    </row>
    <row r="1273" ht="22.5" customHeight="1">
      <c r="A1273" s="219"/>
      <c r="B1273" s="219"/>
      <c r="C1273" s="219"/>
      <c r="D1273" s="219"/>
      <c r="E1273" s="219"/>
      <c r="F1273" s="219"/>
      <c r="G1273" s="219"/>
      <c r="H1273" s="219"/>
      <c r="I1273" s="249"/>
      <c r="J1273" s="243"/>
      <c r="K1273" s="219"/>
      <c r="L1273" s="244"/>
      <c r="M1273" s="219"/>
      <c r="N1273" s="219"/>
      <c r="O1273" s="219"/>
      <c r="P1273" s="244"/>
      <c r="Q1273" s="219"/>
      <c r="R1273" s="302"/>
      <c r="S1273" s="219"/>
      <c r="T1273" s="219"/>
      <c r="U1273" s="219"/>
      <c r="V1273" s="303"/>
      <c r="W1273" s="247"/>
      <c r="X1273" s="245"/>
      <c r="Y1273" s="245"/>
      <c r="Z1273" s="245"/>
      <c r="AA1273" s="245"/>
      <c r="AB1273" s="245"/>
      <c r="AC1273" s="249"/>
      <c r="AD1273" s="249"/>
      <c r="AE1273" s="249"/>
      <c r="AF1273" s="8"/>
      <c r="AG1273" s="8"/>
      <c r="AH1273" s="72"/>
      <c r="AI1273" s="8"/>
      <c r="AJ1273" s="251"/>
      <c r="AK1273" s="23"/>
      <c r="AL1273" s="75"/>
      <c r="AM1273" s="75" t="str">
        <f t="shared" si="141"/>
        <v/>
      </c>
      <c r="AN1273" s="75"/>
      <c r="AO1273" s="75"/>
      <c r="AP1273" s="75"/>
      <c r="AQ1273" s="75"/>
      <c r="AR1273" s="75"/>
      <c r="AS1273" s="75"/>
      <c r="AT1273" s="75"/>
    </row>
    <row r="1274" ht="22.5" customHeight="1">
      <c r="A1274" s="219"/>
      <c r="B1274" s="219"/>
      <c r="C1274" s="219"/>
      <c r="D1274" s="219"/>
      <c r="E1274" s="219"/>
      <c r="F1274" s="219"/>
      <c r="G1274" s="219"/>
      <c r="H1274" s="219"/>
      <c r="I1274" s="249"/>
      <c r="J1274" s="243"/>
      <c r="K1274" s="219"/>
      <c r="L1274" s="244"/>
      <c r="M1274" s="219"/>
      <c r="N1274" s="219"/>
      <c r="O1274" s="219"/>
      <c r="P1274" s="244"/>
      <c r="Q1274" s="219"/>
      <c r="R1274" s="302"/>
      <c r="S1274" s="219"/>
      <c r="T1274" s="219"/>
      <c r="U1274" s="219"/>
      <c r="V1274" s="303"/>
      <c r="W1274" s="247"/>
      <c r="X1274" s="245"/>
      <c r="Y1274" s="245"/>
      <c r="Z1274" s="245"/>
      <c r="AA1274" s="245"/>
      <c r="AB1274" s="245"/>
      <c r="AC1274" s="249"/>
      <c r="AD1274" s="249"/>
      <c r="AE1274" s="249"/>
      <c r="AF1274" s="8"/>
      <c r="AG1274" s="8"/>
      <c r="AH1274" s="72"/>
      <c r="AI1274" s="8"/>
      <c r="AJ1274" s="251"/>
      <c r="AK1274" s="23"/>
      <c r="AL1274" s="75"/>
      <c r="AM1274" s="75" t="str">
        <f t="shared" si="141"/>
        <v/>
      </c>
      <c r="AN1274" s="75"/>
      <c r="AO1274" s="75"/>
      <c r="AP1274" s="75"/>
      <c r="AQ1274" s="75"/>
      <c r="AR1274" s="75"/>
      <c r="AS1274" s="75"/>
      <c r="AT1274" s="75"/>
    </row>
    <row r="1275" ht="22.5" customHeight="1">
      <c r="A1275" s="219"/>
      <c r="B1275" s="219"/>
      <c r="C1275" s="219"/>
      <c r="D1275" s="219"/>
      <c r="E1275" s="219"/>
      <c r="F1275" s="219"/>
      <c r="G1275" s="219"/>
      <c r="H1275" s="219"/>
      <c r="I1275" s="249"/>
      <c r="J1275" s="243"/>
      <c r="K1275" s="219"/>
      <c r="L1275" s="244"/>
      <c r="M1275" s="219"/>
      <c r="N1275" s="219"/>
      <c r="O1275" s="219"/>
      <c r="P1275" s="244"/>
      <c r="Q1275" s="219"/>
      <c r="R1275" s="302"/>
      <c r="S1275" s="219"/>
      <c r="T1275" s="219"/>
      <c r="U1275" s="219"/>
      <c r="V1275" s="303"/>
      <c r="W1275" s="247"/>
      <c r="X1275" s="245"/>
      <c r="Y1275" s="245"/>
      <c r="Z1275" s="245"/>
      <c r="AA1275" s="245"/>
      <c r="AB1275" s="245"/>
      <c r="AC1275" s="249"/>
      <c r="AD1275" s="249"/>
      <c r="AE1275" s="249"/>
      <c r="AF1275" s="8"/>
      <c r="AG1275" s="8"/>
      <c r="AH1275" s="72"/>
      <c r="AI1275" s="8"/>
      <c r="AJ1275" s="251"/>
      <c r="AK1275" s="23"/>
      <c r="AL1275" s="75"/>
      <c r="AM1275" s="75" t="str">
        <f t="shared" si="141"/>
        <v/>
      </c>
      <c r="AN1275" s="75"/>
      <c r="AO1275" s="75"/>
      <c r="AP1275" s="75"/>
      <c r="AQ1275" s="75"/>
      <c r="AR1275" s="75"/>
      <c r="AS1275" s="75"/>
      <c r="AT1275" s="75"/>
    </row>
    <row r="1276" ht="22.5" customHeight="1">
      <c r="A1276" s="219"/>
      <c r="B1276" s="219"/>
      <c r="C1276" s="219"/>
      <c r="D1276" s="219"/>
      <c r="E1276" s="219"/>
      <c r="F1276" s="219"/>
      <c r="G1276" s="219"/>
      <c r="H1276" s="219"/>
      <c r="I1276" s="249"/>
      <c r="J1276" s="243"/>
      <c r="K1276" s="219"/>
      <c r="L1276" s="244"/>
      <c r="M1276" s="219"/>
      <c r="N1276" s="219"/>
      <c r="O1276" s="219"/>
      <c r="P1276" s="244"/>
      <c r="Q1276" s="219"/>
      <c r="R1276" s="302"/>
      <c r="S1276" s="219"/>
      <c r="T1276" s="219"/>
      <c r="U1276" s="219"/>
      <c r="V1276" s="303"/>
      <c r="W1276" s="247"/>
      <c r="X1276" s="245"/>
      <c r="Y1276" s="245"/>
      <c r="Z1276" s="245"/>
      <c r="AA1276" s="245"/>
      <c r="AB1276" s="245"/>
      <c r="AC1276" s="249"/>
      <c r="AD1276" s="249"/>
      <c r="AE1276" s="249"/>
      <c r="AF1276" s="8"/>
      <c r="AG1276" s="8"/>
      <c r="AH1276" s="72"/>
      <c r="AI1276" s="8"/>
      <c r="AJ1276" s="251"/>
      <c r="AK1276" s="23"/>
      <c r="AL1276" s="75"/>
      <c r="AM1276" s="75" t="str">
        <f t="shared" si="141"/>
        <v/>
      </c>
      <c r="AN1276" s="75"/>
      <c r="AO1276" s="75"/>
      <c r="AP1276" s="75"/>
      <c r="AQ1276" s="75"/>
      <c r="AR1276" s="75"/>
      <c r="AS1276" s="75"/>
      <c r="AT1276" s="75"/>
    </row>
    <row r="1277" ht="22.5" customHeight="1">
      <c r="A1277" s="219"/>
      <c r="B1277" s="219"/>
      <c r="C1277" s="219"/>
      <c r="D1277" s="219"/>
      <c r="E1277" s="219"/>
      <c r="F1277" s="219"/>
      <c r="G1277" s="219"/>
      <c r="H1277" s="219"/>
      <c r="I1277" s="249"/>
      <c r="J1277" s="243"/>
      <c r="K1277" s="219"/>
      <c r="L1277" s="244"/>
      <c r="M1277" s="219"/>
      <c r="N1277" s="219"/>
      <c r="O1277" s="219"/>
      <c r="P1277" s="244"/>
      <c r="Q1277" s="219"/>
      <c r="R1277" s="302"/>
      <c r="S1277" s="219"/>
      <c r="T1277" s="219"/>
      <c r="U1277" s="219"/>
      <c r="V1277" s="303"/>
      <c r="W1277" s="247"/>
      <c r="X1277" s="245"/>
      <c r="Y1277" s="245"/>
      <c r="Z1277" s="245"/>
      <c r="AA1277" s="245"/>
      <c r="AB1277" s="245"/>
      <c r="AC1277" s="249"/>
      <c r="AD1277" s="249"/>
      <c r="AE1277" s="249"/>
      <c r="AF1277" s="8"/>
      <c r="AG1277" s="8"/>
      <c r="AH1277" s="72"/>
      <c r="AI1277" s="8"/>
      <c r="AJ1277" s="251"/>
      <c r="AK1277" s="23"/>
      <c r="AL1277" s="75"/>
      <c r="AM1277" s="75" t="str">
        <f t="shared" si="141"/>
        <v/>
      </c>
      <c r="AN1277" s="75"/>
      <c r="AO1277" s="75"/>
      <c r="AP1277" s="75"/>
      <c r="AQ1277" s="75"/>
      <c r="AR1277" s="75"/>
      <c r="AS1277" s="75"/>
      <c r="AT1277" s="75"/>
    </row>
    <row r="1278" ht="22.5" customHeight="1">
      <c r="A1278" s="219"/>
      <c r="B1278" s="219"/>
      <c r="C1278" s="219"/>
      <c r="D1278" s="219"/>
      <c r="E1278" s="219"/>
      <c r="F1278" s="219"/>
      <c r="G1278" s="219"/>
      <c r="H1278" s="219"/>
      <c r="I1278" s="249"/>
      <c r="J1278" s="243"/>
      <c r="K1278" s="219"/>
      <c r="L1278" s="244"/>
      <c r="M1278" s="219"/>
      <c r="N1278" s="219"/>
      <c r="O1278" s="219"/>
      <c r="P1278" s="244"/>
      <c r="Q1278" s="219"/>
      <c r="R1278" s="302"/>
      <c r="S1278" s="219"/>
      <c r="T1278" s="219"/>
      <c r="U1278" s="219"/>
      <c r="V1278" s="303"/>
      <c r="W1278" s="247"/>
      <c r="X1278" s="245"/>
      <c r="Y1278" s="245"/>
      <c r="Z1278" s="245"/>
      <c r="AA1278" s="245"/>
      <c r="AB1278" s="245"/>
      <c r="AC1278" s="249"/>
      <c r="AD1278" s="249"/>
      <c r="AE1278" s="249"/>
      <c r="AF1278" s="8"/>
      <c r="AG1278" s="8"/>
      <c r="AH1278" s="72"/>
      <c r="AI1278" s="8"/>
      <c r="AJ1278" s="251"/>
      <c r="AK1278" s="23"/>
      <c r="AL1278" s="75"/>
      <c r="AM1278" s="75" t="str">
        <f t="shared" si="141"/>
        <v/>
      </c>
      <c r="AN1278" s="75"/>
      <c r="AO1278" s="75"/>
      <c r="AP1278" s="75"/>
      <c r="AQ1278" s="75"/>
      <c r="AR1278" s="75"/>
      <c r="AS1278" s="75"/>
      <c r="AT1278" s="75"/>
    </row>
    <row r="1279" ht="22.5" customHeight="1">
      <c r="A1279" s="219"/>
      <c r="B1279" s="219"/>
      <c r="C1279" s="219"/>
      <c r="D1279" s="219"/>
      <c r="E1279" s="219"/>
      <c r="F1279" s="219"/>
      <c r="G1279" s="219"/>
      <c r="H1279" s="219"/>
      <c r="I1279" s="249"/>
      <c r="J1279" s="243"/>
      <c r="K1279" s="219"/>
      <c r="L1279" s="244"/>
      <c r="M1279" s="219"/>
      <c r="N1279" s="219"/>
      <c r="O1279" s="219"/>
      <c r="P1279" s="244"/>
      <c r="Q1279" s="219"/>
      <c r="R1279" s="302"/>
      <c r="S1279" s="219"/>
      <c r="T1279" s="219"/>
      <c r="U1279" s="219"/>
      <c r="V1279" s="303"/>
      <c r="W1279" s="247"/>
      <c r="X1279" s="245"/>
      <c r="Y1279" s="245"/>
      <c r="Z1279" s="245"/>
      <c r="AA1279" s="245"/>
      <c r="AB1279" s="245"/>
      <c r="AC1279" s="249"/>
      <c r="AD1279" s="249"/>
      <c r="AE1279" s="249"/>
      <c r="AF1279" s="8"/>
      <c r="AG1279" s="8"/>
      <c r="AH1279" s="72"/>
      <c r="AI1279" s="8"/>
      <c r="AJ1279" s="251"/>
      <c r="AK1279" s="23"/>
      <c r="AL1279" s="75"/>
      <c r="AM1279" s="75" t="str">
        <f t="shared" si="141"/>
        <v/>
      </c>
      <c r="AN1279" s="75"/>
      <c r="AO1279" s="75"/>
      <c r="AP1279" s="75"/>
      <c r="AQ1279" s="75"/>
      <c r="AR1279" s="75"/>
      <c r="AS1279" s="75"/>
      <c r="AT1279" s="75"/>
    </row>
    <row r="1280" ht="22.5" customHeight="1">
      <c r="A1280" s="219"/>
      <c r="B1280" s="219"/>
      <c r="C1280" s="219"/>
      <c r="D1280" s="219"/>
      <c r="E1280" s="219"/>
      <c r="F1280" s="219"/>
      <c r="G1280" s="219"/>
      <c r="H1280" s="219"/>
      <c r="I1280" s="249"/>
      <c r="J1280" s="243"/>
      <c r="K1280" s="219"/>
      <c r="L1280" s="244"/>
      <c r="M1280" s="219"/>
      <c r="N1280" s="219"/>
      <c r="O1280" s="219"/>
      <c r="P1280" s="244"/>
      <c r="Q1280" s="219"/>
      <c r="R1280" s="302"/>
      <c r="S1280" s="219"/>
      <c r="T1280" s="219"/>
      <c r="U1280" s="219"/>
      <c r="V1280" s="303"/>
      <c r="W1280" s="247"/>
      <c r="X1280" s="245"/>
      <c r="Y1280" s="245"/>
      <c r="Z1280" s="245"/>
      <c r="AA1280" s="245"/>
      <c r="AB1280" s="245"/>
      <c r="AC1280" s="249"/>
      <c r="AD1280" s="249"/>
      <c r="AE1280" s="249"/>
      <c r="AF1280" s="8"/>
      <c r="AG1280" s="8"/>
      <c r="AH1280" s="72"/>
      <c r="AI1280" s="8"/>
      <c r="AJ1280" s="251"/>
      <c r="AK1280" s="23"/>
      <c r="AL1280" s="75"/>
      <c r="AM1280" s="75" t="str">
        <f t="shared" si="141"/>
        <v/>
      </c>
      <c r="AN1280" s="75"/>
      <c r="AO1280" s="75"/>
      <c r="AP1280" s="75"/>
      <c r="AQ1280" s="75"/>
      <c r="AR1280" s="75"/>
      <c r="AS1280" s="75"/>
      <c r="AT1280" s="75"/>
    </row>
    <row r="1281" ht="22.5" customHeight="1">
      <c r="A1281" s="219"/>
      <c r="B1281" s="219"/>
      <c r="C1281" s="219"/>
      <c r="D1281" s="219"/>
      <c r="E1281" s="219"/>
      <c r="F1281" s="219"/>
      <c r="G1281" s="219"/>
      <c r="H1281" s="219"/>
      <c r="I1281" s="249"/>
      <c r="J1281" s="243"/>
      <c r="K1281" s="219"/>
      <c r="L1281" s="244"/>
      <c r="M1281" s="219"/>
      <c r="N1281" s="219"/>
      <c r="O1281" s="219"/>
      <c r="P1281" s="244"/>
      <c r="Q1281" s="219"/>
      <c r="R1281" s="302"/>
      <c r="S1281" s="219"/>
      <c r="T1281" s="219"/>
      <c r="U1281" s="219"/>
      <c r="V1281" s="303"/>
      <c r="W1281" s="247"/>
      <c r="X1281" s="245"/>
      <c r="Y1281" s="245"/>
      <c r="Z1281" s="245"/>
      <c r="AA1281" s="245"/>
      <c r="AB1281" s="245"/>
      <c r="AC1281" s="249"/>
      <c r="AD1281" s="249"/>
      <c r="AE1281" s="249"/>
      <c r="AF1281" s="8"/>
      <c r="AG1281" s="8"/>
      <c r="AH1281" s="72"/>
      <c r="AI1281" s="8"/>
      <c r="AJ1281" s="251"/>
      <c r="AK1281" s="23"/>
      <c r="AL1281" s="75"/>
      <c r="AM1281" s="75" t="str">
        <f t="shared" si="141"/>
        <v/>
      </c>
      <c r="AN1281" s="75"/>
      <c r="AO1281" s="75"/>
      <c r="AP1281" s="75"/>
      <c r="AQ1281" s="75"/>
      <c r="AR1281" s="75"/>
      <c r="AS1281" s="75"/>
      <c r="AT1281" s="75"/>
    </row>
    <row r="1282" ht="22.5" customHeight="1">
      <c r="A1282" s="219"/>
      <c r="B1282" s="219"/>
      <c r="C1282" s="219"/>
      <c r="D1282" s="219"/>
      <c r="E1282" s="219"/>
      <c r="F1282" s="219"/>
      <c r="G1282" s="219"/>
      <c r="H1282" s="219"/>
      <c r="I1282" s="249"/>
      <c r="J1282" s="243"/>
      <c r="K1282" s="219"/>
      <c r="L1282" s="244"/>
      <c r="M1282" s="219"/>
      <c r="N1282" s="219"/>
      <c r="O1282" s="219"/>
      <c r="P1282" s="244"/>
      <c r="Q1282" s="219"/>
      <c r="R1282" s="302"/>
      <c r="S1282" s="219"/>
      <c r="T1282" s="219"/>
      <c r="U1282" s="219"/>
      <c r="V1282" s="303"/>
      <c r="W1282" s="247"/>
      <c r="X1282" s="245"/>
      <c r="Y1282" s="245"/>
      <c r="Z1282" s="245"/>
      <c r="AA1282" s="245"/>
      <c r="AB1282" s="245"/>
      <c r="AC1282" s="249"/>
      <c r="AD1282" s="249"/>
      <c r="AE1282" s="249"/>
      <c r="AF1282" s="8"/>
      <c r="AG1282" s="8"/>
      <c r="AH1282" s="72"/>
      <c r="AI1282" s="8"/>
      <c r="AJ1282" s="251"/>
      <c r="AK1282" s="23"/>
      <c r="AL1282" s="75"/>
      <c r="AM1282" s="75" t="str">
        <f t="shared" si="141"/>
        <v/>
      </c>
      <c r="AN1282" s="75"/>
      <c r="AO1282" s="75"/>
      <c r="AP1282" s="75"/>
      <c r="AQ1282" s="75"/>
      <c r="AR1282" s="75"/>
      <c r="AS1282" s="75"/>
      <c r="AT1282" s="75"/>
    </row>
    <row r="1283" ht="22.5" customHeight="1">
      <c r="A1283" s="219"/>
      <c r="B1283" s="219"/>
      <c r="C1283" s="219"/>
      <c r="D1283" s="219"/>
      <c r="E1283" s="219"/>
      <c r="F1283" s="219"/>
      <c r="G1283" s="219"/>
      <c r="H1283" s="219"/>
      <c r="I1283" s="249"/>
      <c r="J1283" s="243"/>
      <c r="K1283" s="219"/>
      <c r="L1283" s="244"/>
      <c r="M1283" s="219"/>
      <c r="N1283" s="219"/>
      <c r="O1283" s="219"/>
      <c r="P1283" s="244"/>
      <c r="Q1283" s="219"/>
      <c r="R1283" s="302"/>
      <c r="S1283" s="219"/>
      <c r="T1283" s="219"/>
      <c r="U1283" s="219"/>
      <c r="V1283" s="303"/>
      <c r="W1283" s="247"/>
      <c r="X1283" s="245"/>
      <c r="Y1283" s="245"/>
      <c r="Z1283" s="245"/>
      <c r="AA1283" s="245"/>
      <c r="AB1283" s="245"/>
      <c r="AC1283" s="249"/>
      <c r="AD1283" s="249"/>
      <c r="AE1283" s="249"/>
      <c r="AF1283" s="8"/>
      <c r="AG1283" s="8"/>
      <c r="AH1283" s="72"/>
      <c r="AI1283" s="8"/>
      <c r="AJ1283" s="251"/>
      <c r="AK1283" s="23"/>
      <c r="AL1283" s="75"/>
      <c r="AM1283" s="75" t="str">
        <f t="shared" si="141"/>
        <v/>
      </c>
      <c r="AN1283" s="75"/>
      <c r="AO1283" s="75"/>
      <c r="AP1283" s="75"/>
      <c r="AQ1283" s="75"/>
      <c r="AR1283" s="75"/>
      <c r="AS1283" s="75"/>
      <c r="AT1283" s="75"/>
    </row>
    <row r="1284" ht="22.5" customHeight="1">
      <c r="A1284" s="219"/>
      <c r="B1284" s="219"/>
      <c r="C1284" s="219"/>
      <c r="D1284" s="219"/>
      <c r="E1284" s="219"/>
      <c r="F1284" s="219"/>
      <c r="G1284" s="219"/>
      <c r="H1284" s="219"/>
      <c r="I1284" s="249"/>
      <c r="J1284" s="243"/>
      <c r="K1284" s="219"/>
      <c r="L1284" s="244"/>
      <c r="M1284" s="219"/>
      <c r="N1284" s="219"/>
      <c r="O1284" s="219"/>
      <c r="P1284" s="244"/>
      <c r="Q1284" s="219"/>
      <c r="R1284" s="302"/>
      <c r="S1284" s="219"/>
      <c r="T1284" s="219"/>
      <c r="U1284" s="219"/>
      <c r="V1284" s="303"/>
      <c r="W1284" s="247"/>
      <c r="X1284" s="245"/>
      <c r="Y1284" s="245"/>
      <c r="Z1284" s="245"/>
      <c r="AA1284" s="245"/>
      <c r="AB1284" s="245"/>
      <c r="AC1284" s="249"/>
      <c r="AD1284" s="249"/>
      <c r="AE1284" s="249"/>
      <c r="AF1284" s="8"/>
      <c r="AG1284" s="8"/>
      <c r="AH1284" s="72"/>
      <c r="AI1284" s="8"/>
      <c r="AJ1284" s="251"/>
      <c r="AK1284" s="23"/>
      <c r="AL1284" s="75"/>
      <c r="AM1284" s="75" t="str">
        <f t="shared" si="141"/>
        <v/>
      </c>
      <c r="AN1284" s="75"/>
      <c r="AO1284" s="75"/>
      <c r="AP1284" s="75"/>
      <c r="AQ1284" s="75"/>
      <c r="AR1284" s="75"/>
      <c r="AS1284" s="75"/>
      <c r="AT1284" s="75"/>
    </row>
    <row r="1285" ht="22.5" customHeight="1">
      <c r="A1285" s="219"/>
      <c r="B1285" s="219"/>
      <c r="C1285" s="219"/>
      <c r="D1285" s="219"/>
      <c r="E1285" s="219"/>
      <c r="F1285" s="219"/>
      <c r="G1285" s="219"/>
      <c r="H1285" s="219"/>
      <c r="I1285" s="249"/>
      <c r="J1285" s="243"/>
      <c r="K1285" s="219"/>
      <c r="L1285" s="244"/>
      <c r="M1285" s="219"/>
      <c r="N1285" s="219"/>
      <c r="O1285" s="219"/>
      <c r="P1285" s="244"/>
      <c r="Q1285" s="219"/>
      <c r="R1285" s="302"/>
      <c r="S1285" s="219"/>
      <c r="T1285" s="219"/>
      <c r="U1285" s="219"/>
      <c r="V1285" s="303"/>
      <c r="W1285" s="247"/>
      <c r="X1285" s="245"/>
      <c r="Y1285" s="245"/>
      <c r="Z1285" s="245"/>
      <c r="AA1285" s="245"/>
      <c r="AB1285" s="245"/>
      <c r="AC1285" s="249"/>
      <c r="AD1285" s="249"/>
      <c r="AE1285" s="249"/>
      <c r="AF1285" s="8"/>
      <c r="AG1285" s="8"/>
      <c r="AH1285" s="72"/>
      <c r="AI1285" s="8"/>
      <c r="AJ1285" s="251"/>
      <c r="AK1285" s="23"/>
      <c r="AL1285" s="75"/>
      <c r="AM1285" s="75" t="str">
        <f t="shared" si="141"/>
        <v/>
      </c>
      <c r="AN1285" s="75"/>
      <c r="AO1285" s="75"/>
      <c r="AP1285" s="75"/>
      <c r="AQ1285" s="75"/>
      <c r="AR1285" s="75"/>
      <c r="AS1285" s="75"/>
      <c r="AT1285" s="75"/>
    </row>
    <row r="1286" ht="22.5" customHeight="1">
      <c r="A1286" s="219"/>
      <c r="B1286" s="219"/>
      <c r="C1286" s="219"/>
      <c r="D1286" s="219"/>
      <c r="E1286" s="219"/>
      <c r="F1286" s="219"/>
      <c r="G1286" s="219"/>
      <c r="H1286" s="219"/>
      <c r="I1286" s="249"/>
      <c r="J1286" s="243"/>
      <c r="K1286" s="219"/>
      <c r="L1286" s="244"/>
      <c r="M1286" s="219"/>
      <c r="N1286" s="219"/>
      <c r="O1286" s="219"/>
      <c r="P1286" s="244"/>
      <c r="Q1286" s="219"/>
      <c r="R1286" s="302"/>
      <c r="S1286" s="219"/>
      <c r="T1286" s="219"/>
      <c r="U1286" s="219"/>
      <c r="V1286" s="303"/>
      <c r="W1286" s="247"/>
      <c r="X1286" s="245"/>
      <c r="Y1286" s="245"/>
      <c r="Z1286" s="245"/>
      <c r="AA1286" s="245"/>
      <c r="AB1286" s="245"/>
      <c r="AC1286" s="249"/>
      <c r="AD1286" s="249"/>
      <c r="AE1286" s="249"/>
      <c r="AF1286" s="8"/>
      <c r="AG1286" s="8"/>
      <c r="AH1286" s="72"/>
      <c r="AI1286" s="8"/>
      <c r="AJ1286" s="251"/>
      <c r="AK1286" s="23"/>
      <c r="AL1286" s="75"/>
      <c r="AM1286" s="75" t="str">
        <f t="shared" si="141"/>
        <v/>
      </c>
      <c r="AN1286" s="75"/>
      <c r="AO1286" s="75"/>
      <c r="AP1286" s="75"/>
      <c r="AQ1286" s="75"/>
      <c r="AR1286" s="75"/>
      <c r="AS1286" s="75"/>
      <c r="AT1286" s="75"/>
    </row>
    <row r="1287" ht="22.5" customHeight="1">
      <c r="A1287" s="219"/>
      <c r="B1287" s="219"/>
      <c r="C1287" s="219"/>
      <c r="D1287" s="219"/>
      <c r="E1287" s="219"/>
      <c r="F1287" s="219"/>
      <c r="G1287" s="219"/>
      <c r="H1287" s="219"/>
      <c r="I1287" s="249"/>
      <c r="J1287" s="243"/>
      <c r="K1287" s="219"/>
      <c r="L1287" s="244"/>
      <c r="M1287" s="219"/>
      <c r="N1287" s="219"/>
      <c r="O1287" s="219"/>
      <c r="P1287" s="244"/>
      <c r="Q1287" s="219"/>
      <c r="R1287" s="302"/>
      <c r="S1287" s="219"/>
      <c r="T1287" s="219"/>
      <c r="U1287" s="219"/>
      <c r="V1287" s="303"/>
      <c r="W1287" s="247"/>
      <c r="X1287" s="245"/>
      <c r="Y1287" s="245"/>
      <c r="Z1287" s="245"/>
      <c r="AA1287" s="245"/>
      <c r="AB1287" s="245"/>
      <c r="AC1287" s="249"/>
      <c r="AD1287" s="249"/>
      <c r="AE1287" s="249"/>
      <c r="AF1287" s="8"/>
      <c r="AG1287" s="8"/>
      <c r="AH1287" s="72"/>
      <c r="AI1287" s="8"/>
      <c r="AJ1287" s="251"/>
      <c r="AK1287" s="23"/>
      <c r="AL1287" s="75"/>
      <c r="AM1287" s="75" t="str">
        <f t="shared" si="141"/>
        <v/>
      </c>
      <c r="AN1287" s="75"/>
      <c r="AO1287" s="75"/>
      <c r="AP1287" s="75"/>
      <c r="AQ1287" s="75"/>
      <c r="AR1287" s="75"/>
      <c r="AS1287" s="75"/>
      <c r="AT1287" s="75"/>
    </row>
    <row r="1288" ht="22.5" customHeight="1">
      <c r="A1288" s="219"/>
      <c r="B1288" s="219"/>
      <c r="C1288" s="219"/>
      <c r="D1288" s="219"/>
      <c r="E1288" s="219"/>
      <c r="F1288" s="219"/>
      <c r="G1288" s="219"/>
      <c r="H1288" s="219"/>
      <c r="I1288" s="249"/>
      <c r="J1288" s="243"/>
      <c r="K1288" s="219"/>
      <c r="L1288" s="244"/>
      <c r="M1288" s="219"/>
      <c r="N1288" s="219"/>
      <c r="O1288" s="219"/>
      <c r="P1288" s="244"/>
      <c r="Q1288" s="219"/>
      <c r="R1288" s="302"/>
      <c r="S1288" s="219"/>
      <c r="T1288" s="219"/>
      <c r="U1288" s="219"/>
      <c r="V1288" s="303"/>
      <c r="W1288" s="247"/>
      <c r="X1288" s="245"/>
      <c r="Y1288" s="245"/>
      <c r="Z1288" s="245"/>
      <c r="AA1288" s="245"/>
      <c r="AB1288" s="245"/>
      <c r="AC1288" s="249"/>
      <c r="AD1288" s="249"/>
      <c r="AE1288" s="249"/>
      <c r="AF1288" s="8"/>
      <c r="AG1288" s="8"/>
      <c r="AH1288" s="72"/>
      <c r="AI1288" s="8"/>
      <c r="AJ1288" s="251"/>
      <c r="AK1288" s="23"/>
      <c r="AL1288" s="75"/>
      <c r="AM1288" s="75" t="str">
        <f t="shared" si="141"/>
        <v/>
      </c>
      <c r="AN1288" s="75"/>
      <c r="AO1288" s="75"/>
      <c r="AP1288" s="75"/>
      <c r="AQ1288" s="75"/>
      <c r="AR1288" s="75"/>
      <c r="AS1288" s="75"/>
      <c r="AT1288" s="75"/>
    </row>
    <row r="1289" ht="22.5" customHeight="1">
      <c r="A1289" s="219"/>
      <c r="B1289" s="219"/>
      <c r="C1289" s="219"/>
      <c r="D1289" s="219"/>
      <c r="E1289" s="219"/>
      <c r="F1289" s="219"/>
      <c r="G1289" s="219"/>
      <c r="H1289" s="219"/>
      <c r="I1289" s="249"/>
      <c r="J1289" s="243"/>
      <c r="K1289" s="219"/>
      <c r="L1289" s="244"/>
      <c r="M1289" s="219"/>
      <c r="N1289" s="219"/>
      <c r="O1289" s="219"/>
      <c r="P1289" s="244"/>
      <c r="Q1289" s="219"/>
      <c r="R1289" s="302"/>
      <c r="S1289" s="219"/>
      <c r="T1289" s="219"/>
      <c r="U1289" s="219"/>
      <c r="V1289" s="303"/>
      <c r="W1289" s="247"/>
      <c r="X1289" s="245"/>
      <c r="Y1289" s="245"/>
      <c r="Z1289" s="245"/>
      <c r="AA1289" s="245"/>
      <c r="AB1289" s="245"/>
      <c r="AC1289" s="249"/>
      <c r="AD1289" s="249"/>
      <c r="AE1289" s="249"/>
      <c r="AF1289" s="8"/>
      <c r="AG1289" s="8"/>
      <c r="AH1289" s="72"/>
      <c r="AI1289" s="8"/>
      <c r="AJ1289" s="251"/>
      <c r="AK1289" s="23"/>
      <c r="AL1289" s="75"/>
      <c r="AM1289" s="75" t="str">
        <f t="shared" si="141"/>
        <v/>
      </c>
      <c r="AN1289" s="75"/>
      <c r="AO1289" s="75"/>
      <c r="AP1289" s="75"/>
      <c r="AQ1289" s="75"/>
      <c r="AR1289" s="75"/>
      <c r="AS1289" s="75"/>
      <c r="AT1289" s="75"/>
    </row>
    <row r="1290" ht="22.5" customHeight="1">
      <c r="A1290" s="219"/>
      <c r="B1290" s="219"/>
      <c r="C1290" s="219"/>
      <c r="D1290" s="219"/>
      <c r="E1290" s="219"/>
      <c r="F1290" s="219"/>
      <c r="G1290" s="219"/>
      <c r="H1290" s="219"/>
      <c r="I1290" s="249"/>
      <c r="J1290" s="243"/>
      <c r="K1290" s="219"/>
      <c r="L1290" s="244"/>
      <c r="M1290" s="219"/>
      <c r="N1290" s="219"/>
      <c r="O1290" s="219"/>
      <c r="P1290" s="244"/>
      <c r="Q1290" s="219"/>
      <c r="R1290" s="302"/>
      <c r="S1290" s="219"/>
      <c r="T1290" s="219"/>
      <c r="U1290" s="219"/>
      <c r="V1290" s="303"/>
      <c r="W1290" s="247"/>
      <c r="X1290" s="245"/>
      <c r="Y1290" s="245"/>
      <c r="Z1290" s="245"/>
      <c r="AA1290" s="245"/>
      <c r="AB1290" s="245"/>
      <c r="AC1290" s="249"/>
      <c r="AD1290" s="249"/>
      <c r="AE1290" s="249"/>
      <c r="AF1290" s="8"/>
      <c r="AG1290" s="8"/>
      <c r="AH1290" s="72"/>
      <c r="AI1290" s="8"/>
      <c r="AJ1290" s="251"/>
      <c r="AK1290" s="23"/>
      <c r="AL1290" s="75"/>
      <c r="AM1290" s="75" t="str">
        <f t="shared" si="141"/>
        <v/>
      </c>
      <c r="AN1290" s="75"/>
      <c r="AO1290" s="75"/>
      <c r="AP1290" s="75"/>
      <c r="AQ1290" s="75"/>
      <c r="AR1290" s="75"/>
      <c r="AS1290" s="75"/>
      <c r="AT1290" s="75"/>
    </row>
    <row r="1291" ht="22.5" customHeight="1">
      <c r="A1291" s="219"/>
      <c r="B1291" s="219"/>
      <c r="C1291" s="219"/>
      <c r="D1291" s="219"/>
      <c r="E1291" s="219"/>
      <c r="F1291" s="219"/>
      <c r="G1291" s="219"/>
      <c r="H1291" s="219"/>
      <c r="I1291" s="249"/>
      <c r="J1291" s="243"/>
      <c r="K1291" s="219"/>
      <c r="L1291" s="244"/>
      <c r="M1291" s="219"/>
      <c r="N1291" s="219"/>
      <c r="O1291" s="219"/>
      <c r="P1291" s="244"/>
      <c r="Q1291" s="219"/>
      <c r="R1291" s="302"/>
      <c r="S1291" s="219"/>
      <c r="T1291" s="219"/>
      <c r="U1291" s="219"/>
      <c r="V1291" s="303"/>
      <c r="W1291" s="247"/>
      <c r="X1291" s="245"/>
      <c r="Y1291" s="245"/>
      <c r="Z1291" s="245"/>
      <c r="AA1291" s="245"/>
      <c r="AB1291" s="245"/>
      <c r="AC1291" s="249"/>
      <c r="AD1291" s="249"/>
      <c r="AE1291" s="249"/>
      <c r="AF1291" s="8"/>
      <c r="AG1291" s="8"/>
      <c r="AH1291" s="72"/>
      <c r="AI1291" s="8"/>
      <c r="AJ1291" s="251"/>
      <c r="AK1291" s="23"/>
      <c r="AL1291" s="75"/>
      <c r="AM1291" s="75" t="str">
        <f t="shared" si="141"/>
        <v/>
      </c>
      <c r="AN1291" s="75"/>
      <c r="AO1291" s="75"/>
      <c r="AP1291" s="75"/>
      <c r="AQ1291" s="75"/>
      <c r="AR1291" s="75"/>
      <c r="AS1291" s="75"/>
      <c r="AT1291" s="75"/>
    </row>
    <row r="1292" ht="22.5" customHeight="1">
      <c r="A1292" s="219"/>
      <c r="B1292" s="219"/>
      <c r="C1292" s="219"/>
      <c r="D1292" s="219"/>
      <c r="E1292" s="219"/>
      <c r="F1292" s="219"/>
      <c r="G1292" s="219"/>
      <c r="H1292" s="219"/>
      <c r="I1292" s="249"/>
      <c r="J1292" s="243"/>
      <c r="K1292" s="219"/>
      <c r="L1292" s="244"/>
      <c r="M1292" s="219"/>
      <c r="N1292" s="219"/>
      <c r="O1292" s="219"/>
      <c r="P1292" s="244"/>
      <c r="Q1292" s="219"/>
      <c r="R1292" s="302"/>
      <c r="S1292" s="219"/>
      <c r="T1292" s="219"/>
      <c r="U1292" s="219"/>
      <c r="V1292" s="303"/>
      <c r="W1292" s="247"/>
      <c r="X1292" s="245"/>
      <c r="Y1292" s="245"/>
      <c r="Z1292" s="245"/>
      <c r="AA1292" s="245"/>
      <c r="AB1292" s="245"/>
      <c r="AC1292" s="249"/>
      <c r="AD1292" s="249"/>
      <c r="AE1292" s="249"/>
      <c r="AF1292" s="8"/>
      <c r="AG1292" s="8"/>
      <c r="AH1292" s="72"/>
      <c r="AI1292" s="8"/>
      <c r="AJ1292" s="251"/>
      <c r="AK1292" s="23"/>
      <c r="AL1292" s="75"/>
      <c r="AM1292" s="75" t="str">
        <f t="shared" si="141"/>
        <v/>
      </c>
      <c r="AN1292" s="75"/>
      <c r="AO1292" s="75"/>
      <c r="AP1292" s="75"/>
      <c r="AQ1292" s="75"/>
      <c r="AR1292" s="75"/>
      <c r="AS1292" s="75"/>
      <c r="AT1292" s="75"/>
    </row>
    <row r="1293" ht="22.5" customHeight="1">
      <c r="A1293" s="219"/>
      <c r="B1293" s="219"/>
      <c r="C1293" s="219"/>
      <c r="D1293" s="219"/>
      <c r="E1293" s="219"/>
      <c r="F1293" s="219"/>
      <c r="G1293" s="219"/>
      <c r="H1293" s="219"/>
      <c r="I1293" s="249"/>
      <c r="J1293" s="243"/>
      <c r="K1293" s="219"/>
      <c r="L1293" s="244"/>
      <c r="M1293" s="219"/>
      <c r="N1293" s="219"/>
      <c r="O1293" s="219"/>
      <c r="P1293" s="244"/>
      <c r="Q1293" s="219"/>
      <c r="R1293" s="302"/>
      <c r="S1293" s="219"/>
      <c r="T1293" s="219"/>
      <c r="U1293" s="219"/>
      <c r="V1293" s="303"/>
      <c r="W1293" s="247"/>
      <c r="X1293" s="245"/>
      <c r="Y1293" s="245"/>
      <c r="Z1293" s="245"/>
      <c r="AA1293" s="245"/>
      <c r="AB1293" s="245"/>
      <c r="AC1293" s="249"/>
      <c r="AD1293" s="249"/>
      <c r="AE1293" s="249"/>
      <c r="AF1293" s="8"/>
      <c r="AG1293" s="8"/>
      <c r="AH1293" s="72"/>
      <c r="AI1293" s="8"/>
      <c r="AJ1293" s="251"/>
      <c r="AK1293" s="23"/>
      <c r="AL1293" s="75"/>
      <c r="AM1293" s="75" t="str">
        <f t="shared" si="141"/>
        <v/>
      </c>
      <c r="AN1293" s="75"/>
      <c r="AO1293" s="75"/>
      <c r="AP1293" s="75"/>
      <c r="AQ1293" s="75"/>
      <c r="AR1293" s="75"/>
      <c r="AS1293" s="75"/>
      <c r="AT1293" s="75"/>
    </row>
    <row r="1294" ht="22.5" customHeight="1">
      <c r="A1294" s="219"/>
      <c r="B1294" s="219"/>
      <c r="C1294" s="219"/>
      <c r="D1294" s="219"/>
      <c r="E1294" s="219"/>
      <c r="F1294" s="219"/>
      <c r="G1294" s="219"/>
      <c r="H1294" s="219"/>
      <c r="I1294" s="249"/>
      <c r="J1294" s="243"/>
      <c r="K1294" s="219"/>
      <c r="L1294" s="244"/>
      <c r="M1294" s="219"/>
      <c r="N1294" s="219"/>
      <c r="O1294" s="219"/>
      <c r="P1294" s="244"/>
      <c r="Q1294" s="219"/>
      <c r="R1294" s="302"/>
      <c r="S1294" s="219"/>
      <c r="T1294" s="219"/>
      <c r="U1294" s="219"/>
      <c r="V1294" s="303"/>
      <c r="W1294" s="247"/>
      <c r="X1294" s="245"/>
      <c r="Y1294" s="245"/>
      <c r="Z1294" s="245"/>
      <c r="AA1294" s="245"/>
      <c r="AB1294" s="245"/>
      <c r="AC1294" s="249"/>
      <c r="AD1294" s="249"/>
      <c r="AE1294" s="249"/>
      <c r="AF1294" s="8"/>
      <c r="AG1294" s="8"/>
      <c r="AH1294" s="72"/>
      <c r="AI1294" s="8"/>
      <c r="AJ1294" s="251"/>
      <c r="AK1294" s="23"/>
      <c r="AL1294" s="75"/>
      <c r="AM1294" s="75" t="str">
        <f t="shared" si="141"/>
        <v/>
      </c>
      <c r="AN1294" s="75"/>
      <c r="AO1294" s="75"/>
      <c r="AP1294" s="75"/>
      <c r="AQ1294" s="75"/>
      <c r="AR1294" s="75"/>
      <c r="AS1294" s="75"/>
      <c r="AT1294" s="75"/>
    </row>
    <row r="1295" ht="22.5" customHeight="1">
      <c r="A1295" s="219"/>
      <c r="B1295" s="219"/>
      <c r="C1295" s="219"/>
      <c r="D1295" s="219"/>
      <c r="E1295" s="219"/>
      <c r="F1295" s="219"/>
      <c r="G1295" s="219"/>
      <c r="H1295" s="219"/>
      <c r="I1295" s="249"/>
      <c r="J1295" s="243"/>
      <c r="K1295" s="219"/>
      <c r="L1295" s="244"/>
      <c r="M1295" s="219"/>
      <c r="N1295" s="219"/>
      <c r="O1295" s="219"/>
      <c r="P1295" s="244"/>
      <c r="Q1295" s="219"/>
      <c r="R1295" s="302"/>
      <c r="S1295" s="219"/>
      <c r="T1295" s="219"/>
      <c r="U1295" s="219"/>
      <c r="V1295" s="303"/>
      <c r="W1295" s="247"/>
      <c r="X1295" s="245"/>
      <c r="Y1295" s="245"/>
      <c r="Z1295" s="245"/>
      <c r="AA1295" s="245"/>
      <c r="AB1295" s="245"/>
      <c r="AC1295" s="249"/>
      <c r="AD1295" s="249"/>
      <c r="AE1295" s="249"/>
      <c r="AF1295" s="8"/>
      <c r="AG1295" s="8"/>
      <c r="AH1295" s="72"/>
      <c r="AI1295" s="8"/>
      <c r="AJ1295" s="251"/>
      <c r="AK1295" s="23"/>
      <c r="AL1295" s="75"/>
      <c r="AM1295" s="75" t="str">
        <f t="shared" si="141"/>
        <v/>
      </c>
      <c r="AN1295" s="75"/>
      <c r="AO1295" s="75"/>
      <c r="AP1295" s="75"/>
      <c r="AQ1295" s="75"/>
      <c r="AR1295" s="75"/>
      <c r="AS1295" s="75"/>
      <c r="AT1295" s="75"/>
    </row>
    <row r="1296" ht="22.5" customHeight="1">
      <c r="A1296" s="219"/>
      <c r="B1296" s="219"/>
      <c r="C1296" s="219"/>
      <c r="D1296" s="219"/>
      <c r="E1296" s="219"/>
      <c r="F1296" s="219"/>
      <c r="G1296" s="219"/>
      <c r="H1296" s="219"/>
      <c r="I1296" s="249"/>
      <c r="J1296" s="243"/>
      <c r="K1296" s="219"/>
      <c r="L1296" s="244"/>
      <c r="M1296" s="219"/>
      <c r="N1296" s="219"/>
      <c r="O1296" s="219"/>
      <c r="P1296" s="244"/>
      <c r="Q1296" s="219"/>
      <c r="R1296" s="302"/>
      <c r="S1296" s="219"/>
      <c r="T1296" s="219"/>
      <c r="U1296" s="219"/>
      <c r="V1296" s="303"/>
      <c r="W1296" s="247"/>
      <c r="X1296" s="245"/>
      <c r="Y1296" s="245"/>
      <c r="Z1296" s="245"/>
      <c r="AA1296" s="245"/>
      <c r="AB1296" s="245"/>
      <c r="AC1296" s="249"/>
      <c r="AD1296" s="249"/>
      <c r="AE1296" s="249"/>
      <c r="AF1296" s="8"/>
      <c r="AG1296" s="8"/>
      <c r="AH1296" s="72"/>
      <c r="AI1296" s="8"/>
      <c r="AJ1296" s="251"/>
      <c r="AK1296" s="23"/>
      <c r="AL1296" s="75"/>
      <c r="AM1296" s="75" t="str">
        <f t="shared" si="141"/>
        <v/>
      </c>
      <c r="AN1296" s="75"/>
      <c r="AO1296" s="75"/>
      <c r="AP1296" s="75"/>
      <c r="AQ1296" s="75"/>
      <c r="AR1296" s="75"/>
      <c r="AS1296" s="75"/>
      <c r="AT1296" s="75"/>
    </row>
    <row r="1297" ht="22.5" customHeight="1">
      <c r="A1297" s="219"/>
      <c r="B1297" s="219"/>
      <c r="C1297" s="219"/>
      <c r="D1297" s="219"/>
      <c r="E1297" s="219"/>
      <c r="F1297" s="219"/>
      <c r="G1297" s="219"/>
      <c r="H1297" s="219"/>
      <c r="I1297" s="249"/>
      <c r="J1297" s="243"/>
      <c r="K1297" s="219"/>
      <c r="L1297" s="244"/>
      <c r="M1297" s="219"/>
      <c r="N1297" s="219"/>
      <c r="O1297" s="219"/>
      <c r="P1297" s="244"/>
      <c r="Q1297" s="219"/>
      <c r="R1297" s="302"/>
      <c r="S1297" s="219"/>
      <c r="T1297" s="219"/>
      <c r="U1297" s="219"/>
      <c r="V1297" s="303"/>
      <c r="W1297" s="247"/>
      <c r="X1297" s="245"/>
      <c r="Y1297" s="245"/>
      <c r="Z1297" s="245"/>
      <c r="AA1297" s="245"/>
      <c r="AB1297" s="245"/>
      <c r="AC1297" s="249"/>
      <c r="AD1297" s="249"/>
      <c r="AE1297" s="249"/>
      <c r="AF1297" s="8"/>
      <c r="AG1297" s="8"/>
      <c r="AH1297" s="72"/>
      <c r="AI1297" s="8"/>
      <c r="AJ1297" s="251"/>
      <c r="AK1297" s="23"/>
      <c r="AL1297" s="75"/>
      <c r="AM1297" s="75" t="str">
        <f t="shared" si="141"/>
        <v/>
      </c>
      <c r="AN1297" s="75"/>
      <c r="AO1297" s="75"/>
      <c r="AP1297" s="75"/>
      <c r="AQ1297" s="75"/>
      <c r="AR1297" s="75"/>
      <c r="AS1297" s="75"/>
      <c r="AT1297" s="75"/>
    </row>
    <row r="1298" ht="22.5" customHeight="1">
      <c r="A1298" s="219"/>
      <c r="B1298" s="219"/>
      <c r="C1298" s="219"/>
      <c r="D1298" s="219"/>
      <c r="E1298" s="219"/>
      <c r="F1298" s="219"/>
      <c r="G1298" s="219"/>
      <c r="H1298" s="219"/>
      <c r="I1298" s="249"/>
      <c r="J1298" s="243"/>
      <c r="K1298" s="219"/>
      <c r="L1298" s="244"/>
      <c r="M1298" s="219"/>
      <c r="N1298" s="219"/>
      <c r="O1298" s="219"/>
      <c r="P1298" s="244"/>
      <c r="Q1298" s="219"/>
      <c r="R1298" s="302"/>
      <c r="S1298" s="219"/>
      <c r="T1298" s="219"/>
      <c r="U1298" s="219"/>
      <c r="V1298" s="303"/>
      <c r="W1298" s="247"/>
      <c r="X1298" s="245"/>
      <c r="Y1298" s="245"/>
      <c r="Z1298" s="245"/>
      <c r="AA1298" s="245"/>
      <c r="AB1298" s="245"/>
      <c r="AC1298" s="249"/>
      <c r="AD1298" s="249"/>
      <c r="AE1298" s="249"/>
      <c r="AF1298" s="8"/>
      <c r="AG1298" s="8"/>
      <c r="AH1298" s="72"/>
      <c r="AI1298" s="8"/>
      <c r="AJ1298" s="251"/>
      <c r="AK1298" s="23"/>
      <c r="AL1298" s="75"/>
      <c r="AM1298" s="75" t="str">
        <f t="shared" si="141"/>
        <v/>
      </c>
      <c r="AN1298" s="75"/>
      <c r="AO1298" s="75"/>
      <c r="AP1298" s="75"/>
      <c r="AQ1298" s="75"/>
      <c r="AR1298" s="75"/>
      <c r="AS1298" s="75"/>
      <c r="AT1298" s="75"/>
    </row>
    <row r="1299" ht="22.5" customHeight="1">
      <c r="A1299" s="219"/>
      <c r="B1299" s="219"/>
      <c r="C1299" s="219"/>
      <c r="D1299" s="219"/>
      <c r="E1299" s="219"/>
      <c r="F1299" s="219"/>
      <c r="G1299" s="219"/>
      <c r="H1299" s="219"/>
      <c r="I1299" s="249"/>
      <c r="J1299" s="243"/>
      <c r="K1299" s="219"/>
      <c r="L1299" s="244"/>
      <c r="M1299" s="219"/>
      <c r="N1299" s="219"/>
      <c r="O1299" s="219"/>
      <c r="P1299" s="244"/>
      <c r="Q1299" s="219"/>
      <c r="R1299" s="302"/>
      <c r="S1299" s="219"/>
      <c r="T1299" s="219"/>
      <c r="U1299" s="219"/>
      <c r="V1299" s="303"/>
      <c r="W1299" s="247"/>
      <c r="X1299" s="245"/>
      <c r="Y1299" s="245"/>
      <c r="Z1299" s="245"/>
      <c r="AA1299" s="245"/>
      <c r="AB1299" s="245"/>
      <c r="AC1299" s="249"/>
      <c r="AD1299" s="249"/>
      <c r="AE1299" s="249"/>
      <c r="AF1299" s="8"/>
      <c r="AG1299" s="8"/>
      <c r="AH1299" s="72"/>
      <c r="AI1299" s="8"/>
      <c r="AJ1299" s="251"/>
      <c r="AK1299" s="23"/>
      <c r="AL1299" s="75"/>
      <c r="AM1299" s="75" t="str">
        <f t="shared" si="141"/>
        <v/>
      </c>
      <c r="AN1299" s="75"/>
      <c r="AO1299" s="75"/>
      <c r="AP1299" s="75"/>
      <c r="AQ1299" s="75"/>
      <c r="AR1299" s="75"/>
      <c r="AS1299" s="75"/>
      <c r="AT1299" s="75"/>
    </row>
    <row r="1300" ht="22.5" customHeight="1">
      <c r="A1300" s="219"/>
      <c r="B1300" s="219"/>
      <c r="C1300" s="219"/>
      <c r="D1300" s="219"/>
      <c r="E1300" s="219"/>
      <c r="F1300" s="219"/>
      <c r="G1300" s="219"/>
      <c r="H1300" s="219"/>
      <c r="I1300" s="249"/>
      <c r="J1300" s="243"/>
      <c r="K1300" s="219"/>
      <c r="L1300" s="244"/>
      <c r="M1300" s="219"/>
      <c r="N1300" s="219"/>
      <c r="O1300" s="219"/>
      <c r="P1300" s="244"/>
      <c r="Q1300" s="219"/>
      <c r="R1300" s="302"/>
      <c r="S1300" s="219"/>
      <c r="T1300" s="219"/>
      <c r="U1300" s="219"/>
      <c r="V1300" s="303"/>
      <c r="W1300" s="247"/>
      <c r="X1300" s="245"/>
      <c r="Y1300" s="245"/>
      <c r="Z1300" s="245"/>
      <c r="AA1300" s="245"/>
      <c r="AB1300" s="245"/>
      <c r="AC1300" s="249"/>
      <c r="AD1300" s="249"/>
      <c r="AE1300" s="249"/>
      <c r="AF1300" s="8"/>
      <c r="AG1300" s="8"/>
      <c r="AH1300" s="72"/>
      <c r="AI1300" s="8"/>
      <c r="AJ1300" s="251"/>
      <c r="AK1300" s="23"/>
      <c r="AL1300" s="75"/>
      <c r="AM1300" s="75" t="str">
        <f t="shared" si="141"/>
        <v/>
      </c>
      <c r="AN1300" s="75"/>
      <c r="AO1300" s="75"/>
      <c r="AP1300" s="75"/>
      <c r="AQ1300" s="75"/>
      <c r="AR1300" s="75"/>
      <c r="AS1300" s="75"/>
      <c r="AT1300" s="75"/>
    </row>
    <row r="1301" ht="22.5" customHeight="1">
      <c r="A1301" s="219"/>
      <c r="B1301" s="219"/>
      <c r="C1301" s="219"/>
      <c r="D1301" s="219"/>
      <c r="E1301" s="219"/>
      <c r="F1301" s="219"/>
      <c r="G1301" s="219"/>
      <c r="H1301" s="219"/>
      <c r="I1301" s="249"/>
      <c r="J1301" s="243"/>
      <c r="K1301" s="219"/>
      <c r="L1301" s="244"/>
      <c r="M1301" s="219"/>
      <c r="N1301" s="219"/>
      <c r="O1301" s="219"/>
      <c r="P1301" s="244"/>
      <c r="Q1301" s="219"/>
      <c r="R1301" s="302"/>
      <c r="S1301" s="219"/>
      <c r="T1301" s="219"/>
      <c r="U1301" s="219"/>
      <c r="V1301" s="303"/>
      <c r="W1301" s="247"/>
      <c r="X1301" s="245"/>
      <c r="Y1301" s="245"/>
      <c r="Z1301" s="245"/>
      <c r="AA1301" s="245"/>
      <c r="AB1301" s="245"/>
      <c r="AC1301" s="249"/>
      <c r="AD1301" s="249"/>
      <c r="AE1301" s="249"/>
      <c r="AF1301" s="8"/>
      <c r="AG1301" s="8"/>
      <c r="AH1301" s="72"/>
      <c r="AI1301" s="8"/>
      <c r="AJ1301" s="251"/>
      <c r="AK1301" s="23"/>
      <c r="AL1301" s="75"/>
      <c r="AM1301" s="75" t="str">
        <f t="shared" si="141"/>
        <v/>
      </c>
      <c r="AN1301" s="75"/>
      <c r="AO1301" s="75"/>
      <c r="AP1301" s="75"/>
      <c r="AQ1301" s="75"/>
      <c r="AR1301" s="75"/>
      <c r="AS1301" s="75"/>
      <c r="AT1301" s="75"/>
    </row>
    <row r="1302" ht="22.5" customHeight="1">
      <c r="A1302" s="219"/>
      <c r="B1302" s="219"/>
      <c r="C1302" s="219"/>
      <c r="D1302" s="219"/>
      <c r="E1302" s="219"/>
      <c r="F1302" s="219"/>
      <c r="G1302" s="219"/>
      <c r="H1302" s="219"/>
      <c r="I1302" s="249"/>
      <c r="J1302" s="243"/>
      <c r="K1302" s="219"/>
      <c r="L1302" s="244"/>
      <c r="M1302" s="219"/>
      <c r="N1302" s="219"/>
      <c r="O1302" s="219"/>
      <c r="P1302" s="244"/>
      <c r="Q1302" s="219"/>
      <c r="R1302" s="302"/>
      <c r="S1302" s="219"/>
      <c r="T1302" s="219"/>
      <c r="U1302" s="219"/>
      <c r="V1302" s="303"/>
      <c r="W1302" s="247"/>
      <c r="X1302" s="245"/>
      <c r="Y1302" s="245"/>
      <c r="Z1302" s="245"/>
      <c r="AA1302" s="245"/>
      <c r="AB1302" s="245"/>
      <c r="AC1302" s="249"/>
      <c r="AD1302" s="249"/>
      <c r="AE1302" s="249"/>
      <c r="AF1302" s="8"/>
      <c r="AG1302" s="8"/>
      <c r="AH1302" s="72"/>
      <c r="AI1302" s="8"/>
      <c r="AJ1302" s="251"/>
      <c r="AK1302" s="23"/>
      <c r="AL1302" s="75"/>
      <c r="AM1302" s="75" t="str">
        <f t="shared" si="141"/>
        <v/>
      </c>
      <c r="AN1302" s="75"/>
      <c r="AO1302" s="75"/>
      <c r="AP1302" s="75"/>
      <c r="AQ1302" s="75"/>
      <c r="AR1302" s="75"/>
      <c r="AS1302" s="75"/>
      <c r="AT1302" s="75"/>
    </row>
    <row r="1303" ht="22.5" customHeight="1">
      <c r="A1303" s="219"/>
      <c r="B1303" s="219"/>
      <c r="C1303" s="219"/>
      <c r="D1303" s="219"/>
      <c r="E1303" s="219"/>
      <c r="F1303" s="219"/>
      <c r="G1303" s="219"/>
      <c r="H1303" s="219"/>
      <c r="I1303" s="249"/>
      <c r="J1303" s="243"/>
      <c r="K1303" s="219"/>
      <c r="L1303" s="244"/>
      <c r="M1303" s="219"/>
      <c r="N1303" s="219"/>
      <c r="O1303" s="219"/>
      <c r="P1303" s="244"/>
      <c r="Q1303" s="219"/>
      <c r="R1303" s="302"/>
      <c r="S1303" s="219"/>
      <c r="T1303" s="219"/>
      <c r="U1303" s="219"/>
      <c r="V1303" s="303"/>
      <c r="W1303" s="247"/>
      <c r="X1303" s="245"/>
      <c r="Y1303" s="245"/>
      <c r="Z1303" s="245"/>
      <c r="AA1303" s="245"/>
      <c r="AB1303" s="245"/>
      <c r="AC1303" s="249"/>
      <c r="AD1303" s="249"/>
      <c r="AE1303" s="249"/>
      <c r="AF1303" s="8"/>
      <c r="AG1303" s="8"/>
      <c r="AH1303" s="72"/>
      <c r="AI1303" s="8"/>
      <c r="AJ1303" s="251"/>
      <c r="AK1303" s="23"/>
      <c r="AL1303" s="75"/>
      <c r="AM1303" s="75" t="str">
        <f t="shared" si="141"/>
        <v/>
      </c>
      <c r="AN1303" s="75"/>
      <c r="AO1303" s="75"/>
      <c r="AP1303" s="75"/>
      <c r="AQ1303" s="75"/>
      <c r="AR1303" s="75"/>
      <c r="AS1303" s="75"/>
      <c r="AT1303" s="75"/>
    </row>
    <row r="1304" ht="22.5" customHeight="1">
      <c r="A1304" s="219"/>
      <c r="B1304" s="219"/>
      <c r="C1304" s="219"/>
      <c r="D1304" s="219"/>
      <c r="E1304" s="219"/>
      <c r="F1304" s="219"/>
      <c r="G1304" s="219"/>
      <c r="H1304" s="219"/>
      <c r="I1304" s="249"/>
      <c r="J1304" s="243"/>
      <c r="K1304" s="219"/>
      <c r="L1304" s="244"/>
      <c r="M1304" s="219"/>
      <c r="N1304" s="219"/>
      <c r="O1304" s="219"/>
      <c r="P1304" s="244"/>
      <c r="Q1304" s="219"/>
      <c r="R1304" s="302"/>
      <c r="S1304" s="219"/>
      <c r="T1304" s="219"/>
      <c r="U1304" s="219"/>
      <c r="V1304" s="303"/>
      <c r="W1304" s="247"/>
      <c r="X1304" s="245"/>
      <c r="Y1304" s="245"/>
      <c r="Z1304" s="245"/>
      <c r="AA1304" s="245"/>
      <c r="AB1304" s="245"/>
      <c r="AC1304" s="249"/>
      <c r="AD1304" s="249"/>
      <c r="AE1304" s="249"/>
      <c r="AF1304" s="8"/>
      <c r="AG1304" s="8"/>
      <c r="AH1304" s="72"/>
      <c r="AI1304" s="8"/>
      <c r="AJ1304" s="251"/>
      <c r="AK1304" s="23"/>
      <c r="AL1304" s="75"/>
      <c r="AM1304" s="75" t="str">
        <f t="shared" si="141"/>
        <v/>
      </c>
      <c r="AN1304" s="75"/>
      <c r="AO1304" s="75"/>
      <c r="AP1304" s="75"/>
      <c r="AQ1304" s="75"/>
      <c r="AR1304" s="75"/>
      <c r="AS1304" s="75"/>
      <c r="AT1304" s="75"/>
    </row>
    <row r="1305" ht="22.5" customHeight="1">
      <c r="A1305" s="219"/>
      <c r="B1305" s="219"/>
      <c r="C1305" s="219"/>
      <c r="D1305" s="219"/>
      <c r="E1305" s="219"/>
      <c r="F1305" s="219"/>
      <c r="G1305" s="219"/>
      <c r="H1305" s="219"/>
      <c r="I1305" s="249"/>
      <c r="J1305" s="243"/>
      <c r="K1305" s="219"/>
      <c r="L1305" s="244"/>
      <c r="M1305" s="219"/>
      <c r="N1305" s="219"/>
      <c r="O1305" s="219"/>
      <c r="P1305" s="244"/>
      <c r="Q1305" s="219"/>
      <c r="R1305" s="302"/>
      <c r="S1305" s="219"/>
      <c r="T1305" s="219"/>
      <c r="U1305" s="219"/>
      <c r="V1305" s="303"/>
      <c r="W1305" s="247"/>
      <c r="X1305" s="245"/>
      <c r="Y1305" s="245"/>
      <c r="Z1305" s="245"/>
      <c r="AA1305" s="245"/>
      <c r="AB1305" s="245"/>
      <c r="AC1305" s="249"/>
      <c r="AD1305" s="249"/>
      <c r="AE1305" s="249"/>
      <c r="AF1305" s="8"/>
      <c r="AG1305" s="8"/>
      <c r="AH1305" s="72"/>
      <c r="AI1305" s="8"/>
      <c r="AJ1305" s="251"/>
      <c r="AK1305" s="23"/>
      <c r="AL1305" s="75"/>
      <c r="AM1305" s="75" t="str">
        <f t="shared" si="141"/>
        <v/>
      </c>
      <c r="AN1305" s="75"/>
      <c r="AO1305" s="75"/>
      <c r="AP1305" s="75"/>
      <c r="AQ1305" s="75"/>
      <c r="AR1305" s="75"/>
      <c r="AS1305" s="75"/>
      <c r="AT1305" s="75"/>
    </row>
    <row r="1306" ht="22.5" customHeight="1">
      <c r="A1306" s="219"/>
      <c r="B1306" s="219"/>
      <c r="C1306" s="219"/>
      <c r="D1306" s="219"/>
      <c r="E1306" s="219"/>
      <c r="F1306" s="219"/>
      <c r="G1306" s="219"/>
      <c r="H1306" s="219"/>
      <c r="I1306" s="249"/>
      <c r="J1306" s="243"/>
      <c r="K1306" s="219"/>
      <c r="L1306" s="244"/>
      <c r="M1306" s="219"/>
      <c r="N1306" s="219"/>
      <c r="O1306" s="219"/>
      <c r="P1306" s="244"/>
      <c r="Q1306" s="219"/>
      <c r="R1306" s="302"/>
      <c r="S1306" s="219"/>
      <c r="T1306" s="219"/>
      <c r="U1306" s="219"/>
      <c r="V1306" s="303"/>
      <c r="W1306" s="247"/>
      <c r="X1306" s="245"/>
      <c r="Y1306" s="245"/>
      <c r="Z1306" s="245"/>
      <c r="AA1306" s="245"/>
      <c r="AB1306" s="245"/>
      <c r="AC1306" s="249"/>
      <c r="AD1306" s="249"/>
      <c r="AE1306" s="249"/>
      <c r="AF1306" s="8"/>
      <c r="AG1306" s="8"/>
      <c r="AH1306" s="72"/>
      <c r="AI1306" s="8"/>
      <c r="AJ1306" s="251"/>
      <c r="AK1306" s="23"/>
      <c r="AL1306" s="75"/>
      <c r="AM1306" s="75" t="str">
        <f t="shared" si="141"/>
        <v/>
      </c>
      <c r="AN1306" s="75"/>
      <c r="AO1306" s="75"/>
      <c r="AP1306" s="75"/>
      <c r="AQ1306" s="75"/>
      <c r="AR1306" s="75"/>
      <c r="AS1306" s="75"/>
      <c r="AT1306" s="75"/>
    </row>
    <row r="1307" ht="22.5" customHeight="1">
      <c r="A1307" s="219"/>
      <c r="B1307" s="219"/>
      <c r="C1307" s="219"/>
      <c r="D1307" s="219"/>
      <c r="E1307" s="219"/>
      <c r="F1307" s="219"/>
      <c r="G1307" s="219"/>
      <c r="H1307" s="219"/>
      <c r="I1307" s="249"/>
      <c r="J1307" s="243"/>
      <c r="K1307" s="219"/>
      <c r="L1307" s="244"/>
      <c r="M1307" s="219"/>
      <c r="N1307" s="219"/>
      <c r="O1307" s="219"/>
      <c r="P1307" s="244"/>
      <c r="Q1307" s="219"/>
      <c r="R1307" s="302"/>
      <c r="S1307" s="219"/>
      <c r="T1307" s="219"/>
      <c r="U1307" s="219"/>
      <c r="V1307" s="303"/>
      <c r="W1307" s="247"/>
      <c r="X1307" s="245"/>
      <c r="Y1307" s="245"/>
      <c r="Z1307" s="245"/>
      <c r="AA1307" s="245"/>
      <c r="AB1307" s="245"/>
      <c r="AC1307" s="249"/>
      <c r="AD1307" s="249"/>
      <c r="AE1307" s="249"/>
      <c r="AF1307" s="8"/>
      <c r="AG1307" s="8"/>
      <c r="AH1307" s="72"/>
      <c r="AI1307" s="8"/>
      <c r="AJ1307" s="251"/>
      <c r="AK1307" s="23"/>
      <c r="AL1307" s="75"/>
      <c r="AM1307" s="75" t="str">
        <f t="shared" si="141"/>
        <v/>
      </c>
      <c r="AN1307" s="75"/>
      <c r="AO1307" s="75"/>
      <c r="AP1307" s="75"/>
      <c r="AQ1307" s="75"/>
      <c r="AR1307" s="75"/>
      <c r="AS1307" s="75"/>
      <c r="AT1307" s="75"/>
    </row>
    <row r="1308" ht="22.5" customHeight="1">
      <c r="A1308" s="219"/>
      <c r="B1308" s="219"/>
      <c r="C1308" s="219"/>
      <c r="D1308" s="219"/>
      <c r="E1308" s="219"/>
      <c r="F1308" s="219"/>
      <c r="G1308" s="219"/>
      <c r="H1308" s="219"/>
      <c r="I1308" s="249"/>
      <c r="J1308" s="243"/>
      <c r="K1308" s="219"/>
      <c r="L1308" s="244"/>
      <c r="M1308" s="219"/>
      <c r="N1308" s="219"/>
      <c r="O1308" s="219"/>
      <c r="P1308" s="244"/>
      <c r="Q1308" s="219"/>
      <c r="R1308" s="302"/>
      <c r="S1308" s="219"/>
      <c r="T1308" s="219"/>
      <c r="U1308" s="219"/>
      <c r="V1308" s="303"/>
      <c r="W1308" s="247"/>
      <c r="X1308" s="245"/>
      <c r="Y1308" s="245"/>
      <c r="Z1308" s="245"/>
      <c r="AA1308" s="245"/>
      <c r="AB1308" s="245"/>
      <c r="AC1308" s="249"/>
      <c r="AD1308" s="249"/>
      <c r="AE1308" s="249"/>
      <c r="AF1308" s="8"/>
      <c r="AG1308" s="8"/>
      <c r="AH1308" s="72"/>
      <c r="AI1308" s="8"/>
      <c r="AJ1308" s="251"/>
      <c r="AK1308" s="23"/>
      <c r="AL1308" s="75"/>
      <c r="AM1308" s="75" t="str">
        <f t="shared" si="141"/>
        <v/>
      </c>
      <c r="AN1308" s="75"/>
      <c r="AO1308" s="75"/>
      <c r="AP1308" s="75"/>
      <c r="AQ1308" s="75"/>
      <c r="AR1308" s="75"/>
      <c r="AS1308" s="75"/>
      <c r="AT1308" s="75"/>
    </row>
    <row r="1309" ht="22.5" customHeight="1">
      <c r="A1309" s="219"/>
      <c r="B1309" s="219"/>
      <c r="C1309" s="219"/>
      <c r="D1309" s="219"/>
      <c r="E1309" s="219"/>
      <c r="F1309" s="219"/>
      <c r="G1309" s="219"/>
      <c r="H1309" s="219"/>
      <c r="I1309" s="249"/>
      <c r="J1309" s="243"/>
      <c r="K1309" s="219"/>
      <c r="L1309" s="244"/>
      <c r="M1309" s="219"/>
      <c r="N1309" s="219"/>
      <c r="O1309" s="219"/>
      <c r="P1309" s="244"/>
      <c r="Q1309" s="219"/>
      <c r="R1309" s="302"/>
      <c r="S1309" s="219"/>
      <c r="T1309" s="219"/>
      <c r="U1309" s="219"/>
      <c r="V1309" s="303"/>
      <c r="W1309" s="247"/>
      <c r="X1309" s="245"/>
      <c r="Y1309" s="245"/>
      <c r="Z1309" s="245"/>
      <c r="AA1309" s="245"/>
      <c r="AB1309" s="245"/>
      <c r="AC1309" s="249"/>
      <c r="AD1309" s="249"/>
      <c r="AE1309" s="249"/>
      <c r="AF1309" s="8"/>
      <c r="AG1309" s="8"/>
      <c r="AH1309" s="72"/>
      <c r="AI1309" s="8"/>
      <c r="AJ1309" s="251"/>
      <c r="AK1309" s="23"/>
      <c r="AL1309" s="75"/>
      <c r="AM1309" s="75" t="str">
        <f t="shared" si="141"/>
        <v/>
      </c>
      <c r="AN1309" s="75"/>
      <c r="AO1309" s="75"/>
      <c r="AP1309" s="75"/>
      <c r="AQ1309" s="75"/>
      <c r="AR1309" s="75"/>
      <c r="AS1309" s="75"/>
      <c r="AT1309" s="75"/>
    </row>
    <row r="1310" ht="22.5" customHeight="1">
      <c r="A1310" s="219"/>
      <c r="B1310" s="219"/>
      <c r="C1310" s="219"/>
      <c r="D1310" s="219"/>
      <c r="E1310" s="219"/>
      <c r="F1310" s="219"/>
      <c r="G1310" s="219"/>
      <c r="H1310" s="219"/>
      <c r="I1310" s="249"/>
      <c r="J1310" s="243"/>
      <c r="K1310" s="219"/>
      <c r="L1310" s="244"/>
      <c r="M1310" s="219"/>
      <c r="N1310" s="219"/>
      <c r="O1310" s="219"/>
      <c r="P1310" s="244"/>
      <c r="Q1310" s="219"/>
      <c r="R1310" s="302"/>
      <c r="S1310" s="219"/>
      <c r="T1310" s="219"/>
      <c r="U1310" s="219"/>
      <c r="V1310" s="303"/>
      <c r="W1310" s="247"/>
      <c r="X1310" s="245"/>
      <c r="Y1310" s="245"/>
      <c r="Z1310" s="245"/>
      <c r="AA1310" s="245"/>
      <c r="AB1310" s="245"/>
      <c r="AC1310" s="249"/>
      <c r="AD1310" s="249"/>
      <c r="AE1310" s="249"/>
      <c r="AF1310" s="8"/>
      <c r="AG1310" s="8"/>
      <c r="AH1310" s="72"/>
      <c r="AI1310" s="8"/>
      <c r="AJ1310" s="251"/>
      <c r="AK1310" s="23"/>
      <c r="AL1310" s="75"/>
      <c r="AM1310" s="75" t="str">
        <f t="shared" si="141"/>
        <v/>
      </c>
      <c r="AN1310" s="75"/>
      <c r="AO1310" s="75"/>
      <c r="AP1310" s="75"/>
      <c r="AQ1310" s="75"/>
      <c r="AR1310" s="75"/>
      <c r="AS1310" s="75"/>
      <c r="AT1310" s="75"/>
    </row>
    <row r="1311" ht="22.5" customHeight="1">
      <c r="A1311" s="219"/>
      <c r="B1311" s="219"/>
      <c r="C1311" s="219"/>
      <c r="D1311" s="219"/>
      <c r="E1311" s="219"/>
      <c r="F1311" s="219"/>
      <c r="G1311" s="219"/>
      <c r="H1311" s="219"/>
      <c r="I1311" s="249"/>
      <c r="J1311" s="243"/>
      <c r="K1311" s="219"/>
      <c r="L1311" s="244"/>
      <c r="M1311" s="219"/>
      <c r="N1311" s="219"/>
      <c r="O1311" s="219"/>
      <c r="P1311" s="244"/>
      <c r="Q1311" s="219"/>
      <c r="R1311" s="302"/>
      <c r="S1311" s="219"/>
      <c r="T1311" s="219"/>
      <c r="U1311" s="219"/>
      <c r="V1311" s="303"/>
      <c r="W1311" s="247"/>
      <c r="X1311" s="245"/>
      <c r="Y1311" s="245"/>
      <c r="Z1311" s="245"/>
      <c r="AA1311" s="245"/>
      <c r="AB1311" s="245"/>
      <c r="AC1311" s="249"/>
      <c r="AD1311" s="249"/>
      <c r="AE1311" s="249"/>
      <c r="AF1311" s="8"/>
      <c r="AG1311" s="8"/>
      <c r="AH1311" s="72"/>
      <c r="AI1311" s="8"/>
      <c r="AJ1311" s="251"/>
      <c r="AK1311" s="23"/>
      <c r="AL1311" s="75"/>
      <c r="AM1311" s="75" t="str">
        <f t="shared" si="141"/>
        <v/>
      </c>
      <c r="AN1311" s="75"/>
      <c r="AO1311" s="75"/>
      <c r="AP1311" s="75"/>
      <c r="AQ1311" s="75"/>
      <c r="AR1311" s="75"/>
      <c r="AS1311" s="75"/>
      <c r="AT1311" s="75"/>
    </row>
    <row r="1312" ht="22.5" customHeight="1">
      <c r="A1312" s="219"/>
      <c r="B1312" s="219"/>
      <c r="C1312" s="219"/>
      <c r="D1312" s="219"/>
      <c r="E1312" s="219"/>
      <c r="F1312" s="219"/>
      <c r="G1312" s="219"/>
      <c r="H1312" s="219"/>
      <c r="I1312" s="249"/>
      <c r="J1312" s="243"/>
      <c r="K1312" s="219"/>
      <c r="L1312" s="244"/>
      <c r="M1312" s="219"/>
      <c r="N1312" s="219"/>
      <c r="O1312" s="219"/>
      <c r="P1312" s="244"/>
      <c r="Q1312" s="219"/>
      <c r="R1312" s="302"/>
      <c r="S1312" s="219"/>
      <c r="T1312" s="219"/>
      <c r="U1312" s="219"/>
      <c r="V1312" s="303"/>
      <c r="W1312" s="247"/>
      <c r="X1312" s="245"/>
      <c r="Y1312" s="245"/>
      <c r="Z1312" s="245"/>
      <c r="AA1312" s="245"/>
      <c r="AB1312" s="245"/>
      <c r="AC1312" s="249"/>
      <c r="AD1312" s="249"/>
      <c r="AE1312" s="249"/>
      <c r="AF1312" s="8"/>
      <c r="AG1312" s="8"/>
      <c r="AH1312" s="72"/>
      <c r="AI1312" s="8"/>
      <c r="AJ1312" s="251"/>
      <c r="AK1312" s="23"/>
      <c r="AL1312" s="75"/>
      <c r="AM1312" s="75" t="str">
        <f t="shared" si="141"/>
        <v/>
      </c>
      <c r="AN1312" s="75"/>
      <c r="AO1312" s="75"/>
      <c r="AP1312" s="75"/>
      <c r="AQ1312" s="75"/>
      <c r="AR1312" s="75"/>
      <c r="AS1312" s="75"/>
      <c r="AT1312" s="75"/>
    </row>
    <row r="1313" ht="22.5" customHeight="1">
      <c r="A1313" s="219"/>
      <c r="B1313" s="219"/>
      <c r="C1313" s="219"/>
      <c r="D1313" s="219"/>
      <c r="E1313" s="219"/>
      <c r="F1313" s="219"/>
      <c r="G1313" s="219"/>
      <c r="H1313" s="219"/>
      <c r="I1313" s="249"/>
      <c r="J1313" s="243"/>
      <c r="K1313" s="219"/>
      <c r="L1313" s="244"/>
      <c r="M1313" s="219"/>
      <c r="N1313" s="219"/>
      <c r="O1313" s="219"/>
      <c r="P1313" s="244"/>
      <c r="Q1313" s="219"/>
      <c r="R1313" s="302"/>
      <c r="S1313" s="219"/>
      <c r="T1313" s="219"/>
      <c r="U1313" s="219"/>
      <c r="V1313" s="303"/>
      <c r="W1313" s="247"/>
      <c r="X1313" s="245"/>
      <c r="Y1313" s="245"/>
      <c r="Z1313" s="245"/>
      <c r="AA1313" s="245"/>
      <c r="AB1313" s="245"/>
      <c r="AC1313" s="249"/>
      <c r="AD1313" s="249"/>
      <c r="AE1313" s="249"/>
      <c r="AF1313" s="8"/>
      <c r="AG1313" s="8"/>
      <c r="AH1313" s="72"/>
      <c r="AI1313" s="8"/>
      <c r="AJ1313" s="251"/>
      <c r="AK1313" s="23"/>
      <c r="AL1313" s="75"/>
      <c r="AM1313" s="75" t="str">
        <f t="shared" si="141"/>
        <v/>
      </c>
      <c r="AN1313" s="75"/>
      <c r="AO1313" s="75"/>
      <c r="AP1313" s="75"/>
      <c r="AQ1313" s="75"/>
      <c r="AR1313" s="75"/>
      <c r="AS1313" s="75"/>
      <c r="AT1313" s="75"/>
    </row>
    <row r="1314" ht="22.5" customHeight="1">
      <c r="A1314" s="219"/>
      <c r="B1314" s="219"/>
      <c r="C1314" s="219"/>
      <c r="D1314" s="219"/>
      <c r="E1314" s="219"/>
      <c r="F1314" s="219"/>
      <c r="G1314" s="219"/>
      <c r="H1314" s="219"/>
      <c r="I1314" s="249"/>
      <c r="J1314" s="243"/>
      <c r="K1314" s="219"/>
      <c r="L1314" s="244"/>
      <c r="M1314" s="219"/>
      <c r="N1314" s="219"/>
      <c r="O1314" s="219"/>
      <c r="P1314" s="244"/>
      <c r="Q1314" s="219"/>
      <c r="R1314" s="302"/>
      <c r="S1314" s="219"/>
      <c r="T1314" s="219"/>
      <c r="U1314" s="219"/>
      <c r="V1314" s="303"/>
      <c r="W1314" s="247"/>
      <c r="X1314" s="245"/>
      <c r="Y1314" s="245"/>
      <c r="Z1314" s="245"/>
      <c r="AA1314" s="245"/>
      <c r="AB1314" s="245"/>
      <c r="AC1314" s="249"/>
      <c r="AD1314" s="249"/>
      <c r="AE1314" s="249"/>
      <c r="AF1314" s="8"/>
      <c r="AG1314" s="8"/>
      <c r="AH1314" s="72"/>
      <c r="AI1314" s="8"/>
      <c r="AJ1314" s="251"/>
      <c r="AK1314" s="23"/>
      <c r="AL1314" s="75"/>
      <c r="AM1314" s="75" t="str">
        <f t="shared" si="141"/>
        <v/>
      </c>
      <c r="AN1314" s="75"/>
      <c r="AO1314" s="75"/>
      <c r="AP1314" s="75"/>
      <c r="AQ1314" s="75"/>
      <c r="AR1314" s="75"/>
      <c r="AS1314" s="75"/>
      <c r="AT1314" s="75"/>
    </row>
    <row r="1315" ht="22.5" customHeight="1">
      <c r="A1315" s="219"/>
      <c r="B1315" s="219"/>
      <c r="C1315" s="219"/>
      <c r="D1315" s="219"/>
      <c r="E1315" s="219"/>
      <c r="F1315" s="219"/>
      <c r="G1315" s="219"/>
      <c r="H1315" s="219"/>
      <c r="I1315" s="249"/>
      <c r="J1315" s="243"/>
      <c r="K1315" s="219"/>
      <c r="L1315" s="244"/>
      <c r="M1315" s="219"/>
      <c r="N1315" s="219"/>
      <c r="O1315" s="219"/>
      <c r="P1315" s="244"/>
      <c r="Q1315" s="219"/>
      <c r="R1315" s="302"/>
      <c r="S1315" s="219"/>
      <c r="T1315" s="219"/>
      <c r="U1315" s="219"/>
      <c r="V1315" s="303"/>
      <c r="W1315" s="247"/>
      <c r="X1315" s="245"/>
      <c r="Y1315" s="245"/>
      <c r="Z1315" s="245"/>
      <c r="AA1315" s="245"/>
      <c r="AB1315" s="245"/>
      <c r="AC1315" s="249"/>
      <c r="AD1315" s="249"/>
      <c r="AE1315" s="249"/>
      <c r="AF1315" s="8"/>
      <c r="AG1315" s="8"/>
      <c r="AH1315" s="72"/>
      <c r="AI1315" s="8"/>
      <c r="AJ1315" s="251"/>
      <c r="AK1315" s="23"/>
      <c r="AL1315" s="75"/>
      <c r="AM1315" s="75" t="str">
        <f t="shared" si="141"/>
        <v/>
      </c>
      <c r="AN1315" s="75"/>
      <c r="AO1315" s="75"/>
      <c r="AP1315" s="75"/>
      <c r="AQ1315" s="75"/>
      <c r="AR1315" s="75"/>
      <c r="AS1315" s="75"/>
      <c r="AT1315" s="75"/>
    </row>
    <row r="1316" ht="22.5" customHeight="1">
      <c r="A1316" s="219"/>
      <c r="B1316" s="219"/>
      <c r="C1316" s="219"/>
      <c r="D1316" s="219"/>
      <c r="E1316" s="219"/>
      <c r="F1316" s="219"/>
      <c r="G1316" s="219"/>
      <c r="H1316" s="219"/>
      <c r="I1316" s="249"/>
      <c r="J1316" s="243"/>
      <c r="K1316" s="219"/>
      <c r="L1316" s="244"/>
      <c r="M1316" s="219"/>
      <c r="N1316" s="219"/>
      <c r="O1316" s="219"/>
      <c r="P1316" s="244"/>
      <c r="Q1316" s="219"/>
      <c r="R1316" s="302"/>
      <c r="S1316" s="219"/>
      <c r="T1316" s="219"/>
      <c r="U1316" s="219"/>
      <c r="V1316" s="303"/>
      <c r="W1316" s="247"/>
      <c r="X1316" s="245"/>
      <c r="Y1316" s="245"/>
      <c r="Z1316" s="245"/>
      <c r="AA1316" s="245"/>
      <c r="AB1316" s="245"/>
      <c r="AC1316" s="249"/>
      <c r="AD1316" s="249"/>
      <c r="AE1316" s="249"/>
      <c r="AF1316" s="8"/>
      <c r="AG1316" s="8"/>
      <c r="AH1316" s="72"/>
      <c r="AI1316" s="8"/>
      <c r="AJ1316" s="251"/>
      <c r="AK1316" s="23"/>
      <c r="AL1316" s="75"/>
      <c r="AM1316" s="75" t="str">
        <f t="shared" si="141"/>
        <v/>
      </c>
      <c r="AN1316" s="75"/>
      <c r="AO1316" s="75"/>
      <c r="AP1316" s="75"/>
      <c r="AQ1316" s="75"/>
      <c r="AR1316" s="75"/>
      <c r="AS1316" s="75"/>
      <c r="AT1316" s="75"/>
    </row>
    <row r="1317" ht="22.5" customHeight="1">
      <c r="A1317" s="219"/>
      <c r="B1317" s="219"/>
      <c r="C1317" s="219"/>
      <c r="D1317" s="219"/>
      <c r="E1317" s="219"/>
      <c r="F1317" s="219"/>
      <c r="G1317" s="219"/>
      <c r="H1317" s="219"/>
      <c r="I1317" s="249"/>
      <c r="J1317" s="243"/>
      <c r="K1317" s="219"/>
      <c r="L1317" s="244"/>
      <c r="M1317" s="219"/>
      <c r="N1317" s="219"/>
      <c r="O1317" s="219"/>
      <c r="P1317" s="244"/>
      <c r="Q1317" s="219"/>
      <c r="R1317" s="302"/>
      <c r="S1317" s="219"/>
      <c r="T1317" s="219"/>
      <c r="U1317" s="219"/>
      <c r="V1317" s="303"/>
      <c r="W1317" s="247"/>
      <c r="X1317" s="245"/>
      <c r="Y1317" s="245"/>
      <c r="Z1317" s="245"/>
      <c r="AA1317" s="245"/>
      <c r="AB1317" s="245"/>
      <c r="AC1317" s="249"/>
      <c r="AD1317" s="249"/>
      <c r="AE1317" s="249"/>
      <c r="AF1317" s="8"/>
      <c r="AG1317" s="8"/>
      <c r="AH1317" s="72"/>
      <c r="AI1317" s="8"/>
      <c r="AJ1317" s="251"/>
      <c r="AK1317" s="23"/>
      <c r="AL1317" s="75"/>
      <c r="AM1317" s="75" t="str">
        <f t="shared" si="141"/>
        <v/>
      </c>
      <c r="AN1317" s="75"/>
      <c r="AO1317" s="75"/>
      <c r="AP1317" s="75"/>
      <c r="AQ1317" s="75"/>
      <c r="AR1317" s="75"/>
      <c r="AS1317" s="75"/>
      <c r="AT1317" s="75"/>
    </row>
    <row r="1318" ht="22.5" customHeight="1">
      <c r="A1318" s="219"/>
      <c r="B1318" s="219"/>
      <c r="C1318" s="219"/>
      <c r="D1318" s="219"/>
      <c r="E1318" s="219"/>
      <c r="F1318" s="219"/>
      <c r="G1318" s="219"/>
      <c r="H1318" s="219"/>
      <c r="I1318" s="249"/>
      <c r="J1318" s="243"/>
      <c r="K1318" s="219"/>
      <c r="L1318" s="244"/>
      <c r="M1318" s="219"/>
      <c r="N1318" s="219"/>
      <c r="O1318" s="219"/>
      <c r="P1318" s="244"/>
      <c r="Q1318" s="219"/>
      <c r="R1318" s="302"/>
      <c r="S1318" s="219"/>
      <c r="T1318" s="219"/>
      <c r="U1318" s="219"/>
      <c r="V1318" s="303"/>
      <c r="W1318" s="247"/>
      <c r="X1318" s="245"/>
      <c r="Y1318" s="245"/>
      <c r="Z1318" s="245"/>
      <c r="AA1318" s="245"/>
      <c r="AB1318" s="245"/>
      <c r="AC1318" s="249"/>
      <c r="AD1318" s="249"/>
      <c r="AE1318" s="249"/>
      <c r="AF1318" s="8"/>
      <c r="AG1318" s="8"/>
      <c r="AH1318" s="72"/>
      <c r="AI1318" s="8"/>
      <c r="AJ1318" s="251"/>
      <c r="AK1318" s="23"/>
      <c r="AL1318" s="75"/>
      <c r="AM1318" s="75" t="str">
        <f t="shared" si="141"/>
        <v/>
      </c>
      <c r="AN1318" s="75"/>
      <c r="AO1318" s="75"/>
      <c r="AP1318" s="75"/>
      <c r="AQ1318" s="75"/>
      <c r="AR1318" s="75"/>
      <c r="AS1318" s="75"/>
      <c r="AT1318" s="75"/>
    </row>
    <row r="1319" ht="22.5" customHeight="1">
      <c r="A1319" s="219"/>
      <c r="B1319" s="219"/>
      <c r="C1319" s="219"/>
      <c r="D1319" s="219"/>
      <c r="E1319" s="219"/>
      <c r="F1319" s="219"/>
      <c r="G1319" s="219"/>
      <c r="H1319" s="219"/>
      <c r="I1319" s="249"/>
      <c r="J1319" s="243"/>
      <c r="K1319" s="219"/>
      <c r="L1319" s="244"/>
      <c r="M1319" s="219"/>
      <c r="N1319" s="219"/>
      <c r="O1319" s="219"/>
      <c r="P1319" s="244"/>
      <c r="Q1319" s="219"/>
      <c r="R1319" s="302"/>
      <c r="S1319" s="219"/>
      <c r="T1319" s="219"/>
      <c r="U1319" s="219"/>
      <c r="V1319" s="303"/>
      <c r="W1319" s="247"/>
      <c r="X1319" s="245"/>
      <c r="Y1319" s="245"/>
      <c r="Z1319" s="245"/>
      <c r="AA1319" s="245"/>
      <c r="AB1319" s="245"/>
      <c r="AC1319" s="249"/>
      <c r="AD1319" s="249"/>
      <c r="AE1319" s="249"/>
      <c r="AF1319" s="8"/>
      <c r="AG1319" s="8"/>
      <c r="AH1319" s="72"/>
      <c r="AI1319" s="8"/>
      <c r="AJ1319" s="251"/>
      <c r="AK1319" s="23"/>
      <c r="AL1319" s="75"/>
      <c r="AM1319" s="75" t="str">
        <f t="shared" si="141"/>
        <v/>
      </c>
      <c r="AN1319" s="75"/>
      <c r="AO1319" s="75"/>
      <c r="AP1319" s="75"/>
      <c r="AQ1319" s="75"/>
      <c r="AR1319" s="75"/>
      <c r="AS1319" s="75"/>
      <c r="AT1319" s="75"/>
    </row>
    <row r="1320" ht="22.5" customHeight="1">
      <c r="A1320" s="219"/>
      <c r="B1320" s="219"/>
      <c r="C1320" s="219"/>
      <c r="D1320" s="219"/>
      <c r="E1320" s="219"/>
      <c r="F1320" s="219"/>
      <c r="G1320" s="219"/>
      <c r="H1320" s="219"/>
      <c r="I1320" s="249"/>
      <c r="J1320" s="243"/>
      <c r="K1320" s="219"/>
      <c r="L1320" s="244"/>
      <c r="M1320" s="219"/>
      <c r="N1320" s="219"/>
      <c r="O1320" s="219"/>
      <c r="P1320" s="244"/>
      <c r="Q1320" s="219"/>
      <c r="R1320" s="302"/>
      <c r="S1320" s="219"/>
      <c r="T1320" s="219"/>
      <c r="U1320" s="219"/>
      <c r="V1320" s="303"/>
      <c r="W1320" s="247"/>
      <c r="X1320" s="245"/>
      <c r="Y1320" s="245"/>
      <c r="Z1320" s="245"/>
      <c r="AA1320" s="245"/>
      <c r="AB1320" s="245"/>
      <c r="AC1320" s="249"/>
      <c r="AD1320" s="249"/>
      <c r="AE1320" s="249"/>
      <c r="AF1320" s="8"/>
      <c r="AG1320" s="8"/>
      <c r="AH1320" s="72"/>
      <c r="AI1320" s="8"/>
      <c r="AJ1320" s="251"/>
      <c r="AK1320" s="23"/>
      <c r="AL1320" s="75"/>
      <c r="AM1320" s="75" t="str">
        <f t="shared" si="141"/>
        <v/>
      </c>
      <c r="AN1320" s="75"/>
      <c r="AO1320" s="75"/>
      <c r="AP1320" s="75"/>
      <c r="AQ1320" s="75"/>
      <c r="AR1320" s="75"/>
      <c r="AS1320" s="75"/>
      <c r="AT1320" s="75"/>
    </row>
    <row r="1321" ht="22.5" customHeight="1">
      <c r="A1321" s="219"/>
      <c r="B1321" s="219"/>
      <c r="C1321" s="219"/>
      <c r="D1321" s="219"/>
      <c r="E1321" s="219"/>
      <c r="F1321" s="219"/>
      <c r="G1321" s="219"/>
      <c r="H1321" s="219"/>
      <c r="I1321" s="249"/>
      <c r="J1321" s="243"/>
      <c r="K1321" s="219"/>
      <c r="L1321" s="244"/>
      <c r="M1321" s="219"/>
      <c r="N1321" s="219"/>
      <c r="O1321" s="219"/>
      <c r="P1321" s="244"/>
      <c r="Q1321" s="219"/>
      <c r="R1321" s="302"/>
      <c r="S1321" s="219"/>
      <c r="T1321" s="219"/>
      <c r="U1321" s="219"/>
      <c r="V1321" s="303"/>
      <c r="W1321" s="247"/>
      <c r="X1321" s="245"/>
      <c r="Y1321" s="245"/>
      <c r="Z1321" s="245"/>
      <c r="AA1321" s="245"/>
      <c r="AB1321" s="245"/>
      <c r="AC1321" s="249"/>
      <c r="AD1321" s="249"/>
      <c r="AE1321" s="249"/>
      <c r="AF1321" s="8"/>
      <c r="AG1321" s="8"/>
      <c r="AH1321" s="72"/>
      <c r="AI1321" s="8"/>
      <c r="AJ1321" s="251"/>
      <c r="AK1321" s="23"/>
      <c r="AL1321" s="75"/>
      <c r="AM1321" s="75" t="str">
        <f t="shared" si="141"/>
        <v/>
      </c>
      <c r="AN1321" s="75"/>
      <c r="AO1321" s="75"/>
      <c r="AP1321" s="75"/>
      <c r="AQ1321" s="75"/>
      <c r="AR1321" s="75"/>
      <c r="AS1321" s="75"/>
      <c r="AT1321" s="75"/>
    </row>
    <row r="1322" ht="22.5" customHeight="1">
      <c r="A1322" s="219"/>
      <c r="B1322" s="219"/>
      <c r="C1322" s="219"/>
      <c r="D1322" s="219"/>
      <c r="E1322" s="219"/>
      <c r="F1322" s="219"/>
      <c r="G1322" s="219"/>
      <c r="H1322" s="219"/>
      <c r="I1322" s="249"/>
      <c r="J1322" s="243"/>
      <c r="K1322" s="219"/>
      <c r="L1322" s="244"/>
      <c r="M1322" s="219"/>
      <c r="N1322" s="219"/>
      <c r="O1322" s="219"/>
      <c r="P1322" s="244"/>
      <c r="Q1322" s="219"/>
      <c r="R1322" s="302"/>
      <c r="S1322" s="219"/>
      <c r="T1322" s="219"/>
      <c r="U1322" s="219"/>
      <c r="V1322" s="303"/>
      <c r="W1322" s="247"/>
      <c r="X1322" s="245"/>
      <c r="Y1322" s="245"/>
      <c r="Z1322" s="245"/>
      <c r="AA1322" s="245"/>
      <c r="AB1322" s="245"/>
      <c r="AC1322" s="249"/>
      <c r="AD1322" s="249"/>
      <c r="AE1322" s="249"/>
      <c r="AF1322" s="8"/>
      <c r="AG1322" s="8"/>
      <c r="AH1322" s="72"/>
      <c r="AI1322" s="8"/>
      <c r="AJ1322" s="251"/>
      <c r="AK1322" s="23"/>
      <c r="AL1322" s="75"/>
      <c r="AM1322" s="75" t="str">
        <f t="shared" si="141"/>
        <v/>
      </c>
      <c r="AN1322" s="75"/>
      <c r="AO1322" s="75"/>
      <c r="AP1322" s="75"/>
      <c r="AQ1322" s="75"/>
      <c r="AR1322" s="75"/>
      <c r="AS1322" s="75"/>
      <c r="AT1322" s="75"/>
    </row>
    <row r="1323" ht="22.5" customHeight="1">
      <c r="A1323" s="219"/>
      <c r="B1323" s="219"/>
      <c r="C1323" s="219"/>
      <c r="D1323" s="219"/>
      <c r="E1323" s="219"/>
      <c r="F1323" s="219"/>
      <c r="G1323" s="219"/>
      <c r="H1323" s="219"/>
      <c r="I1323" s="249"/>
      <c r="J1323" s="243"/>
      <c r="K1323" s="219"/>
      <c r="L1323" s="244"/>
      <c r="M1323" s="219"/>
      <c r="N1323" s="219"/>
      <c r="O1323" s="219"/>
      <c r="P1323" s="244"/>
      <c r="Q1323" s="219"/>
      <c r="R1323" s="302"/>
      <c r="S1323" s="219"/>
      <c r="T1323" s="219"/>
      <c r="U1323" s="219"/>
      <c r="V1323" s="303"/>
      <c r="W1323" s="247"/>
      <c r="X1323" s="245"/>
      <c r="Y1323" s="245"/>
      <c r="Z1323" s="245"/>
      <c r="AA1323" s="245"/>
      <c r="AB1323" s="245"/>
      <c r="AC1323" s="249"/>
      <c r="AD1323" s="249"/>
      <c r="AE1323" s="249"/>
      <c r="AF1323" s="8"/>
      <c r="AG1323" s="8"/>
      <c r="AH1323" s="72"/>
      <c r="AI1323" s="8"/>
      <c r="AJ1323" s="251"/>
      <c r="AK1323" s="23"/>
      <c r="AL1323" s="75"/>
      <c r="AM1323" s="75" t="str">
        <f t="shared" si="141"/>
        <v/>
      </c>
      <c r="AN1323" s="75"/>
      <c r="AO1323" s="75"/>
      <c r="AP1323" s="75"/>
      <c r="AQ1323" s="75"/>
      <c r="AR1323" s="75"/>
      <c r="AS1323" s="75"/>
      <c r="AT1323" s="75"/>
    </row>
    <row r="1324" ht="22.5" customHeight="1">
      <c r="A1324" s="219"/>
      <c r="B1324" s="219"/>
      <c r="C1324" s="219"/>
      <c r="D1324" s="219"/>
      <c r="E1324" s="219"/>
      <c r="F1324" s="219"/>
      <c r="G1324" s="219"/>
      <c r="H1324" s="219"/>
      <c r="I1324" s="249"/>
      <c r="J1324" s="243"/>
      <c r="K1324" s="219"/>
      <c r="L1324" s="244"/>
      <c r="M1324" s="219"/>
      <c r="N1324" s="219"/>
      <c r="O1324" s="219"/>
      <c r="P1324" s="244"/>
      <c r="Q1324" s="219"/>
      <c r="R1324" s="302"/>
      <c r="S1324" s="219"/>
      <c r="T1324" s="219"/>
      <c r="U1324" s="219"/>
      <c r="V1324" s="303"/>
      <c r="W1324" s="247"/>
      <c r="X1324" s="245"/>
      <c r="Y1324" s="245"/>
      <c r="Z1324" s="245"/>
      <c r="AA1324" s="245"/>
      <c r="AB1324" s="245"/>
      <c r="AC1324" s="249"/>
      <c r="AD1324" s="249"/>
      <c r="AE1324" s="249"/>
      <c r="AF1324" s="8"/>
      <c r="AG1324" s="8"/>
      <c r="AH1324" s="72"/>
      <c r="AI1324" s="8"/>
      <c r="AJ1324" s="251"/>
      <c r="AK1324" s="23"/>
      <c r="AL1324" s="75"/>
      <c r="AM1324" s="75" t="str">
        <f t="shared" si="141"/>
        <v/>
      </c>
      <c r="AN1324" s="75"/>
      <c r="AO1324" s="75"/>
      <c r="AP1324" s="75"/>
      <c r="AQ1324" s="75"/>
      <c r="AR1324" s="75"/>
      <c r="AS1324" s="75"/>
      <c r="AT1324" s="75"/>
    </row>
    <row r="1325" ht="22.5" customHeight="1">
      <c r="A1325" s="219"/>
      <c r="B1325" s="219"/>
      <c r="C1325" s="219"/>
      <c r="D1325" s="219"/>
      <c r="E1325" s="219"/>
      <c r="F1325" s="219"/>
      <c r="G1325" s="219"/>
      <c r="H1325" s="219"/>
      <c r="I1325" s="249"/>
      <c r="J1325" s="243"/>
      <c r="K1325" s="219"/>
      <c r="L1325" s="244"/>
      <c r="M1325" s="219"/>
      <c r="N1325" s="219"/>
      <c r="O1325" s="219"/>
      <c r="P1325" s="244"/>
      <c r="Q1325" s="219"/>
      <c r="R1325" s="302"/>
      <c r="S1325" s="219"/>
      <c r="T1325" s="219"/>
      <c r="U1325" s="219"/>
      <c r="V1325" s="303"/>
      <c r="W1325" s="247"/>
      <c r="X1325" s="245"/>
      <c r="Y1325" s="245"/>
      <c r="Z1325" s="245"/>
      <c r="AA1325" s="245"/>
      <c r="AB1325" s="245"/>
      <c r="AC1325" s="249"/>
      <c r="AD1325" s="249"/>
      <c r="AE1325" s="249"/>
      <c r="AF1325" s="8"/>
      <c r="AG1325" s="8"/>
      <c r="AH1325" s="72"/>
      <c r="AI1325" s="8"/>
      <c r="AJ1325" s="251"/>
      <c r="AK1325" s="23"/>
      <c r="AL1325" s="75"/>
      <c r="AM1325" s="75" t="str">
        <f t="shared" si="141"/>
        <v/>
      </c>
      <c r="AN1325" s="75"/>
      <c r="AO1325" s="75"/>
      <c r="AP1325" s="75"/>
      <c r="AQ1325" s="75"/>
      <c r="AR1325" s="75"/>
      <c r="AS1325" s="75"/>
      <c r="AT1325" s="75"/>
    </row>
    <row r="1326" ht="22.5" customHeight="1">
      <c r="A1326" s="219"/>
      <c r="B1326" s="219"/>
      <c r="C1326" s="219"/>
      <c r="D1326" s="219"/>
      <c r="E1326" s="219"/>
      <c r="F1326" s="219"/>
      <c r="G1326" s="219"/>
      <c r="H1326" s="219"/>
      <c r="I1326" s="249"/>
      <c r="J1326" s="243"/>
      <c r="K1326" s="219"/>
      <c r="L1326" s="244"/>
      <c r="M1326" s="219"/>
      <c r="N1326" s="219"/>
      <c r="O1326" s="219"/>
      <c r="P1326" s="244"/>
      <c r="Q1326" s="219"/>
      <c r="R1326" s="302"/>
      <c r="S1326" s="219"/>
      <c r="T1326" s="219"/>
      <c r="U1326" s="219"/>
      <c r="V1326" s="303"/>
      <c r="W1326" s="247"/>
      <c r="X1326" s="245"/>
      <c r="Y1326" s="245"/>
      <c r="Z1326" s="245"/>
      <c r="AA1326" s="245"/>
      <c r="AB1326" s="245"/>
      <c r="AC1326" s="249"/>
      <c r="AD1326" s="249"/>
      <c r="AE1326" s="249"/>
      <c r="AF1326" s="8"/>
      <c r="AG1326" s="8"/>
      <c r="AH1326" s="72"/>
      <c r="AI1326" s="8"/>
      <c r="AJ1326" s="251"/>
      <c r="AK1326" s="23"/>
      <c r="AL1326" s="75"/>
      <c r="AM1326" s="75" t="str">
        <f t="shared" si="141"/>
        <v/>
      </c>
      <c r="AN1326" s="75"/>
      <c r="AO1326" s="75"/>
      <c r="AP1326" s="75"/>
      <c r="AQ1326" s="75"/>
      <c r="AR1326" s="75"/>
      <c r="AS1326" s="75"/>
      <c r="AT1326" s="75"/>
    </row>
    <row r="1327" ht="22.5" customHeight="1">
      <c r="A1327" s="219"/>
      <c r="B1327" s="219"/>
      <c r="C1327" s="219"/>
      <c r="D1327" s="219"/>
      <c r="E1327" s="219"/>
      <c r="F1327" s="219"/>
      <c r="G1327" s="219"/>
      <c r="H1327" s="219"/>
      <c r="I1327" s="249"/>
      <c r="J1327" s="243"/>
      <c r="K1327" s="219"/>
      <c r="L1327" s="244"/>
      <c r="M1327" s="219"/>
      <c r="N1327" s="219"/>
      <c r="O1327" s="219"/>
      <c r="P1327" s="244"/>
      <c r="Q1327" s="219"/>
      <c r="R1327" s="302"/>
      <c r="S1327" s="219"/>
      <c r="T1327" s="219"/>
      <c r="U1327" s="219"/>
      <c r="V1327" s="303"/>
      <c r="W1327" s="247"/>
      <c r="X1327" s="245"/>
      <c r="Y1327" s="245"/>
      <c r="Z1327" s="245"/>
      <c r="AA1327" s="245"/>
      <c r="AB1327" s="245"/>
      <c r="AC1327" s="249"/>
      <c r="AD1327" s="249"/>
      <c r="AE1327" s="249"/>
      <c r="AF1327" s="8"/>
      <c r="AG1327" s="8"/>
      <c r="AH1327" s="72"/>
      <c r="AI1327" s="8"/>
      <c r="AJ1327" s="251"/>
      <c r="AK1327" s="23"/>
      <c r="AL1327" s="75"/>
      <c r="AM1327" s="75" t="str">
        <f t="shared" si="141"/>
        <v/>
      </c>
      <c r="AN1327" s="75"/>
      <c r="AO1327" s="75"/>
      <c r="AP1327" s="75"/>
      <c r="AQ1327" s="75"/>
      <c r="AR1327" s="75"/>
      <c r="AS1327" s="75"/>
      <c r="AT1327" s="75"/>
    </row>
    <row r="1328" ht="22.5" customHeight="1">
      <c r="A1328" s="219"/>
      <c r="B1328" s="219"/>
      <c r="C1328" s="219"/>
      <c r="D1328" s="219"/>
      <c r="E1328" s="219"/>
      <c r="F1328" s="219"/>
      <c r="G1328" s="219"/>
      <c r="H1328" s="219"/>
      <c r="I1328" s="249"/>
      <c r="J1328" s="243"/>
      <c r="K1328" s="219"/>
      <c r="L1328" s="244"/>
      <c r="M1328" s="219"/>
      <c r="N1328" s="219"/>
      <c r="O1328" s="219"/>
      <c r="P1328" s="244"/>
      <c r="Q1328" s="219"/>
      <c r="R1328" s="302"/>
      <c r="S1328" s="219"/>
      <c r="T1328" s="219"/>
      <c r="U1328" s="219"/>
      <c r="V1328" s="303"/>
      <c r="W1328" s="247"/>
      <c r="X1328" s="245"/>
      <c r="Y1328" s="245"/>
      <c r="Z1328" s="245"/>
      <c r="AA1328" s="245"/>
      <c r="AB1328" s="245"/>
      <c r="AC1328" s="249"/>
      <c r="AD1328" s="249"/>
      <c r="AE1328" s="249"/>
      <c r="AF1328" s="8"/>
      <c r="AG1328" s="8"/>
      <c r="AH1328" s="72"/>
      <c r="AI1328" s="8"/>
      <c r="AJ1328" s="251"/>
      <c r="AK1328" s="23"/>
      <c r="AL1328" s="75"/>
      <c r="AM1328" s="75" t="str">
        <f t="shared" si="141"/>
        <v/>
      </c>
      <c r="AN1328" s="75"/>
      <c r="AO1328" s="75"/>
      <c r="AP1328" s="75"/>
      <c r="AQ1328" s="75"/>
      <c r="AR1328" s="75"/>
      <c r="AS1328" s="75"/>
      <c r="AT1328" s="75"/>
    </row>
    <row r="1329" ht="22.5" customHeight="1">
      <c r="A1329" s="219"/>
      <c r="B1329" s="219"/>
      <c r="C1329" s="219"/>
      <c r="D1329" s="219"/>
      <c r="E1329" s="219"/>
      <c r="F1329" s="219"/>
      <c r="G1329" s="219"/>
      <c r="H1329" s="219"/>
      <c r="I1329" s="249"/>
      <c r="J1329" s="243"/>
      <c r="K1329" s="219"/>
      <c r="L1329" s="244"/>
      <c r="M1329" s="219"/>
      <c r="N1329" s="219"/>
      <c r="O1329" s="219"/>
      <c r="P1329" s="244"/>
      <c r="Q1329" s="219"/>
      <c r="R1329" s="302"/>
      <c r="S1329" s="219"/>
      <c r="T1329" s="219"/>
      <c r="U1329" s="219"/>
      <c r="V1329" s="303"/>
      <c r="W1329" s="247"/>
      <c r="X1329" s="245"/>
      <c r="Y1329" s="245"/>
      <c r="Z1329" s="245"/>
      <c r="AA1329" s="245"/>
      <c r="AB1329" s="245"/>
      <c r="AC1329" s="249"/>
      <c r="AD1329" s="249"/>
      <c r="AE1329" s="249"/>
      <c r="AF1329" s="8"/>
      <c r="AG1329" s="8"/>
      <c r="AH1329" s="72"/>
      <c r="AI1329" s="8"/>
      <c r="AJ1329" s="251"/>
      <c r="AK1329" s="23"/>
      <c r="AL1329" s="75"/>
      <c r="AM1329" s="75" t="str">
        <f t="shared" si="141"/>
        <v/>
      </c>
      <c r="AN1329" s="75"/>
      <c r="AO1329" s="75"/>
      <c r="AP1329" s="75"/>
      <c r="AQ1329" s="75"/>
      <c r="AR1329" s="75"/>
      <c r="AS1329" s="75"/>
      <c r="AT1329" s="75"/>
    </row>
    <row r="1330" ht="22.5" customHeight="1">
      <c r="A1330" s="219"/>
      <c r="B1330" s="219"/>
      <c r="C1330" s="219"/>
      <c r="D1330" s="219"/>
      <c r="E1330" s="219"/>
      <c r="F1330" s="219"/>
      <c r="G1330" s="219"/>
      <c r="H1330" s="219"/>
      <c r="I1330" s="249"/>
      <c r="J1330" s="243"/>
      <c r="K1330" s="219"/>
      <c r="L1330" s="244"/>
      <c r="M1330" s="219"/>
      <c r="N1330" s="219"/>
      <c r="O1330" s="219"/>
      <c r="P1330" s="244"/>
      <c r="Q1330" s="219"/>
      <c r="R1330" s="302"/>
      <c r="S1330" s="219"/>
      <c r="T1330" s="219"/>
      <c r="U1330" s="219"/>
      <c r="V1330" s="303"/>
      <c r="W1330" s="247"/>
      <c r="X1330" s="245"/>
      <c r="Y1330" s="245"/>
      <c r="Z1330" s="245"/>
      <c r="AA1330" s="245"/>
      <c r="AB1330" s="245"/>
      <c r="AC1330" s="249"/>
      <c r="AD1330" s="249"/>
      <c r="AE1330" s="249"/>
      <c r="AF1330" s="8"/>
      <c r="AG1330" s="8"/>
      <c r="AH1330" s="72"/>
      <c r="AI1330" s="8"/>
      <c r="AJ1330" s="251"/>
      <c r="AK1330" s="23"/>
      <c r="AL1330" s="75"/>
      <c r="AM1330" s="75" t="str">
        <f t="shared" si="141"/>
        <v/>
      </c>
      <c r="AN1330" s="75"/>
      <c r="AO1330" s="75"/>
      <c r="AP1330" s="75"/>
      <c r="AQ1330" s="75"/>
      <c r="AR1330" s="75"/>
      <c r="AS1330" s="75"/>
      <c r="AT1330" s="75"/>
    </row>
    <row r="1331" ht="22.5" customHeight="1">
      <c r="A1331" s="219"/>
      <c r="B1331" s="219"/>
      <c r="C1331" s="219"/>
      <c r="D1331" s="219"/>
      <c r="E1331" s="219"/>
      <c r="F1331" s="219"/>
      <c r="G1331" s="219"/>
      <c r="H1331" s="219"/>
      <c r="I1331" s="249"/>
      <c r="J1331" s="243"/>
      <c r="K1331" s="219"/>
      <c r="L1331" s="244"/>
      <c r="M1331" s="219"/>
      <c r="N1331" s="219"/>
      <c r="O1331" s="219"/>
      <c r="P1331" s="244"/>
      <c r="Q1331" s="219"/>
      <c r="R1331" s="302"/>
      <c r="S1331" s="219"/>
      <c r="T1331" s="219"/>
      <c r="U1331" s="219"/>
      <c r="V1331" s="303"/>
      <c r="W1331" s="247"/>
      <c r="X1331" s="245"/>
      <c r="Y1331" s="245"/>
      <c r="Z1331" s="245"/>
      <c r="AA1331" s="245"/>
      <c r="AB1331" s="245"/>
      <c r="AC1331" s="249"/>
      <c r="AD1331" s="249"/>
      <c r="AE1331" s="249"/>
      <c r="AF1331" s="8"/>
      <c r="AG1331" s="8"/>
      <c r="AH1331" s="72"/>
      <c r="AI1331" s="8"/>
      <c r="AJ1331" s="251"/>
      <c r="AK1331" s="23"/>
      <c r="AL1331" s="75"/>
      <c r="AM1331" s="75" t="str">
        <f t="shared" si="141"/>
        <v/>
      </c>
      <c r="AN1331" s="75"/>
      <c r="AO1331" s="75"/>
      <c r="AP1331" s="75"/>
      <c r="AQ1331" s="75"/>
      <c r="AR1331" s="75"/>
      <c r="AS1331" s="75"/>
      <c r="AT1331" s="75"/>
    </row>
    <row r="1332" ht="22.5" customHeight="1">
      <c r="A1332" s="219"/>
      <c r="B1332" s="219"/>
      <c r="C1332" s="219"/>
      <c r="D1332" s="219"/>
      <c r="E1332" s="219"/>
      <c r="F1332" s="219"/>
      <c r="G1332" s="219"/>
      <c r="H1332" s="219"/>
      <c r="I1332" s="249"/>
      <c r="J1332" s="243"/>
      <c r="K1332" s="219"/>
      <c r="L1332" s="244"/>
      <c r="M1332" s="219"/>
      <c r="N1332" s="219"/>
      <c r="O1332" s="219"/>
      <c r="P1332" s="244"/>
      <c r="Q1332" s="219"/>
      <c r="R1332" s="302"/>
      <c r="S1332" s="219"/>
      <c r="T1332" s="219"/>
      <c r="U1332" s="219"/>
      <c r="V1332" s="303"/>
      <c r="W1332" s="247"/>
      <c r="X1332" s="245"/>
      <c r="Y1332" s="245"/>
      <c r="Z1332" s="245"/>
      <c r="AA1332" s="245"/>
      <c r="AB1332" s="245"/>
      <c r="AC1332" s="249"/>
      <c r="AD1332" s="249"/>
      <c r="AE1332" s="249"/>
      <c r="AF1332" s="8"/>
      <c r="AG1332" s="8"/>
      <c r="AH1332" s="72"/>
      <c r="AI1332" s="8"/>
      <c r="AJ1332" s="251"/>
      <c r="AK1332" s="23"/>
      <c r="AL1332" s="75"/>
      <c r="AM1332" s="75" t="str">
        <f t="shared" si="141"/>
        <v/>
      </c>
      <c r="AN1332" s="75"/>
      <c r="AO1332" s="75"/>
      <c r="AP1332" s="75"/>
      <c r="AQ1332" s="75"/>
      <c r="AR1332" s="75"/>
      <c r="AS1332" s="75"/>
      <c r="AT1332" s="75"/>
    </row>
    <row r="1333" ht="22.5" customHeight="1">
      <c r="A1333" s="219"/>
      <c r="B1333" s="219"/>
      <c r="C1333" s="219"/>
      <c r="D1333" s="219"/>
      <c r="E1333" s="219"/>
      <c r="F1333" s="219"/>
      <c r="G1333" s="219"/>
      <c r="H1333" s="219"/>
      <c r="I1333" s="249"/>
      <c r="J1333" s="243"/>
      <c r="K1333" s="219"/>
      <c r="L1333" s="244"/>
      <c r="M1333" s="219"/>
      <c r="N1333" s="219"/>
      <c r="O1333" s="219"/>
      <c r="P1333" s="244"/>
      <c r="Q1333" s="219"/>
      <c r="R1333" s="302"/>
      <c r="S1333" s="219"/>
      <c r="T1333" s="219"/>
      <c r="U1333" s="219"/>
      <c r="V1333" s="303"/>
      <c r="W1333" s="247"/>
      <c r="X1333" s="245"/>
      <c r="Y1333" s="245"/>
      <c r="Z1333" s="245"/>
      <c r="AA1333" s="245"/>
      <c r="AB1333" s="245"/>
      <c r="AC1333" s="249"/>
      <c r="AD1333" s="249"/>
      <c r="AE1333" s="249"/>
      <c r="AF1333" s="8"/>
      <c r="AG1333" s="8"/>
      <c r="AH1333" s="72"/>
      <c r="AI1333" s="8"/>
      <c r="AJ1333" s="251"/>
      <c r="AK1333" s="23"/>
      <c r="AL1333" s="75"/>
      <c r="AM1333" s="75" t="str">
        <f t="shared" si="141"/>
        <v/>
      </c>
      <c r="AN1333" s="75"/>
      <c r="AO1333" s="75"/>
      <c r="AP1333" s="75"/>
      <c r="AQ1333" s="75"/>
      <c r="AR1333" s="75"/>
      <c r="AS1333" s="75"/>
      <c r="AT1333" s="75"/>
    </row>
    <row r="1334" ht="22.5" customHeight="1">
      <c r="A1334" s="219"/>
      <c r="B1334" s="219"/>
      <c r="C1334" s="219"/>
      <c r="D1334" s="219"/>
      <c r="E1334" s="219"/>
      <c r="F1334" s="219"/>
      <c r="G1334" s="219"/>
      <c r="H1334" s="219"/>
      <c r="I1334" s="249"/>
      <c r="J1334" s="243"/>
      <c r="K1334" s="219"/>
      <c r="L1334" s="244"/>
      <c r="M1334" s="219"/>
      <c r="N1334" s="219"/>
      <c r="O1334" s="219"/>
      <c r="P1334" s="244"/>
      <c r="Q1334" s="219"/>
      <c r="R1334" s="302"/>
      <c r="S1334" s="219"/>
      <c r="T1334" s="219"/>
      <c r="U1334" s="219"/>
      <c r="V1334" s="303"/>
      <c r="W1334" s="247"/>
      <c r="X1334" s="245"/>
      <c r="Y1334" s="245"/>
      <c r="Z1334" s="245"/>
      <c r="AA1334" s="245"/>
      <c r="AB1334" s="245"/>
      <c r="AC1334" s="249"/>
      <c r="AD1334" s="249"/>
      <c r="AE1334" s="249"/>
      <c r="AF1334" s="8"/>
      <c r="AG1334" s="8"/>
      <c r="AH1334" s="72"/>
      <c r="AI1334" s="8"/>
      <c r="AJ1334" s="251"/>
      <c r="AK1334" s="23"/>
      <c r="AL1334" s="75"/>
      <c r="AM1334" s="75" t="str">
        <f t="shared" si="141"/>
        <v/>
      </c>
      <c r="AN1334" s="75"/>
      <c r="AO1334" s="75"/>
      <c r="AP1334" s="75"/>
      <c r="AQ1334" s="75"/>
      <c r="AR1334" s="75"/>
      <c r="AS1334" s="75"/>
      <c r="AT1334" s="75"/>
    </row>
    <row r="1335" ht="22.5" customHeight="1">
      <c r="A1335" s="219"/>
      <c r="B1335" s="219"/>
      <c r="C1335" s="219"/>
      <c r="D1335" s="219"/>
      <c r="E1335" s="219"/>
      <c r="F1335" s="219"/>
      <c r="G1335" s="219"/>
      <c r="H1335" s="219"/>
      <c r="I1335" s="249"/>
      <c r="J1335" s="243"/>
      <c r="K1335" s="219"/>
      <c r="L1335" s="244"/>
      <c r="M1335" s="219"/>
      <c r="N1335" s="219"/>
      <c r="O1335" s="219"/>
      <c r="P1335" s="244"/>
      <c r="Q1335" s="219"/>
      <c r="R1335" s="302"/>
      <c r="S1335" s="219"/>
      <c r="T1335" s="219"/>
      <c r="U1335" s="219"/>
      <c r="V1335" s="303"/>
      <c r="W1335" s="247"/>
      <c r="X1335" s="245"/>
      <c r="Y1335" s="245"/>
      <c r="Z1335" s="245"/>
      <c r="AA1335" s="245"/>
      <c r="AB1335" s="245"/>
      <c r="AC1335" s="249"/>
      <c r="AD1335" s="249"/>
      <c r="AE1335" s="249"/>
      <c r="AF1335" s="8"/>
      <c r="AG1335" s="8"/>
      <c r="AH1335" s="72"/>
      <c r="AI1335" s="8"/>
      <c r="AJ1335" s="251"/>
      <c r="AK1335" s="23"/>
      <c r="AL1335" s="75"/>
      <c r="AM1335" s="75" t="str">
        <f t="shared" si="141"/>
        <v/>
      </c>
      <c r="AN1335" s="75"/>
      <c r="AO1335" s="75"/>
      <c r="AP1335" s="75"/>
      <c r="AQ1335" s="75"/>
      <c r="AR1335" s="75"/>
      <c r="AS1335" s="75"/>
      <c r="AT1335" s="75"/>
    </row>
    <row r="1336" ht="22.5" customHeight="1">
      <c r="A1336" s="219"/>
      <c r="B1336" s="219"/>
      <c r="C1336" s="219"/>
      <c r="D1336" s="219"/>
      <c r="E1336" s="219"/>
      <c r="F1336" s="219"/>
      <c r="G1336" s="219"/>
      <c r="H1336" s="219"/>
      <c r="I1336" s="249"/>
      <c r="J1336" s="243"/>
      <c r="K1336" s="219"/>
      <c r="L1336" s="244"/>
      <c r="M1336" s="219"/>
      <c r="N1336" s="219"/>
      <c r="O1336" s="219"/>
      <c r="P1336" s="244"/>
      <c r="Q1336" s="219"/>
      <c r="R1336" s="302"/>
      <c r="S1336" s="219"/>
      <c r="T1336" s="219"/>
      <c r="U1336" s="219"/>
      <c r="V1336" s="303"/>
      <c r="W1336" s="247"/>
      <c r="X1336" s="245"/>
      <c r="Y1336" s="245"/>
      <c r="Z1336" s="245"/>
      <c r="AA1336" s="245"/>
      <c r="AB1336" s="245"/>
      <c r="AC1336" s="249"/>
      <c r="AD1336" s="249"/>
      <c r="AE1336" s="249"/>
      <c r="AF1336" s="8"/>
      <c r="AG1336" s="8"/>
      <c r="AH1336" s="72"/>
      <c r="AI1336" s="8"/>
      <c r="AJ1336" s="251"/>
      <c r="AK1336" s="23"/>
      <c r="AL1336" s="75"/>
      <c r="AM1336" s="75" t="str">
        <f t="shared" si="141"/>
        <v/>
      </c>
      <c r="AN1336" s="75"/>
      <c r="AO1336" s="75"/>
      <c r="AP1336" s="75"/>
      <c r="AQ1336" s="75"/>
      <c r="AR1336" s="75"/>
      <c r="AS1336" s="75"/>
      <c r="AT1336" s="75"/>
    </row>
    <row r="1337" ht="22.5" customHeight="1">
      <c r="A1337" s="219"/>
      <c r="B1337" s="219"/>
      <c r="C1337" s="219"/>
      <c r="D1337" s="219"/>
      <c r="E1337" s="219"/>
      <c r="F1337" s="219"/>
      <c r="G1337" s="219"/>
      <c r="H1337" s="219"/>
      <c r="I1337" s="249"/>
      <c r="J1337" s="243"/>
      <c r="K1337" s="219"/>
      <c r="L1337" s="244"/>
      <c r="M1337" s="219"/>
      <c r="N1337" s="219"/>
      <c r="O1337" s="219"/>
      <c r="P1337" s="244"/>
      <c r="Q1337" s="219"/>
      <c r="R1337" s="302"/>
      <c r="S1337" s="219"/>
      <c r="T1337" s="219"/>
      <c r="U1337" s="219"/>
      <c r="V1337" s="303"/>
      <c r="W1337" s="247"/>
      <c r="X1337" s="245"/>
      <c r="Y1337" s="245"/>
      <c r="Z1337" s="245"/>
      <c r="AA1337" s="245"/>
      <c r="AB1337" s="245"/>
      <c r="AC1337" s="249"/>
      <c r="AD1337" s="249"/>
      <c r="AE1337" s="249"/>
      <c r="AF1337" s="8"/>
      <c r="AG1337" s="8"/>
      <c r="AH1337" s="72"/>
      <c r="AI1337" s="8"/>
      <c r="AJ1337" s="251"/>
      <c r="AK1337" s="23"/>
      <c r="AL1337" s="75"/>
      <c r="AM1337" s="75" t="str">
        <f t="shared" si="141"/>
        <v/>
      </c>
      <c r="AN1337" s="75"/>
      <c r="AO1337" s="75"/>
      <c r="AP1337" s="75"/>
      <c r="AQ1337" s="75"/>
      <c r="AR1337" s="75"/>
      <c r="AS1337" s="75"/>
      <c r="AT1337" s="75"/>
    </row>
    <row r="1338" ht="22.5" customHeight="1">
      <c r="A1338" s="219"/>
      <c r="B1338" s="219"/>
      <c r="C1338" s="219"/>
      <c r="D1338" s="219"/>
      <c r="E1338" s="219"/>
      <c r="F1338" s="219"/>
      <c r="G1338" s="219"/>
      <c r="H1338" s="219"/>
      <c r="I1338" s="249"/>
      <c r="J1338" s="243"/>
      <c r="K1338" s="219"/>
      <c r="L1338" s="244"/>
      <c r="M1338" s="219"/>
      <c r="N1338" s="219"/>
      <c r="O1338" s="219"/>
      <c r="P1338" s="244"/>
      <c r="Q1338" s="219"/>
      <c r="R1338" s="302"/>
      <c r="S1338" s="219"/>
      <c r="T1338" s="219"/>
      <c r="U1338" s="219"/>
      <c r="V1338" s="303"/>
      <c r="W1338" s="247"/>
      <c r="X1338" s="245"/>
      <c r="Y1338" s="245"/>
      <c r="Z1338" s="245"/>
      <c r="AA1338" s="245"/>
      <c r="AB1338" s="245"/>
      <c r="AC1338" s="249"/>
      <c r="AD1338" s="249"/>
      <c r="AE1338" s="249"/>
      <c r="AF1338" s="8"/>
      <c r="AG1338" s="8"/>
      <c r="AH1338" s="72"/>
      <c r="AI1338" s="8"/>
      <c r="AJ1338" s="251"/>
      <c r="AK1338" s="23"/>
      <c r="AL1338" s="75"/>
      <c r="AM1338" s="75" t="str">
        <f t="shared" si="141"/>
        <v/>
      </c>
      <c r="AN1338" s="75"/>
      <c r="AO1338" s="75"/>
      <c r="AP1338" s="75"/>
      <c r="AQ1338" s="75"/>
      <c r="AR1338" s="75"/>
      <c r="AS1338" s="75"/>
      <c r="AT1338" s="75"/>
    </row>
    <row r="1339" ht="22.5" customHeight="1">
      <c r="A1339" s="219"/>
      <c r="B1339" s="219"/>
      <c r="C1339" s="219"/>
      <c r="D1339" s="219"/>
      <c r="E1339" s="219"/>
      <c r="F1339" s="219"/>
      <c r="G1339" s="219"/>
      <c r="H1339" s="219"/>
      <c r="I1339" s="249"/>
      <c r="J1339" s="243"/>
      <c r="K1339" s="219"/>
      <c r="L1339" s="244"/>
      <c r="M1339" s="219"/>
      <c r="N1339" s="219"/>
      <c r="O1339" s="219"/>
      <c r="P1339" s="244"/>
      <c r="Q1339" s="219"/>
      <c r="R1339" s="302"/>
      <c r="S1339" s="219"/>
      <c r="T1339" s="219"/>
      <c r="U1339" s="219"/>
      <c r="V1339" s="303"/>
      <c r="W1339" s="247"/>
      <c r="X1339" s="245"/>
      <c r="Y1339" s="245"/>
      <c r="Z1339" s="245"/>
      <c r="AA1339" s="245"/>
      <c r="AB1339" s="245"/>
      <c r="AC1339" s="249"/>
      <c r="AD1339" s="249"/>
      <c r="AE1339" s="249"/>
      <c r="AF1339" s="8"/>
      <c r="AG1339" s="8"/>
      <c r="AH1339" s="72"/>
      <c r="AI1339" s="8"/>
      <c r="AJ1339" s="251"/>
      <c r="AK1339" s="23"/>
      <c r="AL1339" s="75"/>
      <c r="AM1339" s="75" t="str">
        <f t="shared" si="141"/>
        <v/>
      </c>
      <c r="AN1339" s="75"/>
      <c r="AO1339" s="75"/>
      <c r="AP1339" s="75"/>
      <c r="AQ1339" s="75"/>
      <c r="AR1339" s="75"/>
      <c r="AS1339" s="75"/>
      <c r="AT1339" s="75"/>
    </row>
    <row r="1340" ht="22.5" customHeight="1">
      <c r="A1340" s="219"/>
      <c r="B1340" s="219"/>
      <c r="C1340" s="219"/>
      <c r="D1340" s="219"/>
      <c r="E1340" s="219"/>
      <c r="F1340" s="219"/>
      <c r="G1340" s="219"/>
      <c r="H1340" s="219"/>
      <c r="I1340" s="249"/>
      <c r="J1340" s="243"/>
      <c r="K1340" s="219"/>
      <c r="L1340" s="244"/>
      <c r="M1340" s="219"/>
      <c r="N1340" s="219"/>
      <c r="O1340" s="219"/>
      <c r="P1340" s="244"/>
      <c r="Q1340" s="219"/>
      <c r="R1340" s="302"/>
      <c r="S1340" s="219"/>
      <c r="T1340" s="219"/>
      <c r="U1340" s="219"/>
      <c r="V1340" s="303"/>
      <c r="W1340" s="247"/>
      <c r="X1340" s="245"/>
      <c r="Y1340" s="245"/>
      <c r="Z1340" s="245"/>
      <c r="AA1340" s="245"/>
      <c r="AB1340" s="245"/>
      <c r="AC1340" s="249"/>
      <c r="AD1340" s="249"/>
      <c r="AE1340" s="249"/>
      <c r="AF1340" s="8"/>
      <c r="AG1340" s="8"/>
      <c r="AH1340" s="72"/>
      <c r="AI1340" s="8"/>
      <c r="AJ1340" s="251"/>
      <c r="AK1340" s="23"/>
      <c r="AL1340" s="75"/>
      <c r="AM1340" s="75" t="str">
        <f t="shared" si="141"/>
        <v/>
      </c>
      <c r="AN1340" s="75"/>
      <c r="AO1340" s="75"/>
      <c r="AP1340" s="75"/>
      <c r="AQ1340" s="75"/>
      <c r="AR1340" s="75"/>
      <c r="AS1340" s="75"/>
      <c r="AT1340" s="75"/>
    </row>
    <row r="1341" ht="22.5" customHeight="1">
      <c r="A1341" s="219"/>
      <c r="B1341" s="219"/>
      <c r="C1341" s="219"/>
      <c r="D1341" s="219"/>
      <c r="E1341" s="219"/>
      <c r="F1341" s="219"/>
      <c r="G1341" s="219"/>
      <c r="H1341" s="219"/>
      <c r="I1341" s="249"/>
      <c r="J1341" s="243"/>
      <c r="K1341" s="219"/>
      <c r="L1341" s="244"/>
      <c r="M1341" s="219"/>
      <c r="N1341" s="219"/>
      <c r="O1341" s="219"/>
      <c r="P1341" s="244"/>
      <c r="Q1341" s="219"/>
      <c r="R1341" s="302"/>
      <c r="S1341" s="219"/>
      <c r="T1341" s="219"/>
      <c r="U1341" s="219"/>
      <c r="V1341" s="303"/>
      <c r="W1341" s="247"/>
      <c r="X1341" s="245"/>
      <c r="Y1341" s="245"/>
      <c r="Z1341" s="245"/>
      <c r="AA1341" s="245"/>
      <c r="AB1341" s="245"/>
      <c r="AC1341" s="249"/>
      <c r="AD1341" s="249"/>
      <c r="AE1341" s="249"/>
      <c r="AF1341" s="8"/>
      <c r="AG1341" s="8"/>
      <c r="AH1341" s="72"/>
      <c r="AI1341" s="8"/>
      <c r="AJ1341" s="251"/>
      <c r="AK1341" s="23"/>
      <c r="AL1341" s="75"/>
      <c r="AM1341" s="75" t="str">
        <f t="shared" si="141"/>
        <v/>
      </c>
      <c r="AN1341" s="75"/>
      <c r="AO1341" s="75"/>
      <c r="AP1341" s="75"/>
      <c r="AQ1341" s="75"/>
      <c r="AR1341" s="75"/>
      <c r="AS1341" s="75"/>
      <c r="AT1341" s="75"/>
    </row>
    <row r="1342" ht="22.5" customHeight="1">
      <c r="A1342" s="219"/>
      <c r="B1342" s="219"/>
      <c r="C1342" s="219"/>
      <c r="D1342" s="219"/>
      <c r="E1342" s="219"/>
      <c r="F1342" s="219"/>
      <c r="G1342" s="219"/>
      <c r="H1342" s="219"/>
      <c r="I1342" s="249"/>
      <c r="J1342" s="243"/>
      <c r="K1342" s="219"/>
      <c r="L1342" s="244"/>
      <c r="M1342" s="219"/>
      <c r="N1342" s="219"/>
      <c r="O1342" s="219"/>
      <c r="P1342" s="244"/>
      <c r="Q1342" s="219"/>
      <c r="R1342" s="302"/>
      <c r="S1342" s="219"/>
      <c r="T1342" s="219"/>
      <c r="U1342" s="219"/>
      <c r="V1342" s="303"/>
      <c r="W1342" s="247"/>
      <c r="X1342" s="245"/>
      <c r="Y1342" s="245"/>
      <c r="Z1342" s="245"/>
      <c r="AA1342" s="245"/>
      <c r="AB1342" s="245"/>
      <c r="AC1342" s="249"/>
      <c r="AD1342" s="249"/>
      <c r="AE1342" s="249"/>
      <c r="AF1342" s="8"/>
      <c r="AG1342" s="8"/>
      <c r="AH1342" s="72"/>
      <c r="AI1342" s="8"/>
      <c r="AJ1342" s="251"/>
      <c r="AK1342" s="23"/>
      <c r="AL1342" s="75"/>
      <c r="AM1342" s="75" t="str">
        <f t="shared" si="141"/>
        <v/>
      </c>
      <c r="AN1342" s="75"/>
      <c r="AO1342" s="75"/>
      <c r="AP1342" s="75"/>
      <c r="AQ1342" s="75"/>
      <c r="AR1342" s="75"/>
      <c r="AS1342" s="75"/>
      <c r="AT1342" s="75"/>
    </row>
    <row r="1343" ht="22.5" customHeight="1">
      <c r="A1343" s="219"/>
      <c r="B1343" s="219"/>
      <c r="C1343" s="219"/>
      <c r="D1343" s="219"/>
      <c r="E1343" s="219"/>
      <c r="F1343" s="219"/>
      <c r="G1343" s="219"/>
      <c r="H1343" s="219"/>
      <c r="I1343" s="249"/>
      <c r="J1343" s="243"/>
      <c r="K1343" s="219"/>
      <c r="L1343" s="244"/>
      <c r="M1343" s="219"/>
      <c r="N1343" s="219"/>
      <c r="O1343" s="219"/>
      <c r="P1343" s="244"/>
      <c r="Q1343" s="219"/>
      <c r="R1343" s="302"/>
      <c r="S1343" s="219"/>
      <c r="T1343" s="219"/>
      <c r="U1343" s="219"/>
      <c r="V1343" s="303"/>
      <c r="W1343" s="247"/>
      <c r="X1343" s="245"/>
      <c r="Y1343" s="245"/>
      <c r="Z1343" s="245"/>
      <c r="AA1343" s="245"/>
      <c r="AB1343" s="245"/>
      <c r="AC1343" s="249"/>
      <c r="AD1343" s="249"/>
      <c r="AE1343" s="249"/>
      <c r="AF1343" s="8"/>
      <c r="AG1343" s="8"/>
      <c r="AH1343" s="72"/>
      <c r="AI1343" s="8"/>
      <c r="AJ1343" s="251"/>
      <c r="AK1343" s="23"/>
      <c r="AL1343" s="75"/>
      <c r="AM1343" s="75" t="str">
        <f t="shared" si="141"/>
        <v/>
      </c>
      <c r="AN1343" s="75"/>
      <c r="AO1343" s="75"/>
      <c r="AP1343" s="75"/>
      <c r="AQ1343" s="75"/>
      <c r="AR1343" s="75"/>
      <c r="AS1343" s="75"/>
      <c r="AT1343" s="75"/>
    </row>
    <row r="1344" ht="22.5" customHeight="1">
      <c r="A1344" s="219"/>
      <c r="B1344" s="219"/>
      <c r="C1344" s="219"/>
      <c r="D1344" s="219"/>
      <c r="E1344" s="219"/>
      <c r="F1344" s="219"/>
      <c r="G1344" s="219"/>
      <c r="H1344" s="219"/>
      <c r="I1344" s="249"/>
      <c r="J1344" s="243"/>
      <c r="K1344" s="219"/>
      <c r="L1344" s="244"/>
      <c r="M1344" s="219"/>
      <c r="N1344" s="219"/>
      <c r="O1344" s="219"/>
      <c r="P1344" s="244"/>
      <c r="Q1344" s="219"/>
      <c r="R1344" s="302"/>
      <c r="S1344" s="219"/>
      <c r="T1344" s="219"/>
      <c r="U1344" s="219"/>
      <c r="V1344" s="303"/>
      <c r="W1344" s="247"/>
      <c r="X1344" s="245"/>
      <c r="Y1344" s="245"/>
      <c r="Z1344" s="245"/>
      <c r="AA1344" s="245"/>
      <c r="AB1344" s="245"/>
      <c r="AC1344" s="249"/>
      <c r="AD1344" s="249"/>
      <c r="AE1344" s="249"/>
      <c r="AF1344" s="8"/>
      <c r="AG1344" s="8"/>
      <c r="AH1344" s="72"/>
      <c r="AI1344" s="8"/>
      <c r="AJ1344" s="251"/>
      <c r="AK1344" s="23"/>
      <c r="AL1344" s="75"/>
      <c r="AM1344" s="75" t="str">
        <f t="shared" si="141"/>
        <v/>
      </c>
      <c r="AN1344" s="75"/>
      <c r="AO1344" s="75"/>
      <c r="AP1344" s="75"/>
      <c r="AQ1344" s="75"/>
      <c r="AR1344" s="75"/>
      <c r="AS1344" s="75"/>
      <c r="AT1344" s="75"/>
    </row>
    <row r="1345" ht="22.5" customHeight="1">
      <c r="A1345" s="219"/>
      <c r="B1345" s="219"/>
      <c r="C1345" s="219"/>
      <c r="D1345" s="219"/>
      <c r="E1345" s="219"/>
      <c r="F1345" s="219"/>
      <c r="G1345" s="219"/>
      <c r="H1345" s="219"/>
      <c r="I1345" s="249"/>
      <c r="J1345" s="243"/>
      <c r="K1345" s="219"/>
      <c r="L1345" s="244"/>
      <c r="M1345" s="219"/>
      <c r="N1345" s="219"/>
      <c r="O1345" s="219"/>
      <c r="P1345" s="244"/>
      <c r="Q1345" s="219"/>
      <c r="R1345" s="302"/>
      <c r="S1345" s="219"/>
      <c r="T1345" s="219"/>
      <c r="U1345" s="219"/>
      <c r="V1345" s="303"/>
      <c r="W1345" s="247"/>
      <c r="X1345" s="245"/>
      <c r="Y1345" s="245"/>
      <c r="Z1345" s="245"/>
      <c r="AA1345" s="245"/>
      <c r="AB1345" s="245"/>
      <c r="AC1345" s="249"/>
      <c r="AD1345" s="249"/>
      <c r="AE1345" s="249"/>
      <c r="AF1345" s="8"/>
      <c r="AG1345" s="8"/>
      <c r="AH1345" s="72"/>
      <c r="AI1345" s="8"/>
      <c r="AJ1345" s="251"/>
      <c r="AK1345" s="23"/>
      <c r="AL1345" s="75"/>
      <c r="AM1345" s="75" t="str">
        <f t="shared" si="141"/>
        <v/>
      </c>
      <c r="AN1345" s="75"/>
      <c r="AO1345" s="75"/>
      <c r="AP1345" s="75"/>
      <c r="AQ1345" s="75"/>
      <c r="AR1345" s="75"/>
      <c r="AS1345" s="75"/>
      <c r="AT1345" s="75"/>
    </row>
    <row r="1346" ht="22.5" customHeight="1">
      <c r="A1346" s="219"/>
      <c r="B1346" s="219"/>
      <c r="C1346" s="219"/>
      <c r="D1346" s="219"/>
      <c r="E1346" s="219"/>
      <c r="F1346" s="219"/>
      <c r="G1346" s="219"/>
      <c r="H1346" s="219"/>
      <c r="I1346" s="249"/>
      <c r="J1346" s="243"/>
      <c r="K1346" s="219"/>
      <c r="L1346" s="244"/>
      <c r="M1346" s="219"/>
      <c r="N1346" s="219"/>
      <c r="O1346" s="219"/>
      <c r="P1346" s="244"/>
      <c r="Q1346" s="219"/>
      <c r="R1346" s="302"/>
      <c r="S1346" s="219"/>
      <c r="T1346" s="219"/>
      <c r="U1346" s="219"/>
      <c r="V1346" s="303"/>
      <c r="W1346" s="247"/>
      <c r="X1346" s="245"/>
      <c r="Y1346" s="245"/>
      <c r="Z1346" s="245"/>
      <c r="AA1346" s="245"/>
      <c r="AB1346" s="245"/>
      <c r="AC1346" s="249"/>
      <c r="AD1346" s="249"/>
      <c r="AE1346" s="249"/>
      <c r="AF1346" s="8"/>
      <c r="AG1346" s="8"/>
      <c r="AH1346" s="72"/>
      <c r="AI1346" s="8"/>
      <c r="AJ1346" s="251"/>
      <c r="AK1346" s="23"/>
      <c r="AL1346" s="75"/>
      <c r="AM1346" s="75" t="str">
        <f t="shared" si="141"/>
        <v/>
      </c>
      <c r="AN1346" s="75"/>
      <c r="AO1346" s="75"/>
      <c r="AP1346" s="75"/>
      <c r="AQ1346" s="75"/>
      <c r="AR1346" s="75"/>
      <c r="AS1346" s="75"/>
      <c r="AT1346" s="75"/>
    </row>
    <row r="1347" ht="22.5" customHeight="1">
      <c r="A1347" s="219"/>
      <c r="B1347" s="219"/>
      <c r="C1347" s="219"/>
      <c r="D1347" s="219"/>
      <c r="E1347" s="219"/>
      <c r="F1347" s="219"/>
      <c r="G1347" s="219"/>
      <c r="H1347" s="219"/>
      <c r="I1347" s="249"/>
      <c r="J1347" s="243"/>
      <c r="K1347" s="219"/>
      <c r="L1347" s="244"/>
      <c r="M1347" s="219"/>
      <c r="N1347" s="219"/>
      <c r="O1347" s="219"/>
      <c r="P1347" s="244"/>
      <c r="Q1347" s="219"/>
      <c r="R1347" s="302"/>
      <c r="S1347" s="219"/>
      <c r="T1347" s="219"/>
      <c r="U1347" s="219"/>
      <c r="V1347" s="303"/>
      <c r="W1347" s="247"/>
      <c r="X1347" s="245"/>
      <c r="Y1347" s="245"/>
      <c r="Z1347" s="245"/>
      <c r="AA1347" s="245"/>
      <c r="AB1347" s="245"/>
      <c r="AC1347" s="249"/>
      <c r="AD1347" s="249"/>
      <c r="AE1347" s="249"/>
      <c r="AF1347" s="8"/>
      <c r="AG1347" s="8"/>
      <c r="AH1347" s="72"/>
      <c r="AI1347" s="8"/>
      <c r="AJ1347" s="251"/>
      <c r="AK1347" s="23"/>
      <c r="AL1347" s="75"/>
      <c r="AM1347" s="75" t="str">
        <f t="shared" si="141"/>
        <v/>
      </c>
      <c r="AN1347" s="75"/>
      <c r="AO1347" s="75"/>
      <c r="AP1347" s="75"/>
      <c r="AQ1347" s="75"/>
      <c r="AR1347" s="75"/>
      <c r="AS1347" s="75"/>
      <c r="AT1347" s="75"/>
    </row>
    <row r="1348" ht="22.5" customHeight="1">
      <c r="A1348" s="219"/>
      <c r="B1348" s="219"/>
      <c r="C1348" s="219"/>
      <c r="D1348" s="219"/>
      <c r="E1348" s="219"/>
      <c r="F1348" s="219"/>
      <c r="G1348" s="219"/>
      <c r="H1348" s="219"/>
      <c r="I1348" s="249"/>
      <c r="J1348" s="243"/>
      <c r="K1348" s="219"/>
      <c r="L1348" s="244"/>
      <c r="M1348" s="219"/>
      <c r="N1348" s="219"/>
      <c r="O1348" s="219"/>
      <c r="P1348" s="244"/>
      <c r="Q1348" s="219"/>
      <c r="R1348" s="302"/>
      <c r="S1348" s="219"/>
      <c r="T1348" s="219"/>
      <c r="U1348" s="219"/>
      <c r="V1348" s="303"/>
      <c r="W1348" s="247"/>
      <c r="X1348" s="245"/>
      <c r="Y1348" s="245"/>
      <c r="Z1348" s="245"/>
      <c r="AA1348" s="245"/>
      <c r="AB1348" s="245"/>
      <c r="AC1348" s="249"/>
      <c r="AD1348" s="249"/>
      <c r="AE1348" s="249"/>
      <c r="AF1348" s="8"/>
      <c r="AG1348" s="8"/>
      <c r="AH1348" s="72"/>
      <c r="AI1348" s="8"/>
      <c r="AJ1348" s="251"/>
      <c r="AK1348" s="23"/>
      <c r="AL1348" s="75"/>
      <c r="AM1348" s="75" t="str">
        <f t="shared" si="141"/>
        <v/>
      </c>
      <c r="AN1348" s="75"/>
      <c r="AO1348" s="75"/>
      <c r="AP1348" s="75"/>
      <c r="AQ1348" s="75"/>
      <c r="AR1348" s="75"/>
      <c r="AS1348" s="75"/>
      <c r="AT1348" s="75"/>
    </row>
    <row r="1349" ht="22.5" customHeight="1">
      <c r="A1349" s="219"/>
      <c r="B1349" s="219"/>
      <c r="C1349" s="219"/>
      <c r="D1349" s="219"/>
      <c r="E1349" s="219"/>
      <c r="F1349" s="219"/>
      <c r="G1349" s="219"/>
      <c r="H1349" s="219"/>
      <c r="I1349" s="249"/>
      <c r="J1349" s="243"/>
      <c r="K1349" s="219"/>
      <c r="L1349" s="244"/>
      <c r="M1349" s="219"/>
      <c r="N1349" s="219"/>
      <c r="O1349" s="219"/>
      <c r="P1349" s="244"/>
      <c r="Q1349" s="219"/>
      <c r="R1349" s="302"/>
      <c r="S1349" s="219"/>
      <c r="T1349" s="219"/>
      <c r="U1349" s="219"/>
      <c r="V1349" s="303"/>
      <c r="W1349" s="247"/>
      <c r="X1349" s="245"/>
      <c r="Y1349" s="245"/>
      <c r="Z1349" s="245"/>
      <c r="AA1349" s="245"/>
      <c r="AB1349" s="245"/>
      <c r="AC1349" s="249"/>
      <c r="AD1349" s="249"/>
      <c r="AE1349" s="249"/>
      <c r="AF1349" s="8"/>
      <c r="AG1349" s="8"/>
      <c r="AH1349" s="72"/>
      <c r="AI1349" s="8"/>
      <c r="AJ1349" s="251"/>
      <c r="AK1349" s="23"/>
      <c r="AL1349" s="75"/>
      <c r="AM1349" s="75" t="str">
        <f t="shared" si="141"/>
        <v/>
      </c>
      <c r="AN1349" s="75"/>
      <c r="AO1349" s="75"/>
      <c r="AP1349" s="75"/>
      <c r="AQ1349" s="75"/>
      <c r="AR1349" s="75"/>
      <c r="AS1349" s="75"/>
      <c r="AT1349" s="75"/>
    </row>
    <row r="1350" ht="22.5" customHeight="1">
      <c r="A1350" s="219"/>
      <c r="B1350" s="219"/>
      <c r="C1350" s="219"/>
      <c r="D1350" s="219"/>
      <c r="E1350" s="219"/>
      <c r="F1350" s="219"/>
      <c r="G1350" s="219"/>
      <c r="H1350" s="219"/>
      <c r="I1350" s="249"/>
      <c r="J1350" s="243"/>
      <c r="K1350" s="219"/>
      <c r="L1350" s="244"/>
      <c r="M1350" s="219"/>
      <c r="N1350" s="219"/>
      <c r="O1350" s="219"/>
      <c r="P1350" s="244"/>
      <c r="Q1350" s="219"/>
      <c r="R1350" s="302"/>
      <c r="S1350" s="219"/>
      <c r="T1350" s="219"/>
      <c r="U1350" s="219"/>
      <c r="V1350" s="303"/>
      <c r="W1350" s="247"/>
      <c r="X1350" s="245"/>
      <c r="Y1350" s="245"/>
      <c r="Z1350" s="245"/>
      <c r="AA1350" s="245"/>
      <c r="AB1350" s="245"/>
      <c r="AC1350" s="249"/>
      <c r="AD1350" s="249"/>
      <c r="AE1350" s="249"/>
      <c r="AF1350" s="8"/>
      <c r="AG1350" s="8"/>
      <c r="AH1350" s="72"/>
      <c r="AI1350" s="8"/>
      <c r="AJ1350" s="251"/>
      <c r="AK1350" s="23"/>
      <c r="AL1350" s="75"/>
      <c r="AM1350" s="75" t="str">
        <f t="shared" si="141"/>
        <v/>
      </c>
      <c r="AN1350" s="75"/>
      <c r="AO1350" s="75"/>
      <c r="AP1350" s="75"/>
      <c r="AQ1350" s="75"/>
      <c r="AR1350" s="75"/>
      <c r="AS1350" s="75"/>
      <c r="AT1350" s="75"/>
    </row>
    <row r="1351" ht="22.5" customHeight="1">
      <c r="A1351" s="219"/>
      <c r="B1351" s="219"/>
      <c r="C1351" s="219"/>
      <c r="D1351" s="219"/>
      <c r="E1351" s="219"/>
      <c r="F1351" s="219"/>
      <c r="G1351" s="219"/>
      <c r="H1351" s="219"/>
      <c r="I1351" s="249"/>
      <c r="J1351" s="243"/>
      <c r="K1351" s="219"/>
      <c r="L1351" s="244"/>
      <c r="M1351" s="219"/>
      <c r="N1351" s="219"/>
      <c r="O1351" s="219"/>
      <c r="P1351" s="244"/>
      <c r="Q1351" s="219"/>
      <c r="R1351" s="302"/>
      <c r="S1351" s="219"/>
      <c r="T1351" s="219"/>
      <c r="U1351" s="219"/>
      <c r="V1351" s="303"/>
      <c r="W1351" s="247"/>
      <c r="X1351" s="245"/>
      <c r="Y1351" s="245"/>
      <c r="Z1351" s="245"/>
      <c r="AA1351" s="245"/>
      <c r="AB1351" s="245"/>
      <c r="AC1351" s="249"/>
      <c r="AD1351" s="249"/>
      <c r="AE1351" s="249"/>
      <c r="AF1351" s="8"/>
      <c r="AG1351" s="8"/>
      <c r="AH1351" s="72"/>
      <c r="AI1351" s="8"/>
      <c r="AJ1351" s="251"/>
      <c r="AK1351" s="23"/>
      <c r="AL1351" s="75"/>
      <c r="AM1351" s="75" t="str">
        <f t="shared" si="141"/>
        <v/>
      </c>
      <c r="AN1351" s="75"/>
      <c r="AO1351" s="75"/>
      <c r="AP1351" s="75"/>
      <c r="AQ1351" s="75"/>
      <c r="AR1351" s="75"/>
      <c r="AS1351" s="75"/>
      <c r="AT1351" s="75"/>
    </row>
    <row r="1352" ht="22.5" customHeight="1">
      <c r="A1352" s="219"/>
      <c r="B1352" s="219"/>
      <c r="C1352" s="219"/>
      <c r="D1352" s="219"/>
      <c r="E1352" s="219"/>
      <c r="F1352" s="219"/>
      <c r="G1352" s="219"/>
      <c r="H1352" s="219"/>
      <c r="I1352" s="249"/>
      <c r="J1352" s="243"/>
      <c r="K1352" s="219"/>
      <c r="L1352" s="244"/>
      <c r="M1352" s="219"/>
      <c r="N1352" s="219"/>
      <c r="O1352" s="219"/>
      <c r="P1352" s="244"/>
      <c r="Q1352" s="219"/>
      <c r="R1352" s="302"/>
      <c r="S1352" s="219"/>
      <c r="T1352" s="219"/>
      <c r="U1352" s="219"/>
      <c r="V1352" s="303"/>
      <c r="W1352" s="247"/>
      <c r="X1352" s="245"/>
      <c r="Y1352" s="245"/>
      <c r="Z1352" s="245"/>
      <c r="AA1352" s="245"/>
      <c r="AB1352" s="245"/>
      <c r="AC1352" s="249"/>
      <c r="AD1352" s="249"/>
      <c r="AE1352" s="249"/>
      <c r="AF1352" s="8"/>
      <c r="AG1352" s="8"/>
      <c r="AH1352" s="72"/>
      <c r="AI1352" s="8"/>
      <c r="AJ1352" s="251"/>
      <c r="AK1352" s="23"/>
      <c r="AL1352" s="75"/>
      <c r="AM1352" s="75" t="str">
        <f t="shared" si="141"/>
        <v/>
      </c>
      <c r="AN1352" s="75"/>
      <c r="AO1352" s="75"/>
      <c r="AP1352" s="75"/>
      <c r="AQ1352" s="75"/>
      <c r="AR1352" s="75"/>
      <c r="AS1352" s="75"/>
      <c r="AT1352" s="75"/>
    </row>
    <row r="1353" ht="22.5" customHeight="1">
      <c r="A1353" s="219"/>
      <c r="B1353" s="219"/>
      <c r="C1353" s="219"/>
      <c r="D1353" s="219"/>
      <c r="E1353" s="219"/>
      <c r="F1353" s="219"/>
      <c r="G1353" s="219"/>
      <c r="H1353" s="219"/>
      <c r="I1353" s="249"/>
      <c r="J1353" s="243"/>
      <c r="K1353" s="219"/>
      <c r="L1353" s="244"/>
      <c r="M1353" s="219"/>
      <c r="N1353" s="219"/>
      <c r="O1353" s="219"/>
      <c r="P1353" s="244"/>
      <c r="Q1353" s="219"/>
      <c r="R1353" s="302"/>
      <c r="S1353" s="219"/>
      <c r="T1353" s="219"/>
      <c r="U1353" s="219"/>
      <c r="V1353" s="303"/>
      <c r="W1353" s="247"/>
      <c r="X1353" s="245"/>
      <c r="Y1353" s="245"/>
      <c r="Z1353" s="245"/>
      <c r="AA1353" s="245"/>
      <c r="AB1353" s="245"/>
      <c r="AC1353" s="249"/>
      <c r="AD1353" s="249"/>
      <c r="AE1353" s="249"/>
      <c r="AF1353" s="8"/>
      <c r="AG1353" s="8"/>
      <c r="AH1353" s="72"/>
      <c r="AI1353" s="8"/>
      <c r="AJ1353" s="251"/>
      <c r="AK1353" s="23"/>
      <c r="AL1353" s="75"/>
      <c r="AM1353" s="75" t="str">
        <f t="shared" si="141"/>
        <v/>
      </c>
      <c r="AN1353" s="75"/>
      <c r="AO1353" s="75"/>
      <c r="AP1353" s="75"/>
      <c r="AQ1353" s="75"/>
      <c r="AR1353" s="75"/>
      <c r="AS1353" s="75"/>
      <c r="AT1353" s="75"/>
    </row>
    <row r="1354" ht="22.5" customHeight="1">
      <c r="A1354" s="219"/>
      <c r="B1354" s="219"/>
      <c r="C1354" s="219"/>
      <c r="D1354" s="219"/>
      <c r="E1354" s="219"/>
      <c r="F1354" s="219"/>
      <c r="G1354" s="219"/>
      <c r="H1354" s="219"/>
      <c r="I1354" s="249"/>
      <c r="J1354" s="243"/>
      <c r="K1354" s="219"/>
      <c r="L1354" s="244"/>
      <c r="M1354" s="219"/>
      <c r="N1354" s="219"/>
      <c r="O1354" s="219"/>
      <c r="P1354" s="244"/>
      <c r="Q1354" s="219"/>
      <c r="R1354" s="302"/>
      <c r="S1354" s="219"/>
      <c r="T1354" s="219"/>
      <c r="U1354" s="219"/>
      <c r="V1354" s="303"/>
      <c r="W1354" s="247"/>
      <c r="X1354" s="245"/>
      <c r="Y1354" s="245"/>
      <c r="Z1354" s="245"/>
      <c r="AA1354" s="245"/>
      <c r="AB1354" s="245"/>
      <c r="AC1354" s="249"/>
      <c r="AD1354" s="249"/>
      <c r="AE1354" s="249"/>
      <c r="AF1354" s="8"/>
      <c r="AG1354" s="8"/>
      <c r="AH1354" s="72"/>
      <c r="AI1354" s="8"/>
      <c r="AJ1354" s="251"/>
      <c r="AK1354" s="23"/>
      <c r="AL1354" s="75"/>
      <c r="AM1354" s="75" t="str">
        <f t="shared" si="141"/>
        <v/>
      </c>
      <c r="AN1354" s="75"/>
      <c r="AO1354" s="75"/>
      <c r="AP1354" s="75"/>
      <c r="AQ1354" s="75"/>
      <c r="AR1354" s="75"/>
      <c r="AS1354" s="75"/>
      <c r="AT1354" s="75"/>
    </row>
    <row r="1355" ht="22.5" customHeight="1">
      <c r="A1355" s="219"/>
      <c r="B1355" s="219"/>
      <c r="C1355" s="219"/>
      <c r="D1355" s="219"/>
      <c r="E1355" s="219"/>
      <c r="F1355" s="219"/>
      <c r="G1355" s="219"/>
      <c r="H1355" s="219"/>
      <c r="I1355" s="249"/>
      <c r="J1355" s="243"/>
      <c r="K1355" s="219"/>
      <c r="L1355" s="244"/>
      <c r="M1355" s="219"/>
      <c r="N1355" s="219"/>
      <c r="O1355" s="219"/>
      <c r="P1355" s="244"/>
      <c r="Q1355" s="219"/>
      <c r="R1355" s="302"/>
      <c r="S1355" s="219"/>
      <c r="T1355" s="219"/>
      <c r="U1355" s="219"/>
      <c r="V1355" s="303"/>
      <c r="W1355" s="247"/>
      <c r="X1355" s="245"/>
      <c r="Y1355" s="245"/>
      <c r="Z1355" s="245"/>
      <c r="AA1355" s="245"/>
      <c r="AB1355" s="245"/>
      <c r="AC1355" s="249"/>
      <c r="AD1355" s="249"/>
      <c r="AE1355" s="249"/>
      <c r="AF1355" s="8"/>
      <c r="AG1355" s="8"/>
      <c r="AH1355" s="72"/>
      <c r="AI1355" s="8"/>
      <c r="AJ1355" s="251"/>
      <c r="AK1355" s="23"/>
      <c r="AL1355" s="75"/>
      <c r="AM1355" s="75" t="str">
        <f t="shared" si="141"/>
        <v/>
      </c>
      <c r="AN1355" s="75"/>
      <c r="AO1355" s="75"/>
      <c r="AP1355" s="75"/>
      <c r="AQ1355" s="75"/>
      <c r="AR1355" s="75"/>
      <c r="AS1355" s="75"/>
      <c r="AT1355" s="75"/>
    </row>
    <row r="1356" ht="22.5" customHeight="1">
      <c r="A1356" s="219"/>
      <c r="B1356" s="219"/>
      <c r="C1356" s="219"/>
      <c r="D1356" s="219"/>
      <c r="E1356" s="219"/>
      <c r="F1356" s="219"/>
      <c r="G1356" s="219"/>
      <c r="H1356" s="219"/>
      <c r="I1356" s="249"/>
      <c r="J1356" s="243"/>
      <c r="K1356" s="219"/>
      <c r="L1356" s="244"/>
      <c r="M1356" s="219"/>
      <c r="N1356" s="219"/>
      <c r="O1356" s="219"/>
      <c r="P1356" s="244"/>
      <c r="Q1356" s="219"/>
      <c r="R1356" s="302"/>
      <c r="S1356" s="219"/>
      <c r="T1356" s="219"/>
      <c r="U1356" s="219"/>
      <c r="V1356" s="303"/>
      <c r="W1356" s="247"/>
      <c r="X1356" s="245"/>
      <c r="Y1356" s="245"/>
      <c r="Z1356" s="245"/>
      <c r="AA1356" s="245"/>
      <c r="AB1356" s="245"/>
      <c r="AC1356" s="249"/>
      <c r="AD1356" s="249"/>
      <c r="AE1356" s="249"/>
      <c r="AF1356" s="8"/>
      <c r="AG1356" s="8"/>
      <c r="AH1356" s="72"/>
      <c r="AI1356" s="8"/>
      <c r="AJ1356" s="251"/>
      <c r="AK1356" s="23"/>
      <c r="AL1356" s="75"/>
      <c r="AM1356" s="75" t="str">
        <f t="shared" si="141"/>
        <v/>
      </c>
      <c r="AN1356" s="75"/>
      <c r="AO1356" s="75"/>
      <c r="AP1356" s="75"/>
      <c r="AQ1356" s="75"/>
      <c r="AR1356" s="75"/>
      <c r="AS1356" s="75"/>
      <c r="AT1356" s="75"/>
    </row>
    <row r="1357" ht="22.5" customHeight="1">
      <c r="A1357" s="219"/>
      <c r="B1357" s="219"/>
      <c r="C1357" s="219"/>
      <c r="D1357" s="219"/>
      <c r="E1357" s="219"/>
      <c r="F1357" s="219"/>
      <c r="G1357" s="219"/>
      <c r="H1357" s="219"/>
      <c r="I1357" s="249"/>
      <c r="J1357" s="243"/>
      <c r="K1357" s="219"/>
      <c r="L1357" s="244"/>
      <c r="M1357" s="219"/>
      <c r="N1357" s="219"/>
      <c r="O1357" s="219"/>
      <c r="P1357" s="244"/>
      <c r="Q1357" s="219"/>
      <c r="R1357" s="302"/>
      <c r="S1357" s="219"/>
      <c r="T1357" s="219"/>
      <c r="U1357" s="219"/>
      <c r="V1357" s="303"/>
      <c r="W1357" s="247"/>
      <c r="X1357" s="245"/>
      <c r="Y1357" s="245"/>
      <c r="Z1357" s="245"/>
      <c r="AA1357" s="245"/>
      <c r="AB1357" s="245"/>
      <c r="AC1357" s="249"/>
      <c r="AD1357" s="249"/>
      <c r="AE1357" s="249"/>
      <c r="AF1357" s="8"/>
      <c r="AG1357" s="8"/>
      <c r="AH1357" s="72"/>
      <c r="AI1357" s="8"/>
      <c r="AJ1357" s="251"/>
      <c r="AK1357" s="23"/>
      <c r="AL1357" s="75"/>
      <c r="AM1357" s="75" t="str">
        <f t="shared" si="141"/>
        <v/>
      </c>
      <c r="AN1357" s="75"/>
      <c r="AO1357" s="75"/>
      <c r="AP1357" s="75"/>
      <c r="AQ1357" s="75"/>
      <c r="AR1357" s="75"/>
      <c r="AS1357" s="75"/>
      <c r="AT1357" s="75"/>
    </row>
    <row r="1358" ht="22.5" customHeight="1">
      <c r="A1358" s="219"/>
      <c r="B1358" s="219"/>
      <c r="C1358" s="219"/>
      <c r="D1358" s="219"/>
      <c r="E1358" s="219"/>
      <c r="F1358" s="219"/>
      <c r="G1358" s="219"/>
      <c r="H1358" s="219"/>
      <c r="I1358" s="249"/>
      <c r="J1358" s="243"/>
      <c r="K1358" s="219"/>
      <c r="L1358" s="244"/>
      <c r="M1358" s="219"/>
      <c r="N1358" s="219"/>
      <c r="O1358" s="219"/>
      <c r="P1358" s="244"/>
      <c r="Q1358" s="219"/>
      <c r="R1358" s="302"/>
      <c r="S1358" s="219"/>
      <c r="T1358" s="219"/>
      <c r="U1358" s="219"/>
      <c r="V1358" s="303"/>
      <c r="W1358" s="247"/>
      <c r="X1358" s="245"/>
      <c r="Y1358" s="245"/>
      <c r="Z1358" s="245"/>
      <c r="AA1358" s="245"/>
      <c r="AB1358" s="245"/>
      <c r="AC1358" s="249"/>
      <c r="AD1358" s="249"/>
      <c r="AE1358" s="249"/>
      <c r="AF1358" s="8"/>
      <c r="AG1358" s="8"/>
      <c r="AH1358" s="72"/>
      <c r="AI1358" s="8"/>
      <c r="AJ1358" s="251"/>
      <c r="AK1358" s="23"/>
      <c r="AL1358" s="75"/>
      <c r="AM1358" s="75" t="str">
        <f t="shared" si="141"/>
        <v/>
      </c>
      <c r="AN1358" s="75"/>
      <c r="AO1358" s="75"/>
      <c r="AP1358" s="75"/>
      <c r="AQ1358" s="75"/>
      <c r="AR1358" s="75"/>
      <c r="AS1358" s="75"/>
      <c r="AT1358" s="75"/>
    </row>
    <row r="1359" ht="22.5" customHeight="1">
      <c r="A1359" s="219"/>
      <c r="B1359" s="219"/>
      <c r="C1359" s="219"/>
      <c r="D1359" s="219"/>
      <c r="E1359" s="219"/>
      <c r="F1359" s="219"/>
      <c r="G1359" s="219"/>
      <c r="H1359" s="219"/>
      <c r="I1359" s="249"/>
      <c r="J1359" s="243"/>
      <c r="K1359" s="219"/>
      <c r="L1359" s="244"/>
      <c r="M1359" s="219"/>
      <c r="N1359" s="219"/>
      <c r="O1359" s="219"/>
      <c r="P1359" s="244"/>
      <c r="Q1359" s="219"/>
      <c r="R1359" s="302"/>
      <c r="S1359" s="219"/>
      <c r="T1359" s="219"/>
      <c r="U1359" s="219"/>
      <c r="V1359" s="303"/>
      <c r="W1359" s="247"/>
      <c r="X1359" s="245"/>
      <c r="Y1359" s="245"/>
      <c r="Z1359" s="245"/>
      <c r="AA1359" s="245"/>
      <c r="AB1359" s="245"/>
      <c r="AC1359" s="249"/>
      <c r="AD1359" s="249"/>
      <c r="AE1359" s="249"/>
      <c r="AF1359" s="8"/>
      <c r="AG1359" s="8"/>
      <c r="AH1359" s="72"/>
      <c r="AI1359" s="8"/>
      <c r="AJ1359" s="251"/>
      <c r="AK1359" s="23"/>
      <c r="AL1359" s="75"/>
      <c r="AM1359" s="75" t="str">
        <f t="shared" si="141"/>
        <v/>
      </c>
      <c r="AN1359" s="75"/>
      <c r="AO1359" s="75"/>
      <c r="AP1359" s="75"/>
      <c r="AQ1359" s="75"/>
      <c r="AR1359" s="75"/>
      <c r="AS1359" s="75"/>
      <c r="AT1359" s="75"/>
    </row>
    <row r="1360" ht="22.5" customHeight="1">
      <c r="A1360" s="219"/>
      <c r="B1360" s="219"/>
      <c r="C1360" s="219"/>
      <c r="D1360" s="219"/>
      <c r="E1360" s="219"/>
      <c r="F1360" s="219"/>
      <c r="G1360" s="219"/>
      <c r="H1360" s="219"/>
      <c r="I1360" s="249"/>
      <c r="J1360" s="243"/>
      <c r="K1360" s="219"/>
      <c r="L1360" s="244"/>
      <c r="M1360" s="219"/>
      <c r="N1360" s="219"/>
      <c r="O1360" s="219"/>
      <c r="P1360" s="244"/>
      <c r="Q1360" s="219"/>
      <c r="R1360" s="302"/>
      <c r="S1360" s="219"/>
      <c r="T1360" s="219"/>
      <c r="U1360" s="219"/>
      <c r="V1360" s="303"/>
      <c r="W1360" s="247"/>
      <c r="X1360" s="245"/>
      <c r="Y1360" s="245"/>
      <c r="Z1360" s="245"/>
      <c r="AA1360" s="245"/>
      <c r="AB1360" s="245"/>
      <c r="AC1360" s="249"/>
      <c r="AD1360" s="249"/>
      <c r="AE1360" s="249"/>
      <c r="AF1360" s="8"/>
      <c r="AG1360" s="8"/>
      <c r="AH1360" s="72"/>
      <c r="AI1360" s="8"/>
      <c r="AJ1360" s="251"/>
      <c r="AK1360" s="23"/>
      <c r="AL1360" s="75"/>
      <c r="AM1360" s="75" t="str">
        <f t="shared" si="141"/>
        <v/>
      </c>
      <c r="AN1360" s="75"/>
      <c r="AO1360" s="75"/>
      <c r="AP1360" s="75"/>
      <c r="AQ1360" s="75"/>
      <c r="AR1360" s="75"/>
      <c r="AS1360" s="75"/>
      <c r="AT1360" s="75"/>
    </row>
    <row r="1361" ht="22.5" customHeight="1">
      <c r="A1361" s="219"/>
      <c r="B1361" s="219"/>
      <c r="C1361" s="219"/>
      <c r="D1361" s="219"/>
      <c r="E1361" s="219"/>
      <c r="F1361" s="219"/>
      <c r="G1361" s="219"/>
      <c r="H1361" s="219"/>
      <c r="I1361" s="249"/>
      <c r="J1361" s="243"/>
      <c r="K1361" s="219"/>
      <c r="L1361" s="244"/>
      <c r="M1361" s="219"/>
      <c r="N1361" s="219"/>
      <c r="O1361" s="219"/>
      <c r="P1361" s="244"/>
      <c r="Q1361" s="219"/>
      <c r="R1361" s="302"/>
      <c r="S1361" s="219"/>
      <c r="T1361" s="219"/>
      <c r="U1361" s="219"/>
      <c r="V1361" s="303"/>
      <c r="W1361" s="247"/>
      <c r="X1361" s="245"/>
      <c r="Y1361" s="245"/>
      <c r="Z1361" s="245"/>
      <c r="AA1361" s="245"/>
      <c r="AB1361" s="245"/>
      <c r="AC1361" s="249"/>
      <c r="AD1361" s="249"/>
      <c r="AE1361" s="249"/>
      <c r="AF1361" s="8"/>
      <c r="AG1361" s="8"/>
      <c r="AH1361" s="72"/>
      <c r="AI1361" s="8"/>
      <c r="AJ1361" s="251"/>
      <c r="AK1361" s="23"/>
      <c r="AL1361" s="75"/>
      <c r="AM1361" s="75" t="str">
        <f t="shared" si="141"/>
        <v/>
      </c>
      <c r="AN1361" s="75"/>
      <c r="AO1361" s="75"/>
      <c r="AP1361" s="75"/>
      <c r="AQ1361" s="75"/>
      <c r="AR1361" s="75"/>
      <c r="AS1361" s="75"/>
      <c r="AT1361" s="75"/>
    </row>
    <row r="1362" ht="22.5" customHeight="1">
      <c r="A1362" s="219"/>
      <c r="B1362" s="219"/>
      <c r="C1362" s="219"/>
      <c r="D1362" s="219"/>
      <c r="E1362" s="219"/>
      <c r="F1362" s="219"/>
      <c r="G1362" s="219"/>
      <c r="H1362" s="219"/>
      <c r="I1362" s="249"/>
      <c r="J1362" s="243"/>
      <c r="K1362" s="219"/>
      <c r="L1362" s="244"/>
      <c r="M1362" s="219"/>
      <c r="N1362" s="219"/>
      <c r="O1362" s="219"/>
      <c r="P1362" s="244"/>
      <c r="Q1362" s="219"/>
      <c r="R1362" s="302"/>
      <c r="S1362" s="219"/>
      <c r="T1362" s="219"/>
      <c r="U1362" s="219"/>
      <c r="V1362" s="303"/>
      <c r="W1362" s="247"/>
      <c r="X1362" s="245"/>
      <c r="Y1362" s="245"/>
      <c r="Z1362" s="245"/>
      <c r="AA1362" s="245"/>
      <c r="AB1362" s="245"/>
      <c r="AC1362" s="249"/>
      <c r="AD1362" s="249"/>
      <c r="AE1362" s="249"/>
      <c r="AF1362" s="8"/>
      <c r="AG1362" s="8"/>
      <c r="AH1362" s="72"/>
      <c r="AI1362" s="8"/>
      <c r="AJ1362" s="251"/>
      <c r="AK1362" s="23"/>
      <c r="AL1362" s="75"/>
      <c r="AM1362" s="75" t="str">
        <f t="shared" si="141"/>
        <v/>
      </c>
      <c r="AN1362" s="75"/>
      <c r="AO1362" s="75"/>
      <c r="AP1362" s="75"/>
      <c r="AQ1362" s="75"/>
      <c r="AR1362" s="75"/>
      <c r="AS1362" s="75"/>
      <c r="AT1362" s="75"/>
    </row>
    <row r="1363" ht="22.5" customHeight="1">
      <c r="A1363" s="219"/>
      <c r="B1363" s="219"/>
      <c r="C1363" s="219"/>
      <c r="D1363" s="219"/>
      <c r="E1363" s="219"/>
      <c r="F1363" s="219"/>
      <c r="G1363" s="219"/>
      <c r="H1363" s="219"/>
      <c r="I1363" s="249"/>
      <c r="J1363" s="243"/>
      <c r="K1363" s="219"/>
      <c r="L1363" s="244"/>
      <c r="M1363" s="219"/>
      <c r="N1363" s="219"/>
      <c r="O1363" s="219"/>
      <c r="P1363" s="244"/>
      <c r="Q1363" s="219"/>
      <c r="R1363" s="302"/>
      <c r="S1363" s="219"/>
      <c r="T1363" s="219"/>
      <c r="U1363" s="219"/>
      <c r="V1363" s="303"/>
      <c r="W1363" s="247"/>
      <c r="X1363" s="245"/>
      <c r="Y1363" s="245"/>
      <c r="Z1363" s="245"/>
      <c r="AA1363" s="245"/>
      <c r="AB1363" s="245"/>
      <c r="AC1363" s="249"/>
      <c r="AD1363" s="249"/>
      <c r="AE1363" s="249"/>
      <c r="AF1363" s="8"/>
      <c r="AG1363" s="8"/>
      <c r="AH1363" s="72"/>
      <c r="AI1363" s="8"/>
      <c r="AJ1363" s="251"/>
      <c r="AK1363" s="23"/>
      <c r="AL1363" s="75"/>
      <c r="AM1363" s="75" t="str">
        <f t="shared" si="141"/>
        <v/>
      </c>
      <c r="AN1363" s="75"/>
      <c r="AO1363" s="75"/>
      <c r="AP1363" s="75"/>
      <c r="AQ1363" s="75"/>
      <c r="AR1363" s="75"/>
      <c r="AS1363" s="75"/>
      <c r="AT1363" s="75"/>
    </row>
    <row r="1364" ht="22.5" customHeight="1">
      <c r="A1364" s="219"/>
      <c r="B1364" s="219"/>
      <c r="C1364" s="219"/>
      <c r="D1364" s="219"/>
      <c r="E1364" s="219"/>
      <c r="F1364" s="219"/>
      <c r="G1364" s="219"/>
      <c r="H1364" s="219"/>
      <c r="I1364" s="249"/>
      <c r="J1364" s="243"/>
      <c r="K1364" s="219"/>
      <c r="L1364" s="244"/>
      <c r="M1364" s="219"/>
      <c r="N1364" s="219"/>
      <c r="O1364" s="219"/>
      <c r="P1364" s="244"/>
      <c r="Q1364" s="219"/>
      <c r="R1364" s="302"/>
      <c r="S1364" s="219"/>
      <c r="T1364" s="219"/>
      <c r="U1364" s="219"/>
      <c r="V1364" s="303"/>
      <c r="W1364" s="247"/>
      <c r="X1364" s="245"/>
      <c r="Y1364" s="245"/>
      <c r="Z1364" s="245"/>
      <c r="AA1364" s="245"/>
      <c r="AB1364" s="245"/>
      <c r="AC1364" s="249"/>
      <c r="AD1364" s="249"/>
      <c r="AE1364" s="249"/>
      <c r="AF1364" s="8"/>
      <c r="AG1364" s="8"/>
      <c r="AH1364" s="72"/>
      <c r="AI1364" s="8"/>
      <c r="AJ1364" s="251"/>
      <c r="AK1364" s="23"/>
      <c r="AL1364" s="75"/>
      <c r="AM1364" s="75" t="str">
        <f t="shared" si="141"/>
        <v/>
      </c>
      <c r="AN1364" s="75"/>
      <c r="AO1364" s="75"/>
      <c r="AP1364" s="75"/>
      <c r="AQ1364" s="75"/>
      <c r="AR1364" s="75"/>
      <c r="AS1364" s="75"/>
      <c r="AT1364" s="75"/>
    </row>
    <row r="1365" ht="22.5" customHeight="1">
      <c r="A1365" s="219"/>
      <c r="B1365" s="219"/>
      <c r="C1365" s="219"/>
      <c r="D1365" s="219"/>
      <c r="E1365" s="219"/>
      <c r="F1365" s="219"/>
      <c r="G1365" s="219"/>
      <c r="H1365" s="219"/>
      <c r="I1365" s="249"/>
      <c r="J1365" s="243"/>
      <c r="K1365" s="219"/>
      <c r="L1365" s="244"/>
      <c r="M1365" s="219"/>
      <c r="N1365" s="219"/>
      <c r="O1365" s="219"/>
      <c r="P1365" s="244"/>
      <c r="Q1365" s="219"/>
      <c r="R1365" s="302"/>
      <c r="S1365" s="219"/>
      <c r="T1365" s="219"/>
      <c r="U1365" s="219"/>
      <c r="V1365" s="303"/>
      <c r="W1365" s="247"/>
      <c r="X1365" s="245"/>
      <c r="Y1365" s="245"/>
      <c r="Z1365" s="245"/>
      <c r="AA1365" s="245"/>
      <c r="AB1365" s="245"/>
      <c r="AC1365" s="249"/>
      <c r="AD1365" s="249"/>
      <c r="AE1365" s="249"/>
      <c r="AF1365" s="8"/>
      <c r="AG1365" s="8"/>
      <c r="AH1365" s="72"/>
      <c r="AI1365" s="8"/>
      <c r="AJ1365" s="251"/>
      <c r="AK1365" s="23"/>
      <c r="AL1365" s="75"/>
      <c r="AM1365" s="75" t="str">
        <f t="shared" si="141"/>
        <v/>
      </c>
      <c r="AN1365" s="75"/>
      <c r="AO1365" s="75"/>
      <c r="AP1365" s="75"/>
      <c r="AQ1365" s="75"/>
      <c r="AR1365" s="75"/>
      <c r="AS1365" s="75"/>
      <c r="AT1365" s="75"/>
    </row>
    <row r="1366" ht="22.5" customHeight="1">
      <c r="A1366" s="219"/>
      <c r="B1366" s="219"/>
      <c r="C1366" s="219"/>
      <c r="D1366" s="219"/>
      <c r="E1366" s="219"/>
      <c r="F1366" s="219"/>
      <c r="G1366" s="219"/>
      <c r="H1366" s="219"/>
      <c r="I1366" s="249"/>
      <c r="J1366" s="243"/>
      <c r="K1366" s="219"/>
      <c r="L1366" s="244"/>
      <c r="M1366" s="219"/>
      <c r="N1366" s="219"/>
      <c r="O1366" s="219"/>
      <c r="P1366" s="244"/>
      <c r="Q1366" s="219"/>
      <c r="R1366" s="302"/>
      <c r="S1366" s="219"/>
      <c r="T1366" s="219"/>
      <c r="U1366" s="219"/>
      <c r="V1366" s="303"/>
      <c r="W1366" s="247"/>
      <c r="X1366" s="245"/>
      <c r="Y1366" s="245"/>
      <c r="Z1366" s="245"/>
      <c r="AA1366" s="245"/>
      <c r="AB1366" s="245"/>
      <c r="AC1366" s="249"/>
      <c r="AD1366" s="249"/>
      <c r="AE1366" s="249"/>
      <c r="AF1366" s="8"/>
      <c r="AG1366" s="8"/>
      <c r="AH1366" s="72"/>
      <c r="AI1366" s="8"/>
      <c r="AJ1366" s="251"/>
      <c r="AK1366" s="23"/>
      <c r="AL1366" s="75"/>
      <c r="AM1366" s="75" t="str">
        <f t="shared" si="141"/>
        <v/>
      </c>
      <c r="AN1366" s="75"/>
      <c r="AO1366" s="75"/>
      <c r="AP1366" s="75"/>
      <c r="AQ1366" s="75"/>
      <c r="AR1366" s="75"/>
      <c r="AS1366" s="75"/>
      <c r="AT1366" s="75"/>
    </row>
    <row r="1367" ht="22.5" customHeight="1">
      <c r="A1367" s="219"/>
      <c r="B1367" s="219"/>
      <c r="C1367" s="219"/>
      <c r="D1367" s="219"/>
      <c r="E1367" s="219"/>
      <c r="F1367" s="219"/>
      <c r="G1367" s="219"/>
      <c r="H1367" s="219"/>
      <c r="I1367" s="249"/>
      <c r="J1367" s="243"/>
      <c r="K1367" s="219"/>
      <c r="L1367" s="244"/>
      <c r="M1367" s="219"/>
      <c r="N1367" s="219"/>
      <c r="O1367" s="219"/>
      <c r="P1367" s="244"/>
      <c r="Q1367" s="219"/>
      <c r="R1367" s="302"/>
      <c r="S1367" s="219"/>
      <c r="T1367" s="219"/>
      <c r="U1367" s="219"/>
      <c r="V1367" s="303"/>
      <c r="W1367" s="247"/>
      <c r="X1367" s="245"/>
      <c r="Y1367" s="245"/>
      <c r="Z1367" s="245"/>
      <c r="AA1367" s="245"/>
      <c r="AB1367" s="245"/>
      <c r="AC1367" s="249"/>
      <c r="AD1367" s="249"/>
      <c r="AE1367" s="249"/>
      <c r="AF1367" s="8"/>
      <c r="AG1367" s="8"/>
      <c r="AH1367" s="72"/>
      <c r="AI1367" s="8"/>
      <c r="AJ1367" s="251"/>
      <c r="AK1367" s="23"/>
      <c r="AL1367" s="75"/>
      <c r="AM1367" s="75" t="str">
        <f t="shared" si="141"/>
        <v/>
      </c>
      <c r="AN1367" s="75"/>
      <c r="AO1367" s="75"/>
      <c r="AP1367" s="75"/>
      <c r="AQ1367" s="75"/>
      <c r="AR1367" s="75"/>
      <c r="AS1367" s="75"/>
      <c r="AT1367" s="75"/>
    </row>
    <row r="1368" ht="22.5" customHeight="1">
      <c r="A1368" s="219"/>
      <c r="B1368" s="219"/>
      <c r="C1368" s="219"/>
      <c r="D1368" s="219"/>
      <c r="E1368" s="219"/>
      <c r="F1368" s="219"/>
      <c r="G1368" s="219"/>
      <c r="H1368" s="219"/>
      <c r="I1368" s="249"/>
      <c r="J1368" s="243"/>
      <c r="K1368" s="219"/>
      <c r="L1368" s="244"/>
      <c r="M1368" s="219"/>
      <c r="N1368" s="219"/>
      <c r="O1368" s="219"/>
      <c r="P1368" s="244"/>
      <c r="Q1368" s="219"/>
      <c r="R1368" s="302"/>
      <c r="S1368" s="219"/>
      <c r="T1368" s="219"/>
      <c r="U1368" s="219"/>
      <c r="V1368" s="303"/>
      <c r="W1368" s="247"/>
      <c r="X1368" s="245"/>
      <c r="Y1368" s="245"/>
      <c r="Z1368" s="245"/>
      <c r="AA1368" s="245"/>
      <c r="AB1368" s="245"/>
      <c r="AC1368" s="249"/>
      <c r="AD1368" s="249"/>
      <c r="AE1368" s="249"/>
      <c r="AF1368" s="8"/>
      <c r="AG1368" s="8"/>
      <c r="AH1368" s="72"/>
      <c r="AI1368" s="8"/>
      <c r="AJ1368" s="251"/>
      <c r="AK1368" s="23"/>
      <c r="AL1368" s="75"/>
      <c r="AM1368" s="75" t="str">
        <f t="shared" si="141"/>
        <v/>
      </c>
      <c r="AN1368" s="75"/>
      <c r="AO1368" s="75"/>
      <c r="AP1368" s="75"/>
      <c r="AQ1368" s="75"/>
      <c r="AR1368" s="75"/>
      <c r="AS1368" s="75"/>
      <c r="AT1368" s="75"/>
    </row>
    <row r="1369" ht="22.5" customHeight="1">
      <c r="A1369" s="219"/>
      <c r="B1369" s="219"/>
      <c r="C1369" s="219"/>
      <c r="D1369" s="219"/>
      <c r="E1369" s="219"/>
      <c r="F1369" s="219"/>
      <c r="G1369" s="219"/>
      <c r="H1369" s="219"/>
      <c r="I1369" s="249"/>
      <c r="J1369" s="243"/>
      <c r="K1369" s="219"/>
      <c r="L1369" s="244"/>
      <c r="M1369" s="219"/>
      <c r="N1369" s="219"/>
      <c r="O1369" s="219"/>
      <c r="P1369" s="244"/>
      <c r="Q1369" s="219"/>
      <c r="R1369" s="302"/>
      <c r="S1369" s="219"/>
      <c r="T1369" s="219"/>
      <c r="U1369" s="219"/>
      <c r="V1369" s="303"/>
      <c r="W1369" s="247"/>
      <c r="X1369" s="245"/>
      <c r="Y1369" s="245"/>
      <c r="Z1369" s="245"/>
      <c r="AA1369" s="245"/>
      <c r="AB1369" s="245"/>
      <c r="AC1369" s="249"/>
      <c r="AD1369" s="249"/>
      <c r="AE1369" s="249"/>
      <c r="AF1369" s="8"/>
      <c r="AG1369" s="8"/>
      <c r="AH1369" s="72"/>
      <c r="AI1369" s="8"/>
      <c r="AJ1369" s="251"/>
      <c r="AK1369" s="23"/>
      <c r="AL1369" s="75"/>
      <c r="AM1369" s="75" t="str">
        <f t="shared" si="141"/>
        <v/>
      </c>
      <c r="AN1369" s="75"/>
      <c r="AO1369" s="75"/>
      <c r="AP1369" s="75"/>
      <c r="AQ1369" s="75"/>
      <c r="AR1369" s="75"/>
      <c r="AS1369" s="75"/>
      <c r="AT1369" s="75"/>
    </row>
    <row r="1370" ht="22.5" customHeight="1">
      <c r="A1370" s="219"/>
      <c r="B1370" s="219"/>
      <c r="C1370" s="219"/>
      <c r="D1370" s="219"/>
      <c r="E1370" s="219"/>
      <c r="F1370" s="219"/>
      <c r="G1370" s="219"/>
      <c r="H1370" s="219"/>
      <c r="I1370" s="249"/>
      <c r="J1370" s="243"/>
      <c r="K1370" s="219"/>
      <c r="L1370" s="244"/>
      <c r="M1370" s="219"/>
      <c r="N1370" s="219"/>
      <c r="O1370" s="219"/>
      <c r="P1370" s="244"/>
      <c r="Q1370" s="219"/>
      <c r="R1370" s="302"/>
      <c r="S1370" s="219"/>
      <c r="T1370" s="219"/>
      <c r="U1370" s="219"/>
      <c r="V1370" s="303"/>
      <c r="W1370" s="247"/>
      <c r="X1370" s="245"/>
      <c r="Y1370" s="245"/>
      <c r="Z1370" s="245"/>
      <c r="AA1370" s="245"/>
      <c r="AB1370" s="245"/>
      <c r="AC1370" s="249"/>
      <c r="AD1370" s="249"/>
      <c r="AE1370" s="249"/>
      <c r="AF1370" s="8"/>
      <c r="AG1370" s="8"/>
      <c r="AH1370" s="72"/>
      <c r="AI1370" s="8"/>
      <c r="AJ1370" s="251"/>
      <c r="AK1370" s="23"/>
      <c r="AL1370" s="75"/>
      <c r="AM1370" s="75" t="str">
        <f t="shared" si="141"/>
        <v/>
      </c>
      <c r="AN1370" s="75"/>
      <c r="AO1370" s="75"/>
      <c r="AP1370" s="75"/>
      <c r="AQ1370" s="75"/>
      <c r="AR1370" s="75"/>
      <c r="AS1370" s="75"/>
      <c r="AT1370" s="75"/>
    </row>
    <row r="1371" ht="22.5" customHeight="1">
      <c r="A1371" s="219"/>
      <c r="B1371" s="219"/>
      <c r="C1371" s="219"/>
      <c r="D1371" s="219"/>
      <c r="E1371" s="219"/>
      <c r="F1371" s="219"/>
      <c r="G1371" s="219"/>
      <c r="H1371" s="219"/>
      <c r="I1371" s="249"/>
      <c r="J1371" s="243"/>
      <c r="K1371" s="219"/>
      <c r="L1371" s="244"/>
      <c r="M1371" s="219"/>
      <c r="N1371" s="219"/>
      <c r="O1371" s="219"/>
      <c r="P1371" s="244"/>
      <c r="Q1371" s="219"/>
      <c r="R1371" s="302"/>
      <c r="S1371" s="219"/>
      <c r="T1371" s="219"/>
      <c r="U1371" s="219"/>
      <c r="V1371" s="303"/>
      <c r="W1371" s="247"/>
      <c r="X1371" s="245"/>
      <c r="Y1371" s="245"/>
      <c r="Z1371" s="245"/>
      <c r="AA1371" s="245"/>
      <c r="AB1371" s="245"/>
      <c r="AC1371" s="249"/>
      <c r="AD1371" s="249"/>
      <c r="AE1371" s="249"/>
      <c r="AF1371" s="8"/>
      <c r="AG1371" s="8"/>
      <c r="AH1371" s="72"/>
      <c r="AI1371" s="8"/>
      <c r="AJ1371" s="251"/>
      <c r="AK1371" s="23"/>
      <c r="AL1371" s="75"/>
      <c r="AM1371" s="75" t="str">
        <f t="shared" si="141"/>
        <v/>
      </c>
      <c r="AN1371" s="75"/>
      <c r="AO1371" s="75"/>
      <c r="AP1371" s="75"/>
      <c r="AQ1371" s="75"/>
      <c r="AR1371" s="75"/>
      <c r="AS1371" s="75"/>
      <c r="AT1371" s="75"/>
    </row>
    <row r="1372" ht="22.5" customHeight="1">
      <c r="A1372" s="219"/>
      <c r="B1372" s="219"/>
      <c r="C1372" s="219"/>
      <c r="D1372" s="219"/>
      <c r="E1372" s="219"/>
      <c r="F1372" s="219"/>
      <c r="G1372" s="219"/>
      <c r="H1372" s="219"/>
      <c r="I1372" s="249"/>
      <c r="J1372" s="243"/>
      <c r="K1372" s="219"/>
      <c r="L1372" s="244"/>
      <c r="M1372" s="219"/>
      <c r="N1372" s="219"/>
      <c r="O1372" s="219"/>
      <c r="P1372" s="244"/>
      <c r="Q1372" s="219"/>
      <c r="R1372" s="302"/>
      <c r="S1372" s="219"/>
      <c r="T1372" s="219"/>
      <c r="U1372" s="219"/>
      <c r="V1372" s="303"/>
      <c r="W1372" s="247"/>
      <c r="X1372" s="245"/>
      <c r="Y1372" s="245"/>
      <c r="Z1372" s="245"/>
      <c r="AA1372" s="245"/>
      <c r="AB1372" s="245"/>
      <c r="AC1372" s="249"/>
      <c r="AD1372" s="249"/>
      <c r="AE1372" s="249"/>
      <c r="AF1372" s="8"/>
      <c r="AG1372" s="8"/>
      <c r="AH1372" s="72"/>
      <c r="AI1372" s="8"/>
      <c r="AJ1372" s="251"/>
      <c r="AK1372" s="23"/>
      <c r="AL1372" s="75"/>
      <c r="AM1372" s="75" t="str">
        <f t="shared" si="141"/>
        <v/>
      </c>
      <c r="AN1372" s="75"/>
      <c r="AO1372" s="75"/>
      <c r="AP1372" s="75"/>
      <c r="AQ1372" s="75"/>
      <c r="AR1372" s="75"/>
      <c r="AS1372" s="75"/>
      <c r="AT1372" s="75"/>
    </row>
    <row r="1373" ht="22.5" customHeight="1">
      <c r="A1373" s="219"/>
      <c r="B1373" s="219"/>
      <c r="C1373" s="219"/>
      <c r="D1373" s="219"/>
      <c r="E1373" s="219"/>
      <c r="F1373" s="219"/>
      <c r="G1373" s="219"/>
      <c r="H1373" s="219"/>
      <c r="I1373" s="249"/>
      <c r="J1373" s="243"/>
      <c r="K1373" s="219"/>
      <c r="L1373" s="244"/>
      <c r="M1373" s="219"/>
      <c r="N1373" s="219"/>
      <c r="O1373" s="219"/>
      <c r="P1373" s="244"/>
      <c r="Q1373" s="219"/>
      <c r="R1373" s="302"/>
      <c r="S1373" s="219"/>
      <c r="T1373" s="219"/>
      <c r="U1373" s="219"/>
      <c r="V1373" s="303"/>
      <c r="W1373" s="247"/>
      <c r="X1373" s="245"/>
      <c r="Y1373" s="245"/>
      <c r="Z1373" s="245"/>
      <c r="AA1373" s="245"/>
      <c r="AB1373" s="245"/>
      <c r="AC1373" s="249"/>
      <c r="AD1373" s="249"/>
      <c r="AE1373" s="249"/>
      <c r="AF1373" s="8"/>
      <c r="AG1373" s="8"/>
      <c r="AH1373" s="72"/>
      <c r="AI1373" s="8"/>
      <c r="AJ1373" s="251"/>
      <c r="AK1373" s="23"/>
      <c r="AL1373" s="75"/>
      <c r="AM1373" s="75" t="str">
        <f t="shared" si="141"/>
        <v/>
      </c>
      <c r="AN1373" s="75"/>
      <c r="AO1373" s="75"/>
      <c r="AP1373" s="75"/>
      <c r="AQ1373" s="75"/>
      <c r="AR1373" s="75"/>
      <c r="AS1373" s="75"/>
      <c r="AT1373" s="75"/>
    </row>
    <row r="1374" ht="22.5" customHeight="1">
      <c r="A1374" s="219"/>
      <c r="B1374" s="219"/>
      <c r="C1374" s="219"/>
      <c r="D1374" s="219"/>
      <c r="E1374" s="219"/>
      <c r="F1374" s="219"/>
      <c r="G1374" s="219"/>
      <c r="H1374" s="219"/>
      <c r="I1374" s="249"/>
      <c r="J1374" s="243"/>
      <c r="K1374" s="219"/>
      <c r="L1374" s="244"/>
      <c r="M1374" s="219"/>
      <c r="N1374" s="219"/>
      <c r="O1374" s="219"/>
      <c r="P1374" s="244"/>
      <c r="Q1374" s="219"/>
      <c r="R1374" s="302"/>
      <c r="S1374" s="219"/>
      <c r="T1374" s="219"/>
      <c r="U1374" s="219"/>
      <c r="V1374" s="303"/>
      <c r="W1374" s="247"/>
      <c r="X1374" s="245"/>
      <c r="Y1374" s="245"/>
      <c r="Z1374" s="245"/>
      <c r="AA1374" s="245"/>
      <c r="AB1374" s="245"/>
      <c r="AC1374" s="249"/>
      <c r="AD1374" s="249"/>
      <c r="AE1374" s="249"/>
      <c r="AF1374" s="8"/>
      <c r="AG1374" s="8"/>
      <c r="AH1374" s="72"/>
      <c r="AI1374" s="8"/>
      <c r="AJ1374" s="251"/>
      <c r="AK1374" s="23"/>
      <c r="AL1374" s="75"/>
      <c r="AM1374" s="75" t="str">
        <f t="shared" si="141"/>
        <v/>
      </c>
      <c r="AN1374" s="75"/>
      <c r="AO1374" s="75"/>
      <c r="AP1374" s="75"/>
      <c r="AQ1374" s="75"/>
      <c r="AR1374" s="75"/>
      <c r="AS1374" s="75"/>
      <c r="AT1374" s="75"/>
    </row>
    <row r="1375" ht="22.5" customHeight="1">
      <c r="A1375" s="219"/>
      <c r="B1375" s="219"/>
      <c r="C1375" s="219"/>
      <c r="D1375" s="219"/>
      <c r="E1375" s="219"/>
      <c r="F1375" s="219"/>
      <c r="G1375" s="219"/>
      <c r="H1375" s="219"/>
      <c r="I1375" s="249"/>
      <c r="J1375" s="243"/>
      <c r="K1375" s="219"/>
      <c r="L1375" s="244"/>
      <c r="M1375" s="219"/>
      <c r="N1375" s="219"/>
      <c r="O1375" s="219"/>
      <c r="P1375" s="244"/>
      <c r="Q1375" s="219"/>
      <c r="R1375" s="302"/>
      <c r="S1375" s="219"/>
      <c r="T1375" s="219"/>
      <c r="U1375" s="219"/>
      <c r="V1375" s="303"/>
      <c r="W1375" s="247"/>
      <c r="X1375" s="245"/>
      <c r="Y1375" s="245"/>
      <c r="Z1375" s="245"/>
      <c r="AA1375" s="245"/>
      <c r="AB1375" s="245"/>
      <c r="AC1375" s="249"/>
      <c r="AD1375" s="249"/>
      <c r="AE1375" s="249"/>
      <c r="AF1375" s="8"/>
      <c r="AG1375" s="8"/>
      <c r="AH1375" s="72"/>
      <c r="AI1375" s="8"/>
      <c r="AJ1375" s="251"/>
      <c r="AK1375" s="23"/>
      <c r="AL1375" s="75"/>
      <c r="AM1375" s="75" t="str">
        <f t="shared" si="141"/>
        <v/>
      </c>
      <c r="AN1375" s="75"/>
      <c r="AO1375" s="75"/>
      <c r="AP1375" s="75"/>
      <c r="AQ1375" s="75"/>
      <c r="AR1375" s="75"/>
      <c r="AS1375" s="75"/>
      <c r="AT1375" s="75"/>
    </row>
    <row r="1376" ht="22.5" customHeight="1">
      <c r="A1376" s="219"/>
      <c r="B1376" s="219"/>
      <c r="C1376" s="219"/>
      <c r="D1376" s="219"/>
      <c r="E1376" s="219"/>
      <c r="F1376" s="219"/>
      <c r="G1376" s="219"/>
      <c r="H1376" s="219"/>
      <c r="I1376" s="249"/>
      <c r="J1376" s="243"/>
      <c r="K1376" s="219"/>
      <c r="L1376" s="244"/>
      <c r="M1376" s="219"/>
      <c r="N1376" s="219"/>
      <c r="O1376" s="219"/>
      <c r="P1376" s="244"/>
      <c r="Q1376" s="219"/>
      <c r="R1376" s="302"/>
      <c r="S1376" s="219"/>
      <c r="T1376" s="219"/>
      <c r="U1376" s="219"/>
      <c r="V1376" s="303"/>
      <c r="W1376" s="247"/>
      <c r="X1376" s="245"/>
      <c r="Y1376" s="245"/>
      <c r="Z1376" s="245"/>
      <c r="AA1376" s="245"/>
      <c r="AB1376" s="245"/>
      <c r="AC1376" s="249"/>
      <c r="AD1376" s="249"/>
      <c r="AE1376" s="249"/>
      <c r="AF1376" s="8"/>
      <c r="AG1376" s="8"/>
      <c r="AH1376" s="72"/>
      <c r="AI1376" s="8"/>
      <c r="AJ1376" s="251"/>
      <c r="AK1376" s="23"/>
      <c r="AL1376" s="75"/>
      <c r="AM1376" s="75" t="str">
        <f t="shared" si="141"/>
        <v/>
      </c>
      <c r="AN1376" s="75"/>
      <c r="AO1376" s="75"/>
      <c r="AP1376" s="75"/>
      <c r="AQ1376" s="75"/>
      <c r="AR1376" s="75"/>
      <c r="AS1376" s="75"/>
      <c r="AT1376" s="75"/>
    </row>
    <row r="1377" ht="22.5" customHeight="1">
      <c r="A1377" s="219"/>
      <c r="B1377" s="219"/>
      <c r="C1377" s="219"/>
      <c r="D1377" s="219"/>
      <c r="E1377" s="219"/>
      <c r="F1377" s="219"/>
      <c r="G1377" s="219"/>
      <c r="H1377" s="219"/>
      <c r="I1377" s="249"/>
      <c r="J1377" s="243"/>
      <c r="K1377" s="219"/>
      <c r="L1377" s="244"/>
      <c r="M1377" s="219"/>
      <c r="N1377" s="219"/>
      <c r="O1377" s="219"/>
      <c r="P1377" s="244"/>
      <c r="Q1377" s="219"/>
      <c r="R1377" s="302"/>
      <c r="S1377" s="219"/>
      <c r="T1377" s="219"/>
      <c r="U1377" s="219"/>
      <c r="V1377" s="303"/>
      <c r="W1377" s="247"/>
      <c r="X1377" s="245"/>
      <c r="Y1377" s="245"/>
      <c r="Z1377" s="245"/>
      <c r="AA1377" s="245"/>
      <c r="AB1377" s="245"/>
      <c r="AC1377" s="249"/>
      <c r="AD1377" s="249"/>
      <c r="AE1377" s="249"/>
      <c r="AF1377" s="8"/>
      <c r="AG1377" s="8"/>
      <c r="AH1377" s="72"/>
      <c r="AI1377" s="8"/>
      <c r="AJ1377" s="251"/>
      <c r="AK1377" s="23"/>
      <c r="AL1377" s="75"/>
      <c r="AM1377" s="75" t="str">
        <f t="shared" si="141"/>
        <v/>
      </c>
      <c r="AN1377" s="75"/>
      <c r="AO1377" s="75"/>
      <c r="AP1377" s="75"/>
      <c r="AQ1377" s="75"/>
      <c r="AR1377" s="75"/>
      <c r="AS1377" s="75"/>
      <c r="AT1377" s="75"/>
    </row>
    <row r="1378" ht="22.5" customHeight="1">
      <c r="A1378" s="219"/>
      <c r="B1378" s="219"/>
      <c r="C1378" s="219"/>
      <c r="D1378" s="219"/>
      <c r="E1378" s="219"/>
      <c r="F1378" s="219"/>
      <c r="G1378" s="219"/>
      <c r="H1378" s="219"/>
      <c r="I1378" s="249"/>
      <c r="J1378" s="243"/>
      <c r="K1378" s="219"/>
      <c r="L1378" s="244"/>
      <c r="M1378" s="219"/>
      <c r="N1378" s="219"/>
      <c r="O1378" s="219"/>
      <c r="P1378" s="244"/>
      <c r="Q1378" s="219"/>
      <c r="R1378" s="302"/>
      <c r="S1378" s="219"/>
      <c r="T1378" s="219"/>
      <c r="U1378" s="219"/>
      <c r="V1378" s="303"/>
      <c r="W1378" s="247"/>
      <c r="X1378" s="245"/>
      <c r="Y1378" s="245"/>
      <c r="Z1378" s="245"/>
      <c r="AA1378" s="245"/>
      <c r="AB1378" s="245"/>
      <c r="AC1378" s="249"/>
      <c r="AD1378" s="249"/>
      <c r="AE1378" s="249"/>
      <c r="AF1378" s="8"/>
      <c r="AG1378" s="8"/>
      <c r="AH1378" s="72"/>
      <c r="AI1378" s="8"/>
      <c r="AJ1378" s="251"/>
      <c r="AK1378" s="23"/>
      <c r="AL1378" s="75"/>
      <c r="AM1378" s="75" t="str">
        <f t="shared" si="141"/>
        <v/>
      </c>
      <c r="AN1378" s="75"/>
      <c r="AO1378" s="75"/>
      <c r="AP1378" s="75"/>
      <c r="AQ1378" s="75"/>
      <c r="AR1378" s="75"/>
      <c r="AS1378" s="75"/>
      <c r="AT1378" s="75"/>
    </row>
    <row r="1379" ht="22.5" customHeight="1">
      <c r="A1379" s="219"/>
      <c r="B1379" s="219"/>
      <c r="C1379" s="219"/>
      <c r="D1379" s="219"/>
      <c r="E1379" s="219"/>
      <c r="F1379" s="219"/>
      <c r="G1379" s="219"/>
      <c r="H1379" s="219"/>
      <c r="I1379" s="249"/>
      <c r="J1379" s="243"/>
      <c r="K1379" s="219"/>
      <c r="L1379" s="244"/>
      <c r="M1379" s="219"/>
      <c r="N1379" s="219"/>
      <c r="O1379" s="219"/>
      <c r="P1379" s="244"/>
      <c r="Q1379" s="219"/>
      <c r="R1379" s="302"/>
      <c r="S1379" s="219"/>
      <c r="T1379" s="219"/>
      <c r="U1379" s="219"/>
      <c r="V1379" s="303"/>
      <c r="W1379" s="247"/>
      <c r="X1379" s="245"/>
      <c r="Y1379" s="245"/>
      <c r="Z1379" s="245"/>
      <c r="AA1379" s="245"/>
      <c r="AB1379" s="245"/>
      <c r="AC1379" s="249"/>
      <c r="AD1379" s="249"/>
      <c r="AE1379" s="249"/>
      <c r="AF1379" s="8"/>
      <c r="AG1379" s="8"/>
      <c r="AH1379" s="72"/>
      <c r="AI1379" s="8"/>
      <c r="AJ1379" s="251"/>
      <c r="AK1379" s="23"/>
      <c r="AL1379" s="75"/>
      <c r="AM1379" s="75" t="str">
        <f t="shared" si="141"/>
        <v/>
      </c>
      <c r="AN1379" s="75"/>
      <c r="AO1379" s="75"/>
      <c r="AP1379" s="75"/>
      <c r="AQ1379" s="75"/>
      <c r="AR1379" s="75"/>
      <c r="AS1379" s="75"/>
      <c r="AT1379" s="75"/>
    </row>
    <row r="1380" ht="22.5" customHeight="1">
      <c r="A1380" s="219"/>
      <c r="B1380" s="219"/>
      <c r="C1380" s="219"/>
      <c r="D1380" s="219"/>
      <c r="E1380" s="219"/>
      <c r="F1380" s="219"/>
      <c r="G1380" s="219"/>
      <c r="H1380" s="219"/>
      <c r="I1380" s="249"/>
      <c r="J1380" s="243"/>
      <c r="K1380" s="219"/>
      <c r="L1380" s="244"/>
      <c r="M1380" s="219"/>
      <c r="N1380" s="219"/>
      <c r="O1380" s="219"/>
      <c r="P1380" s="244"/>
      <c r="Q1380" s="219"/>
      <c r="R1380" s="302"/>
      <c r="S1380" s="219"/>
      <c r="T1380" s="219"/>
      <c r="U1380" s="219"/>
      <c r="V1380" s="303"/>
      <c r="W1380" s="247"/>
      <c r="X1380" s="245"/>
      <c r="Y1380" s="245"/>
      <c r="Z1380" s="245"/>
      <c r="AA1380" s="245"/>
      <c r="AB1380" s="245"/>
      <c r="AC1380" s="249"/>
      <c r="AD1380" s="249"/>
      <c r="AE1380" s="249"/>
      <c r="AF1380" s="8"/>
      <c r="AG1380" s="8"/>
      <c r="AH1380" s="72"/>
      <c r="AI1380" s="8"/>
      <c r="AJ1380" s="251"/>
      <c r="AK1380" s="23"/>
      <c r="AL1380" s="75"/>
      <c r="AM1380" s="75" t="str">
        <f t="shared" si="141"/>
        <v/>
      </c>
      <c r="AN1380" s="75"/>
      <c r="AO1380" s="75"/>
      <c r="AP1380" s="75"/>
      <c r="AQ1380" s="75"/>
      <c r="AR1380" s="75"/>
      <c r="AS1380" s="75"/>
      <c r="AT1380" s="75"/>
    </row>
    <row r="1381" ht="22.5" customHeight="1">
      <c r="A1381" s="219"/>
      <c r="B1381" s="219"/>
      <c r="C1381" s="219"/>
      <c r="D1381" s="219"/>
      <c r="E1381" s="219"/>
      <c r="F1381" s="219"/>
      <c r="G1381" s="219"/>
      <c r="H1381" s="219"/>
      <c r="I1381" s="249"/>
      <c r="J1381" s="243"/>
      <c r="K1381" s="219"/>
      <c r="L1381" s="244"/>
      <c r="M1381" s="219"/>
      <c r="N1381" s="219"/>
      <c r="O1381" s="219"/>
      <c r="P1381" s="244"/>
      <c r="Q1381" s="219"/>
      <c r="R1381" s="302"/>
      <c r="S1381" s="219"/>
      <c r="T1381" s="219"/>
      <c r="U1381" s="219"/>
      <c r="V1381" s="303"/>
      <c r="W1381" s="247"/>
      <c r="X1381" s="245"/>
      <c r="Y1381" s="245"/>
      <c r="Z1381" s="245"/>
      <c r="AA1381" s="245"/>
      <c r="AB1381" s="245"/>
      <c r="AC1381" s="249"/>
      <c r="AD1381" s="249"/>
      <c r="AE1381" s="249"/>
      <c r="AF1381" s="8"/>
      <c r="AG1381" s="8"/>
      <c r="AH1381" s="72"/>
      <c r="AI1381" s="8"/>
      <c r="AJ1381" s="251"/>
      <c r="AK1381" s="23"/>
      <c r="AL1381" s="75"/>
      <c r="AM1381" s="75" t="str">
        <f t="shared" si="141"/>
        <v/>
      </c>
      <c r="AN1381" s="75"/>
      <c r="AO1381" s="75"/>
      <c r="AP1381" s="75"/>
      <c r="AQ1381" s="75"/>
      <c r="AR1381" s="75"/>
      <c r="AS1381" s="75"/>
      <c r="AT1381" s="75"/>
    </row>
    <row r="1382" ht="22.5" customHeight="1">
      <c r="A1382" s="219"/>
      <c r="B1382" s="219"/>
      <c r="C1382" s="219"/>
      <c r="D1382" s="219"/>
      <c r="E1382" s="219"/>
      <c r="F1382" s="219"/>
      <c r="G1382" s="219"/>
      <c r="H1382" s="219"/>
      <c r="I1382" s="249"/>
      <c r="J1382" s="243"/>
      <c r="K1382" s="219"/>
      <c r="L1382" s="244"/>
      <c r="M1382" s="219"/>
      <c r="N1382" s="219"/>
      <c r="O1382" s="219"/>
      <c r="P1382" s="244"/>
      <c r="Q1382" s="219"/>
      <c r="R1382" s="302"/>
      <c r="S1382" s="219"/>
      <c r="T1382" s="219"/>
      <c r="U1382" s="219"/>
      <c r="V1382" s="303"/>
      <c r="W1382" s="247"/>
      <c r="X1382" s="245"/>
      <c r="Y1382" s="245"/>
      <c r="Z1382" s="245"/>
      <c r="AA1382" s="245"/>
      <c r="AB1382" s="245"/>
      <c r="AC1382" s="249"/>
      <c r="AD1382" s="249"/>
      <c r="AE1382" s="249"/>
      <c r="AF1382" s="8"/>
      <c r="AG1382" s="8"/>
      <c r="AH1382" s="72"/>
      <c r="AI1382" s="8"/>
      <c r="AJ1382" s="251"/>
      <c r="AK1382" s="23"/>
      <c r="AL1382" s="75"/>
      <c r="AM1382" s="75" t="str">
        <f t="shared" si="141"/>
        <v/>
      </c>
      <c r="AN1382" s="75"/>
      <c r="AO1382" s="75"/>
      <c r="AP1382" s="75"/>
      <c r="AQ1382" s="75"/>
      <c r="AR1382" s="75"/>
      <c r="AS1382" s="75"/>
      <c r="AT1382" s="75"/>
    </row>
    <row r="1383" ht="22.5" customHeight="1">
      <c r="A1383" s="219"/>
      <c r="B1383" s="219"/>
      <c r="C1383" s="219"/>
      <c r="D1383" s="219"/>
      <c r="E1383" s="219"/>
      <c r="F1383" s="219"/>
      <c r="G1383" s="219"/>
      <c r="H1383" s="219"/>
      <c r="I1383" s="249"/>
      <c r="J1383" s="243"/>
      <c r="K1383" s="219"/>
      <c r="L1383" s="244"/>
      <c r="M1383" s="219"/>
      <c r="N1383" s="219"/>
      <c r="O1383" s="219"/>
      <c r="P1383" s="244"/>
      <c r="Q1383" s="219"/>
      <c r="R1383" s="302"/>
      <c r="S1383" s="219"/>
      <c r="T1383" s="219"/>
      <c r="U1383" s="219"/>
      <c r="V1383" s="303"/>
      <c r="W1383" s="247"/>
      <c r="X1383" s="245"/>
      <c r="Y1383" s="245"/>
      <c r="Z1383" s="245"/>
      <c r="AA1383" s="245"/>
      <c r="AB1383" s="245"/>
      <c r="AC1383" s="249"/>
      <c r="AD1383" s="249"/>
      <c r="AE1383" s="249"/>
      <c r="AF1383" s="8"/>
      <c r="AG1383" s="8"/>
      <c r="AH1383" s="72"/>
      <c r="AI1383" s="8"/>
      <c r="AJ1383" s="251"/>
      <c r="AK1383" s="23"/>
      <c r="AL1383" s="75"/>
      <c r="AM1383" s="75" t="str">
        <f t="shared" si="141"/>
        <v/>
      </c>
      <c r="AN1383" s="75"/>
      <c r="AO1383" s="75"/>
      <c r="AP1383" s="75"/>
      <c r="AQ1383" s="75"/>
      <c r="AR1383" s="75"/>
      <c r="AS1383" s="75"/>
      <c r="AT1383" s="75"/>
    </row>
    <row r="1384" ht="22.5" customHeight="1">
      <c r="A1384" s="219"/>
      <c r="B1384" s="219"/>
      <c r="C1384" s="219"/>
      <c r="D1384" s="219"/>
      <c r="E1384" s="219"/>
      <c r="F1384" s="219"/>
      <c r="G1384" s="219"/>
      <c r="H1384" s="219"/>
      <c r="I1384" s="249"/>
      <c r="J1384" s="243"/>
      <c r="K1384" s="219"/>
      <c r="L1384" s="244"/>
      <c r="M1384" s="219"/>
      <c r="N1384" s="219"/>
      <c r="O1384" s="219"/>
      <c r="P1384" s="244"/>
      <c r="Q1384" s="219"/>
      <c r="R1384" s="302"/>
      <c r="S1384" s="219"/>
      <c r="T1384" s="219"/>
      <c r="U1384" s="219"/>
      <c r="V1384" s="303"/>
      <c r="W1384" s="247"/>
      <c r="X1384" s="245"/>
      <c r="Y1384" s="245"/>
      <c r="Z1384" s="245"/>
      <c r="AA1384" s="245"/>
      <c r="AB1384" s="245"/>
      <c r="AC1384" s="249"/>
      <c r="AD1384" s="249"/>
      <c r="AE1384" s="249"/>
      <c r="AF1384" s="8"/>
      <c r="AG1384" s="8"/>
      <c r="AH1384" s="72"/>
      <c r="AI1384" s="8"/>
      <c r="AJ1384" s="251"/>
      <c r="AK1384" s="23"/>
      <c r="AL1384" s="75"/>
      <c r="AM1384" s="75" t="str">
        <f t="shared" si="141"/>
        <v/>
      </c>
      <c r="AN1384" s="75"/>
      <c r="AO1384" s="75"/>
      <c r="AP1384" s="75"/>
      <c r="AQ1384" s="75"/>
      <c r="AR1384" s="75"/>
      <c r="AS1384" s="75"/>
      <c r="AT1384" s="75"/>
    </row>
    <row r="1385" ht="22.5" customHeight="1">
      <c r="A1385" s="219"/>
      <c r="B1385" s="219"/>
      <c r="C1385" s="219"/>
      <c r="D1385" s="219"/>
      <c r="E1385" s="219"/>
      <c r="F1385" s="219"/>
      <c r="G1385" s="219"/>
      <c r="H1385" s="219"/>
      <c r="I1385" s="249"/>
      <c r="J1385" s="243"/>
      <c r="K1385" s="219"/>
      <c r="L1385" s="244"/>
      <c r="M1385" s="219"/>
      <c r="N1385" s="219"/>
      <c r="O1385" s="219"/>
      <c r="P1385" s="244"/>
      <c r="Q1385" s="219"/>
      <c r="R1385" s="302"/>
      <c r="S1385" s="219"/>
      <c r="T1385" s="219"/>
      <c r="U1385" s="219"/>
      <c r="V1385" s="303"/>
      <c r="W1385" s="247"/>
      <c r="X1385" s="245"/>
      <c r="Y1385" s="245"/>
      <c r="Z1385" s="245"/>
      <c r="AA1385" s="245"/>
      <c r="AB1385" s="245"/>
      <c r="AC1385" s="249"/>
      <c r="AD1385" s="249"/>
      <c r="AE1385" s="249"/>
      <c r="AF1385" s="8"/>
      <c r="AG1385" s="8"/>
      <c r="AH1385" s="72"/>
      <c r="AI1385" s="8"/>
      <c r="AJ1385" s="251"/>
      <c r="AK1385" s="23"/>
      <c r="AL1385" s="75"/>
      <c r="AM1385" s="75" t="str">
        <f t="shared" si="141"/>
        <v/>
      </c>
      <c r="AN1385" s="75"/>
      <c r="AO1385" s="75"/>
      <c r="AP1385" s="75"/>
      <c r="AQ1385" s="75"/>
      <c r="AR1385" s="75"/>
      <c r="AS1385" s="75"/>
      <c r="AT1385" s="75"/>
    </row>
    <row r="1386" ht="22.5" customHeight="1">
      <c r="A1386" s="219"/>
      <c r="B1386" s="219"/>
      <c r="C1386" s="219"/>
      <c r="D1386" s="219"/>
      <c r="E1386" s="219"/>
      <c r="F1386" s="219"/>
      <c r="G1386" s="219"/>
      <c r="H1386" s="219"/>
      <c r="I1386" s="249"/>
      <c r="J1386" s="243"/>
      <c r="K1386" s="219"/>
      <c r="L1386" s="244"/>
      <c r="M1386" s="219"/>
      <c r="N1386" s="219"/>
      <c r="O1386" s="219"/>
      <c r="P1386" s="244"/>
      <c r="Q1386" s="219"/>
      <c r="R1386" s="302"/>
      <c r="S1386" s="219"/>
      <c r="T1386" s="219"/>
      <c r="U1386" s="219"/>
      <c r="V1386" s="303"/>
      <c r="W1386" s="247"/>
      <c r="X1386" s="245"/>
      <c r="Y1386" s="245"/>
      <c r="Z1386" s="245"/>
      <c r="AA1386" s="245"/>
      <c r="AB1386" s="245"/>
      <c r="AC1386" s="249"/>
      <c r="AD1386" s="249"/>
      <c r="AE1386" s="249"/>
      <c r="AF1386" s="8"/>
      <c r="AG1386" s="8"/>
      <c r="AH1386" s="72"/>
      <c r="AI1386" s="8"/>
      <c r="AJ1386" s="251"/>
      <c r="AK1386" s="23"/>
      <c r="AL1386" s="75"/>
      <c r="AM1386" s="75" t="str">
        <f t="shared" si="141"/>
        <v/>
      </c>
      <c r="AN1386" s="75"/>
      <c r="AO1386" s="75"/>
      <c r="AP1386" s="75"/>
      <c r="AQ1386" s="75"/>
      <c r="AR1386" s="75"/>
      <c r="AS1386" s="75"/>
      <c r="AT1386" s="75"/>
    </row>
    <row r="1387" ht="22.5" customHeight="1">
      <c r="A1387" s="219"/>
      <c r="B1387" s="219"/>
      <c r="C1387" s="219"/>
      <c r="D1387" s="219"/>
      <c r="E1387" s="219"/>
      <c r="F1387" s="219"/>
      <c r="G1387" s="219"/>
      <c r="H1387" s="219"/>
      <c r="I1387" s="249"/>
      <c r="J1387" s="243"/>
      <c r="K1387" s="219"/>
      <c r="L1387" s="244"/>
      <c r="M1387" s="219"/>
      <c r="N1387" s="219"/>
      <c r="O1387" s="219"/>
      <c r="P1387" s="244"/>
      <c r="Q1387" s="219"/>
      <c r="R1387" s="302"/>
      <c r="S1387" s="219"/>
      <c r="T1387" s="219"/>
      <c r="U1387" s="219"/>
      <c r="V1387" s="303"/>
      <c r="W1387" s="247"/>
      <c r="X1387" s="245"/>
      <c r="Y1387" s="245"/>
      <c r="Z1387" s="245"/>
      <c r="AA1387" s="245"/>
      <c r="AB1387" s="245"/>
      <c r="AC1387" s="249"/>
      <c r="AD1387" s="249"/>
      <c r="AE1387" s="249"/>
      <c r="AF1387" s="8"/>
      <c r="AG1387" s="8"/>
      <c r="AH1387" s="72"/>
      <c r="AI1387" s="8"/>
      <c r="AJ1387" s="251"/>
      <c r="AK1387" s="23"/>
      <c r="AL1387" s="75"/>
      <c r="AM1387" s="75" t="str">
        <f t="shared" si="141"/>
        <v/>
      </c>
      <c r="AN1387" s="75"/>
      <c r="AO1387" s="75"/>
      <c r="AP1387" s="75"/>
      <c r="AQ1387" s="75"/>
      <c r="AR1387" s="75"/>
      <c r="AS1387" s="75"/>
      <c r="AT1387" s="75"/>
    </row>
    <row r="1388" ht="22.5" customHeight="1">
      <c r="A1388" s="219"/>
      <c r="B1388" s="219"/>
      <c r="C1388" s="219"/>
      <c r="D1388" s="219"/>
      <c r="E1388" s="219"/>
      <c r="F1388" s="219"/>
      <c r="G1388" s="219"/>
      <c r="H1388" s="219"/>
      <c r="I1388" s="249"/>
      <c r="J1388" s="243"/>
      <c r="K1388" s="219"/>
      <c r="L1388" s="244"/>
      <c r="M1388" s="219"/>
      <c r="N1388" s="219"/>
      <c r="O1388" s="219"/>
      <c r="P1388" s="244"/>
      <c r="Q1388" s="219"/>
      <c r="R1388" s="302"/>
      <c r="S1388" s="219"/>
      <c r="T1388" s="219"/>
      <c r="U1388" s="219"/>
      <c r="V1388" s="303"/>
      <c r="W1388" s="247"/>
      <c r="X1388" s="245"/>
      <c r="Y1388" s="245"/>
      <c r="Z1388" s="245"/>
      <c r="AA1388" s="245"/>
      <c r="AB1388" s="245"/>
      <c r="AC1388" s="249"/>
      <c r="AD1388" s="249"/>
      <c r="AE1388" s="249"/>
      <c r="AF1388" s="8"/>
      <c r="AG1388" s="8"/>
      <c r="AH1388" s="72"/>
      <c r="AI1388" s="8"/>
      <c r="AJ1388" s="251"/>
      <c r="AK1388" s="23"/>
      <c r="AL1388" s="75"/>
      <c r="AM1388" s="75" t="str">
        <f t="shared" si="141"/>
        <v/>
      </c>
      <c r="AN1388" s="75"/>
      <c r="AO1388" s="75"/>
      <c r="AP1388" s="75"/>
      <c r="AQ1388" s="75"/>
      <c r="AR1388" s="75"/>
      <c r="AS1388" s="75"/>
      <c r="AT1388" s="75"/>
    </row>
    <row r="1389" ht="22.5" customHeight="1">
      <c r="A1389" s="219"/>
      <c r="B1389" s="219"/>
      <c r="C1389" s="219"/>
      <c r="D1389" s="219"/>
      <c r="E1389" s="219"/>
      <c r="F1389" s="219"/>
      <c r="G1389" s="219"/>
      <c r="H1389" s="219"/>
      <c r="I1389" s="249"/>
      <c r="J1389" s="243"/>
      <c r="K1389" s="219"/>
      <c r="L1389" s="244"/>
      <c r="M1389" s="219"/>
      <c r="N1389" s="219"/>
      <c r="O1389" s="219"/>
      <c r="P1389" s="244"/>
      <c r="Q1389" s="219"/>
      <c r="R1389" s="302"/>
      <c r="S1389" s="219"/>
      <c r="T1389" s="219"/>
      <c r="U1389" s="219"/>
      <c r="V1389" s="303"/>
      <c r="W1389" s="247"/>
      <c r="X1389" s="245"/>
      <c r="Y1389" s="245"/>
      <c r="Z1389" s="245"/>
      <c r="AA1389" s="245"/>
      <c r="AB1389" s="245"/>
      <c r="AC1389" s="249"/>
      <c r="AD1389" s="249"/>
      <c r="AE1389" s="249"/>
      <c r="AF1389" s="8"/>
      <c r="AG1389" s="8"/>
      <c r="AH1389" s="72"/>
      <c r="AI1389" s="8"/>
      <c r="AJ1389" s="251"/>
      <c r="AK1389" s="23"/>
      <c r="AL1389" s="75"/>
      <c r="AM1389" s="75" t="str">
        <f t="shared" si="141"/>
        <v/>
      </c>
      <c r="AN1389" s="75"/>
      <c r="AO1389" s="75"/>
      <c r="AP1389" s="75"/>
      <c r="AQ1389" s="75"/>
      <c r="AR1389" s="75"/>
      <c r="AS1389" s="75"/>
      <c r="AT1389" s="75"/>
    </row>
    <row r="1390" ht="22.5" customHeight="1">
      <c r="A1390" s="219"/>
      <c r="B1390" s="219"/>
      <c r="C1390" s="219"/>
      <c r="D1390" s="219"/>
      <c r="E1390" s="219"/>
      <c r="F1390" s="219"/>
      <c r="G1390" s="219"/>
      <c r="H1390" s="219"/>
      <c r="I1390" s="249"/>
      <c r="J1390" s="243"/>
      <c r="K1390" s="219"/>
      <c r="L1390" s="244"/>
      <c r="M1390" s="219"/>
      <c r="N1390" s="219"/>
      <c r="O1390" s="219"/>
      <c r="P1390" s="244"/>
      <c r="Q1390" s="219"/>
      <c r="R1390" s="302"/>
      <c r="S1390" s="219"/>
      <c r="T1390" s="219"/>
      <c r="U1390" s="219"/>
      <c r="V1390" s="303"/>
      <c r="W1390" s="247"/>
      <c r="X1390" s="245"/>
      <c r="Y1390" s="245"/>
      <c r="Z1390" s="245"/>
      <c r="AA1390" s="245"/>
      <c r="AB1390" s="245"/>
      <c r="AC1390" s="249"/>
      <c r="AD1390" s="249"/>
      <c r="AE1390" s="249"/>
      <c r="AF1390" s="8"/>
      <c r="AG1390" s="8"/>
      <c r="AH1390" s="72"/>
      <c r="AI1390" s="8"/>
      <c r="AJ1390" s="251"/>
      <c r="AK1390" s="23"/>
      <c r="AL1390" s="75"/>
      <c r="AM1390" s="75" t="str">
        <f t="shared" si="141"/>
        <v/>
      </c>
      <c r="AN1390" s="75"/>
      <c r="AO1390" s="75"/>
      <c r="AP1390" s="75"/>
      <c r="AQ1390" s="75"/>
      <c r="AR1390" s="75"/>
      <c r="AS1390" s="75"/>
      <c r="AT1390" s="75"/>
    </row>
    <row r="1391" ht="22.5" customHeight="1">
      <c r="A1391" s="219"/>
      <c r="B1391" s="219"/>
      <c r="C1391" s="219"/>
      <c r="D1391" s="219"/>
      <c r="E1391" s="219"/>
      <c r="F1391" s="219"/>
      <c r="G1391" s="219"/>
      <c r="H1391" s="219"/>
      <c r="I1391" s="249"/>
      <c r="J1391" s="243"/>
      <c r="K1391" s="219"/>
      <c r="L1391" s="244"/>
      <c r="M1391" s="219"/>
      <c r="N1391" s="219"/>
      <c r="O1391" s="219"/>
      <c r="P1391" s="244"/>
      <c r="Q1391" s="219"/>
      <c r="R1391" s="302"/>
      <c r="S1391" s="219"/>
      <c r="T1391" s="219"/>
      <c r="U1391" s="219"/>
      <c r="V1391" s="303"/>
      <c r="W1391" s="247"/>
      <c r="X1391" s="245"/>
      <c r="Y1391" s="245"/>
      <c r="Z1391" s="245"/>
      <c r="AA1391" s="245"/>
      <c r="AB1391" s="245"/>
      <c r="AC1391" s="249"/>
      <c r="AD1391" s="249"/>
      <c r="AE1391" s="249"/>
      <c r="AF1391" s="8"/>
      <c r="AG1391" s="8"/>
      <c r="AH1391" s="72"/>
      <c r="AI1391" s="8"/>
      <c r="AJ1391" s="251"/>
      <c r="AK1391" s="23"/>
      <c r="AL1391" s="75"/>
      <c r="AM1391" s="75" t="str">
        <f t="shared" si="141"/>
        <v/>
      </c>
      <c r="AN1391" s="75"/>
      <c r="AO1391" s="75"/>
      <c r="AP1391" s="75"/>
      <c r="AQ1391" s="75"/>
      <c r="AR1391" s="75"/>
      <c r="AS1391" s="75"/>
      <c r="AT1391" s="75"/>
    </row>
    <row r="1392" ht="22.5" customHeight="1">
      <c r="A1392" s="219"/>
      <c r="B1392" s="219"/>
      <c r="C1392" s="219"/>
      <c r="D1392" s="219"/>
      <c r="E1392" s="219"/>
      <c r="F1392" s="219"/>
      <c r="G1392" s="219"/>
      <c r="H1392" s="219"/>
      <c r="I1392" s="249"/>
      <c r="J1392" s="243"/>
      <c r="K1392" s="219"/>
      <c r="L1392" s="244"/>
      <c r="M1392" s="219"/>
      <c r="N1392" s="219"/>
      <c r="O1392" s="219"/>
      <c r="P1392" s="244"/>
      <c r="Q1392" s="219"/>
      <c r="R1392" s="302"/>
      <c r="S1392" s="219"/>
      <c r="T1392" s="219"/>
      <c r="U1392" s="219"/>
      <c r="V1392" s="303"/>
      <c r="W1392" s="247"/>
      <c r="X1392" s="245"/>
      <c r="Y1392" s="245"/>
      <c r="Z1392" s="245"/>
      <c r="AA1392" s="245"/>
      <c r="AB1392" s="245"/>
      <c r="AC1392" s="249"/>
      <c r="AD1392" s="249"/>
      <c r="AE1392" s="249"/>
      <c r="AF1392" s="8"/>
      <c r="AG1392" s="8"/>
      <c r="AH1392" s="72"/>
      <c r="AI1392" s="8"/>
      <c r="AJ1392" s="251"/>
      <c r="AK1392" s="23"/>
      <c r="AL1392" s="75"/>
      <c r="AM1392" s="75" t="str">
        <f t="shared" si="141"/>
        <v/>
      </c>
      <c r="AN1392" s="75"/>
      <c r="AO1392" s="75"/>
      <c r="AP1392" s="75"/>
      <c r="AQ1392" s="75"/>
      <c r="AR1392" s="75"/>
      <c r="AS1392" s="75"/>
      <c r="AT1392" s="75"/>
    </row>
    <row r="1393" ht="22.5" customHeight="1">
      <c r="A1393" s="219"/>
      <c r="B1393" s="219"/>
      <c r="C1393" s="219"/>
      <c r="D1393" s="219"/>
      <c r="E1393" s="219"/>
      <c r="F1393" s="219"/>
      <c r="G1393" s="219"/>
      <c r="H1393" s="219"/>
      <c r="I1393" s="249"/>
      <c r="J1393" s="243"/>
      <c r="K1393" s="219"/>
      <c r="L1393" s="244"/>
      <c r="M1393" s="219"/>
      <c r="N1393" s="219"/>
      <c r="O1393" s="219"/>
      <c r="P1393" s="244"/>
      <c r="Q1393" s="219"/>
      <c r="R1393" s="302"/>
      <c r="S1393" s="219"/>
      <c r="T1393" s="219"/>
      <c r="U1393" s="219"/>
      <c r="V1393" s="303"/>
      <c r="W1393" s="247"/>
      <c r="X1393" s="245"/>
      <c r="Y1393" s="245"/>
      <c r="Z1393" s="245"/>
      <c r="AA1393" s="245"/>
      <c r="AB1393" s="245"/>
      <c r="AC1393" s="249"/>
      <c r="AD1393" s="249"/>
      <c r="AE1393" s="249"/>
      <c r="AF1393" s="8"/>
      <c r="AG1393" s="8"/>
      <c r="AH1393" s="72"/>
      <c r="AI1393" s="8"/>
      <c r="AJ1393" s="251"/>
      <c r="AK1393" s="23"/>
      <c r="AL1393" s="75"/>
      <c r="AM1393" s="75" t="str">
        <f t="shared" si="141"/>
        <v/>
      </c>
      <c r="AN1393" s="75"/>
      <c r="AO1393" s="75"/>
      <c r="AP1393" s="75"/>
      <c r="AQ1393" s="75"/>
      <c r="AR1393" s="75"/>
      <c r="AS1393" s="75"/>
      <c r="AT1393" s="75"/>
    </row>
    <row r="1394" ht="22.5" customHeight="1">
      <c r="A1394" s="219"/>
      <c r="B1394" s="219"/>
      <c r="C1394" s="219"/>
      <c r="D1394" s="219"/>
      <c r="E1394" s="219"/>
      <c r="F1394" s="219"/>
      <c r="G1394" s="219"/>
      <c r="H1394" s="219"/>
      <c r="I1394" s="249"/>
      <c r="J1394" s="243"/>
      <c r="K1394" s="219"/>
      <c r="L1394" s="244"/>
      <c r="M1394" s="219"/>
      <c r="N1394" s="219"/>
      <c r="O1394" s="219"/>
      <c r="P1394" s="244"/>
      <c r="Q1394" s="219"/>
      <c r="R1394" s="302"/>
      <c r="S1394" s="219"/>
      <c r="T1394" s="219"/>
      <c r="U1394" s="219"/>
      <c r="V1394" s="303"/>
      <c r="W1394" s="247"/>
      <c r="X1394" s="245"/>
      <c r="Y1394" s="245"/>
      <c r="Z1394" s="245"/>
      <c r="AA1394" s="245"/>
      <c r="AB1394" s="245"/>
      <c r="AC1394" s="249"/>
      <c r="AD1394" s="249"/>
      <c r="AE1394" s="249"/>
      <c r="AF1394" s="8"/>
      <c r="AG1394" s="8"/>
      <c r="AH1394" s="72"/>
      <c r="AI1394" s="8"/>
      <c r="AJ1394" s="251"/>
      <c r="AK1394" s="23"/>
      <c r="AL1394" s="75"/>
      <c r="AM1394" s="75" t="str">
        <f t="shared" si="141"/>
        <v/>
      </c>
      <c r="AN1394" s="75"/>
      <c r="AO1394" s="75"/>
      <c r="AP1394" s="75"/>
      <c r="AQ1394" s="75"/>
      <c r="AR1394" s="75"/>
      <c r="AS1394" s="75"/>
      <c r="AT1394" s="75"/>
    </row>
    <row r="1395" ht="22.5" customHeight="1">
      <c r="A1395" s="219"/>
      <c r="B1395" s="219"/>
      <c r="C1395" s="219"/>
      <c r="D1395" s="219"/>
      <c r="E1395" s="219"/>
      <c r="F1395" s="219"/>
      <c r="G1395" s="219"/>
      <c r="H1395" s="219"/>
      <c r="I1395" s="249"/>
      <c r="J1395" s="243"/>
      <c r="K1395" s="219"/>
      <c r="L1395" s="244"/>
      <c r="M1395" s="219"/>
      <c r="N1395" s="219"/>
      <c r="O1395" s="219"/>
      <c r="P1395" s="244"/>
      <c r="Q1395" s="219"/>
      <c r="R1395" s="302"/>
      <c r="S1395" s="219"/>
      <c r="T1395" s="219"/>
      <c r="U1395" s="219"/>
      <c r="V1395" s="303"/>
      <c r="W1395" s="247"/>
      <c r="X1395" s="245"/>
      <c r="Y1395" s="245"/>
      <c r="Z1395" s="245"/>
      <c r="AA1395" s="245"/>
      <c r="AB1395" s="245"/>
      <c r="AC1395" s="249"/>
      <c r="AD1395" s="249"/>
      <c r="AE1395" s="249"/>
      <c r="AF1395" s="8"/>
      <c r="AG1395" s="8"/>
      <c r="AH1395" s="72"/>
      <c r="AI1395" s="8"/>
      <c r="AJ1395" s="251"/>
      <c r="AK1395" s="23"/>
      <c r="AL1395" s="75"/>
      <c r="AM1395" s="75" t="str">
        <f t="shared" si="141"/>
        <v/>
      </c>
      <c r="AN1395" s="75"/>
      <c r="AO1395" s="75"/>
      <c r="AP1395" s="75"/>
      <c r="AQ1395" s="75"/>
      <c r="AR1395" s="75"/>
      <c r="AS1395" s="75"/>
      <c r="AT1395" s="75"/>
    </row>
    <row r="1396" ht="22.5" customHeight="1">
      <c r="A1396" s="219"/>
      <c r="B1396" s="219"/>
      <c r="C1396" s="219"/>
      <c r="D1396" s="219"/>
      <c r="E1396" s="219"/>
      <c r="F1396" s="219"/>
      <c r="G1396" s="219"/>
      <c r="H1396" s="219"/>
      <c r="I1396" s="249"/>
      <c r="J1396" s="243"/>
      <c r="K1396" s="219"/>
      <c r="L1396" s="244"/>
      <c r="M1396" s="219"/>
      <c r="N1396" s="219"/>
      <c r="O1396" s="219"/>
      <c r="P1396" s="244"/>
      <c r="Q1396" s="219"/>
      <c r="R1396" s="302"/>
      <c r="S1396" s="219"/>
      <c r="T1396" s="219"/>
      <c r="U1396" s="219"/>
      <c r="V1396" s="303"/>
      <c r="W1396" s="247"/>
      <c r="X1396" s="245"/>
      <c r="Y1396" s="245"/>
      <c r="Z1396" s="245"/>
      <c r="AA1396" s="245"/>
      <c r="AB1396" s="245"/>
      <c r="AC1396" s="249"/>
      <c r="AD1396" s="249"/>
      <c r="AE1396" s="249"/>
      <c r="AF1396" s="8"/>
      <c r="AG1396" s="8"/>
      <c r="AH1396" s="72"/>
      <c r="AI1396" s="8"/>
      <c r="AJ1396" s="251"/>
      <c r="AK1396" s="23"/>
      <c r="AL1396" s="75"/>
      <c r="AM1396" s="75" t="str">
        <f t="shared" si="141"/>
        <v/>
      </c>
      <c r="AN1396" s="75"/>
      <c r="AO1396" s="75"/>
      <c r="AP1396" s="75"/>
      <c r="AQ1396" s="75"/>
      <c r="AR1396" s="75"/>
      <c r="AS1396" s="75"/>
      <c r="AT1396" s="75"/>
    </row>
    <row r="1397" ht="22.5" customHeight="1">
      <c r="A1397" s="219"/>
      <c r="B1397" s="219"/>
      <c r="C1397" s="219"/>
      <c r="D1397" s="219"/>
      <c r="E1397" s="219"/>
      <c r="F1397" s="219"/>
      <c r="G1397" s="219"/>
      <c r="H1397" s="219"/>
      <c r="I1397" s="249"/>
      <c r="J1397" s="243"/>
      <c r="K1397" s="219"/>
      <c r="L1397" s="244"/>
      <c r="M1397" s="219"/>
      <c r="N1397" s="219"/>
      <c r="O1397" s="219"/>
      <c r="P1397" s="244"/>
      <c r="Q1397" s="219"/>
      <c r="R1397" s="302"/>
      <c r="S1397" s="219"/>
      <c r="T1397" s="219"/>
      <c r="U1397" s="219"/>
      <c r="V1397" s="303"/>
      <c r="W1397" s="247"/>
      <c r="X1397" s="245"/>
      <c r="Y1397" s="245"/>
      <c r="Z1397" s="245"/>
      <c r="AA1397" s="245"/>
      <c r="AB1397" s="245"/>
      <c r="AC1397" s="249"/>
      <c r="AD1397" s="249"/>
      <c r="AE1397" s="249"/>
      <c r="AF1397" s="8"/>
      <c r="AG1397" s="8"/>
      <c r="AH1397" s="72"/>
      <c r="AI1397" s="8"/>
      <c r="AJ1397" s="251"/>
      <c r="AK1397" s="23"/>
      <c r="AL1397" s="75"/>
      <c r="AM1397" s="75" t="str">
        <f t="shared" si="141"/>
        <v/>
      </c>
      <c r="AN1397" s="75"/>
      <c r="AO1397" s="75"/>
      <c r="AP1397" s="75"/>
      <c r="AQ1397" s="75"/>
      <c r="AR1397" s="75"/>
      <c r="AS1397" s="75"/>
      <c r="AT1397" s="75"/>
    </row>
    <row r="1398" ht="22.5" customHeight="1">
      <c r="A1398" s="219"/>
      <c r="B1398" s="219"/>
      <c r="C1398" s="219"/>
      <c r="D1398" s="219"/>
      <c r="E1398" s="219"/>
      <c r="F1398" s="219"/>
      <c r="G1398" s="219"/>
      <c r="H1398" s="219"/>
      <c r="I1398" s="249"/>
      <c r="J1398" s="243"/>
      <c r="K1398" s="219"/>
      <c r="L1398" s="244"/>
      <c r="M1398" s="219"/>
      <c r="N1398" s="219"/>
      <c r="O1398" s="219"/>
      <c r="P1398" s="244"/>
      <c r="Q1398" s="219"/>
      <c r="R1398" s="302"/>
      <c r="S1398" s="219"/>
      <c r="T1398" s="219"/>
      <c r="U1398" s="219"/>
      <c r="V1398" s="303"/>
      <c r="W1398" s="247"/>
      <c r="X1398" s="245"/>
      <c r="Y1398" s="245"/>
      <c r="Z1398" s="245"/>
      <c r="AA1398" s="245"/>
      <c r="AB1398" s="245"/>
      <c r="AC1398" s="249"/>
      <c r="AD1398" s="249"/>
      <c r="AE1398" s="249"/>
      <c r="AF1398" s="8"/>
      <c r="AG1398" s="8"/>
      <c r="AH1398" s="72"/>
      <c r="AI1398" s="8"/>
      <c r="AJ1398" s="251"/>
      <c r="AK1398" s="23"/>
      <c r="AL1398" s="75"/>
      <c r="AM1398" s="75" t="str">
        <f t="shared" si="141"/>
        <v/>
      </c>
      <c r="AN1398" s="75"/>
      <c r="AO1398" s="75"/>
      <c r="AP1398" s="75"/>
      <c r="AQ1398" s="75"/>
      <c r="AR1398" s="75"/>
      <c r="AS1398" s="75"/>
      <c r="AT1398" s="75"/>
    </row>
    <row r="1399" ht="22.5" customHeight="1">
      <c r="A1399" s="219"/>
      <c r="B1399" s="219"/>
      <c r="C1399" s="219"/>
      <c r="D1399" s="219"/>
      <c r="E1399" s="219"/>
      <c r="F1399" s="219"/>
      <c r="G1399" s="219"/>
      <c r="H1399" s="219"/>
      <c r="I1399" s="249"/>
      <c r="J1399" s="243"/>
      <c r="K1399" s="219"/>
      <c r="L1399" s="244"/>
      <c r="M1399" s="219"/>
      <c r="N1399" s="219"/>
      <c r="O1399" s="219"/>
      <c r="P1399" s="244"/>
      <c r="Q1399" s="219"/>
      <c r="R1399" s="302"/>
      <c r="S1399" s="219"/>
      <c r="T1399" s="219"/>
      <c r="U1399" s="219"/>
      <c r="V1399" s="303"/>
      <c r="W1399" s="247"/>
      <c r="X1399" s="245"/>
      <c r="Y1399" s="245"/>
      <c r="Z1399" s="245"/>
      <c r="AA1399" s="245"/>
      <c r="AB1399" s="245"/>
      <c r="AC1399" s="249"/>
      <c r="AD1399" s="249"/>
      <c r="AE1399" s="249"/>
      <c r="AF1399" s="8"/>
      <c r="AG1399" s="8"/>
      <c r="AH1399" s="72"/>
      <c r="AI1399" s="8"/>
      <c r="AJ1399" s="251"/>
      <c r="AK1399" s="23"/>
      <c r="AL1399" s="75"/>
      <c r="AM1399" s="75" t="str">
        <f t="shared" si="141"/>
        <v/>
      </c>
      <c r="AN1399" s="75"/>
      <c r="AO1399" s="75"/>
      <c r="AP1399" s="75"/>
      <c r="AQ1399" s="75"/>
      <c r="AR1399" s="75"/>
      <c r="AS1399" s="75"/>
      <c r="AT1399" s="75"/>
    </row>
    <row r="1400" ht="22.5" customHeight="1">
      <c r="A1400" s="219"/>
      <c r="B1400" s="219"/>
      <c r="C1400" s="219"/>
      <c r="D1400" s="219"/>
      <c r="E1400" s="219"/>
      <c r="F1400" s="219"/>
      <c r="G1400" s="219"/>
      <c r="H1400" s="219"/>
      <c r="I1400" s="249"/>
      <c r="J1400" s="243"/>
      <c r="K1400" s="219"/>
      <c r="L1400" s="244"/>
      <c r="M1400" s="219"/>
      <c r="N1400" s="219"/>
      <c r="O1400" s="219"/>
      <c r="P1400" s="244"/>
      <c r="Q1400" s="219"/>
      <c r="R1400" s="302"/>
      <c r="S1400" s="219"/>
      <c r="T1400" s="219"/>
      <c r="U1400" s="219"/>
      <c r="V1400" s="303"/>
      <c r="W1400" s="247"/>
      <c r="X1400" s="245"/>
      <c r="Y1400" s="245"/>
      <c r="Z1400" s="245"/>
      <c r="AA1400" s="245"/>
      <c r="AB1400" s="245"/>
      <c r="AC1400" s="249"/>
      <c r="AD1400" s="249"/>
      <c r="AE1400" s="249"/>
      <c r="AF1400" s="8"/>
      <c r="AG1400" s="8"/>
      <c r="AH1400" s="72"/>
      <c r="AI1400" s="8"/>
      <c r="AJ1400" s="251"/>
      <c r="AK1400" s="23"/>
      <c r="AL1400" s="75"/>
      <c r="AM1400" s="75" t="str">
        <f t="shared" si="141"/>
        <v/>
      </c>
      <c r="AN1400" s="75"/>
      <c r="AO1400" s="75"/>
      <c r="AP1400" s="75"/>
      <c r="AQ1400" s="75"/>
      <c r="AR1400" s="75"/>
      <c r="AS1400" s="75"/>
      <c r="AT1400" s="75"/>
    </row>
    <row r="1401" ht="22.5" customHeight="1">
      <c r="A1401" s="219"/>
      <c r="B1401" s="219"/>
      <c r="C1401" s="219"/>
      <c r="D1401" s="219"/>
      <c r="E1401" s="219"/>
      <c r="F1401" s="219"/>
      <c r="G1401" s="219"/>
      <c r="H1401" s="219"/>
      <c r="I1401" s="249"/>
      <c r="J1401" s="243"/>
      <c r="K1401" s="219"/>
      <c r="L1401" s="244"/>
      <c r="M1401" s="219"/>
      <c r="N1401" s="219"/>
      <c r="O1401" s="219"/>
      <c r="P1401" s="244"/>
      <c r="Q1401" s="219"/>
      <c r="R1401" s="302"/>
      <c r="S1401" s="219"/>
      <c r="T1401" s="219"/>
      <c r="U1401" s="219"/>
      <c r="V1401" s="303"/>
      <c r="W1401" s="247"/>
      <c r="X1401" s="245"/>
      <c r="Y1401" s="245"/>
      <c r="Z1401" s="245"/>
      <c r="AA1401" s="245"/>
      <c r="AB1401" s="245"/>
      <c r="AC1401" s="249"/>
      <c r="AD1401" s="249"/>
      <c r="AE1401" s="249"/>
      <c r="AF1401" s="8"/>
      <c r="AG1401" s="8"/>
      <c r="AH1401" s="72"/>
      <c r="AI1401" s="8"/>
      <c r="AJ1401" s="251"/>
      <c r="AK1401" s="23"/>
      <c r="AL1401" s="75"/>
      <c r="AM1401" s="75" t="str">
        <f t="shared" si="141"/>
        <v/>
      </c>
      <c r="AN1401" s="75"/>
      <c r="AO1401" s="75"/>
      <c r="AP1401" s="75"/>
      <c r="AQ1401" s="75"/>
      <c r="AR1401" s="75"/>
      <c r="AS1401" s="75"/>
      <c r="AT1401" s="75"/>
    </row>
    <row r="1402" ht="22.5" customHeight="1">
      <c r="A1402" s="219"/>
      <c r="B1402" s="219"/>
      <c r="C1402" s="219"/>
      <c r="D1402" s="219"/>
      <c r="E1402" s="219"/>
      <c r="F1402" s="219"/>
      <c r="G1402" s="219"/>
      <c r="H1402" s="219"/>
      <c r="I1402" s="249"/>
      <c r="J1402" s="243"/>
      <c r="K1402" s="219"/>
      <c r="L1402" s="244"/>
      <c r="M1402" s="219"/>
      <c r="N1402" s="219"/>
      <c r="O1402" s="219"/>
      <c r="P1402" s="244"/>
      <c r="Q1402" s="219"/>
      <c r="R1402" s="302"/>
      <c r="S1402" s="219"/>
      <c r="T1402" s="219"/>
      <c r="U1402" s="219"/>
      <c r="V1402" s="303"/>
      <c r="W1402" s="247"/>
      <c r="X1402" s="245"/>
      <c r="Y1402" s="245"/>
      <c r="Z1402" s="245"/>
      <c r="AA1402" s="245"/>
      <c r="AB1402" s="245"/>
      <c r="AC1402" s="249"/>
      <c r="AD1402" s="249"/>
      <c r="AE1402" s="249"/>
      <c r="AF1402" s="8"/>
      <c r="AG1402" s="8"/>
      <c r="AH1402" s="72"/>
      <c r="AI1402" s="8"/>
      <c r="AJ1402" s="251"/>
      <c r="AK1402" s="23"/>
      <c r="AL1402" s="75"/>
      <c r="AM1402" s="75" t="str">
        <f t="shared" si="141"/>
        <v/>
      </c>
      <c r="AN1402" s="75"/>
      <c r="AO1402" s="75"/>
      <c r="AP1402" s="75"/>
      <c r="AQ1402" s="75"/>
      <c r="AR1402" s="75"/>
      <c r="AS1402" s="75"/>
      <c r="AT1402" s="75"/>
    </row>
    <row r="1403" ht="22.5" customHeight="1">
      <c r="A1403" s="219"/>
      <c r="B1403" s="219"/>
      <c r="C1403" s="219"/>
      <c r="D1403" s="219"/>
      <c r="E1403" s="219"/>
      <c r="F1403" s="219"/>
      <c r="G1403" s="219"/>
      <c r="H1403" s="219"/>
      <c r="I1403" s="249"/>
      <c r="J1403" s="243"/>
      <c r="K1403" s="219"/>
      <c r="L1403" s="244"/>
      <c r="M1403" s="219"/>
      <c r="N1403" s="219"/>
      <c r="O1403" s="219"/>
      <c r="P1403" s="244"/>
      <c r="Q1403" s="219"/>
      <c r="R1403" s="302"/>
      <c r="S1403" s="219"/>
      <c r="T1403" s="219"/>
      <c r="U1403" s="219"/>
      <c r="V1403" s="303"/>
      <c r="W1403" s="247"/>
      <c r="X1403" s="245"/>
      <c r="Y1403" s="245"/>
      <c r="Z1403" s="245"/>
      <c r="AA1403" s="245"/>
      <c r="AB1403" s="245"/>
      <c r="AC1403" s="249"/>
      <c r="AD1403" s="249"/>
      <c r="AE1403" s="249"/>
      <c r="AF1403" s="8"/>
      <c r="AG1403" s="8"/>
      <c r="AH1403" s="72"/>
      <c r="AI1403" s="8"/>
      <c r="AJ1403" s="251"/>
      <c r="AK1403" s="23"/>
      <c r="AL1403" s="75"/>
      <c r="AM1403" s="75" t="str">
        <f t="shared" si="141"/>
        <v/>
      </c>
      <c r="AN1403" s="75"/>
      <c r="AO1403" s="75"/>
      <c r="AP1403" s="75"/>
      <c r="AQ1403" s="75"/>
      <c r="AR1403" s="75"/>
      <c r="AS1403" s="75"/>
      <c r="AT1403" s="75"/>
    </row>
    <row r="1404" ht="22.5" customHeight="1">
      <c r="A1404" s="219"/>
      <c r="B1404" s="219"/>
      <c r="C1404" s="219"/>
      <c r="D1404" s="219"/>
      <c r="E1404" s="219"/>
      <c r="F1404" s="219"/>
      <c r="G1404" s="219"/>
      <c r="H1404" s="219"/>
      <c r="I1404" s="249"/>
      <c r="J1404" s="243"/>
      <c r="K1404" s="219"/>
      <c r="L1404" s="244"/>
      <c r="M1404" s="219"/>
      <c r="N1404" s="219"/>
      <c r="O1404" s="219"/>
      <c r="P1404" s="244"/>
      <c r="Q1404" s="219"/>
      <c r="R1404" s="302"/>
      <c r="S1404" s="219"/>
      <c r="T1404" s="219"/>
      <c r="U1404" s="219"/>
      <c r="V1404" s="303"/>
      <c r="W1404" s="247"/>
      <c r="X1404" s="245"/>
      <c r="Y1404" s="245"/>
      <c r="Z1404" s="245"/>
      <c r="AA1404" s="245"/>
      <c r="AB1404" s="245"/>
      <c r="AC1404" s="249"/>
      <c r="AD1404" s="249"/>
      <c r="AE1404" s="249"/>
      <c r="AF1404" s="8"/>
      <c r="AG1404" s="8"/>
      <c r="AH1404" s="72"/>
      <c r="AI1404" s="8"/>
      <c r="AJ1404" s="251"/>
      <c r="AK1404" s="23"/>
      <c r="AL1404" s="75"/>
      <c r="AM1404" s="75" t="str">
        <f t="shared" si="141"/>
        <v/>
      </c>
      <c r="AN1404" s="75"/>
      <c r="AO1404" s="75"/>
      <c r="AP1404" s="75"/>
      <c r="AQ1404" s="75"/>
      <c r="AR1404" s="75"/>
      <c r="AS1404" s="75"/>
      <c r="AT1404" s="75"/>
    </row>
    <row r="1405" ht="22.5" customHeight="1">
      <c r="A1405" s="219"/>
      <c r="B1405" s="219"/>
      <c r="C1405" s="219"/>
      <c r="D1405" s="219"/>
      <c r="E1405" s="219"/>
      <c r="F1405" s="219"/>
      <c r="G1405" s="219"/>
      <c r="H1405" s="219"/>
      <c r="I1405" s="249"/>
      <c r="J1405" s="243"/>
      <c r="K1405" s="219"/>
      <c r="L1405" s="244"/>
      <c r="M1405" s="219"/>
      <c r="N1405" s="219"/>
      <c r="O1405" s="219"/>
      <c r="P1405" s="244"/>
      <c r="Q1405" s="219"/>
      <c r="R1405" s="302"/>
      <c r="S1405" s="219"/>
      <c r="T1405" s="219"/>
      <c r="U1405" s="219"/>
      <c r="V1405" s="303"/>
      <c r="W1405" s="247"/>
      <c r="X1405" s="245"/>
      <c r="Y1405" s="245"/>
      <c r="Z1405" s="245"/>
      <c r="AA1405" s="245"/>
      <c r="AB1405" s="245"/>
      <c r="AC1405" s="249"/>
      <c r="AD1405" s="249"/>
      <c r="AE1405" s="249"/>
      <c r="AF1405" s="8"/>
      <c r="AG1405" s="8"/>
      <c r="AH1405" s="72"/>
      <c r="AI1405" s="8"/>
      <c r="AJ1405" s="251"/>
      <c r="AK1405" s="23"/>
      <c r="AL1405" s="75"/>
      <c r="AM1405" s="75" t="str">
        <f t="shared" si="141"/>
        <v/>
      </c>
      <c r="AN1405" s="75"/>
      <c r="AO1405" s="75"/>
      <c r="AP1405" s="75"/>
      <c r="AQ1405" s="75"/>
      <c r="AR1405" s="75"/>
      <c r="AS1405" s="75"/>
      <c r="AT1405" s="75"/>
    </row>
    <row r="1406" ht="22.5" customHeight="1">
      <c r="A1406" s="219"/>
      <c r="B1406" s="219"/>
      <c r="C1406" s="219"/>
      <c r="D1406" s="219"/>
      <c r="E1406" s="219"/>
      <c r="F1406" s="219"/>
      <c r="G1406" s="219"/>
      <c r="H1406" s="219"/>
      <c r="I1406" s="249"/>
      <c r="J1406" s="243"/>
      <c r="K1406" s="219"/>
      <c r="L1406" s="244"/>
      <c r="M1406" s="219"/>
      <c r="N1406" s="219"/>
      <c r="O1406" s="219"/>
      <c r="P1406" s="244"/>
      <c r="Q1406" s="219"/>
      <c r="R1406" s="302"/>
      <c r="S1406" s="219"/>
      <c r="T1406" s="219"/>
      <c r="U1406" s="219"/>
      <c r="V1406" s="303"/>
      <c r="W1406" s="247"/>
      <c r="X1406" s="245"/>
      <c r="Y1406" s="245"/>
      <c r="Z1406" s="245"/>
      <c r="AA1406" s="245"/>
      <c r="AB1406" s="245"/>
      <c r="AC1406" s="249"/>
      <c r="AD1406" s="249"/>
      <c r="AE1406" s="249"/>
      <c r="AF1406" s="8"/>
      <c r="AG1406" s="8"/>
      <c r="AH1406" s="72"/>
      <c r="AI1406" s="8"/>
      <c r="AJ1406" s="251"/>
      <c r="AK1406" s="23"/>
      <c r="AL1406" s="75"/>
      <c r="AM1406" s="75" t="str">
        <f t="shared" si="141"/>
        <v/>
      </c>
      <c r="AN1406" s="75"/>
      <c r="AO1406" s="75"/>
      <c r="AP1406" s="75"/>
      <c r="AQ1406" s="75"/>
      <c r="AR1406" s="75"/>
      <c r="AS1406" s="75"/>
      <c r="AT1406" s="75"/>
    </row>
    <row r="1407" ht="22.5" customHeight="1">
      <c r="A1407" s="219"/>
      <c r="B1407" s="219"/>
      <c r="C1407" s="219"/>
      <c r="D1407" s="219"/>
      <c r="E1407" s="219"/>
      <c r="F1407" s="219"/>
      <c r="G1407" s="219"/>
      <c r="H1407" s="219"/>
      <c r="I1407" s="249"/>
      <c r="J1407" s="243"/>
      <c r="K1407" s="219"/>
      <c r="L1407" s="244"/>
      <c r="M1407" s="219"/>
      <c r="N1407" s="219"/>
      <c r="O1407" s="219"/>
      <c r="P1407" s="244"/>
      <c r="Q1407" s="219"/>
      <c r="R1407" s="302"/>
      <c r="S1407" s="219"/>
      <c r="T1407" s="219"/>
      <c r="U1407" s="219"/>
      <c r="V1407" s="303"/>
      <c r="W1407" s="247"/>
      <c r="X1407" s="245"/>
      <c r="Y1407" s="245"/>
      <c r="Z1407" s="245"/>
      <c r="AA1407" s="245"/>
      <c r="AB1407" s="245"/>
      <c r="AC1407" s="249"/>
      <c r="AD1407" s="249"/>
      <c r="AE1407" s="249"/>
      <c r="AF1407" s="8"/>
      <c r="AG1407" s="8"/>
      <c r="AH1407" s="72"/>
      <c r="AI1407" s="8"/>
      <c r="AJ1407" s="251"/>
      <c r="AK1407" s="23"/>
      <c r="AL1407" s="75"/>
      <c r="AM1407" s="75" t="str">
        <f t="shared" si="141"/>
        <v/>
      </c>
      <c r="AN1407" s="75"/>
      <c r="AO1407" s="75"/>
      <c r="AP1407" s="75"/>
      <c r="AQ1407" s="75"/>
      <c r="AR1407" s="75"/>
      <c r="AS1407" s="75"/>
      <c r="AT1407" s="75"/>
    </row>
    <row r="1408" ht="22.5" customHeight="1">
      <c r="A1408" s="219"/>
      <c r="B1408" s="219"/>
      <c r="C1408" s="219"/>
      <c r="D1408" s="219"/>
      <c r="E1408" s="219"/>
      <c r="F1408" s="219"/>
      <c r="G1408" s="219"/>
      <c r="H1408" s="219"/>
      <c r="I1408" s="249"/>
      <c r="J1408" s="243"/>
      <c r="K1408" s="219"/>
      <c r="L1408" s="244"/>
      <c r="M1408" s="219"/>
      <c r="N1408" s="219"/>
      <c r="O1408" s="219"/>
      <c r="P1408" s="244"/>
      <c r="Q1408" s="219"/>
      <c r="R1408" s="302"/>
      <c r="S1408" s="219"/>
      <c r="T1408" s="219"/>
      <c r="U1408" s="219"/>
      <c r="V1408" s="303"/>
      <c r="W1408" s="247"/>
      <c r="X1408" s="245"/>
      <c r="Y1408" s="245"/>
      <c r="Z1408" s="245"/>
      <c r="AA1408" s="245"/>
      <c r="AB1408" s="245"/>
      <c r="AC1408" s="249"/>
      <c r="AD1408" s="249"/>
      <c r="AE1408" s="249"/>
      <c r="AF1408" s="8"/>
      <c r="AG1408" s="8"/>
      <c r="AH1408" s="72"/>
      <c r="AI1408" s="8"/>
      <c r="AJ1408" s="251"/>
      <c r="AK1408" s="23"/>
      <c r="AL1408" s="75"/>
      <c r="AM1408" s="75" t="str">
        <f t="shared" si="141"/>
        <v/>
      </c>
      <c r="AN1408" s="75"/>
      <c r="AO1408" s="75"/>
      <c r="AP1408" s="75"/>
      <c r="AQ1408" s="75"/>
      <c r="AR1408" s="75"/>
      <c r="AS1408" s="75"/>
      <c r="AT1408" s="75"/>
    </row>
    <row r="1409" ht="22.5" customHeight="1">
      <c r="A1409" s="219"/>
      <c r="B1409" s="219"/>
      <c r="C1409" s="219"/>
      <c r="D1409" s="219"/>
      <c r="E1409" s="219"/>
      <c r="F1409" s="219"/>
      <c r="G1409" s="219"/>
      <c r="H1409" s="219"/>
      <c r="I1409" s="249"/>
      <c r="J1409" s="243"/>
      <c r="K1409" s="219"/>
      <c r="L1409" s="244"/>
      <c r="M1409" s="219"/>
      <c r="N1409" s="219"/>
      <c r="O1409" s="219"/>
      <c r="P1409" s="244"/>
      <c r="Q1409" s="219"/>
      <c r="R1409" s="302"/>
      <c r="S1409" s="219"/>
      <c r="T1409" s="219"/>
      <c r="U1409" s="219"/>
      <c r="V1409" s="303"/>
      <c r="W1409" s="247"/>
      <c r="X1409" s="245"/>
      <c r="Y1409" s="245"/>
      <c r="Z1409" s="245"/>
      <c r="AA1409" s="245"/>
      <c r="AB1409" s="245"/>
      <c r="AC1409" s="249"/>
      <c r="AD1409" s="249"/>
      <c r="AE1409" s="249"/>
      <c r="AF1409" s="8"/>
      <c r="AG1409" s="8"/>
      <c r="AH1409" s="72"/>
      <c r="AI1409" s="8"/>
      <c r="AJ1409" s="251"/>
      <c r="AK1409" s="23"/>
      <c r="AL1409" s="75"/>
      <c r="AM1409" s="75" t="str">
        <f t="shared" si="141"/>
        <v/>
      </c>
      <c r="AN1409" s="75"/>
      <c r="AO1409" s="75"/>
      <c r="AP1409" s="75"/>
      <c r="AQ1409" s="75"/>
      <c r="AR1409" s="75"/>
      <c r="AS1409" s="75"/>
      <c r="AT1409" s="75"/>
    </row>
    <row r="1410" ht="22.5" customHeight="1">
      <c r="A1410" s="219"/>
      <c r="B1410" s="219"/>
      <c r="C1410" s="219"/>
      <c r="D1410" s="219"/>
      <c r="E1410" s="219"/>
      <c r="F1410" s="219"/>
      <c r="G1410" s="219"/>
      <c r="H1410" s="219"/>
      <c r="I1410" s="249"/>
      <c r="J1410" s="243"/>
      <c r="K1410" s="219"/>
      <c r="L1410" s="244"/>
      <c r="M1410" s="219"/>
      <c r="N1410" s="219"/>
      <c r="O1410" s="219"/>
      <c r="P1410" s="244"/>
      <c r="Q1410" s="219"/>
      <c r="R1410" s="302"/>
      <c r="S1410" s="219"/>
      <c r="T1410" s="219"/>
      <c r="U1410" s="219"/>
      <c r="V1410" s="303"/>
      <c r="W1410" s="247"/>
      <c r="X1410" s="245"/>
      <c r="Y1410" s="245"/>
      <c r="Z1410" s="245"/>
      <c r="AA1410" s="245"/>
      <c r="AB1410" s="245"/>
      <c r="AC1410" s="249"/>
      <c r="AD1410" s="249"/>
      <c r="AE1410" s="249"/>
      <c r="AF1410" s="8"/>
      <c r="AG1410" s="8"/>
      <c r="AH1410" s="72"/>
      <c r="AI1410" s="8"/>
      <c r="AJ1410" s="251"/>
      <c r="AK1410" s="23"/>
      <c r="AL1410" s="75"/>
      <c r="AM1410" s="75" t="str">
        <f t="shared" si="141"/>
        <v/>
      </c>
      <c r="AN1410" s="75"/>
      <c r="AO1410" s="75"/>
      <c r="AP1410" s="75"/>
      <c r="AQ1410" s="75"/>
      <c r="AR1410" s="75"/>
      <c r="AS1410" s="75"/>
      <c r="AT1410" s="75"/>
    </row>
    <row r="1411" ht="22.5" customHeight="1">
      <c r="A1411" s="219"/>
      <c r="B1411" s="219"/>
      <c r="C1411" s="219"/>
      <c r="D1411" s="219"/>
      <c r="E1411" s="219"/>
      <c r="F1411" s="219"/>
      <c r="G1411" s="219"/>
      <c r="H1411" s="219"/>
      <c r="I1411" s="249"/>
      <c r="J1411" s="243"/>
      <c r="K1411" s="219"/>
      <c r="L1411" s="244"/>
      <c r="M1411" s="219"/>
      <c r="N1411" s="219"/>
      <c r="O1411" s="219"/>
      <c r="P1411" s="244"/>
      <c r="Q1411" s="219"/>
      <c r="R1411" s="302"/>
      <c r="S1411" s="219"/>
      <c r="T1411" s="219"/>
      <c r="U1411" s="219"/>
      <c r="V1411" s="303"/>
      <c r="W1411" s="247"/>
      <c r="X1411" s="245"/>
      <c r="Y1411" s="245"/>
      <c r="Z1411" s="245"/>
      <c r="AA1411" s="245"/>
      <c r="AB1411" s="245"/>
      <c r="AC1411" s="249"/>
      <c r="AD1411" s="249"/>
      <c r="AE1411" s="249"/>
      <c r="AF1411" s="8"/>
      <c r="AG1411" s="8"/>
      <c r="AH1411" s="72"/>
      <c r="AI1411" s="8"/>
      <c r="AJ1411" s="251"/>
      <c r="AK1411" s="23"/>
      <c r="AL1411" s="75"/>
      <c r="AM1411" s="75" t="str">
        <f t="shared" si="141"/>
        <v/>
      </c>
      <c r="AN1411" s="75"/>
      <c r="AO1411" s="75"/>
      <c r="AP1411" s="75"/>
      <c r="AQ1411" s="75"/>
      <c r="AR1411" s="75"/>
      <c r="AS1411" s="75"/>
      <c r="AT1411" s="75"/>
    </row>
    <row r="1412" ht="22.5" customHeight="1">
      <c r="A1412" s="219"/>
      <c r="B1412" s="219"/>
      <c r="C1412" s="219"/>
      <c r="D1412" s="219"/>
      <c r="E1412" s="219"/>
      <c r="F1412" s="219"/>
      <c r="G1412" s="219"/>
      <c r="H1412" s="219"/>
      <c r="I1412" s="249"/>
      <c r="J1412" s="243"/>
      <c r="K1412" s="219"/>
      <c r="L1412" s="244"/>
      <c r="M1412" s="219"/>
      <c r="N1412" s="219"/>
      <c r="O1412" s="219"/>
      <c r="P1412" s="244"/>
      <c r="Q1412" s="219"/>
      <c r="R1412" s="302"/>
      <c r="S1412" s="219"/>
      <c r="T1412" s="219"/>
      <c r="U1412" s="219"/>
      <c r="V1412" s="303"/>
      <c r="W1412" s="247"/>
      <c r="X1412" s="245"/>
      <c r="Y1412" s="245"/>
      <c r="Z1412" s="245"/>
      <c r="AA1412" s="245"/>
      <c r="AB1412" s="245"/>
      <c r="AC1412" s="249"/>
      <c r="AD1412" s="249"/>
      <c r="AE1412" s="249"/>
      <c r="AF1412" s="8"/>
      <c r="AG1412" s="8"/>
      <c r="AH1412" s="72"/>
      <c r="AI1412" s="8"/>
      <c r="AJ1412" s="251"/>
      <c r="AK1412" s="23"/>
      <c r="AL1412" s="75"/>
      <c r="AM1412" s="75" t="str">
        <f t="shared" si="141"/>
        <v/>
      </c>
      <c r="AN1412" s="75"/>
      <c r="AO1412" s="75"/>
      <c r="AP1412" s="75"/>
      <c r="AQ1412" s="75"/>
      <c r="AR1412" s="75"/>
      <c r="AS1412" s="75"/>
      <c r="AT1412" s="75"/>
    </row>
    <row r="1413" ht="22.5" customHeight="1">
      <c r="A1413" s="219"/>
      <c r="B1413" s="219"/>
      <c r="C1413" s="219"/>
      <c r="D1413" s="219"/>
      <c r="E1413" s="219"/>
      <c r="F1413" s="219"/>
      <c r="G1413" s="219"/>
      <c r="H1413" s="219"/>
      <c r="I1413" s="249"/>
      <c r="J1413" s="243"/>
      <c r="K1413" s="219"/>
      <c r="L1413" s="244"/>
      <c r="M1413" s="219"/>
      <c r="N1413" s="219"/>
      <c r="O1413" s="219"/>
      <c r="P1413" s="244"/>
      <c r="Q1413" s="219"/>
      <c r="R1413" s="302"/>
      <c r="S1413" s="219"/>
      <c r="T1413" s="219"/>
      <c r="U1413" s="219"/>
      <c r="V1413" s="303"/>
      <c r="W1413" s="247"/>
      <c r="X1413" s="245"/>
      <c r="Y1413" s="245"/>
      <c r="Z1413" s="245"/>
      <c r="AA1413" s="245"/>
      <c r="AB1413" s="245"/>
      <c r="AC1413" s="249"/>
      <c r="AD1413" s="249"/>
      <c r="AE1413" s="249"/>
      <c r="AF1413" s="8"/>
      <c r="AG1413" s="8"/>
      <c r="AH1413" s="72"/>
      <c r="AI1413" s="8"/>
      <c r="AJ1413" s="251"/>
      <c r="AK1413" s="23"/>
      <c r="AL1413" s="75"/>
      <c r="AM1413" s="75" t="str">
        <f t="shared" si="141"/>
        <v/>
      </c>
      <c r="AN1413" s="75"/>
      <c r="AO1413" s="75"/>
      <c r="AP1413" s="75"/>
      <c r="AQ1413" s="75"/>
      <c r="AR1413" s="75"/>
      <c r="AS1413" s="75"/>
      <c r="AT1413" s="75"/>
    </row>
    <row r="1414" ht="22.5" customHeight="1">
      <c r="A1414" s="219"/>
      <c r="B1414" s="219"/>
      <c r="C1414" s="219"/>
      <c r="D1414" s="219"/>
      <c r="E1414" s="219"/>
      <c r="F1414" s="219"/>
      <c r="G1414" s="219"/>
      <c r="H1414" s="219"/>
      <c r="I1414" s="249"/>
      <c r="J1414" s="243"/>
      <c r="K1414" s="219"/>
      <c r="L1414" s="244"/>
      <c r="M1414" s="219"/>
      <c r="N1414" s="219"/>
      <c r="O1414" s="219"/>
      <c r="P1414" s="244"/>
      <c r="Q1414" s="219"/>
      <c r="R1414" s="302"/>
      <c r="S1414" s="219"/>
      <c r="T1414" s="219"/>
      <c r="U1414" s="219"/>
      <c r="V1414" s="303"/>
      <c r="W1414" s="247"/>
      <c r="X1414" s="245"/>
      <c r="Y1414" s="245"/>
      <c r="Z1414" s="245"/>
      <c r="AA1414" s="245"/>
      <c r="AB1414" s="245"/>
      <c r="AC1414" s="249"/>
      <c r="AD1414" s="249"/>
      <c r="AE1414" s="249"/>
      <c r="AF1414" s="8"/>
      <c r="AG1414" s="8"/>
      <c r="AH1414" s="72"/>
      <c r="AI1414" s="8"/>
      <c r="AJ1414" s="251"/>
      <c r="AK1414" s="23"/>
      <c r="AL1414" s="75"/>
      <c r="AM1414" s="75" t="str">
        <f t="shared" si="141"/>
        <v/>
      </c>
      <c r="AN1414" s="75"/>
      <c r="AO1414" s="75"/>
      <c r="AP1414" s="75"/>
      <c r="AQ1414" s="75"/>
      <c r="AR1414" s="75"/>
      <c r="AS1414" s="75"/>
      <c r="AT1414" s="75"/>
    </row>
    <row r="1415" ht="22.5" customHeight="1">
      <c r="A1415" s="219"/>
      <c r="B1415" s="219"/>
      <c r="C1415" s="219"/>
      <c r="D1415" s="219"/>
      <c r="E1415" s="219"/>
      <c r="F1415" s="219"/>
      <c r="G1415" s="219"/>
      <c r="H1415" s="219"/>
      <c r="I1415" s="249"/>
      <c r="J1415" s="243"/>
      <c r="K1415" s="219"/>
      <c r="L1415" s="244"/>
      <c r="M1415" s="219"/>
      <c r="N1415" s="219"/>
      <c r="O1415" s="219"/>
      <c r="P1415" s="244"/>
      <c r="Q1415" s="219"/>
      <c r="R1415" s="302"/>
      <c r="S1415" s="219"/>
      <c r="T1415" s="219"/>
      <c r="U1415" s="219"/>
      <c r="V1415" s="303"/>
      <c r="W1415" s="247"/>
      <c r="X1415" s="245"/>
      <c r="Y1415" s="245"/>
      <c r="Z1415" s="245"/>
      <c r="AA1415" s="245"/>
      <c r="AB1415" s="245"/>
      <c r="AC1415" s="249"/>
      <c r="AD1415" s="249"/>
      <c r="AE1415" s="249"/>
      <c r="AF1415" s="8"/>
      <c r="AG1415" s="8"/>
      <c r="AH1415" s="72"/>
      <c r="AI1415" s="8"/>
      <c r="AJ1415" s="251"/>
      <c r="AK1415" s="23"/>
      <c r="AL1415" s="75"/>
      <c r="AM1415" s="75" t="str">
        <f t="shared" si="141"/>
        <v/>
      </c>
      <c r="AN1415" s="75"/>
      <c r="AO1415" s="75"/>
      <c r="AP1415" s="75"/>
      <c r="AQ1415" s="75"/>
      <c r="AR1415" s="75"/>
      <c r="AS1415" s="75"/>
      <c r="AT1415" s="75"/>
    </row>
    <row r="1416" ht="22.5" customHeight="1">
      <c r="A1416" s="219"/>
      <c r="B1416" s="219"/>
      <c r="C1416" s="219"/>
      <c r="D1416" s="219"/>
      <c r="E1416" s="219"/>
      <c r="F1416" s="219"/>
      <c r="G1416" s="219"/>
      <c r="H1416" s="219"/>
      <c r="I1416" s="249"/>
      <c r="J1416" s="243"/>
      <c r="K1416" s="219"/>
      <c r="L1416" s="244"/>
      <c r="M1416" s="219"/>
      <c r="N1416" s="219"/>
      <c r="O1416" s="219"/>
      <c r="P1416" s="244"/>
      <c r="Q1416" s="219"/>
      <c r="R1416" s="302"/>
      <c r="S1416" s="219"/>
      <c r="T1416" s="219"/>
      <c r="U1416" s="219"/>
      <c r="V1416" s="303"/>
      <c r="W1416" s="247"/>
      <c r="X1416" s="245"/>
      <c r="Y1416" s="245"/>
      <c r="Z1416" s="245"/>
      <c r="AA1416" s="245"/>
      <c r="AB1416" s="245"/>
      <c r="AC1416" s="249"/>
      <c r="AD1416" s="249"/>
      <c r="AE1416" s="249"/>
      <c r="AF1416" s="8"/>
      <c r="AG1416" s="8"/>
      <c r="AH1416" s="72"/>
      <c r="AI1416" s="8"/>
      <c r="AJ1416" s="251"/>
      <c r="AK1416" s="23"/>
      <c r="AL1416" s="75"/>
      <c r="AM1416" s="75" t="str">
        <f t="shared" si="141"/>
        <v/>
      </c>
      <c r="AN1416" s="75"/>
      <c r="AO1416" s="75"/>
      <c r="AP1416" s="75"/>
      <c r="AQ1416" s="75"/>
      <c r="AR1416" s="75"/>
      <c r="AS1416" s="75"/>
      <c r="AT1416" s="75"/>
    </row>
    <row r="1417" ht="22.5" customHeight="1">
      <c r="A1417" s="219"/>
      <c r="B1417" s="219"/>
      <c r="C1417" s="219"/>
      <c r="D1417" s="219"/>
      <c r="E1417" s="219"/>
      <c r="F1417" s="219"/>
      <c r="G1417" s="219"/>
      <c r="H1417" s="219"/>
      <c r="I1417" s="249"/>
      <c r="J1417" s="243"/>
      <c r="K1417" s="219"/>
      <c r="L1417" s="244"/>
      <c r="M1417" s="219"/>
      <c r="N1417" s="219"/>
      <c r="O1417" s="219"/>
      <c r="P1417" s="244"/>
      <c r="Q1417" s="219"/>
      <c r="R1417" s="302"/>
      <c r="S1417" s="219"/>
      <c r="T1417" s="219"/>
      <c r="U1417" s="219"/>
      <c r="V1417" s="303"/>
      <c r="W1417" s="247"/>
      <c r="X1417" s="245"/>
      <c r="Y1417" s="245"/>
      <c r="Z1417" s="245"/>
      <c r="AA1417" s="245"/>
      <c r="AB1417" s="245"/>
      <c r="AC1417" s="249"/>
      <c r="AD1417" s="249"/>
      <c r="AE1417" s="249"/>
      <c r="AF1417" s="8"/>
      <c r="AG1417" s="8"/>
      <c r="AH1417" s="72"/>
      <c r="AI1417" s="8"/>
      <c r="AJ1417" s="251"/>
      <c r="AK1417" s="23"/>
      <c r="AL1417" s="75"/>
      <c r="AM1417" s="75" t="str">
        <f t="shared" si="141"/>
        <v/>
      </c>
      <c r="AN1417" s="75"/>
      <c r="AO1417" s="75"/>
      <c r="AP1417" s="75"/>
      <c r="AQ1417" s="75"/>
      <c r="AR1417" s="75"/>
      <c r="AS1417" s="75"/>
      <c r="AT1417" s="75"/>
    </row>
    <row r="1418" ht="22.5" customHeight="1">
      <c r="A1418" s="219"/>
      <c r="B1418" s="219"/>
      <c r="C1418" s="219"/>
      <c r="D1418" s="219"/>
      <c r="E1418" s="219"/>
      <c r="F1418" s="219"/>
      <c r="G1418" s="219"/>
      <c r="H1418" s="219"/>
      <c r="I1418" s="249"/>
      <c r="J1418" s="243"/>
      <c r="K1418" s="219"/>
      <c r="L1418" s="244"/>
      <c r="M1418" s="219"/>
      <c r="N1418" s="219"/>
      <c r="O1418" s="219"/>
      <c r="P1418" s="244"/>
      <c r="Q1418" s="219"/>
      <c r="R1418" s="302"/>
      <c r="S1418" s="219"/>
      <c r="T1418" s="219"/>
      <c r="U1418" s="219"/>
      <c r="V1418" s="303"/>
      <c r="W1418" s="247"/>
      <c r="X1418" s="245"/>
      <c r="Y1418" s="245"/>
      <c r="Z1418" s="245"/>
      <c r="AA1418" s="245"/>
      <c r="AB1418" s="245"/>
      <c r="AC1418" s="249"/>
      <c r="AD1418" s="249"/>
      <c r="AE1418" s="249"/>
      <c r="AF1418" s="8"/>
      <c r="AG1418" s="8"/>
      <c r="AH1418" s="72"/>
      <c r="AI1418" s="8"/>
      <c r="AJ1418" s="251"/>
      <c r="AK1418" s="23"/>
      <c r="AL1418" s="75"/>
      <c r="AM1418" s="75" t="str">
        <f t="shared" si="141"/>
        <v/>
      </c>
      <c r="AN1418" s="75"/>
      <c r="AO1418" s="75"/>
      <c r="AP1418" s="75"/>
      <c r="AQ1418" s="75"/>
      <c r="AR1418" s="75"/>
      <c r="AS1418" s="75"/>
      <c r="AT1418" s="75"/>
    </row>
    <row r="1419" ht="22.5" customHeight="1">
      <c r="A1419" s="219"/>
      <c r="B1419" s="219"/>
      <c r="C1419" s="219"/>
      <c r="D1419" s="219"/>
      <c r="E1419" s="219"/>
      <c r="F1419" s="219"/>
      <c r="G1419" s="219"/>
      <c r="H1419" s="219"/>
      <c r="I1419" s="249"/>
      <c r="J1419" s="243"/>
      <c r="K1419" s="219"/>
      <c r="L1419" s="244"/>
      <c r="M1419" s="219"/>
      <c r="N1419" s="219"/>
      <c r="O1419" s="219"/>
      <c r="P1419" s="244"/>
      <c r="Q1419" s="219"/>
      <c r="R1419" s="302"/>
      <c r="S1419" s="219"/>
      <c r="T1419" s="219"/>
      <c r="U1419" s="219"/>
      <c r="V1419" s="303"/>
      <c r="W1419" s="247"/>
      <c r="X1419" s="245"/>
      <c r="Y1419" s="245"/>
      <c r="Z1419" s="245"/>
      <c r="AA1419" s="245"/>
      <c r="AB1419" s="245"/>
      <c r="AC1419" s="249"/>
      <c r="AD1419" s="249"/>
      <c r="AE1419" s="249"/>
      <c r="AF1419" s="8"/>
      <c r="AG1419" s="8"/>
      <c r="AH1419" s="72"/>
      <c r="AI1419" s="8"/>
      <c r="AJ1419" s="251"/>
      <c r="AK1419" s="23"/>
      <c r="AL1419" s="75"/>
      <c r="AM1419" s="75" t="str">
        <f t="shared" si="141"/>
        <v/>
      </c>
      <c r="AN1419" s="75"/>
      <c r="AO1419" s="75"/>
      <c r="AP1419" s="75"/>
      <c r="AQ1419" s="75"/>
      <c r="AR1419" s="75"/>
      <c r="AS1419" s="75"/>
      <c r="AT1419" s="75"/>
    </row>
    <row r="1420" ht="22.5" customHeight="1">
      <c r="A1420" s="219"/>
      <c r="B1420" s="219"/>
      <c r="C1420" s="219"/>
      <c r="D1420" s="219"/>
      <c r="E1420" s="219"/>
      <c r="F1420" s="219"/>
      <c r="G1420" s="219"/>
      <c r="H1420" s="219"/>
      <c r="I1420" s="249"/>
      <c r="J1420" s="243"/>
      <c r="K1420" s="219"/>
      <c r="L1420" s="244"/>
      <c r="M1420" s="219"/>
      <c r="N1420" s="219"/>
      <c r="O1420" s="219"/>
      <c r="P1420" s="244"/>
      <c r="Q1420" s="219"/>
      <c r="R1420" s="302"/>
      <c r="S1420" s="219"/>
      <c r="T1420" s="219"/>
      <c r="U1420" s="219"/>
      <c r="V1420" s="303"/>
      <c r="W1420" s="247"/>
      <c r="X1420" s="245"/>
      <c r="Y1420" s="245"/>
      <c r="Z1420" s="245"/>
      <c r="AA1420" s="245"/>
      <c r="AB1420" s="245"/>
      <c r="AC1420" s="249"/>
      <c r="AD1420" s="249"/>
      <c r="AE1420" s="249"/>
      <c r="AF1420" s="8"/>
      <c r="AG1420" s="8"/>
      <c r="AH1420" s="72"/>
      <c r="AI1420" s="8"/>
      <c r="AJ1420" s="251"/>
      <c r="AK1420" s="23"/>
      <c r="AL1420" s="75"/>
      <c r="AM1420" s="75" t="str">
        <f t="shared" si="141"/>
        <v/>
      </c>
      <c r="AN1420" s="75"/>
      <c r="AO1420" s="75"/>
      <c r="AP1420" s="75"/>
      <c r="AQ1420" s="75"/>
      <c r="AR1420" s="75"/>
      <c r="AS1420" s="75"/>
      <c r="AT1420" s="75"/>
    </row>
    <row r="1421" ht="22.5" customHeight="1">
      <c r="A1421" s="219"/>
      <c r="B1421" s="219"/>
      <c r="C1421" s="219"/>
      <c r="D1421" s="219"/>
      <c r="E1421" s="219"/>
      <c r="F1421" s="219"/>
      <c r="G1421" s="219"/>
      <c r="H1421" s="219"/>
      <c r="I1421" s="249"/>
      <c r="J1421" s="243"/>
      <c r="K1421" s="219"/>
      <c r="L1421" s="244"/>
      <c r="M1421" s="219"/>
      <c r="N1421" s="219"/>
      <c r="O1421" s="219"/>
      <c r="P1421" s="244"/>
      <c r="Q1421" s="219"/>
      <c r="R1421" s="302"/>
      <c r="S1421" s="219"/>
      <c r="T1421" s="219"/>
      <c r="U1421" s="219"/>
      <c r="V1421" s="303"/>
      <c r="W1421" s="247"/>
      <c r="X1421" s="245"/>
      <c r="Y1421" s="245"/>
      <c r="Z1421" s="245"/>
      <c r="AA1421" s="245"/>
      <c r="AB1421" s="245"/>
      <c r="AC1421" s="249"/>
      <c r="AD1421" s="249"/>
      <c r="AE1421" s="249"/>
      <c r="AF1421" s="8"/>
      <c r="AG1421" s="8"/>
      <c r="AH1421" s="72"/>
      <c r="AI1421" s="8"/>
      <c r="AJ1421" s="251"/>
      <c r="AK1421" s="23"/>
      <c r="AL1421" s="75"/>
      <c r="AM1421" s="75" t="str">
        <f t="shared" si="141"/>
        <v/>
      </c>
      <c r="AN1421" s="75"/>
      <c r="AO1421" s="75"/>
      <c r="AP1421" s="75"/>
      <c r="AQ1421" s="75"/>
      <c r="AR1421" s="75"/>
      <c r="AS1421" s="75"/>
      <c r="AT1421" s="75"/>
    </row>
    <row r="1422" ht="22.5" customHeight="1">
      <c r="A1422" s="219"/>
      <c r="B1422" s="219"/>
      <c r="C1422" s="219"/>
      <c r="D1422" s="219"/>
      <c r="E1422" s="219"/>
      <c r="F1422" s="219"/>
      <c r="G1422" s="219"/>
      <c r="H1422" s="219"/>
      <c r="I1422" s="249"/>
      <c r="J1422" s="243"/>
      <c r="K1422" s="219"/>
      <c r="L1422" s="244"/>
      <c r="M1422" s="219"/>
      <c r="N1422" s="219"/>
      <c r="O1422" s="219"/>
      <c r="P1422" s="244"/>
      <c r="Q1422" s="219"/>
      <c r="R1422" s="302"/>
      <c r="S1422" s="219"/>
      <c r="T1422" s="219"/>
      <c r="U1422" s="219"/>
      <c r="V1422" s="303"/>
      <c r="W1422" s="247"/>
      <c r="X1422" s="245"/>
      <c r="Y1422" s="245"/>
      <c r="Z1422" s="245"/>
      <c r="AA1422" s="245"/>
      <c r="AB1422" s="245"/>
      <c r="AC1422" s="249"/>
      <c r="AD1422" s="249"/>
      <c r="AE1422" s="249"/>
      <c r="AF1422" s="8"/>
      <c r="AG1422" s="8"/>
      <c r="AH1422" s="72"/>
      <c r="AI1422" s="8"/>
      <c r="AJ1422" s="251"/>
      <c r="AK1422" s="23"/>
      <c r="AL1422" s="75"/>
      <c r="AM1422" s="75" t="str">
        <f t="shared" si="141"/>
        <v/>
      </c>
      <c r="AN1422" s="75"/>
      <c r="AO1422" s="75"/>
      <c r="AP1422" s="75"/>
      <c r="AQ1422" s="75"/>
      <c r="AR1422" s="75"/>
      <c r="AS1422" s="75"/>
      <c r="AT1422" s="75"/>
    </row>
    <row r="1423" ht="22.5" customHeight="1">
      <c r="A1423" s="219"/>
      <c r="B1423" s="219"/>
      <c r="C1423" s="219"/>
      <c r="D1423" s="219"/>
      <c r="E1423" s="219"/>
      <c r="F1423" s="219"/>
      <c r="G1423" s="219"/>
      <c r="H1423" s="219"/>
      <c r="I1423" s="249"/>
      <c r="J1423" s="243"/>
      <c r="K1423" s="219"/>
      <c r="L1423" s="244"/>
      <c r="M1423" s="219"/>
      <c r="N1423" s="219"/>
      <c r="O1423" s="219"/>
      <c r="P1423" s="244"/>
      <c r="Q1423" s="219"/>
      <c r="R1423" s="302"/>
      <c r="S1423" s="219"/>
      <c r="T1423" s="219"/>
      <c r="U1423" s="219"/>
      <c r="V1423" s="303"/>
      <c r="W1423" s="247"/>
      <c r="X1423" s="245"/>
      <c r="Y1423" s="245"/>
      <c r="Z1423" s="245"/>
      <c r="AA1423" s="245"/>
      <c r="AB1423" s="245"/>
      <c r="AC1423" s="249"/>
      <c r="AD1423" s="249"/>
      <c r="AE1423" s="249"/>
      <c r="AF1423" s="8"/>
      <c r="AG1423" s="8"/>
      <c r="AH1423" s="72"/>
      <c r="AI1423" s="8"/>
      <c r="AJ1423" s="251"/>
      <c r="AK1423" s="23"/>
      <c r="AL1423" s="75"/>
      <c r="AM1423" s="75" t="str">
        <f t="shared" si="141"/>
        <v/>
      </c>
      <c r="AN1423" s="75"/>
      <c r="AO1423" s="75"/>
      <c r="AP1423" s="75"/>
      <c r="AQ1423" s="75"/>
      <c r="AR1423" s="75"/>
      <c r="AS1423" s="75"/>
      <c r="AT1423" s="75"/>
    </row>
    <row r="1424" ht="22.5" customHeight="1">
      <c r="A1424" s="219"/>
      <c r="B1424" s="219"/>
      <c r="C1424" s="219"/>
      <c r="D1424" s="219"/>
      <c r="E1424" s="219"/>
      <c r="F1424" s="219"/>
      <c r="G1424" s="219"/>
      <c r="H1424" s="219"/>
      <c r="I1424" s="249"/>
      <c r="J1424" s="243"/>
      <c r="K1424" s="219"/>
      <c r="L1424" s="244"/>
      <c r="M1424" s="219"/>
      <c r="N1424" s="219"/>
      <c r="O1424" s="219"/>
      <c r="P1424" s="244"/>
      <c r="Q1424" s="219"/>
      <c r="R1424" s="302"/>
      <c r="S1424" s="219"/>
      <c r="T1424" s="219"/>
      <c r="U1424" s="219"/>
      <c r="V1424" s="303"/>
      <c r="W1424" s="247"/>
      <c r="X1424" s="245"/>
      <c r="Y1424" s="245"/>
      <c r="Z1424" s="245"/>
      <c r="AA1424" s="245"/>
      <c r="AB1424" s="245"/>
      <c r="AC1424" s="249"/>
      <c r="AD1424" s="249"/>
      <c r="AE1424" s="249"/>
      <c r="AF1424" s="8"/>
      <c r="AG1424" s="8"/>
      <c r="AH1424" s="72"/>
      <c r="AI1424" s="8"/>
      <c r="AJ1424" s="251"/>
      <c r="AK1424" s="23"/>
      <c r="AL1424" s="75"/>
      <c r="AM1424" s="75" t="str">
        <f t="shared" si="141"/>
        <v/>
      </c>
      <c r="AN1424" s="75"/>
      <c r="AO1424" s="75"/>
      <c r="AP1424" s="75"/>
      <c r="AQ1424" s="75"/>
      <c r="AR1424" s="75"/>
      <c r="AS1424" s="75"/>
      <c r="AT1424" s="75"/>
    </row>
    <row r="1425" ht="22.5" customHeight="1">
      <c r="A1425" s="219"/>
      <c r="B1425" s="219"/>
      <c r="C1425" s="219"/>
      <c r="D1425" s="219"/>
      <c r="E1425" s="219"/>
      <c r="F1425" s="219"/>
      <c r="G1425" s="219"/>
      <c r="H1425" s="219"/>
      <c r="I1425" s="249"/>
      <c r="J1425" s="243"/>
      <c r="K1425" s="219"/>
      <c r="L1425" s="244"/>
      <c r="M1425" s="219"/>
      <c r="N1425" s="219"/>
      <c r="O1425" s="219"/>
      <c r="P1425" s="244"/>
      <c r="Q1425" s="219"/>
      <c r="R1425" s="302"/>
      <c r="S1425" s="219"/>
      <c r="T1425" s="219"/>
      <c r="U1425" s="219"/>
      <c r="V1425" s="303"/>
      <c r="W1425" s="247"/>
      <c r="X1425" s="245"/>
      <c r="Y1425" s="245"/>
      <c r="Z1425" s="245"/>
      <c r="AA1425" s="245"/>
      <c r="AB1425" s="245"/>
      <c r="AC1425" s="249"/>
      <c r="AD1425" s="249"/>
      <c r="AE1425" s="249"/>
      <c r="AF1425" s="8"/>
      <c r="AG1425" s="8"/>
      <c r="AH1425" s="72"/>
      <c r="AI1425" s="8"/>
      <c r="AJ1425" s="251"/>
      <c r="AK1425" s="23"/>
      <c r="AL1425" s="75"/>
      <c r="AM1425" s="75" t="str">
        <f t="shared" si="141"/>
        <v/>
      </c>
      <c r="AN1425" s="75"/>
      <c r="AO1425" s="75"/>
      <c r="AP1425" s="75"/>
      <c r="AQ1425" s="75"/>
      <c r="AR1425" s="75"/>
      <c r="AS1425" s="75"/>
      <c r="AT1425" s="75"/>
    </row>
    <row r="1426" ht="22.5" customHeight="1">
      <c r="A1426" s="219"/>
      <c r="B1426" s="219"/>
      <c r="C1426" s="219"/>
      <c r="D1426" s="219"/>
      <c r="E1426" s="219"/>
      <c r="F1426" s="219"/>
      <c r="G1426" s="219"/>
      <c r="H1426" s="219"/>
      <c r="I1426" s="249"/>
      <c r="J1426" s="243"/>
      <c r="K1426" s="219"/>
      <c r="L1426" s="244"/>
      <c r="M1426" s="219"/>
      <c r="N1426" s="219"/>
      <c r="O1426" s="219"/>
      <c r="P1426" s="244"/>
      <c r="Q1426" s="219"/>
      <c r="R1426" s="302"/>
      <c r="S1426" s="219"/>
      <c r="T1426" s="219"/>
      <c r="U1426" s="219"/>
      <c r="V1426" s="303"/>
      <c r="W1426" s="247"/>
      <c r="X1426" s="245"/>
      <c r="Y1426" s="245"/>
      <c r="Z1426" s="245"/>
      <c r="AA1426" s="245"/>
      <c r="AB1426" s="245"/>
      <c r="AC1426" s="249"/>
      <c r="AD1426" s="249"/>
      <c r="AE1426" s="249"/>
      <c r="AF1426" s="8"/>
      <c r="AG1426" s="8"/>
      <c r="AH1426" s="72"/>
      <c r="AI1426" s="8"/>
      <c r="AJ1426" s="251"/>
      <c r="AK1426" s="23"/>
      <c r="AL1426" s="75"/>
      <c r="AM1426" s="75" t="str">
        <f t="shared" si="141"/>
        <v/>
      </c>
      <c r="AN1426" s="75"/>
      <c r="AO1426" s="75"/>
      <c r="AP1426" s="75"/>
      <c r="AQ1426" s="75"/>
      <c r="AR1426" s="75"/>
      <c r="AS1426" s="75"/>
      <c r="AT1426" s="75"/>
    </row>
    <row r="1427" ht="22.5" customHeight="1">
      <c r="A1427" s="219"/>
      <c r="B1427" s="219"/>
      <c r="C1427" s="219"/>
      <c r="D1427" s="219"/>
      <c r="E1427" s="219"/>
      <c r="F1427" s="219"/>
      <c r="G1427" s="219"/>
      <c r="H1427" s="219"/>
      <c r="I1427" s="249"/>
      <c r="J1427" s="243"/>
      <c r="K1427" s="219"/>
      <c r="L1427" s="244"/>
      <c r="M1427" s="219"/>
      <c r="N1427" s="219"/>
      <c r="O1427" s="219"/>
      <c r="P1427" s="244"/>
      <c r="Q1427" s="219"/>
      <c r="R1427" s="302"/>
      <c r="S1427" s="219"/>
      <c r="T1427" s="219"/>
      <c r="U1427" s="219"/>
      <c r="V1427" s="303"/>
      <c r="W1427" s="247"/>
      <c r="X1427" s="245"/>
      <c r="Y1427" s="245"/>
      <c r="Z1427" s="245"/>
      <c r="AA1427" s="245"/>
      <c r="AB1427" s="245"/>
      <c r="AC1427" s="249"/>
      <c r="AD1427" s="249"/>
      <c r="AE1427" s="249"/>
      <c r="AF1427" s="8"/>
      <c r="AG1427" s="8"/>
      <c r="AH1427" s="72"/>
      <c r="AI1427" s="8"/>
      <c r="AJ1427" s="251"/>
      <c r="AK1427" s="23"/>
      <c r="AL1427" s="75"/>
      <c r="AM1427" s="75" t="str">
        <f t="shared" si="141"/>
        <v/>
      </c>
      <c r="AN1427" s="75"/>
      <c r="AO1427" s="75"/>
      <c r="AP1427" s="75"/>
      <c r="AQ1427" s="75"/>
      <c r="AR1427" s="75"/>
      <c r="AS1427" s="75"/>
      <c r="AT1427" s="75"/>
    </row>
    <row r="1428" ht="22.5" customHeight="1">
      <c r="A1428" s="219"/>
      <c r="B1428" s="219"/>
      <c r="C1428" s="219"/>
      <c r="D1428" s="219"/>
      <c r="E1428" s="219"/>
      <c r="F1428" s="219"/>
      <c r="G1428" s="219"/>
      <c r="H1428" s="219"/>
      <c r="I1428" s="249"/>
      <c r="J1428" s="243"/>
      <c r="K1428" s="219"/>
      <c r="L1428" s="244"/>
      <c r="M1428" s="219"/>
      <c r="N1428" s="219"/>
      <c r="O1428" s="219"/>
      <c r="P1428" s="244"/>
      <c r="Q1428" s="219"/>
      <c r="R1428" s="302"/>
      <c r="S1428" s="219"/>
      <c r="T1428" s="219"/>
      <c r="U1428" s="219"/>
      <c r="V1428" s="303"/>
      <c r="W1428" s="247"/>
      <c r="X1428" s="245"/>
      <c r="Y1428" s="245"/>
      <c r="Z1428" s="245"/>
      <c r="AA1428" s="245"/>
      <c r="AB1428" s="245"/>
      <c r="AC1428" s="249"/>
      <c r="AD1428" s="249"/>
      <c r="AE1428" s="249"/>
      <c r="AF1428" s="8"/>
      <c r="AG1428" s="8"/>
      <c r="AH1428" s="72"/>
      <c r="AI1428" s="8"/>
      <c r="AJ1428" s="251"/>
      <c r="AK1428" s="23"/>
      <c r="AL1428" s="75"/>
      <c r="AM1428" s="75" t="str">
        <f t="shared" si="141"/>
        <v/>
      </c>
      <c r="AN1428" s="75"/>
      <c r="AO1428" s="75"/>
      <c r="AP1428" s="75"/>
      <c r="AQ1428" s="75"/>
      <c r="AR1428" s="75"/>
      <c r="AS1428" s="75"/>
      <c r="AT1428" s="75"/>
    </row>
    <row r="1429" ht="22.5" customHeight="1">
      <c r="A1429" s="219"/>
      <c r="B1429" s="219"/>
      <c r="C1429" s="219"/>
      <c r="D1429" s="219"/>
      <c r="E1429" s="219"/>
      <c r="F1429" s="219"/>
      <c r="G1429" s="219"/>
      <c r="H1429" s="219"/>
      <c r="I1429" s="249"/>
      <c r="J1429" s="243"/>
      <c r="K1429" s="219"/>
      <c r="L1429" s="244"/>
      <c r="M1429" s="219"/>
      <c r="N1429" s="219"/>
      <c r="O1429" s="219"/>
      <c r="P1429" s="244"/>
      <c r="Q1429" s="219"/>
      <c r="R1429" s="302"/>
      <c r="S1429" s="219"/>
      <c r="T1429" s="219"/>
      <c r="U1429" s="219"/>
      <c r="V1429" s="303"/>
      <c r="W1429" s="247"/>
      <c r="X1429" s="245"/>
      <c r="Y1429" s="245"/>
      <c r="Z1429" s="245"/>
      <c r="AA1429" s="245"/>
      <c r="AB1429" s="245"/>
      <c r="AC1429" s="249"/>
      <c r="AD1429" s="249"/>
      <c r="AE1429" s="249"/>
      <c r="AF1429" s="8"/>
      <c r="AG1429" s="8"/>
      <c r="AH1429" s="72"/>
      <c r="AI1429" s="8"/>
      <c r="AJ1429" s="251"/>
      <c r="AK1429" s="23"/>
      <c r="AL1429" s="75"/>
      <c r="AM1429" s="75" t="str">
        <f t="shared" si="141"/>
        <v/>
      </c>
      <c r="AN1429" s="75"/>
      <c r="AO1429" s="75"/>
      <c r="AP1429" s="75"/>
      <c r="AQ1429" s="75"/>
      <c r="AR1429" s="75"/>
      <c r="AS1429" s="75"/>
      <c r="AT1429" s="75"/>
    </row>
    <row r="1430" ht="22.5" customHeight="1">
      <c r="A1430" s="219"/>
      <c r="B1430" s="219"/>
      <c r="C1430" s="219"/>
      <c r="D1430" s="219"/>
      <c r="E1430" s="219"/>
      <c r="F1430" s="219"/>
      <c r="G1430" s="219"/>
      <c r="H1430" s="219"/>
      <c r="I1430" s="249"/>
      <c r="J1430" s="243"/>
      <c r="K1430" s="219"/>
      <c r="L1430" s="244"/>
      <c r="M1430" s="219"/>
      <c r="N1430" s="219"/>
      <c r="O1430" s="219"/>
      <c r="P1430" s="244"/>
      <c r="Q1430" s="219"/>
      <c r="R1430" s="302"/>
      <c r="S1430" s="219"/>
      <c r="T1430" s="219"/>
      <c r="U1430" s="219"/>
      <c r="V1430" s="303"/>
      <c r="W1430" s="247"/>
      <c r="X1430" s="245"/>
      <c r="Y1430" s="245"/>
      <c r="Z1430" s="245"/>
      <c r="AA1430" s="245"/>
      <c r="AB1430" s="245"/>
      <c r="AC1430" s="249"/>
      <c r="AD1430" s="249"/>
      <c r="AE1430" s="249"/>
      <c r="AF1430" s="8"/>
      <c r="AG1430" s="8"/>
      <c r="AH1430" s="72"/>
      <c r="AI1430" s="8"/>
      <c r="AJ1430" s="251"/>
      <c r="AK1430" s="23"/>
      <c r="AL1430" s="75"/>
      <c r="AM1430" s="75" t="str">
        <f t="shared" si="141"/>
        <v/>
      </c>
      <c r="AN1430" s="75"/>
      <c r="AO1430" s="75"/>
      <c r="AP1430" s="75"/>
      <c r="AQ1430" s="75"/>
      <c r="AR1430" s="75"/>
      <c r="AS1430" s="75"/>
      <c r="AT1430" s="75"/>
    </row>
    <row r="1431" ht="22.5" customHeight="1">
      <c r="A1431" s="219"/>
      <c r="B1431" s="219"/>
      <c r="C1431" s="219"/>
      <c r="D1431" s="219"/>
      <c r="E1431" s="219"/>
      <c r="F1431" s="219"/>
      <c r="G1431" s="219"/>
      <c r="H1431" s="219"/>
      <c r="I1431" s="249"/>
      <c r="J1431" s="243"/>
      <c r="K1431" s="219"/>
      <c r="L1431" s="244"/>
      <c r="M1431" s="219"/>
      <c r="N1431" s="219"/>
      <c r="O1431" s="219"/>
      <c r="P1431" s="244"/>
      <c r="Q1431" s="219"/>
      <c r="R1431" s="302"/>
      <c r="S1431" s="219"/>
      <c r="T1431" s="219"/>
      <c r="U1431" s="219"/>
      <c r="V1431" s="303"/>
      <c r="W1431" s="247"/>
      <c r="X1431" s="245"/>
      <c r="Y1431" s="245"/>
      <c r="Z1431" s="245"/>
      <c r="AA1431" s="245"/>
      <c r="AB1431" s="245"/>
      <c r="AC1431" s="249"/>
      <c r="AD1431" s="249"/>
      <c r="AE1431" s="249"/>
      <c r="AF1431" s="8"/>
      <c r="AG1431" s="8"/>
      <c r="AH1431" s="72"/>
      <c r="AI1431" s="8"/>
      <c r="AJ1431" s="251"/>
      <c r="AK1431" s="23"/>
      <c r="AL1431" s="75"/>
      <c r="AM1431" s="75" t="str">
        <f t="shared" si="141"/>
        <v/>
      </c>
      <c r="AN1431" s="75"/>
      <c r="AO1431" s="75"/>
      <c r="AP1431" s="75"/>
      <c r="AQ1431" s="75"/>
      <c r="AR1431" s="75"/>
      <c r="AS1431" s="75"/>
      <c r="AT1431" s="75"/>
    </row>
    <row r="1432" ht="22.5" customHeight="1">
      <c r="A1432" s="219"/>
      <c r="B1432" s="219"/>
      <c r="C1432" s="219"/>
      <c r="D1432" s="219"/>
      <c r="E1432" s="219"/>
      <c r="F1432" s="219"/>
      <c r="G1432" s="219"/>
      <c r="H1432" s="219"/>
      <c r="I1432" s="249"/>
      <c r="J1432" s="243"/>
      <c r="K1432" s="219"/>
      <c r="L1432" s="244"/>
      <c r="M1432" s="219"/>
      <c r="N1432" s="219"/>
      <c r="O1432" s="219"/>
      <c r="P1432" s="244"/>
      <c r="Q1432" s="219"/>
      <c r="R1432" s="302"/>
      <c r="S1432" s="219"/>
      <c r="T1432" s="219"/>
      <c r="U1432" s="219"/>
      <c r="V1432" s="303"/>
      <c r="W1432" s="247"/>
      <c r="X1432" s="245"/>
      <c r="Y1432" s="245"/>
      <c r="Z1432" s="245"/>
      <c r="AA1432" s="245"/>
      <c r="AB1432" s="245"/>
      <c r="AC1432" s="249"/>
      <c r="AD1432" s="249"/>
      <c r="AE1432" s="249"/>
      <c r="AF1432" s="8"/>
      <c r="AG1432" s="8"/>
      <c r="AH1432" s="72"/>
      <c r="AI1432" s="8"/>
      <c r="AJ1432" s="251"/>
      <c r="AK1432" s="23"/>
      <c r="AL1432" s="75"/>
      <c r="AM1432" s="75" t="str">
        <f t="shared" si="141"/>
        <v/>
      </c>
      <c r="AN1432" s="75"/>
      <c r="AO1432" s="75"/>
      <c r="AP1432" s="75"/>
      <c r="AQ1432" s="75"/>
      <c r="AR1432" s="75"/>
      <c r="AS1432" s="75"/>
      <c r="AT1432" s="75"/>
    </row>
    <row r="1433" ht="22.5" customHeight="1">
      <c r="A1433" s="219"/>
      <c r="B1433" s="219"/>
      <c r="C1433" s="219"/>
      <c r="D1433" s="219"/>
      <c r="E1433" s="219"/>
      <c r="F1433" s="219"/>
      <c r="G1433" s="219"/>
      <c r="H1433" s="219"/>
      <c r="I1433" s="249"/>
      <c r="J1433" s="243"/>
      <c r="K1433" s="219"/>
      <c r="L1433" s="244"/>
      <c r="M1433" s="219"/>
      <c r="N1433" s="219"/>
      <c r="O1433" s="219"/>
      <c r="P1433" s="244"/>
      <c r="Q1433" s="219"/>
      <c r="R1433" s="302"/>
      <c r="S1433" s="219"/>
      <c r="T1433" s="219"/>
      <c r="U1433" s="219"/>
      <c r="V1433" s="303"/>
      <c r="W1433" s="247"/>
      <c r="X1433" s="245"/>
      <c r="Y1433" s="245"/>
      <c r="Z1433" s="245"/>
      <c r="AA1433" s="245"/>
      <c r="AB1433" s="245"/>
      <c r="AC1433" s="249"/>
      <c r="AD1433" s="249"/>
      <c r="AE1433" s="249"/>
      <c r="AF1433" s="8"/>
      <c r="AG1433" s="8"/>
      <c r="AH1433" s="72"/>
      <c r="AI1433" s="8"/>
      <c r="AJ1433" s="251"/>
      <c r="AK1433" s="23"/>
      <c r="AL1433" s="75"/>
      <c r="AM1433" s="75" t="str">
        <f t="shared" si="141"/>
        <v/>
      </c>
      <c r="AN1433" s="75"/>
      <c r="AO1433" s="75"/>
      <c r="AP1433" s="75"/>
      <c r="AQ1433" s="75"/>
      <c r="AR1433" s="75"/>
      <c r="AS1433" s="75"/>
      <c r="AT1433" s="75"/>
    </row>
    <row r="1434" ht="22.5" customHeight="1">
      <c r="A1434" s="219"/>
      <c r="B1434" s="219"/>
      <c r="C1434" s="219"/>
      <c r="D1434" s="219"/>
      <c r="E1434" s="219"/>
      <c r="F1434" s="219"/>
      <c r="G1434" s="219"/>
      <c r="H1434" s="219"/>
      <c r="I1434" s="249"/>
      <c r="J1434" s="243"/>
      <c r="K1434" s="219"/>
      <c r="L1434" s="244"/>
      <c r="M1434" s="219"/>
      <c r="N1434" s="219"/>
      <c r="O1434" s="219"/>
      <c r="P1434" s="244"/>
      <c r="Q1434" s="219"/>
      <c r="R1434" s="302"/>
      <c r="S1434" s="219"/>
      <c r="T1434" s="219"/>
      <c r="U1434" s="219"/>
      <c r="V1434" s="303"/>
      <c r="W1434" s="247"/>
      <c r="X1434" s="245"/>
      <c r="Y1434" s="245"/>
      <c r="Z1434" s="245"/>
      <c r="AA1434" s="245"/>
      <c r="AB1434" s="245"/>
      <c r="AC1434" s="249"/>
      <c r="AD1434" s="249"/>
      <c r="AE1434" s="249"/>
      <c r="AF1434" s="8"/>
      <c r="AG1434" s="8"/>
      <c r="AH1434" s="72"/>
      <c r="AI1434" s="8"/>
      <c r="AJ1434" s="251"/>
      <c r="AK1434" s="23"/>
      <c r="AL1434" s="75"/>
      <c r="AM1434" s="75" t="str">
        <f t="shared" si="141"/>
        <v/>
      </c>
      <c r="AN1434" s="75"/>
      <c r="AO1434" s="75"/>
      <c r="AP1434" s="75"/>
      <c r="AQ1434" s="75"/>
      <c r="AR1434" s="75"/>
      <c r="AS1434" s="75"/>
      <c r="AT1434" s="75"/>
    </row>
    <row r="1435" ht="22.5" customHeight="1">
      <c r="A1435" s="219"/>
      <c r="B1435" s="219"/>
      <c r="C1435" s="219"/>
      <c r="D1435" s="219"/>
      <c r="E1435" s="219"/>
      <c r="F1435" s="219"/>
      <c r="G1435" s="219"/>
      <c r="H1435" s="219"/>
      <c r="I1435" s="249"/>
      <c r="J1435" s="243"/>
      <c r="K1435" s="219"/>
      <c r="L1435" s="244"/>
      <c r="M1435" s="219"/>
      <c r="N1435" s="219"/>
      <c r="O1435" s="219"/>
      <c r="P1435" s="244"/>
      <c r="Q1435" s="219"/>
      <c r="R1435" s="302"/>
      <c r="S1435" s="219"/>
      <c r="T1435" s="219"/>
      <c r="U1435" s="219"/>
      <c r="V1435" s="303"/>
      <c r="W1435" s="247"/>
      <c r="X1435" s="245"/>
      <c r="Y1435" s="245"/>
      <c r="Z1435" s="245"/>
      <c r="AA1435" s="245"/>
      <c r="AB1435" s="245"/>
      <c r="AC1435" s="249"/>
      <c r="AD1435" s="249"/>
      <c r="AE1435" s="249"/>
      <c r="AF1435" s="8"/>
      <c r="AG1435" s="8"/>
      <c r="AH1435" s="72"/>
      <c r="AI1435" s="8"/>
      <c r="AJ1435" s="251"/>
      <c r="AK1435" s="23"/>
      <c r="AL1435" s="75"/>
      <c r="AM1435" s="75" t="str">
        <f t="shared" si="141"/>
        <v/>
      </c>
      <c r="AN1435" s="75"/>
      <c r="AO1435" s="75"/>
      <c r="AP1435" s="75"/>
      <c r="AQ1435" s="75"/>
      <c r="AR1435" s="75"/>
      <c r="AS1435" s="75"/>
      <c r="AT1435" s="75"/>
    </row>
    <row r="1436" ht="22.5" customHeight="1">
      <c r="A1436" s="219"/>
      <c r="B1436" s="219"/>
      <c r="C1436" s="219"/>
      <c r="D1436" s="219"/>
      <c r="E1436" s="219"/>
      <c r="F1436" s="219"/>
      <c r="G1436" s="219"/>
      <c r="H1436" s="219"/>
      <c r="I1436" s="249"/>
      <c r="J1436" s="243"/>
      <c r="K1436" s="219"/>
      <c r="L1436" s="244"/>
      <c r="M1436" s="219"/>
      <c r="N1436" s="219"/>
      <c r="O1436" s="219"/>
      <c r="P1436" s="244"/>
      <c r="Q1436" s="219"/>
      <c r="R1436" s="302"/>
      <c r="S1436" s="219"/>
      <c r="T1436" s="219"/>
      <c r="U1436" s="219"/>
      <c r="V1436" s="303"/>
      <c r="W1436" s="247"/>
      <c r="X1436" s="245"/>
      <c r="Y1436" s="245"/>
      <c r="Z1436" s="245"/>
      <c r="AA1436" s="245"/>
      <c r="AB1436" s="245"/>
      <c r="AC1436" s="249"/>
      <c r="AD1436" s="249"/>
      <c r="AE1436" s="249"/>
      <c r="AF1436" s="8"/>
      <c r="AG1436" s="8"/>
      <c r="AH1436" s="72"/>
      <c r="AI1436" s="8"/>
      <c r="AJ1436" s="251"/>
      <c r="AK1436" s="23"/>
      <c r="AL1436" s="75"/>
      <c r="AM1436" s="75" t="str">
        <f t="shared" si="141"/>
        <v/>
      </c>
      <c r="AN1436" s="75"/>
      <c r="AO1436" s="75"/>
      <c r="AP1436" s="75"/>
      <c r="AQ1436" s="75"/>
      <c r="AR1436" s="75"/>
      <c r="AS1436" s="75"/>
      <c r="AT1436" s="75"/>
    </row>
    <row r="1437" ht="22.5" customHeight="1">
      <c r="A1437" s="219"/>
      <c r="B1437" s="219"/>
      <c r="C1437" s="219"/>
      <c r="D1437" s="219"/>
      <c r="E1437" s="219"/>
      <c r="F1437" s="219"/>
      <c r="G1437" s="219"/>
      <c r="H1437" s="219"/>
      <c r="I1437" s="249"/>
      <c r="J1437" s="243"/>
      <c r="K1437" s="219"/>
      <c r="L1437" s="244"/>
      <c r="M1437" s="219"/>
      <c r="N1437" s="219"/>
      <c r="O1437" s="219"/>
      <c r="P1437" s="244"/>
      <c r="Q1437" s="219"/>
      <c r="R1437" s="302"/>
      <c r="S1437" s="219"/>
      <c r="T1437" s="219"/>
      <c r="U1437" s="219"/>
      <c r="V1437" s="303"/>
      <c r="W1437" s="247"/>
      <c r="X1437" s="245"/>
      <c r="Y1437" s="245"/>
      <c r="Z1437" s="245"/>
      <c r="AA1437" s="245"/>
      <c r="AB1437" s="245"/>
      <c r="AC1437" s="249"/>
      <c r="AD1437" s="249"/>
      <c r="AE1437" s="249"/>
      <c r="AF1437" s="8"/>
      <c r="AG1437" s="8"/>
      <c r="AH1437" s="72"/>
      <c r="AI1437" s="8"/>
      <c r="AJ1437" s="251"/>
      <c r="AK1437" s="23"/>
      <c r="AL1437" s="75"/>
      <c r="AM1437" s="75" t="str">
        <f t="shared" si="141"/>
        <v/>
      </c>
      <c r="AN1437" s="75"/>
      <c r="AO1437" s="75"/>
      <c r="AP1437" s="75"/>
      <c r="AQ1437" s="75"/>
      <c r="AR1437" s="75"/>
      <c r="AS1437" s="75"/>
      <c r="AT1437" s="75"/>
    </row>
    <row r="1438" ht="22.5" customHeight="1">
      <c r="A1438" s="219"/>
      <c r="B1438" s="219"/>
      <c r="C1438" s="219"/>
      <c r="D1438" s="219"/>
      <c r="E1438" s="219"/>
      <c r="F1438" s="219"/>
      <c r="G1438" s="219"/>
      <c r="H1438" s="219"/>
      <c r="I1438" s="249"/>
      <c r="J1438" s="243"/>
      <c r="K1438" s="219"/>
      <c r="L1438" s="244"/>
      <c r="M1438" s="219"/>
      <c r="N1438" s="219"/>
      <c r="O1438" s="219"/>
      <c r="P1438" s="244"/>
      <c r="Q1438" s="219"/>
      <c r="R1438" s="302"/>
      <c r="S1438" s="219"/>
      <c r="T1438" s="219"/>
      <c r="U1438" s="219"/>
      <c r="V1438" s="303"/>
      <c r="W1438" s="247"/>
      <c r="X1438" s="245"/>
      <c r="Y1438" s="245"/>
      <c r="Z1438" s="245"/>
      <c r="AA1438" s="245"/>
      <c r="AB1438" s="245"/>
      <c r="AC1438" s="249"/>
      <c r="AD1438" s="249"/>
      <c r="AE1438" s="249"/>
      <c r="AF1438" s="8"/>
      <c r="AG1438" s="8"/>
      <c r="AH1438" s="72"/>
      <c r="AI1438" s="8"/>
      <c r="AJ1438" s="251"/>
      <c r="AK1438" s="23"/>
      <c r="AL1438" s="75"/>
      <c r="AM1438" s="75" t="str">
        <f t="shared" si="141"/>
        <v/>
      </c>
      <c r="AN1438" s="75"/>
      <c r="AO1438" s="75"/>
      <c r="AP1438" s="75"/>
      <c r="AQ1438" s="75"/>
      <c r="AR1438" s="75"/>
      <c r="AS1438" s="75"/>
      <c r="AT1438" s="75"/>
    </row>
    <row r="1439" ht="22.5" customHeight="1">
      <c r="A1439" s="219"/>
      <c r="B1439" s="219"/>
      <c r="C1439" s="219"/>
      <c r="D1439" s="219"/>
      <c r="E1439" s="219"/>
      <c r="F1439" s="219"/>
      <c r="G1439" s="219"/>
      <c r="H1439" s="219"/>
      <c r="I1439" s="249"/>
      <c r="J1439" s="243"/>
      <c r="K1439" s="219"/>
      <c r="L1439" s="244"/>
      <c r="M1439" s="219"/>
      <c r="N1439" s="219"/>
      <c r="O1439" s="219"/>
      <c r="P1439" s="244"/>
      <c r="Q1439" s="219"/>
      <c r="R1439" s="302"/>
      <c r="S1439" s="219"/>
      <c r="T1439" s="219"/>
      <c r="U1439" s="219"/>
      <c r="V1439" s="303"/>
      <c r="W1439" s="247"/>
      <c r="X1439" s="245"/>
      <c r="Y1439" s="245"/>
      <c r="Z1439" s="245"/>
      <c r="AA1439" s="245"/>
      <c r="AB1439" s="245"/>
      <c r="AC1439" s="249"/>
      <c r="AD1439" s="249"/>
      <c r="AE1439" s="249"/>
      <c r="AF1439" s="8"/>
      <c r="AG1439" s="8"/>
      <c r="AH1439" s="72"/>
      <c r="AI1439" s="8"/>
      <c r="AJ1439" s="251"/>
      <c r="AK1439" s="23"/>
      <c r="AL1439" s="75"/>
      <c r="AM1439" s="75" t="str">
        <f t="shared" si="141"/>
        <v/>
      </c>
      <c r="AN1439" s="75"/>
      <c r="AO1439" s="75"/>
      <c r="AP1439" s="75"/>
      <c r="AQ1439" s="75"/>
      <c r="AR1439" s="75"/>
      <c r="AS1439" s="75"/>
      <c r="AT1439" s="75"/>
    </row>
    <row r="1440" ht="22.5" customHeight="1">
      <c r="A1440" s="219"/>
      <c r="B1440" s="219"/>
      <c r="C1440" s="219"/>
      <c r="D1440" s="219"/>
      <c r="E1440" s="219"/>
      <c r="F1440" s="219"/>
      <c r="G1440" s="219"/>
      <c r="H1440" s="219"/>
      <c r="I1440" s="249"/>
      <c r="J1440" s="243"/>
      <c r="K1440" s="219"/>
      <c r="L1440" s="244"/>
      <c r="M1440" s="219"/>
      <c r="N1440" s="219"/>
      <c r="O1440" s="219"/>
      <c r="P1440" s="244"/>
      <c r="Q1440" s="219"/>
      <c r="R1440" s="302"/>
      <c r="S1440" s="219"/>
      <c r="T1440" s="219"/>
      <c r="U1440" s="219"/>
      <c r="V1440" s="303"/>
      <c r="W1440" s="247"/>
      <c r="X1440" s="245"/>
      <c r="Y1440" s="245"/>
      <c r="Z1440" s="245"/>
      <c r="AA1440" s="245"/>
      <c r="AB1440" s="245"/>
      <c r="AC1440" s="249"/>
      <c r="AD1440" s="249"/>
      <c r="AE1440" s="249"/>
      <c r="AF1440" s="8"/>
      <c r="AG1440" s="8"/>
      <c r="AH1440" s="72"/>
      <c r="AI1440" s="8"/>
      <c r="AJ1440" s="251"/>
      <c r="AK1440" s="23"/>
      <c r="AL1440" s="75"/>
      <c r="AM1440" s="75" t="str">
        <f t="shared" si="141"/>
        <v/>
      </c>
      <c r="AN1440" s="75"/>
      <c r="AO1440" s="75"/>
      <c r="AP1440" s="75"/>
      <c r="AQ1440" s="75"/>
      <c r="AR1440" s="75"/>
      <c r="AS1440" s="75"/>
      <c r="AT1440" s="75"/>
    </row>
    <row r="1441" ht="22.5" customHeight="1">
      <c r="A1441" s="219"/>
      <c r="B1441" s="219"/>
      <c r="C1441" s="219"/>
      <c r="D1441" s="219"/>
      <c r="E1441" s="219"/>
      <c r="F1441" s="219"/>
      <c r="G1441" s="219"/>
      <c r="H1441" s="219"/>
      <c r="I1441" s="249"/>
      <c r="J1441" s="243"/>
      <c r="K1441" s="219"/>
      <c r="L1441" s="244"/>
      <c r="M1441" s="219"/>
      <c r="N1441" s="219"/>
      <c r="O1441" s="219"/>
      <c r="P1441" s="244"/>
      <c r="Q1441" s="219"/>
      <c r="R1441" s="302"/>
      <c r="S1441" s="219"/>
      <c r="T1441" s="219"/>
      <c r="U1441" s="219"/>
      <c r="V1441" s="303"/>
      <c r="W1441" s="247"/>
      <c r="X1441" s="245"/>
      <c r="Y1441" s="245"/>
      <c r="Z1441" s="245"/>
      <c r="AA1441" s="245"/>
      <c r="AB1441" s="245"/>
      <c r="AC1441" s="249"/>
      <c r="AD1441" s="249"/>
      <c r="AE1441" s="249"/>
      <c r="AF1441" s="8"/>
      <c r="AG1441" s="8"/>
      <c r="AH1441" s="72"/>
      <c r="AI1441" s="8"/>
      <c r="AJ1441" s="251"/>
      <c r="AK1441" s="23"/>
      <c r="AL1441" s="75"/>
      <c r="AM1441" s="75" t="str">
        <f t="shared" si="141"/>
        <v/>
      </c>
      <c r="AN1441" s="75"/>
      <c r="AO1441" s="75"/>
      <c r="AP1441" s="75"/>
      <c r="AQ1441" s="75"/>
      <c r="AR1441" s="75"/>
      <c r="AS1441" s="75"/>
      <c r="AT1441" s="75"/>
    </row>
    <row r="1442" ht="22.5" customHeight="1">
      <c r="A1442" s="219"/>
      <c r="B1442" s="219"/>
      <c r="C1442" s="219"/>
      <c r="D1442" s="219"/>
      <c r="E1442" s="219"/>
      <c r="F1442" s="219"/>
      <c r="G1442" s="219"/>
      <c r="H1442" s="219"/>
      <c r="I1442" s="249"/>
      <c r="J1442" s="243"/>
      <c r="K1442" s="219"/>
      <c r="L1442" s="244"/>
      <c r="M1442" s="219"/>
      <c r="N1442" s="219"/>
      <c r="O1442" s="219"/>
      <c r="P1442" s="244"/>
      <c r="Q1442" s="219"/>
      <c r="R1442" s="302"/>
      <c r="S1442" s="219"/>
      <c r="T1442" s="219"/>
      <c r="U1442" s="219"/>
      <c r="V1442" s="303"/>
      <c r="W1442" s="247"/>
      <c r="X1442" s="245"/>
      <c r="Y1442" s="245"/>
      <c r="Z1442" s="245"/>
      <c r="AA1442" s="245"/>
      <c r="AB1442" s="245"/>
      <c r="AC1442" s="249"/>
      <c r="AD1442" s="249"/>
      <c r="AE1442" s="249"/>
      <c r="AF1442" s="8"/>
      <c r="AG1442" s="8"/>
      <c r="AH1442" s="72"/>
      <c r="AI1442" s="8"/>
      <c r="AJ1442" s="251"/>
      <c r="AK1442" s="23"/>
      <c r="AL1442" s="75"/>
      <c r="AM1442" s="75" t="str">
        <f t="shared" si="141"/>
        <v/>
      </c>
      <c r="AN1442" s="75"/>
      <c r="AO1442" s="75"/>
      <c r="AP1442" s="75"/>
      <c r="AQ1442" s="75"/>
      <c r="AR1442" s="75"/>
      <c r="AS1442" s="75"/>
      <c r="AT1442" s="75"/>
    </row>
    <row r="1443" ht="22.5" customHeight="1">
      <c r="A1443" s="219"/>
      <c r="B1443" s="219"/>
      <c r="C1443" s="219"/>
      <c r="D1443" s="219"/>
      <c r="E1443" s="219"/>
      <c r="F1443" s="219"/>
      <c r="G1443" s="219"/>
      <c r="H1443" s="219"/>
      <c r="I1443" s="249"/>
      <c r="J1443" s="243"/>
      <c r="K1443" s="219"/>
      <c r="L1443" s="244"/>
      <c r="M1443" s="219"/>
      <c r="N1443" s="219"/>
      <c r="O1443" s="219"/>
      <c r="P1443" s="244"/>
      <c r="Q1443" s="219"/>
      <c r="R1443" s="302"/>
      <c r="S1443" s="219"/>
      <c r="T1443" s="219"/>
      <c r="U1443" s="219"/>
      <c r="V1443" s="303"/>
      <c r="W1443" s="247"/>
      <c r="X1443" s="245"/>
      <c r="Y1443" s="245"/>
      <c r="Z1443" s="245"/>
      <c r="AA1443" s="245"/>
      <c r="AB1443" s="245"/>
      <c r="AC1443" s="249"/>
      <c r="AD1443" s="249"/>
      <c r="AE1443" s="249"/>
      <c r="AF1443" s="8"/>
      <c r="AG1443" s="8"/>
      <c r="AH1443" s="72"/>
      <c r="AI1443" s="8"/>
      <c r="AJ1443" s="251"/>
      <c r="AK1443" s="23"/>
      <c r="AL1443" s="75"/>
      <c r="AM1443" s="75" t="str">
        <f t="shared" si="141"/>
        <v/>
      </c>
      <c r="AN1443" s="75"/>
      <c r="AO1443" s="75"/>
      <c r="AP1443" s="75"/>
      <c r="AQ1443" s="75"/>
      <c r="AR1443" s="75"/>
      <c r="AS1443" s="75"/>
      <c r="AT1443" s="75"/>
    </row>
    <row r="1444" ht="22.5" customHeight="1">
      <c r="A1444" s="219"/>
      <c r="B1444" s="219"/>
      <c r="C1444" s="219"/>
      <c r="D1444" s="219"/>
      <c r="E1444" s="219"/>
      <c r="F1444" s="219"/>
      <c r="G1444" s="219"/>
      <c r="H1444" s="219"/>
      <c r="I1444" s="249"/>
      <c r="J1444" s="243"/>
      <c r="K1444" s="219"/>
      <c r="L1444" s="244"/>
      <c r="M1444" s="219"/>
      <c r="N1444" s="219"/>
      <c r="O1444" s="219"/>
      <c r="P1444" s="244"/>
      <c r="Q1444" s="219"/>
      <c r="R1444" s="302"/>
      <c r="S1444" s="219"/>
      <c r="T1444" s="219"/>
      <c r="U1444" s="219"/>
      <c r="V1444" s="303"/>
      <c r="W1444" s="247"/>
      <c r="X1444" s="245"/>
      <c r="Y1444" s="245"/>
      <c r="Z1444" s="245"/>
      <c r="AA1444" s="245"/>
      <c r="AB1444" s="245"/>
      <c r="AC1444" s="249"/>
      <c r="AD1444" s="249"/>
      <c r="AE1444" s="249"/>
      <c r="AF1444" s="8"/>
      <c r="AG1444" s="8"/>
      <c r="AH1444" s="72"/>
      <c r="AI1444" s="8"/>
      <c r="AJ1444" s="251"/>
      <c r="AK1444" s="23"/>
      <c r="AL1444" s="75"/>
      <c r="AM1444" s="75" t="str">
        <f t="shared" si="141"/>
        <v/>
      </c>
      <c r="AN1444" s="75"/>
      <c r="AO1444" s="75"/>
      <c r="AP1444" s="75"/>
      <c r="AQ1444" s="75"/>
      <c r="AR1444" s="75"/>
      <c r="AS1444" s="75"/>
      <c r="AT1444" s="75"/>
    </row>
    <row r="1445" ht="22.5" customHeight="1">
      <c r="A1445" s="219"/>
      <c r="B1445" s="219"/>
      <c r="C1445" s="219"/>
      <c r="D1445" s="219"/>
      <c r="E1445" s="219"/>
      <c r="F1445" s="219"/>
      <c r="G1445" s="219"/>
      <c r="H1445" s="219"/>
      <c r="I1445" s="249"/>
      <c r="J1445" s="243"/>
      <c r="K1445" s="219"/>
      <c r="L1445" s="244"/>
      <c r="M1445" s="219"/>
      <c r="N1445" s="219"/>
      <c r="O1445" s="219"/>
      <c r="P1445" s="244"/>
      <c r="Q1445" s="219"/>
      <c r="R1445" s="302"/>
      <c r="S1445" s="219"/>
      <c r="T1445" s="219"/>
      <c r="U1445" s="219"/>
      <c r="V1445" s="303"/>
      <c r="W1445" s="247"/>
      <c r="X1445" s="245"/>
      <c r="Y1445" s="245"/>
      <c r="Z1445" s="245"/>
      <c r="AA1445" s="245"/>
      <c r="AB1445" s="245"/>
      <c r="AC1445" s="249"/>
      <c r="AD1445" s="249"/>
      <c r="AE1445" s="249"/>
      <c r="AF1445" s="8"/>
      <c r="AG1445" s="8"/>
      <c r="AH1445" s="72"/>
      <c r="AI1445" s="8"/>
      <c r="AJ1445" s="251"/>
      <c r="AK1445" s="23"/>
      <c r="AL1445" s="75"/>
      <c r="AM1445" s="75" t="str">
        <f t="shared" si="141"/>
        <v/>
      </c>
      <c r="AN1445" s="75"/>
      <c r="AO1445" s="75"/>
      <c r="AP1445" s="75"/>
      <c r="AQ1445" s="75"/>
      <c r="AR1445" s="75"/>
      <c r="AS1445" s="75"/>
      <c r="AT1445" s="75"/>
    </row>
    <row r="1446" ht="22.5" customHeight="1">
      <c r="A1446" s="219"/>
      <c r="B1446" s="219"/>
      <c r="C1446" s="219"/>
      <c r="D1446" s="219"/>
      <c r="E1446" s="219"/>
      <c r="F1446" s="219"/>
      <c r="G1446" s="219"/>
      <c r="H1446" s="219"/>
      <c r="I1446" s="249"/>
      <c r="J1446" s="243"/>
      <c r="K1446" s="219"/>
      <c r="L1446" s="244"/>
      <c r="M1446" s="219"/>
      <c r="N1446" s="219"/>
      <c r="O1446" s="219"/>
      <c r="P1446" s="244"/>
      <c r="Q1446" s="219"/>
      <c r="R1446" s="302"/>
      <c r="S1446" s="219"/>
      <c r="T1446" s="219"/>
      <c r="U1446" s="219"/>
      <c r="V1446" s="303"/>
      <c r="W1446" s="247"/>
      <c r="X1446" s="245"/>
      <c r="Y1446" s="245"/>
      <c r="Z1446" s="245"/>
      <c r="AA1446" s="245"/>
      <c r="AB1446" s="245"/>
      <c r="AC1446" s="249"/>
      <c r="AD1446" s="249"/>
      <c r="AE1446" s="249"/>
      <c r="AF1446" s="8"/>
      <c r="AG1446" s="8"/>
      <c r="AH1446" s="72"/>
      <c r="AI1446" s="8"/>
      <c r="AJ1446" s="251"/>
      <c r="AK1446" s="23"/>
      <c r="AL1446" s="75"/>
      <c r="AM1446" s="75" t="str">
        <f t="shared" si="141"/>
        <v/>
      </c>
      <c r="AN1446" s="75"/>
      <c r="AO1446" s="75"/>
      <c r="AP1446" s="75"/>
      <c r="AQ1446" s="75"/>
      <c r="AR1446" s="75"/>
      <c r="AS1446" s="75"/>
      <c r="AT1446" s="75"/>
    </row>
    <row r="1447" ht="22.5" customHeight="1">
      <c r="A1447" s="219"/>
      <c r="B1447" s="219"/>
      <c r="C1447" s="219"/>
      <c r="D1447" s="219"/>
      <c r="E1447" s="219"/>
      <c r="F1447" s="219"/>
      <c r="G1447" s="219"/>
      <c r="H1447" s="219"/>
      <c r="I1447" s="249"/>
      <c r="J1447" s="243"/>
      <c r="K1447" s="219"/>
      <c r="L1447" s="244"/>
      <c r="M1447" s="219"/>
      <c r="N1447" s="219"/>
      <c r="O1447" s="219"/>
      <c r="P1447" s="244"/>
      <c r="Q1447" s="219"/>
      <c r="R1447" s="302"/>
      <c r="S1447" s="219"/>
      <c r="T1447" s="219"/>
      <c r="U1447" s="219"/>
      <c r="V1447" s="303"/>
      <c r="W1447" s="247"/>
      <c r="X1447" s="245"/>
      <c r="Y1447" s="245"/>
      <c r="Z1447" s="245"/>
      <c r="AA1447" s="245"/>
      <c r="AB1447" s="245"/>
      <c r="AC1447" s="249"/>
      <c r="AD1447" s="249"/>
      <c r="AE1447" s="249"/>
      <c r="AF1447" s="8"/>
      <c r="AG1447" s="8"/>
      <c r="AH1447" s="72"/>
      <c r="AI1447" s="8"/>
      <c r="AJ1447" s="251"/>
      <c r="AK1447" s="23"/>
      <c r="AL1447" s="75"/>
      <c r="AM1447" s="75" t="str">
        <f t="shared" si="141"/>
        <v/>
      </c>
      <c r="AN1447" s="75"/>
      <c r="AO1447" s="75"/>
      <c r="AP1447" s="75"/>
      <c r="AQ1447" s="75"/>
      <c r="AR1447" s="75"/>
      <c r="AS1447" s="75"/>
      <c r="AT1447" s="75"/>
    </row>
    <row r="1448" ht="22.5" customHeight="1">
      <c r="A1448" s="219"/>
      <c r="B1448" s="219"/>
      <c r="C1448" s="219"/>
      <c r="D1448" s="219"/>
      <c r="E1448" s="219"/>
      <c r="F1448" s="219"/>
      <c r="G1448" s="219"/>
      <c r="H1448" s="219"/>
      <c r="I1448" s="249"/>
      <c r="J1448" s="243"/>
      <c r="K1448" s="219"/>
      <c r="L1448" s="244"/>
      <c r="M1448" s="219"/>
      <c r="N1448" s="219"/>
      <c r="O1448" s="219"/>
      <c r="P1448" s="244"/>
      <c r="Q1448" s="219"/>
      <c r="R1448" s="302"/>
      <c r="S1448" s="219"/>
      <c r="T1448" s="219"/>
      <c r="U1448" s="219"/>
      <c r="V1448" s="303"/>
      <c r="W1448" s="247"/>
      <c r="X1448" s="245"/>
      <c r="Y1448" s="245"/>
      <c r="Z1448" s="245"/>
      <c r="AA1448" s="245"/>
      <c r="AB1448" s="245"/>
      <c r="AC1448" s="249"/>
      <c r="AD1448" s="249"/>
      <c r="AE1448" s="249"/>
      <c r="AF1448" s="8"/>
      <c r="AG1448" s="8"/>
      <c r="AH1448" s="72"/>
      <c r="AI1448" s="8"/>
      <c r="AJ1448" s="251"/>
      <c r="AK1448" s="23"/>
      <c r="AL1448" s="75"/>
      <c r="AM1448" s="75" t="str">
        <f t="shared" si="141"/>
        <v/>
      </c>
      <c r="AN1448" s="75"/>
      <c r="AO1448" s="75"/>
      <c r="AP1448" s="75"/>
      <c r="AQ1448" s="75"/>
      <c r="AR1448" s="75"/>
      <c r="AS1448" s="75"/>
      <c r="AT1448" s="75"/>
    </row>
    <row r="1449" ht="22.5" customHeight="1">
      <c r="A1449" s="219"/>
      <c r="B1449" s="219"/>
      <c r="C1449" s="219"/>
      <c r="D1449" s="219"/>
      <c r="E1449" s="219"/>
      <c r="F1449" s="219"/>
      <c r="G1449" s="219"/>
      <c r="H1449" s="219"/>
      <c r="I1449" s="249"/>
      <c r="J1449" s="243"/>
      <c r="K1449" s="219"/>
      <c r="L1449" s="244"/>
      <c r="M1449" s="219"/>
      <c r="N1449" s="219"/>
      <c r="O1449" s="219"/>
      <c r="P1449" s="244"/>
      <c r="Q1449" s="219"/>
      <c r="R1449" s="302"/>
      <c r="S1449" s="219"/>
      <c r="T1449" s="219"/>
      <c r="U1449" s="219"/>
      <c r="V1449" s="303"/>
      <c r="W1449" s="247"/>
      <c r="X1449" s="245"/>
      <c r="Y1449" s="245"/>
      <c r="Z1449" s="245"/>
      <c r="AA1449" s="245"/>
      <c r="AB1449" s="245"/>
      <c r="AC1449" s="249"/>
      <c r="AD1449" s="249"/>
      <c r="AE1449" s="249"/>
      <c r="AF1449" s="8"/>
      <c r="AG1449" s="8"/>
      <c r="AH1449" s="72"/>
      <c r="AI1449" s="8"/>
      <c r="AJ1449" s="251"/>
      <c r="AK1449" s="23"/>
      <c r="AL1449" s="75"/>
      <c r="AM1449" s="75" t="str">
        <f t="shared" si="141"/>
        <v/>
      </c>
      <c r="AN1449" s="75"/>
      <c r="AO1449" s="75"/>
      <c r="AP1449" s="75"/>
      <c r="AQ1449" s="75"/>
      <c r="AR1449" s="75"/>
      <c r="AS1449" s="75"/>
      <c r="AT1449" s="75"/>
    </row>
    <row r="1450" ht="22.5" customHeight="1">
      <c r="A1450" s="219"/>
      <c r="B1450" s="219"/>
      <c r="C1450" s="219"/>
      <c r="D1450" s="219"/>
      <c r="E1450" s="219"/>
      <c r="F1450" s="219"/>
      <c r="G1450" s="219"/>
      <c r="H1450" s="219"/>
      <c r="I1450" s="249"/>
      <c r="J1450" s="243"/>
      <c r="K1450" s="219"/>
      <c r="L1450" s="244"/>
      <c r="M1450" s="219"/>
      <c r="N1450" s="219"/>
      <c r="O1450" s="219"/>
      <c r="P1450" s="244"/>
      <c r="Q1450" s="219"/>
      <c r="R1450" s="302"/>
      <c r="S1450" s="219"/>
      <c r="T1450" s="219"/>
      <c r="U1450" s="219"/>
      <c r="V1450" s="303"/>
      <c r="W1450" s="247"/>
      <c r="X1450" s="245"/>
      <c r="Y1450" s="245"/>
      <c r="Z1450" s="245"/>
      <c r="AA1450" s="245"/>
      <c r="AB1450" s="245"/>
      <c r="AC1450" s="249"/>
      <c r="AD1450" s="249"/>
      <c r="AE1450" s="249"/>
      <c r="AF1450" s="8"/>
      <c r="AG1450" s="8"/>
      <c r="AH1450" s="72"/>
      <c r="AI1450" s="8"/>
      <c r="AJ1450" s="251"/>
      <c r="AK1450" s="23"/>
      <c r="AL1450" s="75"/>
      <c r="AM1450" s="75" t="str">
        <f t="shared" si="141"/>
        <v/>
      </c>
      <c r="AN1450" s="75"/>
      <c r="AO1450" s="75"/>
      <c r="AP1450" s="75"/>
      <c r="AQ1450" s="75"/>
      <c r="AR1450" s="75"/>
      <c r="AS1450" s="75"/>
      <c r="AT1450" s="75"/>
    </row>
    <row r="1451" ht="22.5" customHeight="1">
      <c r="A1451" s="219"/>
      <c r="B1451" s="219"/>
      <c r="C1451" s="219"/>
      <c r="D1451" s="219"/>
      <c r="E1451" s="219"/>
      <c r="F1451" s="219"/>
      <c r="G1451" s="219"/>
      <c r="H1451" s="219"/>
      <c r="I1451" s="249"/>
      <c r="J1451" s="243"/>
      <c r="K1451" s="219"/>
      <c r="L1451" s="244"/>
      <c r="M1451" s="219"/>
      <c r="N1451" s="219"/>
      <c r="O1451" s="219"/>
      <c r="P1451" s="244"/>
      <c r="Q1451" s="219"/>
      <c r="R1451" s="302"/>
      <c r="S1451" s="219"/>
      <c r="T1451" s="219"/>
      <c r="U1451" s="219"/>
      <c r="V1451" s="303"/>
      <c r="W1451" s="247"/>
      <c r="X1451" s="245"/>
      <c r="Y1451" s="245"/>
      <c r="Z1451" s="245"/>
      <c r="AA1451" s="245"/>
      <c r="AB1451" s="245"/>
      <c r="AC1451" s="249"/>
      <c r="AD1451" s="249"/>
      <c r="AE1451" s="249"/>
      <c r="AF1451" s="8"/>
      <c r="AG1451" s="8"/>
      <c r="AH1451" s="72"/>
      <c r="AI1451" s="8"/>
      <c r="AJ1451" s="251"/>
      <c r="AK1451" s="23"/>
      <c r="AL1451" s="75"/>
      <c r="AM1451" s="75" t="str">
        <f t="shared" si="141"/>
        <v/>
      </c>
      <c r="AN1451" s="75"/>
      <c r="AO1451" s="75"/>
      <c r="AP1451" s="75"/>
      <c r="AQ1451" s="75"/>
      <c r="AR1451" s="75"/>
      <c r="AS1451" s="75"/>
      <c r="AT1451" s="75"/>
    </row>
    <row r="1452" ht="22.5" customHeight="1">
      <c r="A1452" s="219"/>
      <c r="B1452" s="219"/>
      <c r="C1452" s="219"/>
      <c r="D1452" s="219"/>
      <c r="E1452" s="219"/>
      <c r="F1452" s="219"/>
      <c r="G1452" s="219"/>
      <c r="H1452" s="219"/>
      <c r="I1452" s="249"/>
      <c r="J1452" s="243"/>
      <c r="K1452" s="219"/>
      <c r="L1452" s="244"/>
      <c r="M1452" s="219"/>
      <c r="N1452" s="219"/>
      <c r="O1452" s="219"/>
      <c r="P1452" s="244"/>
      <c r="Q1452" s="219"/>
      <c r="R1452" s="302"/>
      <c r="S1452" s="219"/>
      <c r="T1452" s="219"/>
      <c r="U1452" s="219"/>
      <c r="V1452" s="303"/>
      <c r="W1452" s="247"/>
      <c r="X1452" s="245"/>
      <c r="Y1452" s="245"/>
      <c r="Z1452" s="245"/>
      <c r="AA1452" s="245"/>
      <c r="AB1452" s="245"/>
      <c r="AC1452" s="249"/>
      <c r="AD1452" s="249"/>
      <c r="AE1452" s="249"/>
      <c r="AF1452" s="8"/>
      <c r="AG1452" s="8"/>
      <c r="AH1452" s="72"/>
      <c r="AI1452" s="8"/>
      <c r="AJ1452" s="251"/>
      <c r="AK1452" s="23"/>
      <c r="AL1452" s="75"/>
      <c r="AM1452" s="75" t="str">
        <f t="shared" si="141"/>
        <v/>
      </c>
      <c r="AN1452" s="75"/>
      <c r="AO1452" s="75"/>
      <c r="AP1452" s="75"/>
      <c r="AQ1452" s="75"/>
      <c r="AR1452" s="75"/>
      <c r="AS1452" s="75"/>
      <c r="AT1452" s="75"/>
    </row>
    <row r="1453" ht="22.5" customHeight="1">
      <c r="A1453" s="219"/>
      <c r="B1453" s="219"/>
      <c r="C1453" s="219"/>
      <c r="D1453" s="219"/>
      <c r="E1453" s="219"/>
      <c r="F1453" s="219"/>
      <c r="G1453" s="219"/>
      <c r="H1453" s="219"/>
      <c r="I1453" s="249"/>
      <c r="J1453" s="243"/>
      <c r="K1453" s="219"/>
      <c r="L1453" s="244"/>
      <c r="M1453" s="219"/>
      <c r="N1453" s="219"/>
      <c r="O1453" s="219"/>
      <c r="P1453" s="244"/>
      <c r="Q1453" s="219"/>
      <c r="R1453" s="302"/>
      <c r="S1453" s="219"/>
      <c r="T1453" s="219"/>
      <c r="U1453" s="219"/>
      <c r="V1453" s="303"/>
      <c r="W1453" s="247"/>
      <c r="X1453" s="245"/>
      <c r="Y1453" s="245"/>
      <c r="Z1453" s="245"/>
      <c r="AA1453" s="245"/>
      <c r="AB1453" s="245"/>
      <c r="AC1453" s="249"/>
      <c r="AD1453" s="249"/>
      <c r="AE1453" s="249"/>
      <c r="AF1453" s="8"/>
      <c r="AG1453" s="8"/>
      <c r="AH1453" s="72"/>
      <c r="AI1453" s="8"/>
      <c r="AJ1453" s="251"/>
      <c r="AK1453" s="23"/>
      <c r="AL1453" s="75"/>
      <c r="AM1453" s="75" t="str">
        <f t="shared" si="141"/>
        <v/>
      </c>
      <c r="AN1453" s="75"/>
      <c r="AO1453" s="75"/>
      <c r="AP1453" s="75"/>
      <c r="AQ1453" s="75"/>
      <c r="AR1453" s="75"/>
      <c r="AS1453" s="75"/>
      <c r="AT1453" s="75"/>
    </row>
    <row r="1454" ht="22.5" customHeight="1">
      <c r="A1454" s="219"/>
      <c r="B1454" s="219"/>
      <c r="C1454" s="219"/>
      <c r="D1454" s="219"/>
      <c r="E1454" s="219"/>
      <c r="F1454" s="219"/>
      <c r="G1454" s="219"/>
      <c r="H1454" s="219"/>
      <c r="I1454" s="249"/>
      <c r="J1454" s="243"/>
      <c r="K1454" s="219"/>
      <c r="L1454" s="244"/>
      <c r="M1454" s="219"/>
      <c r="N1454" s="219"/>
      <c r="O1454" s="219"/>
      <c r="P1454" s="244"/>
      <c r="Q1454" s="219"/>
      <c r="R1454" s="302"/>
      <c r="S1454" s="219"/>
      <c r="T1454" s="219"/>
      <c r="U1454" s="219"/>
      <c r="V1454" s="303"/>
      <c r="W1454" s="247"/>
      <c r="X1454" s="245"/>
      <c r="Y1454" s="245"/>
      <c r="Z1454" s="245"/>
      <c r="AA1454" s="245"/>
      <c r="AB1454" s="245"/>
      <c r="AC1454" s="249"/>
      <c r="AD1454" s="249"/>
      <c r="AE1454" s="249"/>
      <c r="AF1454" s="8"/>
      <c r="AG1454" s="8"/>
      <c r="AH1454" s="72"/>
      <c r="AI1454" s="8"/>
      <c r="AJ1454" s="251"/>
      <c r="AK1454" s="23"/>
      <c r="AL1454" s="75"/>
      <c r="AM1454" s="75" t="str">
        <f t="shared" si="141"/>
        <v/>
      </c>
      <c r="AN1454" s="75"/>
      <c r="AO1454" s="75"/>
      <c r="AP1454" s="75"/>
      <c r="AQ1454" s="75"/>
      <c r="AR1454" s="75"/>
      <c r="AS1454" s="75"/>
      <c r="AT1454" s="75"/>
    </row>
    <row r="1455" ht="22.5" customHeight="1">
      <c r="A1455" s="219"/>
      <c r="B1455" s="219"/>
      <c r="C1455" s="219"/>
      <c r="D1455" s="219"/>
      <c r="E1455" s="219"/>
      <c r="F1455" s="219"/>
      <c r="G1455" s="219"/>
      <c r="H1455" s="219"/>
      <c r="I1455" s="249"/>
      <c r="J1455" s="243"/>
      <c r="K1455" s="219"/>
      <c r="L1455" s="244"/>
      <c r="M1455" s="219"/>
      <c r="N1455" s="219"/>
      <c r="O1455" s="219"/>
      <c r="P1455" s="244"/>
      <c r="Q1455" s="219"/>
      <c r="R1455" s="302"/>
      <c r="S1455" s="219"/>
      <c r="T1455" s="219"/>
      <c r="U1455" s="219"/>
      <c r="V1455" s="303"/>
      <c r="W1455" s="247"/>
      <c r="X1455" s="245"/>
      <c r="Y1455" s="245"/>
      <c r="Z1455" s="245"/>
      <c r="AA1455" s="245"/>
      <c r="AB1455" s="245"/>
      <c r="AC1455" s="249"/>
      <c r="AD1455" s="249"/>
      <c r="AE1455" s="249"/>
      <c r="AF1455" s="8"/>
      <c r="AG1455" s="8"/>
      <c r="AH1455" s="72"/>
      <c r="AI1455" s="8"/>
      <c r="AJ1455" s="251"/>
      <c r="AK1455" s="23"/>
      <c r="AL1455" s="75"/>
      <c r="AM1455" s="75" t="str">
        <f t="shared" si="141"/>
        <v/>
      </c>
      <c r="AN1455" s="75"/>
      <c r="AO1455" s="75"/>
      <c r="AP1455" s="75"/>
      <c r="AQ1455" s="75"/>
      <c r="AR1455" s="75"/>
      <c r="AS1455" s="75"/>
      <c r="AT1455" s="75"/>
    </row>
    <row r="1456" ht="22.5" customHeight="1">
      <c r="A1456" s="219"/>
      <c r="B1456" s="219"/>
      <c r="C1456" s="219"/>
      <c r="D1456" s="219"/>
      <c r="E1456" s="219"/>
      <c r="F1456" s="219"/>
      <c r="G1456" s="219"/>
      <c r="H1456" s="219"/>
      <c r="I1456" s="249"/>
      <c r="J1456" s="243"/>
      <c r="K1456" s="219"/>
      <c r="L1456" s="244"/>
      <c r="M1456" s="219"/>
      <c r="N1456" s="219"/>
      <c r="O1456" s="219"/>
      <c r="P1456" s="244"/>
      <c r="Q1456" s="219"/>
      <c r="R1456" s="302"/>
      <c r="S1456" s="219"/>
      <c r="T1456" s="219"/>
      <c r="U1456" s="219"/>
      <c r="V1456" s="303"/>
      <c r="W1456" s="247"/>
      <c r="X1456" s="245"/>
      <c r="Y1456" s="245"/>
      <c r="Z1456" s="245"/>
      <c r="AA1456" s="245"/>
      <c r="AB1456" s="245"/>
      <c r="AC1456" s="249"/>
      <c r="AD1456" s="249"/>
      <c r="AE1456" s="249"/>
      <c r="AF1456" s="8"/>
      <c r="AG1456" s="8"/>
      <c r="AH1456" s="72"/>
      <c r="AI1456" s="8"/>
      <c r="AJ1456" s="251"/>
      <c r="AK1456" s="23"/>
      <c r="AL1456" s="75"/>
      <c r="AM1456" s="75" t="str">
        <f t="shared" si="141"/>
        <v/>
      </c>
      <c r="AN1456" s="75"/>
      <c r="AO1456" s="75"/>
      <c r="AP1456" s="75"/>
      <c r="AQ1456" s="75"/>
      <c r="AR1456" s="75"/>
      <c r="AS1456" s="75"/>
      <c r="AT1456" s="75"/>
    </row>
    <row r="1457" ht="22.5" customHeight="1">
      <c r="A1457" s="219"/>
      <c r="B1457" s="219"/>
      <c r="C1457" s="219"/>
      <c r="D1457" s="219"/>
      <c r="E1457" s="219"/>
      <c r="F1457" s="219"/>
      <c r="G1457" s="219"/>
      <c r="H1457" s="219"/>
      <c r="I1457" s="249"/>
      <c r="J1457" s="243"/>
      <c r="K1457" s="219"/>
      <c r="L1457" s="244"/>
      <c r="M1457" s="219"/>
      <c r="N1457" s="219"/>
      <c r="O1457" s="219"/>
      <c r="P1457" s="244"/>
      <c r="Q1457" s="219"/>
      <c r="R1457" s="302"/>
      <c r="S1457" s="219"/>
      <c r="T1457" s="219"/>
      <c r="U1457" s="219"/>
      <c r="V1457" s="303"/>
      <c r="W1457" s="247"/>
      <c r="X1457" s="245"/>
      <c r="Y1457" s="245"/>
      <c r="Z1457" s="245"/>
      <c r="AA1457" s="245"/>
      <c r="AB1457" s="245"/>
      <c r="AC1457" s="249"/>
      <c r="AD1457" s="249"/>
      <c r="AE1457" s="249"/>
      <c r="AF1457" s="8"/>
      <c r="AG1457" s="8"/>
      <c r="AH1457" s="72"/>
      <c r="AI1457" s="8"/>
      <c r="AJ1457" s="251"/>
      <c r="AK1457" s="23"/>
      <c r="AL1457" s="75"/>
      <c r="AM1457" s="75" t="str">
        <f t="shared" si="141"/>
        <v/>
      </c>
      <c r="AN1457" s="75"/>
      <c r="AO1457" s="75"/>
      <c r="AP1457" s="75"/>
      <c r="AQ1457" s="75"/>
      <c r="AR1457" s="75"/>
      <c r="AS1457" s="75"/>
      <c r="AT1457" s="75"/>
    </row>
    <row r="1458" ht="22.5" customHeight="1">
      <c r="A1458" s="219"/>
      <c r="B1458" s="219"/>
      <c r="C1458" s="219"/>
      <c r="D1458" s="219"/>
      <c r="E1458" s="219"/>
      <c r="F1458" s="219"/>
      <c r="G1458" s="219"/>
      <c r="H1458" s="219"/>
      <c r="I1458" s="249"/>
      <c r="J1458" s="243"/>
      <c r="K1458" s="219"/>
      <c r="L1458" s="244"/>
      <c r="M1458" s="219"/>
      <c r="N1458" s="219"/>
      <c r="O1458" s="219"/>
      <c r="P1458" s="244"/>
      <c r="Q1458" s="219"/>
      <c r="R1458" s="302"/>
      <c r="S1458" s="219"/>
      <c r="T1458" s="219"/>
      <c r="U1458" s="219"/>
      <c r="V1458" s="303"/>
      <c r="W1458" s="247"/>
      <c r="X1458" s="245"/>
      <c r="Y1458" s="245"/>
      <c r="Z1458" s="245"/>
      <c r="AA1458" s="245"/>
      <c r="AB1458" s="245"/>
      <c r="AC1458" s="249"/>
      <c r="AD1458" s="249"/>
      <c r="AE1458" s="249"/>
      <c r="AF1458" s="8"/>
      <c r="AG1458" s="8"/>
      <c r="AH1458" s="72"/>
      <c r="AI1458" s="8"/>
      <c r="AJ1458" s="251"/>
      <c r="AK1458" s="23"/>
      <c r="AL1458" s="75"/>
      <c r="AM1458" s="75" t="str">
        <f t="shared" si="141"/>
        <v/>
      </c>
      <c r="AN1458" s="75"/>
      <c r="AO1458" s="75"/>
      <c r="AP1458" s="75"/>
      <c r="AQ1458" s="75"/>
      <c r="AR1458" s="75"/>
      <c r="AS1458" s="75"/>
      <c r="AT1458" s="75"/>
    </row>
    <row r="1459" ht="22.5" customHeight="1">
      <c r="A1459" s="219"/>
      <c r="B1459" s="219"/>
      <c r="C1459" s="219"/>
      <c r="D1459" s="219"/>
      <c r="E1459" s="219"/>
      <c r="F1459" s="219"/>
      <c r="G1459" s="219"/>
      <c r="H1459" s="219"/>
      <c r="I1459" s="249"/>
      <c r="J1459" s="243"/>
      <c r="K1459" s="219"/>
      <c r="L1459" s="244"/>
      <c r="M1459" s="219"/>
      <c r="N1459" s="219"/>
      <c r="O1459" s="219"/>
      <c r="P1459" s="244"/>
      <c r="Q1459" s="219"/>
      <c r="R1459" s="302"/>
      <c r="S1459" s="219"/>
      <c r="T1459" s="219"/>
      <c r="U1459" s="219"/>
      <c r="V1459" s="303"/>
      <c r="W1459" s="247"/>
      <c r="X1459" s="245"/>
      <c r="Y1459" s="245"/>
      <c r="Z1459" s="245"/>
      <c r="AA1459" s="245"/>
      <c r="AB1459" s="245"/>
      <c r="AC1459" s="249"/>
      <c r="AD1459" s="249"/>
      <c r="AE1459" s="249"/>
      <c r="AF1459" s="8"/>
      <c r="AG1459" s="8"/>
      <c r="AH1459" s="72"/>
      <c r="AI1459" s="8"/>
      <c r="AJ1459" s="251"/>
      <c r="AK1459" s="23"/>
      <c r="AL1459" s="75"/>
      <c r="AM1459" s="75" t="str">
        <f t="shared" si="141"/>
        <v/>
      </c>
      <c r="AN1459" s="75"/>
      <c r="AO1459" s="75"/>
      <c r="AP1459" s="75"/>
      <c r="AQ1459" s="75"/>
      <c r="AR1459" s="75"/>
      <c r="AS1459" s="75"/>
      <c r="AT1459" s="75"/>
    </row>
    <row r="1460" ht="22.5" customHeight="1">
      <c r="A1460" s="219"/>
      <c r="B1460" s="219"/>
      <c r="C1460" s="219"/>
      <c r="D1460" s="219"/>
      <c r="E1460" s="219"/>
      <c r="F1460" s="219"/>
      <c r="G1460" s="219"/>
      <c r="H1460" s="219"/>
      <c r="I1460" s="249"/>
      <c r="J1460" s="243"/>
      <c r="K1460" s="219"/>
      <c r="L1460" s="244"/>
      <c r="M1460" s="219"/>
      <c r="N1460" s="219"/>
      <c r="O1460" s="219"/>
      <c r="P1460" s="244"/>
      <c r="Q1460" s="219"/>
      <c r="R1460" s="302"/>
      <c r="S1460" s="219"/>
      <c r="T1460" s="219"/>
      <c r="U1460" s="219"/>
      <c r="V1460" s="303"/>
      <c r="W1460" s="247"/>
      <c r="X1460" s="245"/>
      <c r="Y1460" s="245"/>
      <c r="Z1460" s="245"/>
      <c r="AA1460" s="245"/>
      <c r="AB1460" s="245"/>
      <c r="AC1460" s="249"/>
      <c r="AD1460" s="249"/>
      <c r="AE1460" s="249"/>
      <c r="AF1460" s="8"/>
      <c r="AG1460" s="8"/>
      <c r="AH1460" s="72"/>
      <c r="AI1460" s="8"/>
      <c r="AJ1460" s="251"/>
      <c r="AK1460" s="23"/>
      <c r="AL1460" s="75"/>
      <c r="AM1460" s="75" t="str">
        <f t="shared" si="141"/>
        <v/>
      </c>
      <c r="AN1460" s="75"/>
      <c r="AO1460" s="75"/>
      <c r="AP1460" s="75"/>
      <c r="AQ1460" s="75"/>
      <c r="AR1460" s="75"/>
      <c r="AS1460" s="75"/>
      <c r="AT1460" s="75"/>
    </row>
    <row r="1461" ht="22.5" customHeight="1">
      <c r="A1461" s="219"/>
      <c r="B1461" s="219"/>
      <c r="C1461" s="219"/>
      <c r="D1461" s="219"/>
      <c r="E1461" s="219"/>
      <c r="F1461" s="219"/>
      <c r="G1461" s="219"/>
      <c r="H1461" s="219"/>
      <c r="I1461" s="249"/>
      <c r="J1461" s="243"/>
      <c r="K1461" s="219"/>
      <c r="L1461" s="244"/>
      <c r="M1461" s="219"/>
      <c r="N1461" s="219"/>
      <c r="O1461" s="219"/>
      <c r="P1461" s="244"/>
      <c r="Q1461" s="219"/>
      <c r="R1461" s="302"/>
      <c r="S1461" s="219"/>
      <c r="T1461" s="219"/>
      <c r="U1461" s="219"/>
      <c r="V1461" s="303"/>
      <c r="W1461" s="247"/>
      <c r="X1461" s="245"/>
      <c r="Y1461" s="245"/>
      <c r="Z1461" s="245"/>
      <c r="AA1461" s="245"/>
      <c r="AB1461" s="245"/>
      <c r="AC1461" s="249"/>
      <c r="AD1461" s="249"/>
      <c r="AE1461" s="249"/>
      <c r="AF1461" s="8"/>
      <c r="AG1461" s="8"/>
      <c r="AH1461" s="72"/>
      <c r="AI1461" s="8"/>
      <c r="AJ1461" s="251"/>
      <c r="AK1461" s="23"/>
      <c r="AL1461" s="75"/>
      <c r="AM1461" s="75" t="str">
        <f t="shared" si="141"/>
        <v/>
      </c>
      <c r="AN1461" s="75"/>
      <c r="AO1461" s="75"/>
      <c r="AP1461" s="75"/>
      <c r="AQ1461" s="75"/>
      <c r="AR1461" s="75"/>
      <c r="AS1461" s="75"/>
      <c r="AT1461" s="75"/>
    </row>
    <row r="1462" ht="22.5" customHeight="1">
      <c r="A1462" s="219"/>
      <c r="B1462" s="219"/>
      <c r="C1462" s="219"/>
      <c r="D1462" s="219"/>
      <c r="E1462" s="219"/>
      <c r="F1462" s="219"/>
      <c r="G1462" s="219"/>
      <c r="H1462" s="219"/>
      <c r="I1462" s="249"/>
      <c r="J1462" s="243"/>
      <c r="K1462" s="219"/>
      <c r="L1462" s="244"/>
      <c r="M1462" s="219"/>
      <c r="N1462" s="219"/>
      <c r="O1462" s="219"/>
      <c r="P1462" s="244"/>
      <c r="Q1462" s="219"/>
      <c r="R1462" s="302"/>
      <c r="S1462" s="219"/>
      <c r="T1462" s="219"/>
      <c r="U1462" s="219"/>
      <c r="V1462" s="303"/>
      <c r="W1462" s="247"/>
      <c r="X1462" s="245"/>
      <c r="Y1462" s="245"/>
      <c r="Z1462" s="245"/>
      <c r="AA1462" s="245"/>
      <c r="AB1462" s="245"/>
      <c r="AC1462" s="249"/>
      <c r="AD1462" s="249"/>
      <c r="AE1462" s="249"/>
      <c r="AF1462" s="8"/>
      <c r="AG1462" s="8"/>
      <c r="AH1462" s="72"/>
      <c r="AI1462" s="8"/>
      <c r="AJ1462" s="251"/>
      <c r="AK1462" s="23"/>
      <c r="AL1462" s="75"/>
      <c r="AM1462" s="75" t="str">
        <f t="shared" si="141"/>
        <v/>
      </c>
      <c r="AN1462" s="75"/>
      <c r="AO1462" s="75"/>
      <c r="AP1462" s="75"/>
      <c r="AQ1462" s="75"/>
      <c r="AR1462" s="75"/>
      <c r="AS1462" s="75"/>
      <c r="AT1462" s="75"/>
    </row>
    <row r="1463" ht="22.5" customHeight="1">
      <c r="A1463" s="219"/>
      <c r="B1463" s="219"/>
      <c r="C1463" s="219"/>
      <c r="D1463" s="219"/>
      <c r="E1463" s="219"/>
      <c r="F1463" s="219"/>
      <c r="G1463" s="219"/>
      <c r="H1463" s="219"/>
      <c r="I1463" s="249"/>
      <c r="J1463" s="243"/>
      <c r="K1463" s="219"/>
      <c r="L1463" s="244"/>
      <c r="M1463" s="219"/>
      <c r="N1463" s="219"/>
      <c r="O1463" s="219"/>
      <c r="P1463" s="244"/>
      <c r="Q1463" s="219"/>
      <c r="R1463" s="302"/>
      <c r="S1463" s="219"/>
      <c r="T1463" s="219"/>
      <c r="U1463" s="219"/>
      <c r="V1463" s="303"/>
      <c r="W1463" s="247"/>
      <c r="X1463" s="245"/>
      <c r="Y1463" s="245"/>
      <c r="Z1463" s="245"/>
      <c r="AA1463" s="245"/>
      <c r="AB1463" s="245"/>
      <c r="AC1463" s="249"/>
      <c r="AD1463" s="249"/>
      <c r="AE1463" s="249"/>
      <c r="AF1463" s="8"/>
      <c r="AG1463" s="8"/>
      <c r="AH1463" s="72"/>
      <c r="AI1463" s="8"/>
      <c r="AJ1463" s="251"/>
      <c r="AK1463" s="23"/>
      <c r="AL1463" s="75"/>
      <c r="AM1463" s="75" t="str">
        <f t="shared" si="141"/>
        <v/>
      </c>
      <c r="AN1463" s="75"/>
      <c r="AO1463" s="75"/>
      <c r="AP1463" s="75"/>
      <c r="AQ1463" s="75"/>
      <c r="AR1463" s="75"/>
      <c r="AS1463" s="75"/>
      <c r="AT1463" s="75"/>
    </row>
    <row r="1464" ht="22.5" customHeight="1">
      <c r="A1464" s="219"/>
      <c r="B1464" s="219"/>
      <c r="C1464" s="219"/>
      <c r="D1464" s="219"/>
      <c r="E1464" s="219"/>
      <c r="F1464" s="219"/>
      <c r="G1464" s="219"/>
      <c r="H1464" s="219"/>
      <c r="I1464" s="249"/>
      <c r="J1464" s="243"/>
      <c r="K1464" s="219"/>
      <c r="L1464" s="244"/>
      <c r="M1464" s="219"/>
      <c r="N1464" s="219"/>
      <c r="O1464" s="219"/>
      <c r="P1464" s="244"/>
      <c r="Q1464" s="219"/>
      <c r="R1464" s="302"/>
      <c r="S1464" s="219"/>
      <c r="T1464" s="219"/>
      <c r="U1464" s="219"/>
      <c r="V1464" s="303"/>
      <c r="W1464" s="247"/>
      <c r="X1464" s="245"/>
      <c r="Y1464" s="245"/>
      <c r="Z1464" s="245"/>
      <c r="AA1464" s="245"/>
      <c r="AB1464" s="245"/>
      <c r="AC1464" s="249"/>
      <c r="AD1464" s="249"/>
      <c r="AE1464" s="249"/>
      <c r="AF1464" s="8"/>
      <c r="AG1464" s="8"/>
      <c r="AH1464" s="72"/>
      <c r="AI1464" s="8"/>
      <c r="AJ1464" s="251"/>
      <c r="AK1464" s="23"/>
      <c r="AL1464" s="75"/>
      <c r="AM1464" s="75" t="str">
        <f t="shared" si="141"/>
        <v/>
      </c>
      <c r="AN1464" s="75"/>
      <c r="AO1464" s="75"/>
      <c r="AP1464" s="75"/>
      <c r="AQ1464" s="75"/>
      <c r="AR1464" s="75"/>
      <c r="AS1464" s="75"/>
      <c r="AT1464" s="75"/>
    </row>
    <row r="1465" ht="22.5" customHeight="1">
      <c r="A1465" s="219"/>
      <c r="B1465" s="219"/>
      <c r="C1465" s="219"/>
      <c r="D1465" s="219"/>
      <c r="E1465" s="219"/>
      <c r="F1465" s="219"/>
      <c r="G1465" s="219"/>
      <c r="H1465" s="219"/>
      <c r="I1465" s="249"/>
      <c r="J1465" s="243"/>
      <c r="K1465" s="219"/>
      <c r="L1465" s="244"/>
      <c r="M1465" s="219"/>
      <c r="N1465" s="219"/>
      <c r="O1465" s="219"/>
      <c r="P1465" s="244"/>
      <c r="Q1465" s="219"/>
      <c r="R1465" s="302"/>
      <c r="S1465" s="219"/>
      <c r="T1465" s="219"/>
      <c r="U1465" s="219"/>
      <c r="V1465" s="303"/>
      <c r="W1465" s="247"/>
      <c r="X1465" s="245"/>
      <c r="Y1465" s="245"/>
      <c r="Z1465" s="245"/>
      <c r="AA1465" s="245"/>
      <c r="AB1465" s="245"/>
      <c r="AC1465" s="249"/>
      <c r="AD1465" s="249"/>
      <c r="AE1465" s="249"/>
      <c r="AF1465" s="8"/>
      <c r="AG1465" s="8"/>
      <c r="AH1465" s="72"/>
      <c r="AI1465" s="8"/>
      <c r="AJ1465" s="251"/>
      <c r="AK1465" s="23"/>
      <c r="AL1465" s="75"/>
      <c r="AM1465" s="75" t="str">
        <f t="shared" si="141"/>
        <v/>
      </c>
      <c r="AN1465" s="75"/>
      <c r="AO1465" s="75"/>
      <c r="AP1465" s="75"/>
      <c r="AQ1465" s="75"/>
      <c r="AR1465" s="75"/>
      <c r="AS1465" s="75"/>
      <c r="AT1465" s="75"/>
    </row>
    <row r="1466" ht="22.5" customHeight="1">
      <c r="A1466" s="219"/>
      <c r="B1466" s="219"/>
      <c r="C1466" s="219"/>
      <c r="D1466" s="219"/>
      <c r="E1466" s="219"/>
      <c r="F1466" s="219"/>
      <c r="G1466" s="219"/>
      <c r="H1466" s="219"/>
      <c r="I1466" s="249"/>
      <c r="J1466" s="243"/>
      <c r="K1466" s="219"/>
      <c r="L1466" s="244"/>
      <c r="M1466" s="219"/>
      <c r="N1466" s="219"/>
      <c r="O1466" s="219"/>
      <c r="P1466" s="244"/>
      <c r="Q1466" s="219"/>
      <c r="R1466" s="302"/>
      <c r="S1466" s="219"/>
      <c r="T1466" s="219"/>
      <c r="U1466" s="219"/>
      <c r="V1466" s="303"/>
      <c r="W1466" s="247"/>
      <c r="X1466" s="245"/>
      <c r="Y1466" s="245"/>
      <c r="Z1466" s="245"/>
      <c r="AA1466" s="245"/>
      <c r="AB1466" s="245"/>
      <c r="AC1466" s="249"/>
      <c r="AD1466" s="249"/>
      <c r="AE1466" s="249"/>
      <c r="AF1466" s="8"/>
      <c r="AG1466" s="8"/>
      <c r="AH1466" s="72"/>
      <c r="AI1466" s="8"/>
      <c r="AJ1466" s="251"/>
      <c r="AK1466" s="23"/>
      <c r="AL1466" s="75"/>
      <c r="AM1466" s="75" t="str">
        <f t="shared" si="141"/>
        <v/>
      </c>
      <c r="AN1466" s="75"/>
      <c r="AO1466" s="75"/>
      <c r="AP1466" s="75"/>
      <c r="AQ1466" s="75"/>
      <c r="AR1466" s="75"/>
      <c r="AS1466" s="75"/>
      <c r="AT1466" s="75"/>
    </row>
    <row r="1467" ht="22.5" customHeight="1">
      <c r="A1467" s="219"/>
      <c r="B1467" s="219"/>
      <c r="C1467" s="219"/>
      <c r="D1467" s="219"/>
      <c r="E1467" s="219"/>
      <c r="F1467" s="219"/>
      <c r="G1467" s="219"/>
      <c r="H1467" s="219"/>
      <c r="I1467" s="249"/>
      <c r="J1467" s="243"/>
      <c r="K1467" s="219"/>
      <c r="L1467" s="244"/>
      <c r="M1467" s="219"/>
      <c r="N1467" s="219"/>
      <c r="O1467" s="219"/>
      <c r="P1467" s="244"/>
      <c r="Q1467" s="219"/>
      <c r="R1467" s="302"/>
      <c r="S1467" s="219"/>
      <c r="T1467" s="219"/>
      <c r="U1467" s="219"/>
      <c r="V1467" s="303"/>
      <c r="W1467" s="247"/>
      <c r="X1467" s="245"/>
      <c r="Y1467" s="245"/>
      <c r="Z1467" s="245"/>
      <c r="AA1467" s="245"/>
      <c r="AB1467" s="245"/>
      <c r="AC1467" s="249"/>
      <c r="AD1467" s="249"/>
      <c r="AE1467" s="249"/>
      <c r="AF1467" s="8"/>
      <c r="AG1467" s="8"/>
      <c r="AH1467" s="72"/>
      <c r="AI1467" s="8"/>
      <c r="AJ1467" s="251"/>
      <c r="AK1467" s="23"/>
      <c r="AL1467" s="75"/>
      <c r="AM1467" s="75" t="str">
        <f t="shared" si="141"/>
        <v/>
      </c>
      <c r="AN1467" s="75"/>
      <c r="AO1467" s="75"/>
      <c r="AP1467" s="75"/>
      <c r="AQ1467" s="75"/>
      <c r="AR1467" s="75"/>
      <c r="AS1467" s="75"/>
      <c r="AT1467" s="75"/>
    </row>
    <row r="1468" ht="22.5" customHeight="1">
      <c r="A1468" s="219"/>
      <c r="B1468" s="219"/>
      <c r="C1468" s="219"/>
      <c r="D1468" s="219"/>
      <c r="E1468" s="219"/>
      <c r="F1468" s="219"/>
      <c r="G1468" s="219"/>
      <c r="H1468" s="219"/>
      <c r="I1468" s="249"/>
      <c r="J1468" s="243"/>
      <c r="K1468" s="219"/>
      <c r="L1468" s="244"/>
      <c r="M1468" s="219"/>
      <c r="N1468" s="219"/>
      <c r="O1468" s="219"/>
      <c r="P1468" s="244"/>
      <c r="Q1468" s="219"/>
      <c r="R1468" s="302"/>
      <c r="S1468" s="219"/>
      <c r="T1468" s="219"/>
      <c r="U1468" s="219"/>
      <c r="V1468" s="303"/>
      <c r="W1468" s="247"/>
      <c r="X1468" s="245"/>
      <c r="Y1468" s="245"/>
      <c r="Z1468" s="245"/>
      <c r="AA1468" s="245"/>
      <c r="AB1468" s="245"/>
      <c r="AC1468" s="249"/>
      <c r="AD1468" s="249"/>
      <c r="AE1468" s="249"/>
      <c r="AF1468" s="8"/>
      <c r="AG1468" s="8"/>
      <c r="AH1468" s="72"/>
      <c r="AI1468" s="8"/>
      <c r="AJ1468" s="251"/>
      <c r="AK1468" s="23"/>
      <c r="AL1468" s="75"/>
      <c r="AM1468" s="75" t="str">
        <f t="shared" si="141"/>
        <v/>
      </c>
      <c r="AN1468" s="75"/>
      <c r="AO1468" s="75"/>
      <c r="AP1468" s="75"/>
      <c r="AQ1468" s="75"/>
      <c r="AR1468" s="75"/>
      <c r="AS1468" s="75"/>
      <c r="AT1468" s="75"/>
    </row>
    <row r="1469" ht="22.5" customHeight="1">
      <c r="A1469" s="219"/>
      <c r="B1469" s="219"/>
      <c r="C1469" s="219"/>
      <c r="D1469" s="219"/>
      <c r="E1469" s="219"/>
      <c r="F1469" s="219"/>
      <c r="G1469" s="219"/>
      <c r="H1469" s="219"/>
      <c r="I1469" s="249"/>
      <c r="J1469" s="243"/>
      <c r="K1469" s="219"/>
      <c r="L1469" s="244"/>
      <c r="M1469" s="219"/>
      <c r="N1469" s="219"/>
      <c r="O1469" s="219"/>
      <c r="P1469" s="244"/>
      <c r="Q1469" s="219"/>
      <c r="R1469" s="302"/>
      <c r="S1469" s="219"/>
      <c r="T1469" s="219"/>
      <c r="U1469" s="219"/>
      <c r="V1469" s="303"/>
      <c r="W1469" s="247"/>
      <c r="X1469" s="245"/>
      <c r="Y1469" s="245"/>
      <c r="Z1469" s="245"/>
      <c r="AA1469" s="245"/>
      <c r="AB1469" s="245"/>
      <c r="AC1469" s="249"/>
      <c r="AD1469" s="249"/>
      <c r="AE1469" s="249"/>
      <c r="AF1469" s="8"/>
      <c r="AG1469" s="8"/>
      <c r="AH1469" s="72"/>
      <c r="AI1469" s="8"/>
      <c r="AJ1469" s="251"/>
      <c r="AK1469" s="23"/>
      <c r="AL1469" s="75"/>
      <c r="AM1469" s="75" t="str">
        <f t="shared" si="141"/>
        <v/>
      </c>
      <c r="AN1469" s="75"/>
      <c r="AO1469" s="75"/>
      <c r="AP1469" s="75"/>
      <c r="AQ1469" s="75"/>
      <c r="AR1469" s="75"/>
      <c r="AS1469" s="75"/>
      <c r="AT1469" s="75"/>
    </row>
    <row r="1470" ht="22.5" customHeight="1">
      <c r="A1470" s="219"/>
      <c r="B1470" s="219"/>
      <c r="C1470" s="219"/>
      <c r="D1470" s="219"/>
      <c r="E1470" s="219"/>
      <c r="F1470" s="219"/>
      <c r="G1470" s="219"/>
      <c r="H1470" s="219"/>
      <c r="I1470" s="249"/>
      <c r="J1470" s="243"/>
      <c r="K1470" s="219"/>
      <c r="L1470" s="244"/>
      <c r="M1470" s="219"/>
      <c r="N1470" s="219"/>
      <c r="O1470" s="219"/>
      <c r="P1470" s="244"/>
      <c r="Q1470" s="219"/>
      <c r="R1470" s="302"/>
      <c r="S1470" s="219"/>
      <c r="T1470" s="219"/>
      <c r="U1470" s="219"/>
      <c r="V1470" s="303"/>
      <c r="W1470" s="247"/>
      <c r="X1470" s="245"/>
      <c r="Y1470" s="245"/>
      <c r="Z1470" s="245"/>
      <c r="AA1470" s="245"/>
      <c r="AB1470" s="245"/>
      <c r="AC1470" s="249"/>
      <c r="AD1470" s="249"/>
      <c r="AE1470" s="249"/>
      <c r="AF1470" s="8"/>
      <c r="AG1470" s="8"/>
      <c r="AH1470" s="72"/>
      <c r="AI1470" s="8"/>
      <c r="AJ1470" s="251"/>
      <c r="AK1470" s="23"/>
      <c r="AL1470" s="75"/>
      <c r="AM1470" s="75" t="str">
        <f t="shared" si="141"/>
        <v/>
      </c>
      <c r="AN1470" s="75"/>
      <c r="AO1470" s="75"/>
      <c r="AP1470" s="75"/>
      <c r="AQ1470" s="75"/>
      <c r="AR1470" s="75"/>
      <c r="AS1470" s="75"/>
      <c r="AT1470" s="75"/>
    </row>
    <row r="1471" ht="22.5" customHeight="1">
      <c r="A1471" s="219"/>
      <c r="B1471" s="219"/>
      <c r="C1471" s="219"/>
      <c r="D1471" s="219"/>
      <c r="E1471" s="219"/>
      <c r="F1471" s="219"/>
      <c r="G1471" s="219"/>
      <c r="H1471" s="219"/>
      <c r="I1471" s="249"/>
      <c r="J1471" s="243"/>
      <c r="K1471" s="219"/>
      <c r="L1471" s="244"/>
      <c r="M1471" s="219"/>
      <c r="N1471" s="219"/>
      <c r="O1471" s="219"/>
      <c r="P1471" s="244"/>
      <c r="Q1471" s="219"/>
      <c r="R1471" s="302"/>
      <c r="S1471" s="219"/>
      <c r="T1471" s="219"/>
      <c r="U1471" s="219"/>
      <c r="V1471" s="303"/>
      <c r="W1471" s="247"/>
      <c r="X1471" s="245"/>
      <c r="Y1471" s="245"/>
      <c r="Z1471" s="245"/>
      <c r="AA1471" s="245"/>
      <c r="AB1471" s="245"/>
      <c r="AC1471" s="249"/>
      <c r="AD1471" s="249"/>
      <c r="AE1471" s="249"/>
      <c r="AF1471" s="8"/>
      <c r="AG1471" s="8"/>
      <c r="AH1471" s="72"/>
      <c r="AI1471" s="8"/>
      <c r="AJ1471" s="251"/>
      <c r="AK1471" s="23"/>
      <c r="AL1471" s="75"/>
      <c r="AM1471" s="75" t="str">
        <f t="shared" si="141"/>
        <v/>
      </c>
      <c r="AN1471" s="75"/>
      <c r="AO1471" s="75"/>
      <c r="AP1471" s="75"/>
      <c r="AQ1471" s="75"/>
      <c r="AR1471" s="75"/>
      <c r="AS1471" s="75"/>
      <c r="AT1471" s="75"/>
    </row>
    <row r="1472" ht="22.5" customHeight="1">
      <c r="A1472" s="219"/>
      <c r="B1472" s="219"/>
      <c r="C1472" s="219"/>
      <c r="D1472" s="219"/>
      <c r="E1472" s="219"/>
      <c r="F1472" s="219"/>
      <c r="G1472" s="219"/>
      <c r="H1472" s="219"/>
      <c r="I1472" s="249"/>
      <c r="J1472" s="243"/>
      <c r="K1472" s="219"/>
      <c r="L1472" s="244"/>
      <c r="M1472" s="219"/>
      <c r="N1472" s="219"/>
      <c r="O1472" s="219"/>
      <c r="P1472" s="244"/>
      <c r="Q1472" s="219"/>
      <c r="R1472" s="302"/>
      <c r="S1472" s="219"/>
      <c r="T1472" s="219"/>
      <c r="U1472" s="219"/>
      <c r="V1472" s="303"/>
      <c r="W1472" s="247"/>
      <c r="X1472" s="245"/>
      <c r="Y1472" s="245"/>
      <c r="Z1472" s="245"/>
      <c r="AA1472" s="245"/>
      <c r="AB1472" s="245"/>
      <c r="AC1472" s="249"/>
      <c r="AD1472" s="249"/>
      <c r="AE1472" s="249"/>
      <c r="AF1472" s="8"/>
      <c r="AG1472" s="8"/>
      <c r="AH1472" s="72"/>
      <c r="AI1472" s="8"/>
      <c r="AJ1472" s="251"/>
      <c r="AK1472" s="23"/>
      <c r="AL1472" s="75"/>
      <c r="AM1472" s="75" t="str">
        <f t="shared" si="141"/>
        <v/>
      </c>
      <c r="AN1472" s="75"/>
      <c r="AO1472" s="75"/>
      <c r="AP1472" s="75"/>
      <c r="AQ1472" s="75"/>
      <c r="AR1472" s="75"/>
      <c r="AS1472" s="75"/>
      <c r="AT1472" s="75"/>
    </row>
    <row r="1473" ht="22.5" customHeight="1">
      <c r="A1473" s="219"/>
      <c r="B1473" s="219"/>
      <c r="C1473" s="219"/>
      <c r="D1473" s="219"/>
      <c r="E1473" s="219"/>
      <c r="F1473" s="219"/>
      <c r="G1473" s="219"/>
      <c r="H1473" s="219"/>
      <c r="I1473" s="249"/>
      <c r="J1473" s="243"/>
      <c r="K1473" s="219"/>
      <c r="L1473" s="244"/>
      <c r="M1473" s="219"/>
      <c r="N1473" s="219"/>
      <c r="O1473" s="219"/>
      <c r="P1473" s="244"/>
      <c r="Q1473" s="219"/>
      <c r="R1473" s="302"/>
      <c r="S1473" s="219"/>
      <c r="T1473" s="219"/>
      <c r="U1473" s="219"/>
      <c r="V1473" s="303"/>
      <c r="W1473" s="247"/>
      <c r="X1473" s="245"/>
      <c r="Y1473" s="245"/>
      <c r="Z1473" s="245"/>
      <c r="AA1473" s="245"/>
      <c r="AB1473" s="245"/>
      <c r="AC1473" s="249"/>
      <c r="AD1473" s="249"/>
      <c r="AE1473" s="249"/>
      <c r="AF1473" s="8"/>
      <c r="AG1473" s="8"/>
      <c r="AH1473" s="72"/>
      <c r="AI1473" s="8"/>
      <c r="AJ1473" s="251"/>
      <c r="AK1473" s="23"/>
      <c r="AL1473" s="75"/>
      <c r="AM1473" s="75" t="str">
        <f t="shared" si="141"/>
        <v/>
      </c>
      <c r="AN1473" s="75"/>
      <c r="AO1473" s="75"/>
      <c r="AP1473" s="75"/>
      <c r="AQ1473" s="75"/>
      <c r="AR1473" s="75"/>
      <c r="AS1473" s="75"/>
      <c r="AT1473" s="75"/>
    </row>
    <row r="1474" ht="22.5" customHeight="1">
      <c r="A1474" s="219"/>
      <c r="B1474" s="219"/>
      <c r="C1474" s="219"/>
      <c r="D1474" s="219"/>
      <c r="E1474" s="219"/>
      <c r="F1474" s="219"/>
      <c r="G1474" s="219"/>
      <c r="H1474" s="219"/>
      <c r="I1474" s="249"/>
      <c r="J1474" s="243"/>
      <c r="K1474" s="219"/>
      <c r="L1474" s="244"/>
      <c r="M1474" s="219"/>
      <c r="N1474" s="219"/>
      <c r="O1474" s="219"/>
      <c r="P1474" s="244"/>
      <c r="Q1474" s="219"/>
      <c r="R1474" s="302"/>
      <c r="S1474" s="219"/>
      <c r="T1474" s="219"/>
      <c r="U1474" s="219"/>
      <c r="V1474" s="303"/>
      <c r="W1474" s="247"/>
      <c r="X1474" s="245"/>
      <c r="Y1474" s="245"/>
      <c r="Z1474" s="245"/>
      <c r="AA1474" s="245"/>
      <c r="AB1474" s="245"/>
      <c r="AC1474" s="249"/>
      <c r="AD1474" s="249"/>
      <c r="AE1474" s="249"/>
      <c r="AF1474" s="8"/>
      <c r="AG1474" s="8"/>
      <c r="AH1474" s="72"/>
      <c r="AI1474" s="8"/>
      <c r="AJ1474" s="251"/>
      <c r="AK1474" s="23"/>
      <c r="AL1474" s="75"/>
      <c r="AM1474" s="75" t="str">
        <f t="shared" si="141"/>
        <v/>
      </c>
      <c r="AN1474" s="75"/>
      <c r="AO1474" s="75"/>
      <c r="AP1474" s="75"/>
      <c r="AQ1474" s="75"/>
      <c r="AR1474" s="75"/>
      <c r="AS1474" s="75"/>
      <c r="AT1474" s="75"/>
    </row>
    <row r="1475" ht="22.5" customHeight="1">
      <c r="A1475" s="219"/>
      <c r="B1475" s="219"/>
      <c r="C1475" s="219"/>
      <c r="D1475" s="219"/>
      <c r="E1475" s="219"/>
      <c r="F1475" s="219"/>
      <c r="G1475" s="219"/>
      <c r="H1475" s="219"/>
      <c r="I1475" s="249"/>
      <c r="J1475" s="243"/>
      <c r="K1475" s="219"/>
      <c r="L1475" s="244"/>
      <c r="M1475" s="219"/>
      <c r="N1475" s="219"/>
      <c r="O1475" s="219"/>
      <c r="P1475" s="244"/>
      <c r="Q1475" s="219"/>
      <c r="R1475" s="302"/>
      <c r="S1475" s="219"/>
      <c r="T1475" s="219"/>
      <c r="U1475" s="219"/>
      <c r="V1475" s="303"/>
      <c r="W1475" s="247"/>
      <c r="X1475" s="245"/>
      <c r="Y1475" s="245"/>
      <c r="Z1475" s="245"/>
      <c r="AA1475" s="245"/>
      <c r="AB1475" s="245"/>
      <c r="AC1475" s="249"/>
      <c r="AD1475" s="249"/>
      <c r="AE1475" s="249"/>
      <c r="AF1475" s="8"/>
      <c r="AG1475" s="8"/>
      <c r="AH1475" s="72"/>
      <c r="AI1475" s="8"/>
      <c r="AJ1475" s="251"/>
      <c r="AK1475" s="23"/>
      <c r="AL1475" s="75"/>
      <c r="AM1475" s="75" t="str">
        <f t="shared" si="141"/>
        <v/>
      </c>
      <c r="AN1475" s="75"/>
      <c r="AO1475" s="75"/>
      <c r="AP1475" s="75"/>
      <c r="AQ1475" s="75"/>
      <c r="AR1475" s="75"/>
      <c r="AS1475" s="75"/>
      <c r="AT1475" s="75"/>
    </row>
    <row r="1476" ht="22.5" customHeight="1">
      <c r="A1476" s="219"/>
      <c r="B1476" s="219"/>
      <c r="C1476" s="219"/>
      <c r="D1476" s="219"/>
      <c r="E1476" s="219"/>
      <c r="F1476" s="219"/>
      <c r="G1476" s="219"/>
      <c r="H1476" s="219"/>
      <c r="I1476" s="249"/>
      <c r="J1476" s="243"/>
      <c r="K1476" s="219"/>
      <c r="L1476" s="244"/>
      <c r="M1476" s="219"/>
      <c r="N1476" s="219"/>
      <c r="O1476" s="219"/>
      <c r="P1476" s="244"/>
      <c r="Q1476" s="219"/>
      <c r="R1476" s="302"/>
      <c r="S1476" s="219"/>
      <c r="T1476" s="219"/>
      <c r="U1476" s="219"/>
      <c r="V1476" s="303"/>
      <c r="W1476" s="247"/>
      <c r="X1476" s="245"/>
      <c r="Y1476" s="245"/>
      <c r="Z1476" s="245"/>
      <c r="AA1476" s="245"/>
      <c r="AB1476" s="245"/>
      <c r="AC1476" s="249"/>
      <c r="AD1476" s="249"/>
      <c r="AE1476" s="249"/>
      <c r="AF1476" s="8"/>
      <c r="AG1476" s="8"/>
      <c r="AH1476" s="72"/>
      <c r="AI1476" s="8"/>
      <c r="AJ1476" s="251"/>
      <c r="AK1476" s="23"/>
      <c r="AL1476" s="75"/>
      <c r="AM1476" s="75" t="str">
        <f t="shared" si="141"/>
        <v/>
      </c>
      <c r="AN1476" s="75"/>
      <c r="AO1476" s="75"/>
      <c r="AP1476" s="75"/>
      <c r="AQ1476" s="75"/>
      <c r="AR1476" s="75"/>
      <c r="AS1476" s="75"/>
      <c r="AT1476" s="75"/>
    </row>
    <row r="1477" ht="22.5" customHeight="1">
      <c r="A1477" s="219"/>
      <c r="B1477" s="219"/>
      <c r="C1477" s="219"/>
      <c r="D1477" s="219"/>
      <c r="E1477" s="219"/>
      <c r="F1477" s="219"/>
      <c r="G1477" s="219"/>
      <c r="H1477" s="219"/>
      <c r="I1477" s="249"/>
      <c r="J1477" s="243"/>
      <c r="K1477" s="219"/>
      <c r="L1477" s="244"/>
      <c r="M1477" s="219"/>
      <c r="N1477" s="219"/>
      <c r="O1477" s="219"/>
      <c r="P1477" s="244"/>
      <c r="Q1477" s="219"/>
      <c r="R1477" s="302"/>
      <c r="S1477" s="219"/>
      <c r="T1477" s="219"/>
      <c r="U1477" s="219"/>
      <c r="V1477" s="303"/>
      <c r="W1477" s="247"/>
      <c r="X1477" s="245"/>
      <c r="Y1477" s="245"/>
      <c r="Z1477" s="245"/>
      <c r="AA1477" s="245"/>
      <c r="AB1477" s="245"/>
      <c r="AC1477" s="249"/>
      <c r="AD1477" s="249"/>
      <c r="AE1477" s="249"/>
      <c r="AF1477" s="8"/>
      <c r="AG1477" s="8"/>
      <c r="AH1477" s="72"/>
      <c r="AI1477" s="8"/>
      <c r="AJ1477" s="251"/>
      <c r="AK1477" s="23"/>
      <c r="AL1477" s="75"/>
      <c r="AM1477" s="75" t="str">
        <f t="shared" si="141"/>
        <v/>
      </c>
      <c r="AN1477" s="75"/>
      <c r="AO1477" s="75"/>
      <c r="AP1477" s="75"/>
      <c r="AQ1477" s="75"/>
      <c r="AR1477" s="75"/>
      <c r="AS1477" s="75"/>
      <c r="AT1477" s="75"/>
    </row>
    <row r="1478" ht="22.5" customHeight="1">
      <c r="A1478" s="219"/>
      <c r="B1478" s="219"/>
      <c r="C1478" s="219"/>
      <c r="D1478" s="219"/>
      <c r="E1478" s="219"/>
      <c r="F1478" s="219"/>
      <c r="G1478" s="219"/>
      <c r="H1478" s="219"/>
      <c r="I1478" s="249"/>
      <c r="J1478" s="243"/>
      <c r="K1478" s="219"/>
      <c r="L1478" s="244"/>
      <c r="M1478" s="219"/>
      <c r="N1478" s="219"/>
      <c r="O1478" s="219"/>
      <c r="P1478" s="244"/>
      <c r="Q1478" s="219"/>
      <c r="R1478" s="302"/>
      <c r="S1478" s="219"/>
      <c r="T1478" s="219"/>
      <c r="U1478" s="219"/>
      <c r="V1478" s="303"/>
      <c r="W1478" s="247"/>
      <c r="X1478" s="245"/>
      <c r="Y1478" s="245"/>
      <c r="Z1478" s="245"/>
      <c r="AA1478" s="245"/>
      <c r="AB1478" s="245"/>
      <c r="AC1478" s="249"/>
      <c r="AD1478" s="249"/>
      <c r="AE1478" s="249"/>
      <c r="AF1478" s="8"/>
      <c r="AG1478" s="8"/>
      <c r="AH1478" s="72"/>
      <c r="AI1478" s="8"/>
      <c r="AJ1478" s="251"/>
      <c r="AK1478" s="23"/>
      <c r="AL1478" s="75"/>
      <c r="AM1478" s="75" t="str">
        <f t="shared" si="141"/>
        <v/>
      </c>
      <c r="AN1478" s="75"/>
      <c r="AO1478" s="75"/>
      <c r="AP1478" s="75"/>
      <c r="AQ1478" s="75"/>
      <c r="AR1478" s="75"/>
      <c r="AS1478" s="75"/>
      <c r="AT1478" s="75"/>
    </row>
    <row r="1479" ht="22.5" customHeight="1">
      <c r="A1479" s="219"/>
      <c r="B1479" s="219"/>
      <c r="C1479" s="219"/>
      <c r="D1479" s="219"/>
      <c r="E1479" s="219"/>
      <c r="F1479" s="219"/>
      <c r="G1479" s="219"/>
      <c r="H1479" s="219"/>
      <c r="I1479" s="249"/>
      <c r="J1479" s="243"/>
      <c r="K1479" s="219"/>
      <c r="L1479" s="244"/>
      <c r="M1479" s="219"/>
      <c r="N1479" s="219"/>
      <c r="O1479" s="219"/>
      <c r="P1479" s="244"/>
      <c r="Q1479" s="219"/>
      <c r="R1479" s="302"/>
      <c r="S1479" s="219"/>
      <c r="T1479" s="219"/>
      <c r="U1479" s="219"/>
      <c r="V1479" s="303"/>
      <c r="W1479" s="247"/>
      <c r="X1479" s="245"/>
      <c r="Y1479" s="245"/>
      <c r="Z1479" s="245"/>
      <c r="AA1479" s="245"/>
      <c r="AB1479" s="245"/>
      <c r="AC1479" s="249"/>
      <c r="AD1479" s="249"/>
      <c r="AE1479" s="249"/>
      <c r="AF1479" s="8"/>
      <c r="AG1479" s="8"/>
      <c r="AH1479" s="72"/>
      <c r="AI1479" s="8"/>
      <c r="AJ1479" s="251"/>
      <c r="AK1479" s="23"/>
      <c r="AL1479" s="75"/>
      <c r="AM1479" s="75" t="str">
        <f t="shared" si="141"/>
        <v/>
      </c>
      <c r="AN1479" s="75"/>
      <c r="AO1479" s="75"/>
      <c r="AP1479" s="75"/>
      <c r="AQ1479" s="75"/>
      <c r="AR1479" s="75"/>
      <c r="AS1479" s="75"/>
      <c r="AT1479" s="75"/>
    </row>
    <row r="1480" ht="22.5" customHeight="1">
      <c r="A1480" s="219"/>
      <c r="B1480" s="219"/>
      <c r="C1480" s="219"/>
      <c r="D1480" s="219"/>
      <c r="E1480" s="219"/>
      <c r="F1480" s="219"/>
      <c r="G1480" s="219"/>
      <c r="H1480" s="219"/>
      <c r="I1480" s="249"/>
      <c r="J1480" s="243"/>
      <c r="K1480" s="219"/>
      <c r="L1480" s="244"/>
      <c r="M1480" s="219"/>
      <c r="N1480" s="219"/>
      <c r="O1480" s="219"/>
      <c r="P1480" s="244"/>
      <c r="Q1480" s="219"/>
      <c r="R1480" s="302"/>
      <c r="S1480" s="219"/>
      <c r="T1480" s="219"/>
      <c r="U1480" s="219"/>
      <c r="V1480" s="303"/>
      <c r="W1480" s="247"/>
      <c r="X1480" s="245"/>
      <c r="Y1480" s="245"/>
      <c r="Z1480" s="245"/>
      <c r="AA1480" s="245"/>
      <c r="AB1480" s="245"/>
      <c r="AC1480" s="249"/>
      <c r="AD1480" s="249"/>
      <c r="AE1480" s="249"/>
      <c r="AF1480" s="8"/>
      <c r="AG1480" s="8"/>
      <c r="AH1480" s="72"/>
      <c r="AI1480" s="8"/>
      <c r="AJ1480" s="251"/>
      <c r="AK1480" s="23"/>
      <c r="AL1480" s="75"/>
      <c r="AM1480" s="75" t="str">
        <f t="shared" si="141"/>
        <v/>
      </c>
      <c r="AN1480" s="75"/>
      <c r="AO1480" s="75"/>
      <c r="AP1480" s="75"/>
      <c r="AQ1480" s="75"/>
      <c r="AR1480" s="75"/>
      <c r="AS1480" s="75"/>
      <c r="AT1480" s="75"/>
    </row>
    <row r="1481" ht="22.5" customHeight="1">
      <c r="A1481" s="219"/>
      <c r="B1481" s="219"/>
      <c r="C1481" s="219"/>
      <c r="D1481" s="219"/>
      <c r="E1481" s="219"/>
      <c r="F1481" s="219"/>
      <c r="G1481" s="219"/>
      <c r="H1481" s="219"/>
      <c r="I1481" s="249"/>
      <c r="J1481" s="243"/>
      <c r="K1481" s="219"/>
      <c r="L1481" s="244"/>
      <c r="M1481" s="219"/>
      <c r="N1481" s="219"/>
      <c r="O1481" s="219"/>
      <c r="P1481" s="244"/>
      <c r="Q1481" s="219"/>
      <c r="R1481" s="302"/>
      <c r="S1481" s="219"/>
      <c r="T1481" s="219"/>
      <c r="U1481" s="219"/>
      <c r="V1481" s="303"/>
      <c r="W1481" s="247"/>
      <c r="X1481" s="245"/>
      <c r="Y1481" s="245"/>
      <c r="Z1481" s="245"/>
      <c r="AA1481" s="245"/>
      <c r="AB1481" s="245"/>
      <c r="AC1481" s="249"/>
      <c r="AD1481" s="249"/>
      <c r="AE1481" s="249"/>
      <c r="AF1481" s="8"/>
      <c r="AG1481" s="8"/>
      <c r="AH1481" s="72"/>
      <c r="AI1481" s="8"/>
      <c r="AJ1481" s="251"/>
      <c r="AK1481" s="23"/>
      <c r="AL1481" s="75"/>
      <c r="AM1481" s="75" t="str">
        <f t="shared" si="141"/>
        <v/>
      </c>
      <c r="AN1481" s="75"/>
      <c r="AO1481" s="75"/>
      <c r="AP1481" s="75"/>
      <c r="AQ1481" s="75"/>
      <c r="AR1481" s="75"/>
      <c r="AS1481" s="75"/>
      <c r="AT1481" s="75"/>
    </row>
    <row r="1482" ht="22.5" customHeight="1">
      <c r="A1482" s="219"/>
      <c r="B1482" s="219"/>
      <c r="C1482" s="219"/>
      <c r="D1482" s="219"/>
      <c r="E1482" s="219"/>
      <c r="F1482" s="219"/>
      <c r="G1482" s="219"/>
      <c r="H1482" s="219"/>
      <c r="I1482" s="249"/>
      <c r="J1482" s="243"/>
      <c r="K1482" s="219"/>
      <c r="L1482" s="244"/>
      <c r="M1482" s="219"/>
      <c r="N1482" s="219"/>
      <c r="O1482" s="219"/>
      <c r="P1482" s="244"/>
      <c r="Q1482" s="219"/>
      <c r="R1482" s="302"/>
      <c r="S1482" s="219"/>
      <c r="T1482" s="219"/>
      <c r="U1482" s="219"/>
      <c r="V1482" s="303"/>
      <c r="W1482" s="247"/>
      <c r="X1482" s="245"/>
      <c r="Y1482" s="245"/>
      <c r="Z1482" s="245"/>
      <c r="AA1482" s="245"/>
      <c r="AB1482" s="245"/>
      <c r="AC1482" s="249"/>
      <c r="AD1482" s="249"/>
      <c r="AE1482" s="249"/>
      <c r="AF1482" s="8"/>
      <c r="AG1482" s="8"/>
      <c r="AH1482" s="72"/>
      <c r="AI1482" s="8"/>
      <c r="AJ1482" s="251"/>
      <c r="AK1482" s="23"/>
      <c r="AL1482" s="75"/>
      <c r="AM1482" s="75" t="str">
        <f t="shared" si="141"/>
        <v/>
      </c>
      <c r="AN1482" s="75"/>
      <c r="AO1482" s="75"/>
      <c r="AP1482" s="75"/>
      <c r="AQ1482" s="75"/>
      <c r="AR1482" s="75"/>
      <c r="AS1482" s="75"/>
      <c r="AT1482" s="75"/>
    </row>
    <row r="1483" ht="22.5" customHeight="1">
      <c r="A1483" s="219"/>
      <c r="B1483" s="219"/>
      <c r="C1483" s="219"/>
      <c r="D1483" s="219"/>
      <c r="E1483" s="219"/>
      <c r="F1483" s="219"/>
      <c r="G1483" s="219"/>
      <c r="H1483" s="219"/>
      <c r="I1483" s="249"/>
      <c r="J1483" s="243"/>
      <c r="K1483" s="219"/>
      <c r="L1483" s="244"/>
      <c r="M1483" s="219"/>
      <c r="N1483" s="219"/>
      <c r="O1483" s="219"/>
      <c r="P1483" s="244"/>
      <c r="Q1483" s="219"/>
      <c r="R1483" s="302"/>
      <c r="S1483" s="219"/>
      <c r="T1483" s="219"/>
      <c r="U1483" s="219"/>
      <c r="V1483" s="303"/>
      <c r="W1483" s="247"/>
      <c r="X1483" s="245"/>
      <c r="Y1483" s="245"/>
      <c r="Z1483" s="245"/>
      <c r="AA1483" s="245"/>
      <c r="AB1483" s="245"/>
      <c r="AC1483" s="249"/>
      <c r="AD1483" s="249"/>
      <c r="AE1483" s="249"/>
      <c r="AF1483" s="8"/>
      <c r="AG1483" s="8"/>
      <c r="AH1483" s="72"/>
      <c r="AI1483" s="8"/>
      <c r="AJ1483" s="251"/>
      <c r="AK1483" s="23"/>
      <c r="AL1483" s="75"/>
      <c r="AM1483" s="75" t="str">
        <f t="shared" si="141"/>
        <v/>
      </c>
      <c r="AN1483" s="75"/>
      <c r="AO1483" s="75"/>
      <c r="AP1483" s="75"/>
      <c r="AQ1483" s="75"/>
      <c r="AR1483" s="75"/>
      <c r="AS1483" s="75"/>
      <c r="AT1483" s="75"/>
    </row>
    <row r="1484" ht="22.5" customHeight="1">
      <c r="A1484" s="219"/>
      <c r="B1484" s="219"/>
      <c r="C1484" s="219"/>
      <c r="D1484" s="219"/>
      <c r="E1484" s="219"/>
      <c r="F1484" s="219"/>
      <c r="G1484" s="219"/>
      <c r="H1484" s="219"/>
      <c r="I1484" s="249"/>
      <c r="J1484" s="243"/>
      <c r="K1484" s="219"/>
      <c r="L1484" s="244"/>
      <c r="M1484" s="219"/>
      <c r="N1484" s="219"/>
      <c r="O1484" s="219"/>
      <c r="P1484" s="244"/>
      <c r="Q1484" s="219"/>
      <c r="R1484" s="302"/>
      <c r="S1484" s="219"/>
      <c r="T1484" s="219"/>
      <c r="U1484" s="219"/>
      <c r="V1484" s="303"/>
      <c r="W1484" s="247"/>
      <c r="X1484" s="245"/>
      <c r="Y1484" s="245"/>
      <c r="Z1484" s="245"/>
      <c r="AA1484" s="245"/>
      <c r="AB1484" s="245"/>
      <c r="AC1484" s="249"/>
      <c r="AD1484" s="249"/>
      <c r="AE1484" s="249"/>
      <c r="AF1484" s="8"/>
      <c r="AG1484" s="8"/>
      <c r="AH1484" s="72"/>
      <c r="AI1484" s="8"/>
      <c r="AJ1484" s="251"/>
      <c r="AK1484" s="23"/>
      <c r="AL1484" s="75"/>
      <c r="AM1484" s="75" t="str">
        <f t="shared" si="141"/>
        <v/>
      </c>
      <c r="AN1484" s="75"/>
      <c r="AO1484" s="75"/>
      <c r="AP1484" s="75"/>
      <c r="AQ1484" s="75"/>
      <c r="AR1484" s="75"/>
      <c r="AS1484" s="75"/>
      <c r="AT1484" s="75"/>
    </row>
    <row r="1485" ht="22.5" customHeight="1">
      <c r="A1485" s="219"/>
      <c r="B1485" s="219"/>
      <c r="C1485" s="219"/>
      <c r="D1485" s="219"/>
      <c r="E1485" s="219"/>
      <c r="F1485" s="219"/>
      <c r="G1485" s="219"/>
      <c r="H1485" s="219"/>
      <c r="I1485" s="249"/>
      <c r="J1485" s="243"/>
      <c r="K1485" s="219"/>
      <c r="L1485" s="244"/>
      <c r="M1485" s="219"/>
      <c r="N1485" s="219"/>
      <c r="O1485" s="219"/>
      <c r="P1485" s="244"/>
      <c r="Q1485" s="219"/>
      <c r="R1485" s="302"/>
      <c r="S1485" s="219"/>
      <c r="T1485" s="219"/>
      <c r="U1485" s="219"/>
      <c r="V1485" s="303"/>
      <c r="W1485" s="247"/>
      <c r="X1485" s="245"/>
      <c r="Y1485" s="245"/>
      <c r="Z1485" s="245"/>
      <c r="AA1485" s="245"/>
      <c r="AB1485" s="245"/>
      <c r="AC1485" s="249"/>
      <c r="AD1485" s="249"/>
      <c r="AE1485" s="249"/>
      <c r="AF1485" s="8"/>
      <c r="AG1485" s="8"/>
      <c r="AH1485" s="72"/>
      <c r="AI1485" s="8"/>
      <c r="AJ1485" s="251"/>
      <c r="AK1485" s="23"/>
      <c r="AL1485" s="75"/>
      <c r="AM1485" s="75" t="str">
        <f t="shared" si="141"/>
        <v/>
      </c>
      <c r="AN1485" s="75"/>
      <c r="AO1485" s="75"/>
      <c r="AP1485" s="75"/>
      <c r="AQ1485" s="75"/>
      <c r="AR1485" s="75"/>
      <c r="AS1485" s="75"/>
      <c r="AT1485" s="75"/>
    </row>
    <row r="1486" ht="22.5" customHeight="1">
      <c r="A1486" s="219"/>
      <c r="B1486" s="219"/>
      <c r="C1486" s="219"/>
      <c r="D1486" s="219"/>
      <c r="E1486" s="219"/>
      <c r="F1486" s="219"/>
      <c r="G1486" s="219"/>
      <c r="H1486" s="219"/>
      <c r="I1486" s="249"/>
      <c r="J1486" s="243"/>
      <c r="K1486" s="219"/>
      <c r="L1486" s="244"/>
      <c r="M1486" s="219"/>
      <c r="N1486" s="219"/>
      <c r="O1486" s="219"/>
      <c r="P1486" s="244"/>
      <c r="Q1486" s="219"/>
      <c r="R1486" s="302"/>
      <c r="S1486" s="219"/>
      <c r="T1486" s="219"/>
      <c r="U1486" s="219"/>
      <c r="V1486" s="303"/>
      <c r="W1486" s="247"/>
      <c r="X1486" s="245"/>
      <c r="Y1486" s="245"/>
      <c r="Z1486" s="245"/>
      <c r="AA1486" s="245"/>
      <c r="AB1486" s="245"/>
      <c r="AC1486" s="249"/>
      <c r="AD1486" s="249"/>
      <c r="AE1486" s="249"/>
      <c r="AF1486" s="8"/>
      <c r="AG1486" s="8"/>
      <c r="AH1486" s="72"/>
      <c r="AI1486" s="8"/>
      <c r="AJ1486" s="251"/>
      <c r="AK1486" s="23"/>
      <c r="AL1486" s="75"/>
      <c r="AM1486" s="75" t="str">
        <f t="shared" si="141"/>
        <v/>
      </c>
      <c r="AN1486" s="75"/>
      <c r="AO1486" s="75"/>
      <c r="AP1486" s="75"/>
      <c r="AQ1486" s="75"/>
      <c r="AR1486" s="75"/>
      <c r="AS1486" s="75"/>
      <c r="AT1486" s="75"/>
    </row>
    <row r="1487" ht="22.5" customHeight="1">
      <c r="A1487" s="219"/>
      <c r="B1487" s="219"/>
      <c r="C1487" s="219"/>
      <c r="D1487" s="219"/>
      <c r="E1487" s="219"/>
      <c r="F1487" s="219"/>
      <c r="G1487" s="219"/>
      <c r="H1487" s="219"/>
      <c r="I1487" s="249"/>
      <c r="J1487" s="243"/>
      <c r="K1487" s="219"/>
      <c r="L1487" s="244"/>
      <c r="M1487" s="219"/>
      <c r="N1487" s="219"/>
      <c r="O1487" s="219"/>
      <c r="P1487" s="244"/>
      <c r="Q1487" s="219"/>
      <c r="R1487" s="302"/>
      <c r="S1487" s="219"/>
      <c r="T1487" s="219"/>
      <c r="U1487" s="219"/>
      <c r="V1487" s="303"/>
      <c r="W1487" s="247"/>
      <c r="X1487" s="245"/>
      <c r="Y1487" s="245"/>
      <c r="Z1487" s="245"/>
      <c r="AA1487" s="245"/>
      <c r="AB1487" s="245"/>
      <c r="AC1487" s="249"/>
      <c r="AD1487" s="249"/>
      <c r="AE1487" s="249"/>
      <c r="AF1487" s="8"/>
      <c r="AG1487" s="8"/>
      <c r="AH1487" s="72"/>
      <c r="AI1487" s="8"/>
      <c r="AJ1487" s="251"/>
      <c r="AK1487" s="23"/>
      <c r="AL1487" s="75"/>
      <c r="AM1487" s="75" t="str">
        <f t="shared" si="141"/>
        <v/>
      </c>
      <c r="AN1487" s="75"/>
      <c r="AO1487" s="75"/>
      <c r="AP1487" s="75"/>
      <c r="AQ1487" s="75"/>
      <c r="AR1487" s="75"/>
      <c r="AS1487" s="75"/>
      <c r="AT1487" s="75"/>
    </row>
    <row r="1488" ht="22.5" customHeight="1">
      <c r="A1488" s="219"/>
      <c r="B1488" s="219"/>
      <c r="C1488" s="219"/>
      <c r="D1488" s="219"/>
      <c r="E1488" s="219"/>
      <c r="F1488" s="219"/>
      <c r="G1488" s="219"/>
      <c r="H1488" s="219"/>
      <c r="I1488" s="249"/>
      <c r="J1488" s="243"/>
      <c r="K1488" s="219"/>
      <c r="L1488" s="244"/>
      <c r="M1488" s="219"/>
      <c r="N1488" s="219"/>
      <c r="O1488" s="219"/>
      <c r="P1488" s="244"/>
      <c r="Q1488" s="219"/>
      <c r="R1488" s="302"/>
      <c r="S1488" s="219"/>
      <c r="T1488" s="219"/>
      <c r="U1488" s="219"/>
      <c r="V1488" s="303"/>
      <c r="W1488" s="247"/>
      <c r="X1488" s="245"/>
      <c r="Y1488" s="245"/>
      <c r="Z1488" s="245"/>
      <c r="AA1488" s="245"/>
      <c r="AB1488" s="245"/>
      <c r="AC1488" s="249"/>
      <c r="AD1488" s="249"/>
      <c r="AE1488" s="249"/>
      <c r="AF1488" s="8"/>
      <c r="AG1488" s="8"/>
      <c r="AH1488" s="72"/>
      <c r="AI1488" s="8"/>
      <c r="AJ1488" s="251"/>
      <c r="AK1488" s="23"/>
      <c r="AL1488" s="75"/>
      <c r="AM1488" s="75" t="str">
        <f t="shared" si="141"/>
        <v/>
      </c>
      <c r="AN1488" s="75"/>
      <c r="AO1488" s="75"/>
      <c r="AP1488" s="75"/>
      <c r="AQ1488" s="75"/>
      <c r="AR1488" s="75"/>
      <c r="AS1488" s="75"/>
      <c r="AT1488" s="75"/>
    </row>
    <row r="1489" ht="22.5" customHeight="1">
      <c r="A1489" s="219"/>
      <c r="B1489" s="219"/>
      <c r="C1489" s="219"/>
      <c r="D1489" s="219"/>
      <c r="E1489" s="219"/>
      <c r="F1489" s="219"/>
      <c r="G1489" s="219"/>
      <c r="H1489" s="219"/>
      <c r="I1489" s="249"/>
      <c r="J1489" s="243"/>
      <c r="K1489" s="219"/>
      <c r="L1489" s="244"/>
      <c r="M1489" s="219"/>
      <c r="N1489" s="219"/>
      <c r="O1489" s="219"/>
      <c r="P1489" s="244"/>
      <c r="Q1489" s="219"/>
      <c r="R1489" s="302"/>
      <c r="S1489" s="219"/>
      <c r="T1489" s="219"/>
      <c r="U1489" s="219"/>
      <c r="V1489" s="303"/>
      <c r="W1489" s="247"/>
      <c r="X1489" s="245"/>
      <c r="Y1489" s="245"/>
      <c r="Z1489" s="245"/>
      <c r="AA1489" s="245"/>
      <c r="AB1489" s="245"/>
      <c r="AC1489" s="249"/>
      <c r="AD1489" s="249"/>
      <c r="AE1489" s="249"/>
      <c r="AF1489" s="8"/>
      <c r="AG1489" s="8"/>
      <c r="AH1489" s="72"/>
      <c r="AI1489" s="8"/>
      <c r="AJ1489" s="251"/>
      <c r="AK1489" s="23"/>
      <c r="AL1489" s="75"/>
      <c r="AM1489" s="75" t="str">
        <f t="shared" si="141"/>
        <v/>
      </c>
      <c r="AN1489" s="75"/>
      <c r="AO1489" s="75"/>
      <c r="AP1489" s="75"/>
      <c r="AQ1489" s="75"/>
      <c r="AR1489" s="75"/>
      <c r="AS1489" s="75"/>
      <c r="AT1489" s="75"/>
    </row>
    <row r="1490" ht="22.5" customHeight="1">
      <c r="A1490" s="219"/>
      <c r="B1490" s="219"/>
      <c r="C1490" s="219"/>
      <c r="D1490" s="219"/>
      <c r="E1490" s="219"/>
      <c r="F1490" s="219"/>
      <c r="G1490" s="219"/>
      <c r="H1490" s="219"/>
      <c r="I1490" s="249"/>
      <c r="J1490" s="243"/>
      <c r="K1490" s="219"/>
      <c r="L1490" s="244"/>
      <c r="M1490" s="219"/>
      <c r="N1490" s="219"/>
      <c r="O1490" s="219"/>
      <c r="P1490" s="244"/>
      <c r="Q1490" s="219"/>
      <c r="R1490" s="302"/>
      <c r="S1490" s="219"/>
      <c r="T1490" s="219"/>
      <c r="U1490" s="219"/>
      <c r="V1490" s="303"/>
      <c r="W1490" s="247"/>
      <c r="X1490" s="245"/>
      <c r="Y1490" s="245"/>
      <c r="Z1490" s="245"/>
      <c r="AA1490" s="245"/>
      <c r="AB1490" s="245"/>
      <c r="AC1490" s="249"/>
      <c r="AD1490" s="249"/>
      <c r="AE1490" s="249"/>
      <c r="AF1490" s="8"/>
      <c r="AG1490" s="8"/>
      <c r="AH1490" s="72"/>
      <c r="AI1490" s="8"/>
      <c r="AJ1490" s="251"/>
      <c r="AK1490" s="23"/>
      <c r="AL1490" s="75"/>
      <c r="AM1490" s="75" t="str">
        <f t="shared" si="141"/>
        <v/>
      </c>
      <c r="AN1490" s="75"/>
      <c r="AO1490" s="75"/>
      <c r="AP1490" s="75"/>
      <c r="AQ1490" s="75"/>
      <c r="AR1490" s="75"/>
      <c r="AS1490" s="75"/>
      <c r="AT1490" s="75"/>
    </row>
    <row r="1491" ht="22.5" customHeight="1">
      <c r="A1491" s="219"/>
      <c r="B1491" s="219"/>
      <c r="C1491" s="219"/>
      <c r="D1491" s="219"/>
      <c r="E1491" s="219"/>
      <c r="F1491" s="219"/>
      <c r="G1491" s="219"/>
      <c r="H1491" s="219"/>
      <c r="I1491" s="249"/>
      <c r="J1491" s="243"/>
      <c r="K1491" s="219"/>
      <c r="L1491" s="244"/>
      <c r="M1491" s="219"/>
      <c r="N1491" s="219"/>
      <c r="O1491" s="219"/>
      <c r="P1491" s="244"/>
      <c r="Q1491" s="219"/>
      <c r="R1491" s="302"/>
      <c r="S1491" s="219"/>
      <c r="T1491" s="219"/>
      <c r="U1491" s="219"/>
      <c r="V1491" s="303"/>
      <c r="W1491" s="247"/>
      <c r="X1491" s="245"/>
      <c r="Y1491" s="245"/>
      <c r="Z1491" s="245"/>
      <c r="AA1491" s="245"/>
      <c r="AB1491" s="245"/>
      <c r="AC1491" s="249"/>
      <c r="AD1491" s="249"/>
      <c r="AE1491" s="249"/>
      <c r="AF1491" s="8"/>
      <c r="AG1491" s="8"/>
      <c r="AH1491" s="72"/>
      <c r="AI1491" s="8"/>
      <c r="AJ1491" s="251"/>
      <c r="AK1491" s="23"/>
      <c r="AL1491" s="75"/>
      <c r="AM1491" s="75" t="str">
        <f t="shared" si="141"/>
        <v/>
      </c>
      <c r="AN1491" s="75"/>
      <c r="AO1491" s="75"/>
      <c r="AP1491" s="75"/>
      <c r="AQ1491" s="75"/>
      <c r="AR1491" s="75"/>
      <c r="AS1491" s="75"/>
      <c r="AT1491" s="75"/>
    </row>
    <row r="1492" ht="22.5" customHeight="1">
      <c r="A1492" s="219"/>
      <c r="B1492" s="219"/>
      <c r="C1492" s="219"/>
      <c r="D1492" s="219"/>
      <c r="E1492" s="219"/>
      <c r="F1492" s="219"/>
      <c r="G1492" s="219"/>
      <c r="H1492" s="219"/>
      <c r="I1492" s="249"/>
      <c r="J1492" s="243"/>
      <c r="K1492" s="219"/>
      <c r="L1492" s="244"/>
      <c r="M1492" s="219"/>
      <c r="N1492" s="219"/>
      <c r="O1492" s="219"/>
      <c r="P1492" s="244"/>
      <c r="Q1492" s="219"/>
      <c r="R1492" s="302"/>
      <c r="S1492" s="219"/>
      <c r="T1492" s="219"/>
      <c r="U1492" s="219"/>
      <c r="V1492" s="303"/>
      <c r="W1492" s="247"/>
      <c r="X1492" s="245"/>
      <c r="Y1492" s="245"/>
      <c r="Z1492" s="245"/>
      <c r="AA1492" s="245"/>
      <c r="AB1492" s="245"/>
      <c r="AC1492" s="249"/>
      <c r="AD1492" s="249"/>
      <c r="AE1492" s="249"/>
      <c r="AF1492" s="8"/>
      <c r="AG1492" s="8"/>
      <c r="AH1492" s="72"/>
      <c r="AI1492" s="8"/>
      <c r="AJ1492" s="251"/>
      <c r="AK1492" s="23"/>
      <c r="AL1492" s="75"/>
      <c r="AM1492" s="75" t="str">
        <f t="shared" si="141"/>
        <v/>
      </c>
      <c r="AN1492" s="75"/>
      <c r="AO1492" s="75"/>
      <c r="AP1492" s="75"/>
      <c r="AQ1492" s="75"/>
      <c r="AR1492" s="75"/>
      <c r="AS1492" s="75"/>
      <c r="AT1492" s="75"/>
    </row>
    <row r="1493" ht="22.5" customHeight="1">
      <c r="A1493" s="219"/>
      <c r="B1493" s="219"/>
      <c r="C1493" s="219"/>
      <c r="D1493" s="219"/>
      <c r="E1493" s="219"/>
      <c r="F1493" s="219"/>
      <c r="G1493" s="219"/>
      <c r="H1493" s="219"/>
      <c r="I1493" s="249"/>
      <c r="J1493" s="243"/>
      <c r="K1493" s="219"/>
      <c r="L1493" s="244"/>
      <c r="M1493" s="219"/>
      <c r="N1493" s="219"/>
      <c r="O1493" s="219"/>
      <c r="P1493" s="244"/>
      <c r="Q1493" s="219"/>
      <c r="R1493" s="302"/>
      <c r="S1493" s="219"/>
      <c r="T1493" s="219"/>
      <c r="U1493" s="219"/>
      <c r="V1493" s="303"/>
      <c r="W1493" s="247"/>
      <c r="X1493" s="245"/>
      <c r="Y1493" s="245"/>
      <c r="Z1493" s="245"/>
      <c r="AA1493" s="245"/>
      <c r="AB1493" s="245"/>
      <c r="AC1493" s="249"/>
      <c r="AD1493" s="249"/>
      <c r="AE1493" s="249"/>
      <c r="AF1493" s="8"/>
      <c r="AG1493" s="8"/>
      <c r="AH1493" s="72"/>
      <c r="AI1493" s="8"/>
      <c r="AJ1493" s="251"/>
      <c r="AK1493" s="23"/>
      <c r="AL1493" s="75"/>
      <c r="AM1493" s="75" t="str">
        <f t="shared" si="141"/>
        <v/>
      </c>
      <c r="AN1493" s="75"/>
      <c r="AO1493" s="75"/>
      <c r="AP1493" s="75"/>
      <c r="AQ1493" s="75"/>
      <c r="AR1493" s="75"/>
      <c r="AS1493" s="75"/>
      <c r="AT1493" s="75"/>
    </row>
    <row r="1494" ht="22.5" customHeight="1">
      <c r="A1494" s="219"/>
      <c r="B1494" s="219"/>
      <c r="C1494" s="219"/>
      <c r="D1494" s="219"/>
      <c r="E1494" s="219"/>
      <c r="F1494" s="219"/>
      <c r="G1494" s="219"/>
      <c r="H1494" s="219"/>
      <c r="I1494" s="249"/>
      <c r="J1494" s="243"/>
      <c r="K1494" s="219"/>
      <c r="L1494" s="244"/>
      <c r="M1494" s="219"/>
      <c r="N1494" s="219"/>
      <c r="O1494" s="219"/>
      <c r="P1494" s="244"/>
      <c r="Q1494" s="219"/>
      <c r="R1494" s="302"/>
      <c r="S1494" s="219"/>
      <c r="T1494" s="219"/>
      <c r="U1494" s="219"/>
      <c r="V1494" s="303"/>
      <c r="W1494" s="247"/>
      <c r="X1494" s="245"/>
      <c r="Y1494" s="245"/>
      <c r="Z1494" s="245"/>
      <c r="AA1494" s="245"/>
      <c r="AB1494" s="245"/>
      <c r="AC1494" s="249"/>
      <c r="AD1494" s="249"/>
      <c r="AE1494" s="249"/>
      <c r="AF1494" s="8"/>
      <c r="AG1494" s="8"/>
      <c r="AH1494" s="72"/>
      <c r="AI1494" s="8"/>
      <c r="AJ1494" s="251"/>
      <c r="AK1494" s="23"/>
      <c r="AL1494" s="75"/>
      <c r="AM1494" s="75" t="str">
        <f t="shared" si="141"/>
        <v/>
      </c>
      <c r="AN1494" s="75"/>
      <c r="AO1494" s="75"/>
      <c r="AP1494" s="75"/>
      <c r="AQ1494" s="75"/>
      <c r="AR1494" s="75"/>
      <c r="AS1494" s="75"/>
      <c r="AT1494" s="75"/>
    </row>
    <row r="1495" ht="22.5" customHeight="1">
      <c r="A1495" s="219"/>
      <c r="B1495" s="219"/>
      <c r="C1495" s="219"/>
      <c r="D1495" s="219"/>
      <c r="E1495" s="219"/>
      <c r="F1495" s="219"/>
      <c r="G1495" s="219"/>
      <c r="H1495" s="219"/>
      <c r="I1495" s="249"/>
      <c r="J1495" s="243"/>
      <c r="K1495" s="219"/>
      <c r="L1495" s="244"/>
      <c r="M1495" s="219"/>
      <c r="N1495" s="219"/>
      <c r="O1495" s="219"/>
      <c r="P1495" s="244"/>
      <c r="Q1495" s="219"/>
      <c r="R1495" s="302"/>
      <c r="S1495" s="219"/>
      <c r="T1495" s="219"/>
      <c r="U1495" s="219"/>
      <c r="V1495" s="303"/>
      <c r="W1495" s="247"/>
      <c r="X1495" s="245"/>
      <c r="Y1495" s="245"/>
      <c r="Z1495" s="245"/>
      <c r="AA1495" s="245"/>
      <c r="AB1495" s="245"/>
      <c r="AC1495" s="249"/>
      <c r="AD1495" s="249"/>
      <c r="AE1495" s="249"/>
      <c r="AF1495" s="8"/>
      <c r="AG1495" s="8"/>
      <c r="AH1495" s="72"/>
      <c r="AI1495" s="8"/>
      <c r="AJ1495" s="251"/>
      <c r="AK1495" s="23"/>
      <c r="AL1495" s="75"/>
      <c r="AM1495" s="75" t="str">
        <f t="shared" si="141"/>
        <v/>
      </c>
      <c r="AN1495" s="75"/>
      <c r="AO1495" s="75"/>
      <c r="AP1495" s="75"/>
      <c r="AQ1495" s="75"/>
      <c r="AR1495" s="75"/>
      <c r="AS1495" s="75"/>
      <c r="AT1495" s="75"/>
    </row>
    <row r="1496" ht="22.5" customHeight="1">
      <c r="A1496" s="219"/>
      <c r="B1496" s="219"/>
      <c r="C1496" s="219"/>
      <c r="D1496" s="219"/>
      <c r="E1496" s="219"/>
      <c r="F1496" s="219"/>
      <c r="G1496" s="219"/>
      <c r="H1496" s="219"/>
      <c r="I1496" s="249"/>
      <c r="J1496" s="243"/>
      <c r="K1496" s="219"/>
      <c r="L1496" s="244"/>
      <c r="M1496" s="219"/>
      <c r="N1496" s="219"/>
      <c r="O1496" s="219"/>
      <c r="P1496" s="244"/>
      <c r="Q1496" s="219"/>
      <c r="R1496" s="302"/>
      <c r="S1496" s="219"/>
      <c r="T1496" s="219"/>
      <c r="U1496" s="219"/>
      <c r="V1496" s="303"/>
      <c r="W1496" s="247"/>
      <c r="X1496" s="245"/>
      <c r="Y1496" s="245"/>
      <c r="Z1496" s="245"/>
      <c r="AA1496" s="245"/>
      <c r="AB1496" s="245"/>
      <c r="AC1496" s="249"/>
      <c r="AD1496" s="249"/>
      <c r="AE1496" s="249"/>
      <c r="AF1496" s="8"/>
      <c r="AG1496" s="8"/>
      <c r="AH1496" s="72"/>
      <c r="AI1496" s="8"/>
      <c r="AJ1496" s="251"/>
      <c r="AK1496" s="23"/>
      <c r="AL1496" s="75"/>
      <c r="AM1496" s="75" t="str">
        <f t="shared" si="141"/>
        <v/>
      </c>
      <c r="AN1496" s="75"/>
      <c r="AO1496" s="75"/>
      <c r="AP1496" s="75"/>
      <c r="AQ1496" s="75"/>
      <c r="AR1496" s="75"/>
      <c r="AS1496" s="75"/>
      <c r="AT1496" s="75"/>
    </row>
    <row r="1497" ht="22.5" customHeight="1">
      <c r="A1497" s="219"/>
      <c r="B1497" s="219"/>
      <c r="C1497" s="219"/>
      <c r="D1497" s="219"/>
      <c r="E1497" s="219"/>
      <c r="F1497" s="219"/>
      <c r="G1497" s="219"/>
      <c r="H1497" s="219"/>
      <c r="I1497" s="249"/>
      <c r="J1497" s="243"/>
      <c r="K1497" s="219"/>
      <c r="L1497" s="244"/>
      <c r="M1497" s="219"/>
      <c r="N1497" s="219"/>
      <c r="O1497" s="219"/>
      <c r="P1497" s="244"/>
      <c r="Q1497" s="219"/>
      <c r="R1497" s="302"/>
      <c r="S1497" s="219"/>
      <c r="T1497" s="219"/>
      <c r="U1497" s="219"/>
      <c r="V1497" s="303"/>
      <c r="W1497" s="247"/>
      <c r="X1497" s="245"/>
      <c r="Y1497" s="245"/>
      <c r="Z1497" s="245"/>
      <c r="AA1497" s="245"/>
      <c r="AB1497" s="245"/>
      <c r="AC1497" s="249"/>
      <c r="AD1497" s="249"/>
      <c r="AE1497" s="249"/>
      <c r="AF1497" s="8"/>
      <c r="AG1497" s="8"/>
      <c r="AH1497" s="72"/>
      <c r="AI1497" s="8"/>
      <c r="AJ1497" s="251"/>
      <c r="AK1497" s="23"/>
      <c r="AL1497" s="75"/>
      <c r="AM1497" s="75" t="str">
        <f t="shared" si="141"/>
        <v/>
      </c>
      <c r="AN1497" s="75"/>
      <c r="AO1497" s="75"/>
      <c r="AP1497" s="75"/>
      <c r="AQ1497" s="75"/>
      <c r="AR1497" s="75"/>
      <c r="AS1497" s="75"/>
      <c r="AT1497" s="75"/>
    </row>
    <row r="1498" ht="22.5" customHeight="1">
      <c r="A1498" s="219"/>
      <c r="B1498" s="219"/>
      <c r="C1498" s="219"/>
      <c r="D1498" s="219"/>
      <c r="E1498" s="219"/>
      <c r="F1498" s="219"/>
      <c r="G1498" s="219"/>
      <c r="H1498" s="219"/>
      <c r="I1498" s="249"/>
      <c r="J1498" s="243"/>
      <c r="K1498" s="219"/>
      <c r="L1498" s="244"/>
      <c r="M1498" s="219"/>
      <c r="N1498" s="219"/>
      <c r="O1498" s="219"/>
      <c r="P1498" s="244"/>
      <c r="Q1498" s="219"/>
      <c r="R1498" s="302"/>
      <c r="S1498" s="219"/>
      <c r="T1498" s="219"/>
      <c r="U1498" s="219"/>
      <c r="V1498" s="303"/>
      <c r="W1498" s="247"/>
      <c r="X1498" s="245"/>
      <c r="Y1498" s="245"/>
      <c r="Z1498" s="245"/>
      <c r="AA1498" s="245"/>
      <c r="AB1498" s="245"/>
      <c r="AC1498" s="249"/>
      <c r="AD1498" s="249"/>
      <c r="AE1498" s="249"/>
      <c r="AF1498" s="8"/>
      <c r="AG1498" s="8"/>
      <c r="AH1498" s="72"/>
      <c r="AI1498" s="8"/>
      <c r="AJ1498" s="251"/>
      <c r="AK1498" s="23"/>
      <c r="AL1498" s="75"/>
      <c r="AM1498" s="75" t="str">
        <f t="shared" si="141"/>
        <v/>
      </c>
      <c r="AN1498" s="75"/>
      <c r="AO1498" s="75"/>
      <c r="AP1498" s="75"/>
      <c r="AQ1498" s="75"/>
      <c r="AR1498" s="75"/>
      <c r="AS1498" s="75"/>
      <c r="AT1498" s="75"/>
    </row>
    <row r="1499" ht="22.5" customHeight="1">
      <c r="A1499" s="219"/>
      <c r="B1499" s="219"/>
      <c r="C1499" s="219"/>
      <c r="D1499" s="219"/>
      <c r="E1499" s="219"/>
      <c r="F1499" s="219"/>
      <c r="G1499" s="219"/>
      <c r="H1499" s="219"/>
      <c r="I1499" s="249"/>
      <c r="J1499" s="243"/>
      <c r="K1499" s="219"/>
      <c r="L1499" s="244"/>
      <c r="M1499" s="219"/>
      <c r="N1499" s="219"/>
      <c r="O1499" s="219"/>
      <c r="P1499" s="244"/>
      <c r="Q1499" s="219"/>
      <c r="R1499" s="302"/>
      <c r="S1499" s="219"/>
      <c r="T1499" s="219"/>
      <c r="U1499" s="219"/>
      <c r="V1499" s="303"/>
      <c r="W1499" s="247"/>
      <c r="X1499" s="245"/>
      <c r="Y1499" s="245"/>
      <c r="Z1499" s="245"/>
      <c r="AA1499" s="245"/>
      <c r="AB1499" s="245"/>
      <c r="AC1499" s="249"/>
      <c r="AD1499" s="249"/>
      <c r="AE1499" s="249"/>
      <c r="AF1499" s="8"/>
      <c r="AG1499" s="8"/>
      <c r="AH1499" s="72"/>
      <c r="AI1499" s="8"/>
      <c r="AJ1499" s="251"/>
      <c r="AK1499" s="23"/>
      <c r="AL1499" s="75"/>
      <c r="AM1499" s="75" t="str">
        <f t="shared" si="141"/>
        <v/>
      </c>
      <c r="AN1499" s="75"/>
      <c r="AO1499" s="75"/>
      <c r="AP1499" s="75"/>
      <c r="AQ1499" s="75"/>
      <c r="AR1499" s="75"/>
      <c r="AS1499" s="75"/>
      <c r="AT1499" s="75"/>
    </row>
    <row r="1500" ht="22.5" customHeight="1">
      <c r="A1500" s="219"/>
      <c r="B1500" s="219"/>
      <c r="C1500" s="219"/>
      <c r="D1500" s="219"/>
      <c r="E1500" s="219"/>
      <c r="F1500" s="219"/>
      <c r="G1500" s="219"/>
      <c r="H1500" s="219"/>
      <c r="I1500" s="249"/>
      <c r="J1500" s="243"/>
      <c r="K1500" s="219"/>
      <c r="L1500" s="244"/>
      <c r="M1500" s="219"/>
      <c r="N1500" s="219"/>
      <c r="O1500" s="219"/>
      <c r="P1500" s="244"/>
      <c r="Q1500" s="219"/>
      <c r="R1500" s="302"/>
      <c r="S1500" s="219"/>
      <c r="T1500" s="219"/>
      <c r="U1500" s="219"/>
      <c r="V1500" s="303"/>
      <c r="W1500" s="247"/>
      <c r="X1500" s="245"/>
      <c r="Y1500" s="245"/>
      <c r="Z1500" s="245"/>
      <c r="AA1500" s="245"/>
      <c r="AB1500" s="245"/>
      <c r="AC1500" s="249"/>
      <c r="AD1500" s="249"/>
      <c r="AE1500" s="249"/>
      <c r="AF1500" s="8"/>
      <c r="AG1500" s="8"/>
      <c r="AH1500" s="72"/>
      <c r="AI1500" s="8"/>
      <c r="AJ1500" s="251"/>
      <c r="AK1500" s="23"/>
      <c r="AL1500" s="75"/>
      <c r="AM1500" s="75" t="str">
        <f t="shared" si="141"/>
        <v/>
      </c>
      <c r="AN1500" s="75"/>
      <c r="AO1500" s="75"/>
      <c r="AP1500" s="75"/>
      <c r="AQ1500" s="75"/>
      <c r="AR1500" s="75"/>
      <c r="AS1500" s="75"/>
      <c r="AT1500" s="75"/>
    </row>
    <row r="1501" ht="22.5" customHeight="1"/>
    <row r="1502" ht="22.5" customHeight="1"/>
    <row r="1503" ht="22.5" customHeight="1"/>
    <row r="1504" ht="22.5" customHeight="1"/>
    <row r="1505" ht="22.5" customHeight="1"/>
    <row r="1506" ht="22.5" customHeight="1"/>
    <row r="1507" ht="22.5" customHeight="1"/>
    <row r="1508" ht="22.5" customHeight="1"/>
    <row r="1509" ht="22.5" customHeight="1"/>
    <row r="1510" ht="22.5" customHeight="1"/>
    <row r="1511" ht="22.5" customHeight="1"/>
    <row r="1512" ht="22.5" customHeight="1"/>
    <row r="1513" ht="22.5" customHeight="1"/>
    <row r="1514" ht="22.5" customHeight="1"/>
    <row r="1515" ht="22.5" customHeight="1"/>
    <row r="1516" ht="22.5" customHeight="1"/>
  </sheetData>
  <autoFilter ref="$A$3:$AT$1500">
    <sortState ref="A3:AT1500">
      <sortCondition ref="A3:A1500"/>
      <sortCondition ref="K3:K1500"/>
      <sortCondition ref="E3:E1500"/>
      <sortCondition ref="L3:L1500"/>
    </sortState>
  </autoFilter>
  <customSheetViews>
    <customSheetView guid="{0611FD0D-C295-4726-9974-AD1843523F92}" filter="1" showAutoFilter="1">
      <autoFilter ref="$A$3:$AK$1500">
        <filterColumn colId="13">
          <filters blank="1">
            <filter val="Employed"/>
          </filters>
        </filterColumn>
        <sortState ref="A3:AK1500">
          <sortCondition ref="D3:D1500"/>
        </sortState>
      </autoFilter>
    </customSheetView>
    <customSheetView guid="{23456004-571C-4DD9-B160-C9FE31C068B2}" filter="1" showAutoFilter="1">
      <autoFilter ref="$A$3:$AM$1500">
        <filterColumn colId="0">
          <colorFilter dxfId="1"/>
        </filterColumn>
        <sortState ref="A3:AM1500">
          <sortCondition ref="E3:E1500"/>
          <sortCondition ref="L3:L1500"/>
        </sortState>
      </autoFilter>
    </customSheetView>
  </customSheetViews>
  <conditionalFormatting sqref="AB106">
    <cfRule type="notContainsBlanks" dxfId="2" priority="1">
      <formula>LEN(TRIM(AB106))&gt;0</formula>
    </cfRule>
  </conditionalFormatting>
  <conditionalFormatting sqref="A1:D480 E1:E6 F1:F480 G1:H578 I1:I581 J1:K479 L1:M478 N1:N5 O1:O478 P1:P479 Q1:R478 S1:S338 T1:U478 V1:V480 W1:Z495 AA1:AB553 AC1:AC478 AD1:AE553 AF1:AI1516 AJ1:AJ504 N7:N27 E8:E29 N29:N35 E31:E44 N37:N478 E46:E54 E56:E480 S340:S342 S344:S360 S362:S364 S366:S382 S384:S392 S394:S553 AC482:AC496 B484:D495 F484:F495 O484:R495 T484:V495 A485:A495 J485:N495 E487:E495 A497:A499 B497:F504 V497:Z553 AC498:AC540 O500:R504 T500:U504 A501:A504 J501:N504 D515:D517 T537:T539 A539:A547 J539:J550 K539:K547 P539:P547 AJ539:AJ553 D540:D542 B542:C547 E542:F547 L542:L547 M542:N544 O542:O547 Q542:R553 T542:U553 AC542:AC553 D545:D547 AA556:AE558 N558:N560 D565:D567 O565:O567 A569:F571 J569:J576 K569:AE571 AJ569:AJ571 Q574:AE576 AJ574:AJ576 A583:B585 C583:E589 F583:F585 G583:H589 I583:I596 J583:J590 K583:L585 M583:N589 O583:V585 W583:W589 X583:AD585 AE583:AE589 AJ583:AJ585 A587:B589 F587:F589 K587:L589 O587:V589 X587:AD589 AJ587:AJ589 V594:V597 W594:X596 Y594:Y597 L595:L598 G596:H601 C599:E601 I599:I640 N599:N601 AE599:AE601 AA600:AD602 L603:L605 V603:V608 Y603:Y608 C604:E606 G604:H609 M604:N606 AE604:AE629 W605:X608 Z606:AA608 AB606:AD629 A611:H617 J611:AA617 AJ611:AJ617 G620:H632 G636:H640 G643:I715 D658:E660 T674:T715 B690:B697 D690:F697 J690:J697 L690:L697 O690:S697 U690:AE697 AJ690:AJ697 A691:A697 C691:C697 K691:K697 M691:N697 A705:F711 J705:S711 U705:AE711 AJ705:AJ711">
    <cfRule type="expression" dxfId="3" priority="2">
      <formula>isformula(A1)</formula>
    </cfRule>
  </conditionalFormatting>
  <conditionalFormatting sqref="I1:I1516 V1:Z1516 AA1:AA609 AB1:AI1516 AA611:AA1516">
    <cfRule type="expression" dxfId="4" priority="3">
      <formula>if(isformula(#REF!),"False","True")</formula>
    </cfRule>
  </conditionalFormatting>
  <conditionalFormatting sqref="A1:A1516">
    <cfRule type="expression" dxfId="5" priority="4">
      <formula>countif(A$1:A1516,A1)&gt;1</formula>
    </cfRule>
  </conditionalFormatting>
  <dataValidations>
    <dataValidation type="list" allowBlank="1" showErrorMessage="1" sqref="E246">
      <formula1>'Master Sheet'!$B:$B</formula1>
    </dataValidation>
    <dataValidation type="list" allowBlank="1" showErrorMessage="1" sqref="D4:D37 D38:E38 D39:D242 D244:D400 D402:D698 D700:D1500">
      <formula1>'Master Sheet'!$A:$A</formula1>
    </dataValidation>
    <dataValidation type="list" allowBlank="1" showErrorMessage="1" sqref="E4:E37 E39:E245 E247:E400 E402:E698 E700:E1500">
      <formula1>'Master Sheet'!$B:$B</formula1>
    </dataValidation>
    <dataValidation type="list" allowBlank="1" showErrorMessage="1" sqref="F4:F698 F700:F1500">
      <formula1>'Master Sheet'!$C:$C</formula1>
    </dataValidation>
    <dataValidation type="list" allowBlank="1" showErrorMessage="1" sqref="N4:N698 N700:N1500">
      <formula1>"Employed,Terminated,Transferred"</formula1>
    </dataValidation>
    <dataValidation type="list" allowBlank="1" showErrorMessage="1" sqref="D243">
      <formula1>"IT"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10.25"/>
    <col customWidth="1" min="2" max="2" width="19.13"/>
    <col customWidth="1" min="3" max="3" width="8.0"/>
    <col customWidth="1" min="4" max="4" width="13.38"/>
    <col customWidth="1" min="5" max="5" width="11.13"/>
    <col customWidth="1" min="6" max="6" width="12.88"/>
    <col customWidth="1" min="7" max="7" width="10.75"/>
    <col customWidth="1" min="8" max="8" width="12.13"/>
    <col customWidth="1" min="9" max="9" width="12.25"/>
    <col customWidth="1" min="10" max="10" width="12.0"/>
    <col customWidth="1" min="11" max="11" width="12.25"/>
    <col customWidth="1" min="12" max="12" width="12.75"/>
    <col customWidth="1" min="13" max="13" width="12.25"/>
    <col customWidth="1" min="14" max="14" width="11.88"/>
    <col customWidth="1" min="15" max="15" width="13.0"/>
    <col customWidth="1" min="16" max="16" width="12.0"/>
    <col customWidth="1" min="17" max="17" width="13.88"/>
    <col customWidth="1" min="79" max="79" width="17.88"/>
    <col customWidth="1" min="104" max="113" width="11.88"/>
  </cols>
  <sheetData>
    <row r="1" ht="30.0" customHeight="1">
      <c r="A1" s="1"/>
      <c r="B1" s="3">
        <v>-2.0</v>
      </c>
      <c r="C1" s="5"/>
      <c r="D1" s="15" t="str">
        <f>text(EOMONTH(today(),B1),"mmmyyyy")&amp;"!A:A"</f>
        <v>Jul2026!A:A</v>
      </c>
      <c r="E1" s="15" t="str">
        <f>text(EOMONTH(today(),B1),"mmmyyyy")&amp;"!R:R"</f>
        <v>Jul2026!R:R</v>
      </c>
      <c r="F1" s="22">
        <f t="shared" ref="F1:DV1" si="1">SUBTOTAL(9,F4:F2010)</f>
        <v>82100</v>
      </c>
      <c r="G1" s="22">
        <f t="shared" si="1"/>
        <v>508300</v>
      </c>
      <c r="H1" s="22">
        <f t="shared" si="1"/>
        <v>82100</v>
      </c>
      <c r="I1" s="24">
        <f t="shared" si="1"/>
        <v>599200</v>
      </c>
      <c r="J1" s="24">
        <f t="shared" si="1"/>
        <v>98600</v>
      </c>
      <c r="K1" s="24">
        <f t="shared" si="1"/>
        <v>528600</v>
      </c>
      <c r="L1" s="24">
        <f t="shared" si="1"/>
        <v>81000</v>
      </c>
      <c r="M1" s="24">
        <f t="shared" si="1"/>
        <v>595600</v>
      </c>
      <c r="N1" s="24">
        <f t="shared" si="1"/>
        <v>109600</v>
      </c>
      <c r="O1" s="24">
        <f t="shared" si="1"/>
        <v>613774</v>
      </c>
      <c r="P1" s="24">
        <f t="shared" si="1"/>
        <v>112029</v>
      </c>
      <c r="Q1" s="24">
        <f t="shared" si="1"/>
        <v>516745</v>
      </c>
      <c r="R1" s="24">
        <f t="shared" si="1"/>
        <v>123100</v>
      </c>
      <c r="S1" s="24">
        <f t="shared" si="1"/>
        <v>493645</v>
      </c>
      <c r="T1" s="24">
        <f t="shared" si="1"/>
        <v>80300</v>
      </c>
      <c r="U1" s="24">
        <f t="shared" si="1"/>
        <v>558345</v>
      </c>
      <c r="V1" s="24">
        <f t="shared" si="1"/>
        <v>104003</v>
      </c>
      <c r="W1" s="24">
        <f t="shared" si="1"/>
        <v>513342</v>
      </c>
      <c r="X1" s="24">
        <f t="shared" si="1"/>
        <v>68500</v>
      </c>
      <c r="Y1" s="24">
        <f t="shared" si="1"/>
        <v>536842</v>
      </c>
      <c r="Z1" s="24">
        <f t="shared" si="1"/>
        <v>83000</v>
      </c>
      <c r="AA1" s="24">
        <f t="shared" si="1"/>
        <v>624067</v>
      </c>
      <c r="AB1" s="24">
        <f t="shared" si="1"/>
        <v>120725</v>
      </c>
      <c r="AC1" s="24">
        <f t="shared" si="1"/>
        <v>546429</v>
      </c>
      <c r="AD1" s="24">
        <f t="shared" si="1"/>
        <v>73087</v>
      </c>
      <c r="AE1" s="24">
        <f t="shared" si="1"/>
        <v>498342</v>
      </c>
      <c r="AF1" s="24">
        <f t="shared" si="1"/>
        <v>101419</v>
      </c>
      <c r="AG1" s="24">
        <f t="shared" si="1"/>
        <v>513923</v>
      </c>
      <c r="AH1" s="24">
        <f t="shared" si="1"/>
        <v>77000</v>
      </c>
      <c r="AI1" s="24">
        <f t="shared" si="1"/>
        <v>563926</v>
      </c>
      <c r="AJ1" s="24">
        <f t="shared" si="1"/>
        <v>74210</v>
      </c>
      <c r="AK1" s="24">
        <f t="shared" si="1"/>
        <v>629416</v>
      </c>
      <c r="AL1" s="24">
        <f t="shared" si="1"/>
        <v>118200</v>
      </c>
      <c r="AM1" s="24">
        <f t="shared" si="1"/>
        <v>575536</v>
      </c>
      <c r="AN1" s="24">
        <f t="shared" si="1"/>
        <v>129020</v>
      </c>
      <c r="AO1" s="24">
        <f t="shared" si="1"/>
        <v>504516</v>
      </c>
      <c r="AP1" s="24">
        <f t="shared" si="1"/>
        <v>68480</v>
      </c>
      <c r="AQ1" s="24">
        <f t="shared" si="1"/>
        <v>761771</v>
      </c>
      <c r="AR1" s="24">
        <f t="shared" si="1"/>
        <v>136555</v>
      </c>
      <c r="AS1" s="24">
        <f t="shared" si="1"/>
        <v>709716</v>
      </c>
      <c r="AT1" s="24">
        <f t="shared" si="1"/>
        <v>107000</v>
      </c>
      <c r="AU1" s="24">
        <f t="shared" si="1"/>
        <v>649216</v>
      </c>
      <c r="AV1" s="24">
        <f t="shared" si="1"/>
        <v>118500</v>
      </c>
      <c r="AW1" s="24">
        <f t="shared" si="1"/>
        <v>690716</v>
      </c>
      <c r="AX1" s="24">
        <f t="shared" si="1"/>
        <v>138500</v>
      </c>
      <c r="AY1" s="24">
        <f t="shared" si="1"/>
        <v>732216</v>
      </c>
      <c r="AZ1" s="24">
        <f t="shared" si="1"/>
        <v>154500</v>
      </c>
      <c r="BA1" s="24">
        <f t="shared" si="1"/>
        <v>712716</v>
      </c>
      <c r="BB1" s="24">
        <f t="shared" si="1"/>
        <v>182630</v>
      </c>
      <c r="BC1" s="24">
        <f t="shared" si="1"/>
        <v>725586</v>
      </c>
      <c r="BD1" s="24">
        <f t="shared" si="1"/>
        <v>167000</v>
      </c>
      <c r="BE1" s="24">
        <f t="shared" si="1"/>
        <v>616086</v>
      </c>
      <c r="BF1" s="24">
        <f t="shared" si="1"/>
        <v>130000</v>
      </c>
      <c r="BG1" s="24">
        <f t="shared" si="1"/>
        <v>687586</v>
      </c>
      <c r="BH1" s="24">
        <f t="shared" si="1"/>
        <v>130000</v>
      </c>
      <c r="BI1" s="24">
        <f t="shared" si="1"/>
        <v>704246</v>
      </c>
      <c r="BJ1" s="24">
        <f t="shared" si="1"/>
        <v>124500</v>
      </c>
      <c r="BK1" s="24">
        <f t="shared" si="1"/>
        <v>662246</v>
      </c>
      <c r="BL1" s="24">
        <f t="shared" si="1"/>
        <v>137000</v>
      </c>
      <c r="BM1" s="24">
        <f t="shared" si="1"/>
        <v>726790</v>
      </c>
      <c r="BN1" s="24">
        <f t="shared" si="1"/>
        <v>101000</v>
      </c>
      <c r="BO1" s="24">
        <f t="shared" si="1"/>
        <v>801790</v>
      </c>
      <c r="BP1" s="24">
        <f t="shared" si="1"/>
        <v>145071</v>
      </c>
      <c r="BQ1" s="24">
        <f t="shared" si="1"/>
        <v>781919</v>
      </c>
      <c r="BR1" s="24">
        <f t="shared" si="1"/>
        <v>122200</v>
      </c>
      <c r="BS1" s="24">
        <f t="shared" si="1"/>
        <v>809719</v>
      </c>
      <c r="BT1" s="24">
        <f t="shared" si="1"/>
        <v>148473</v>
      </c>
      <c r="BU1" s="24">
        <f t="shared" si="1"/>
        <v>798746</v>
      </c>
      <c r="BV1" s="24">
        <f t="shared" si="1"/>
        <v>174900</v>
      </c>
      <c r="BW1" s="24">
        <f t="shared" si="1"/>
        <v>745846</v>
      </c>
      <c r="BX1" s="24">
        <f t="shared" si="1"/>
        <v>126600</v>
      </c>
      <c r="BY1" s="24">
        <f t="shared" si="1"/>
        <v>714546</v>
      </c>
      <c r="BZ1" s="24">
        <f t="shared" si="1"/>
        <v>121300</v>
      </c>
      <c r="CA1" s="24">
        <f t="shared" si="1"/>
        <v>702046</v>
      </c>
      <c r="CB1" s="24">
        <f t="shared" si="1"/>
        <v>167300</v>
      </c>
      <c r="CC1" s="24">
        <f t="shared" si="1"/>
        <v>719531</v>
      </c>
      <c r="CD1" s="24">
        <f t="shared" si="1"/>
        <v>147485</v>
      </c>
      <c r="CE1" s="24">
        <f t="shared" si="1"/>
        <v>702546</v>
      </c>
      <c r="CF1" s="24">
        <f t="shared" si="1"/>
        <v>154250</v>
      </c>
      <c r="CG1" s="24">
        <f t="shared" si="1"/>
        <v>796225</v>
      </c>
      <c r="CH1" s="24">
        <f t="shared" si="1"/>
        <v>161610</v>
      </c>
      <c r="CI1" s="24">
        <f t="shared" si="1"/>
        <v>909115</v>
      </c>
      <c r="CJ1" s="24">
        <f t="shared" si="1"/>
        <v>138660</v>
      </c>
      <c r="CK1" s="24">
        <f t="shared" si="1"/>
        <v>831252</v>
      </c>
      <c r="CL1" s="24">
        <f t="shared" si="1"/>
        <v>118657</v>
      </c>
      <c r="CM1" s="24">
        <f t="shared" si="1"/>
        <v>967595</v>
      </c>
      <c r="CN1" s="24">
        <f t="shared" si="1"/>
        <v>225549</v>
      </c>
      <c r="CO1" s="24">
        <f t="shared" si="1"/>
        <v>888546</v>
      </c>
      <c r="CP1" s="24">
        <f t="shared" si="1"/>
        <v>179750</v>
      </c>
      <c r="CQ1" s="24">
        <f t="shared" si="1"/>
        <v>983296</v>
      </c>
      <c r="CR1" s="24">
        <f t="shared" si="1"/>
        <v>155000</v>
      </c>
      <c r="CS1" s="24">
        <f t="shared" si="1"/>
        <v>963796</v>
      </c>
      <c r="CT1" s="24">
        <f t="shared" si="1"/>
        <v>156500</v>
      </c>
      <c r="CU1" s="24">
        <f t="shared" si="1"/>
        <v>939796</v>
      </c>
      <c r="CV1" s="24">
        <f t="shared" si="1"/>
        <v>148500</v>
      </c>
      <c r="CW1" s="24">
        <f t="shared" si="1"/>
        <v>943796</v>
      </c>
      <c r="CX1" s="24">
        <f t="shared" si="1"/>
        <v>113550</v>
      </c>
      <c r="CY1" s="47">
        <f t="shared" si="1"/>
        <v>406950</v>
      </c>
      <c r="CZ1" s="24">
        <f t="shared" si="1"/>
        <v>557796</v>
      </c>
      <c r="DA1" s="24">
        <f t="shared" si="1"/>
        <v>98000</v>
      </c>
      <c r="DB1" s="24">
        <f t="shared" si="1"/>
        <v>755296</v>
      </c>
      <c r="DC1" s="48">
        <f t="shared" si="1"/>
        <v>126000</v>
      </c>
      <c r="DD1" s="24">
        <f t="shared" si="1"/>
        <v>847296</v>
      </c>
      <c r="DE1" s="48">
        <f t="shared" si="1"/>
        <v>214800</v>
      </c>
      <c r="DF1" s="24">
        <f t="shared" si="1"/>
        <v>839996</v>
      </c>
      <c r="DG1" s="24">
        <f t="shared" si="1"/>
        <v>242500</v>
      </c>
      <c r="DH1" s="24">
        <f t="shared" si="1"/>
        <v>675996</v>
      </c>
      <c r="DI1" s="24">
        <f t="shared" si="1"/>
        <v>190000</v>
      </c>
      <c r="DJ1" s="24">
        <f t="shared" si="1"/>
        <v>608496</v>
      </c>
      <c r="DK1" s="24">
        <f t="shared" si="1"/>
        <v>167000</v>
      </c>
      <c r="DL1" s="24">
        <f t="shared" si="1"/>
        <v>852144</v>
      </c>
      <c r="DM1" s="24">
        <f t="shared" si="1"/>
        <v>179972</v>
      </c>
      <c r="DN1" s="24">
        <f t="shared" si="1"/>
        <v>814072</v>
      </c>
      <c r="DO1" s="24">
        <f t="shared" si="1"/>
        <v>290822</v>
      </c>
      <c r="DP1" s="24">
        <f t="shared" si="1"/>
        <v>648250</v>
      </c>
      <c r="DQ1" s="24">
        <f t="shared" si="1"/>
        <v>125496</v>
      </c>
      <c r="DR1" s="24">
        <f t="shared" si="1"/>
        <v>793750</v>
      </c>
      <c r="DS1" s="24">
        <f t="shared" si="1"/>
        <v>140174</v>
      </c>
      <c r="DT1" s="24">
        <f t="shared" si="1"/>
        <v>838076</v>
      </c>
      <c r="DU1" s="24">
        <f t="shared" si="1"/>
        <v>134000</v>
      </c>
      <c r="DV1" s="24">
        <f t="shared" si="1"/>
        <v>704076</v>
      </c>
    </row>
    <row r="2" ht="16.5" customHeight="1">
      <c r="A2" s="1"/>
      <c r="B2" s="1"/>
      <c r="C2" s="50"/>
      <c r="D2" s="50"/>
      <c r="E2" s="50"/>
      <c r="F2" s="50" t="s">
        <v>66</v>
      </c>
      <c r="G2" s="52" t="s">
        <v>67</v>
      </c>
      <c r="H2" s="54" t="s">
        <v>66</v>
      </c>
      <c r="I2" s="52" t="s">
        <v>67</v>
      </c>
      <c r="J2" s="54" t="s">
        <v>66</v>
      </c>
      <c r="K2" s="52" t="s">
        <v>67</v>
      </c>
      <c r="L2" s="54" t="s">
        <v>66</v>
      </c>
      <c r="M2" s="52" t="s">
        <v>67</v>
      </c>
      <c r="N2" s="54" t="s">
        <v>66</v>
      </c>
      <c r="O2" s="52" t="s">
        <v>67</v>
      </c>
      <c r="P2" s="54" t="s">
        <v>66</v>
      </c>
      <c r="Q2" s="52" t="s">
        <v>67</v>
      </c>
      <c r="R2" s="54" t="s">
        <v>66</v>
      </c>
      <c r="S2" s="52" t="s">
        <v>67</v>
      </c>
      <c r="T2" s="54" t="s">
        <v>66</v>
      </c>
      <c r="U2" s="52" t="s">
        <v>67</v>
      </c>
      <c r="V2" s="54" t="s">
        <v>66</v>
      </c>
      <c r="W2" s="52" t="s">
        <v>67</v>
      </c>
      <c r="X2" s="54" t="s">
        <v>66</v>
      </c>
      <c r="Y2" s="52" t="s">
        <v>67</v>
      </c>
      <c r="Z2" s="54" t="s">
        <v>66</v>
      </c>
      <c r="AA2" s="52" t="s">
        <v>67</v>
      </c>
      <c r="AB2" s="54" t="s">
        <v>66</v>
      </c>
      <c r="AC2" s="52" t="s">
        <v>67</v>
      </c>
      <c r="AD2" s="54" t="s">
        <v>66</v>
      </c>
      <c r="AE2" s="52" t="s">
        <v>67</v>
      </c>
      <c r="AF2" s="54" t="s">
        <v>66</v>
      </c>
      <c r="AG2" s="52" t="s">
        <v>67</v>
      </c>
      <c r="AH2" s="54" t="s">
        <v>66</v>
      </c>
      <c r="AI2" s="52" t="s">
        <v>67</v>
      </c>
      <c r="AJ2" s="54" t="s">
        <v>66</v>
      </c>
      <c r="AK2" s="52" t="s">
        <v>67</v>
      </c>
      <c r="AL2" s="54" t="s">
        <v>66</v>
      </c>
      <c r="AM2" s="52" t="s">
        <v>67</v>
      </c>
      <c r="AN2" s="54" t="s">
        <v>66</v>
      </c>
      <c r="AO2" s="52" t="s">
        <v>67</v>
      </c>
      <c r="AP2" s="54" t="s">
        <v>66</v>
      </c>
      <c r="AQ2" s="52" t="s">
        <v>67</v>
      </c>
      <c r="AR2" s="54" t="s">
        <v>66</v>
      </c>
      <c r="AS2" s="52" t="s">
        <v>67</v>
      </c>
      <c r="AT2" s="54" t="s">
        <v>66</v>
      </c>
      <c r="AU2" s="52" t="s">
        <v>67</v>
      </c>
      <c r="AV2" s="54" t="s">
        <v>66</v>
      </c>
      <c r="AW2" s="52" t="s">
        <v>67</v>
      </c>
      <c r="AX2" s="54" t="s">
        <v>66</v>
      </c>
      <c r="AY2" s="52" t="s">
        <v>67</v>
      </c>
      <c r="AZ2" s="54" t="s">
        <v>66</v>
      </c>
      <c r="BA2" s="52" t="s">
        <v>67</v>
      </c>
      <c r="BB2" s="54" t="s">
        <v>66</v>
      </c>
      <c r="BC2" s="52" t="s">
        <v>67</v>
      </c>
      <c r="BD2" s="54" t="s">
        <v>66</v>
      </c>
      <c r="BE2" s="52" t="s">
        <v>67</v>
      </c>
      <c r="BF2" s="54" t="s">
        <v>66</v>
      </c>
      <c r="BG2" s="52" t="s">
        <v>67</v>
      </c>
      <c r="BH2" s="54" t="s">
        <v>66</v>
      </c>
      <c r="BI2" s="52" t="s">
        <v>67</v>
      </c>
      <c r="BJ2" s="54" t="s">
        <v>66</v>
      </c>
      <c r="BK2" s="52" t="s">
        <v>67</v>
      </c>
      <c r="BL2" s="54" t="s">
        <v>66</v>
      </c>
      <c r="BM2" s="52" t="s">
        <v>67</v>
      </c>
      <c r="BN2" s="54" t="s">
        <v>66</v>
      </c>
      <c r="BO2" s="52" t="s">
        <v>67</v>
      </c>
      <c r="BP2" s="54" t="s">
        <v>66</v>
      </c>
      <c r="BQ2" s="52" t="s">
        <v>67</v>
      </c>
      <c r="BR2" s="54" t="s">
        <v>66</v>
      </c>
      <c r="BS2" s="52" t="s">
        <v>67</v>
      </c>
      <c r="BT2" s="54" t="s">
        <v>66</v>
      </c>
      <c r="BU2" s="52" t="s">
        <v>67</v>
      </c>
      <c r="BV2" s="54" t="s">
        <v>66</v>
      </c>
      <c r="BW2" s="52" t="s">
        <v>67</v>
      </c>
      <c r="BX2" s="54" t="s">
        <v>66</v>
      </c>
      <c r="BY2" s="52" t="s">
        <v>67</v>
      </c>
      <c r="BZ2" s="54" t="s">
        <v>66</v>
      </c>
      <c r="CA2" s="52" t="s">
        <v>67</v>
      </c>
      <c r="CB2" s="54" t="s">
        <v>66</v>
      </c>
      <c r="CC2" s="52" t="s">
        <v>67</v>
      </c>
      <c r="CD2" s="54" t="s">
        <v>66</v>
      </c>
      <c r="CE2" s="52" t="s">
        <v>67</v>
      </c>
      <c r="CF2" s="54" t="s">
        <v>66</v>
      </c>
      <c r="CG2" s="52" t="s">
        <v>67</v>
      </c>
      <c r="CH2" s="54" t="s">
        <v>66</v>
      </c>
      <c r="CI2" s="52" t="s">
        <v>67</v>
      </c>
      <c r="CJ2" s="54" t="s">
        <v>66</v>
      </c>
      <c r="CK2" s="52" t="s">
        <v>67</v>
      </c>
      <c r="CL2" s="54" t="s">
        <v>66</v>
      </c>
      <c r="CM2" s="52" t="s">
        <v>67</v>
      </c>
      <c r="CN2" s="54" t="s">
        <v>66</v>
      </c>
      <c r="CO2" s="52" t="s">
        <v>67</v>
      </c>
      <c r="CP2" s="54" t="s">
        <v>66</v>
      </c>
      <c r="CQ2" s="52" t="s">
        <v>67</v>
      </c>
      <c r="CR2" s="54" t="s">
        <v>66</v>
      </c>
      <c r="CS2" s="52" t="s">
        <v>67</v>
      </c>
      <c r="CT2" s="54" t="s">
        <v>66</v>
      </c>
      <c r="CU2" s="52" t="s">
        <v>67</v>
      </c>
      <c r="CV2" s="54" t="s">
        <v>66</v>
      </c>
      <c r="CW2" s="52" t="s">
        <v>67</v>
      </c>
      <c r="CX2" s="54" t="s">
        <v>66</v>
      </c>
      <c r="CY2" s="60" t="s">
        <v>66</v>
      </c>
      <c r="CZ2" s="52" t="s">
        <v>67</v>
      </c>
      <c r="DA2" s="54" t="s">
        <v>66</v>
      </c>
      <c r="DB2" s="52" t="s">
        <v>67</v>
      </c>
      <c r="DC2" s="61" t="s">
        <v>66</v>
      </c>
      <c r="DD2" s="52" t="s">
        <v>67</v>
      </c>
      <c r="DE2" s="61" t="s">
        <v>66</v>
      </c>
      <c r="DF2" s="52" t="s">
        <v>67</v>
      </c>
      <c r="DG2" s="61" t="s">
        <v>66</v>
      </c>
      <c r="DH2" s="52" t="s">
        <v>67</v>
      </c>
      <c r="DI2" s="61" t="s">
        <v>66</v>
      </c>
      <c r="DJ2" s="52" t="s">
        <v>67</v>
      </c>
      <c r="DK2" s="61" t="s">
        <v>66</v>
      </c>
      <c r="DL2" s="52" t="s">
        <v>67</v>
      </c>
      <c r="DM2" s="62" t="s">
        <v>66</v>
      </c>
      <c r="DN2" s="63" t="s">
        <v>67</v>
      </c>
      <c r="DO2" s="62" t="s">
        <v>66</v>
      </c>
      <c r="DP2" s="63" t="s">
        <v>67</v>
      </c>
      <c r="DQ2" s="62" t="s">
        <v>66</v>
      </c>
      <c r="DR2" s="63" t="s">
        <v>67</v>
      </c>
      <c r="DS2" s="62" t="s">
        <v>66</v>
      </c>
      <c r="DT2" s="63" t="s">
        <v>67</v>
      </c>
      <c r="DU2" s="62" t="s">
        <v>66</v>
      </c>
      <c r="DV2" s="63" t="s">
        <v>67</v>
      </c>
    </row>
    <row r="3">
      <c r="A3" s="64" t="s">
        <v>16</v>
      </c>
      <c r="B3" s="64" t="s">
        <v>17</v>
      </c>
      <c r="C3" s="65" t="s">
        <v>21</v>
      </c>
      <c r="D3" s="65" t="s">
        <v>19</v>
      </c>
      <c r="E3" s="65" t="s">
        <v>72</v>
      </c>
      <c r="F3" s="66" t="s">
        <v>73</v>
      </c>
      <c r="G3" s="66"/>
      <c r="H3" s="67" t="s">
        <v>74</v>
      </c>
      <c r="I3" s="66" t="s">
        <v>75</v>
      </c>
      <c r="J3" s="67" t="s">
        <v>76</v>
      </c>
      <c r="K3" s="66" t="s">
        <v>77</v>
      </c>
      <c r="L3" s="67" t="s">
        <v>78</v>
      </c>
      <c r="M3" s="66" t="s">
        <v>79</v>
      </c>
      <c r="N3" s="67" t="s">
        <v>80</v>
      </c>
      <c r="O3" s="66" t="s">
        <v>81</v>
      </c>
      <c r="P3" s="67" t="s">
        <v>82</v>
      </c>
      <c r="Q3" s="66" t="s">
        <v>83</v>
      </c>
      <c r="R3" s="68" t="s">
        <v>84</v>
      </c>
      <c r="S3" s="68" t="s">
        <v>85</v>
      </c>
      <c r="T3" s="68" t="s">
        <v>86</v>
      </c>
      <c r="U3" s="68" t="s">
        <v>87</v>
      </c>
      <c r="V3" s="68" t="s">
        <v>88</v>
      </c>
      <c r="W3" s="68" t="s">
        <v>89</v>
      </c>
      <c r="X3" s="68" t="s">
        <v>90</v>
      </c>
      <c r="Y3" s="68" t="s">
        <v>91</v>
      </c>
      <c r="Z3" s="68" t="s">
        <v>92</v>
      </c>
      <c r="AA3" s="68" t="s">
        <v>93</v>
      </c>
      <c r="AB3" s="68" t="s">
        <v>94</v>
      </c>
      <c r="AC3" s="68" t="s">
        <v>95</v>
      </c>
      <c r="AD3" s="68" t="s">
        <v>96</v>
      </c>
      <c r="AE3" s="68" t="s">
        <v>97</v>
      </c>
      <c r="AF3" s="68" t="s">
        <v>98</v>
      </c>
      <c r="AG3" s="68" t="s">
        <v>99</v>
      </c>
      <c r="AH3" s="68" t="s">
        <v>100</v>
      </c>
      <c r="AI3" s="68" t="s">
        <v>101</v>
      </c>
      <c r="AJ3" s="68" t="s">
        <v>102</v>
      </c>
      <c r="AK3" s="68" t="s">
        <v>103</v>
      </c>
      <c r="AL3" s="68" t="s">
        <v>104</v>
      </c>
      <c r="AM3" s="68" t="s">
        <v>105</v>
      </c>
      <c r="AN3" s="68" t="s">
        <v>106</v>
      </c>
      <c r="AO3" s="68" t="s">
        <v>107</v>
      </c>
      <c r="AP3" s="68" t="s">
        <v>108</v>
      </c>
      <c r="AQ3" s="68" t="s">
        <v>109</v>
      </c>
      <c r="AR3" s="68" t="s">
        <v>110</v>
      </c>
      <c r="AS3" s="68" t="s">
        <v>111</v>
      </c>
      <c r="AT3" s="68" t="s">
        <v>112</v>
      </c>
      <c r="AU3" s="68" t="s">
        <v>113</v>
      </c>
      <c r="AV3" s="68" t="s">
        <v>114</v>
      </c>
      <c r="AW3" s="68" t="s">
        <v>115</v>
      </c>
      <c r="AX3" s="68" t="s">
        <v>116</v>
      </c>
      <c r="AY3" s="68" t="s">
        <v>117</v>
      </c>
      <c r="AZ3" s="68" t="s">
        <v>118</v>
      </c>
      <c r="BA3" s="68" t="s">
        <v>119</v>
      </c>
      <c r="BB3" s="68" t="s">
        <v>120</v>
      </c>
      <c r="BC3" s="68" t="s">
        <v>121</v>
      </c>
      <c r="BD3" s="68" t="s">
        <v>122</v>
      </c>
      <c r="BE3" s="68" t="s">
        <v>123</v>
      </c>
      <c r="BF3" s="68" t="s">
        <v>124</v>
      </c>
      <c r="BG3" s="68" t="s">
        <v>125</v>
      </c>
      <c r="BH3" s="68" t="s">
        <v>126</v>
      </c>
      <c r="BI3" s="70" t="s">
        <v>127</v>
      </c>
      <c r="BJ3" s="70" t="s">
        <v>128</v>
      </c>
      <c r="BK3" s="70" t="s">
        <v>129</v>
      </c>
      <c r="BL3" s="70" t="s">
        <v>130</v>
      </c>
      <c r="BM3" s="70" t="s">
        <v>131</v>
      </c>
      <c r="BN3" s="70" t="s">
        <v>132</v>
      </c>
      <c r="BO3" s="70" t="s">
        <v>133</v>
      </c>
      <c r="BP3" s="70" t="s">
        <v>134</v>
      </c>
      <c r="BQ3" s="70" t="s">
        <v>135</v>
      </c>
      <c r="BR3" s="70" t="s">
        <v>136</v>
      </c>
      <c r="BS3" s="70" t="s">
        <v>137</v>
      </c>
      <c r="BT3" s="70" t="s">
        <v>138</v>
      </c>
      <c r="BU3" s="70" t="s">
        <v>139</v>
      </c>
      <c r="BV3" s="70" t="s">
        <v>140</v>
      </c>
      <c r="BW3" s="70" t="s">
        <v>141</v>
      </c>
      <c r="BX3" s="70" t="s">
        <v>142</v>
      </c>
      <c r="BY3" s="70" t="s">
        <v>143</v>
      </c>
      <c r="BZ3" s="70" t="s">
        <v>144</v>
      </c>
      <c r="CA3" s="70" t="s">
        <v>145</v>
      </c>
      <c r="CB3" s="70" t="s">
        <v>146</v>
      </c>
      <c r="CC3" s="70" t="s">
        <v>147</v>
      </c>
      <c r="CD3" s="70" t="s">
        <v>148</v>
      </c>
      <c r="CE3" s="70" t="s">
        <v>149</v>
      </c>
      <c r="CF3" s="70" t="s">
        <v>150</v>
      </c>
      <c r="CG3" s="70" t="s">
        <v>151</v>
      </c>
      <c r="CH3" s="70" t="s">
        <v>152</v>
      </c>
      <c r="CI3" s="70" t="s">
        <v>153</v>
      </c>
      <c r="CJ3" s="70" t="s">
        <v>154</v>
      </c>
      <c r="CK3" s="70" t="s">
        <v>155</v>
      </c>
      <c r="CL3" s="70" t="s">
        <v>156</v>
      </c>
      <c r="CM3" s="70" t="s">
        <v>157</v>
      </c>
      <c r="CN3" s="70" t="s">
        <v>158</v>
      </c>
      <c r="CO3" s="70" t="s">
        <v>159</v>
      </c>
      <c r="CP3" s="70" t="s">
        <v>160</v>
      </c>
      <c r="CQ3" s="70" t="s">
        <v>161</v>
      </c>
      <c r="CR3" s="70" t="s">
        <v>162</v>
      </c>
      <c r="CS3" s="70" t="s">
        <v>163</v>
      </c>
      <c r="CT3" s="70" t="s">
        <v>164</v>
      </c>
      <c r="CU3" s="70" t="s">
        <v>165</v>
      </c>
      <c r="CV3" s="70" t="s">
        <v>166</v>
      </c>
      <c r="CW3" s="70" t="s">
        <v>167</v>
      </c>
      <c r="CX3" s="70" t="s">
        <v>168</v>
      </c>
      <c r="CY3" s="71" t="s">
        <v>169</v>
      </c>
      <c r="CZ3" s="70" t="s">
        <v>170</v>
      </c>
      <c r="DA3" s="70" t="s">
        <v>171</v>
      </c>
      <c r="DB3" s="70" t="s">
        <v>172</v>
      </c>
      <c r="DC3" s="73" t="s">
        <v>173</v>
      </c>
      <c r="DD3" s="70" t="s">
        <v>174</v>
      </c>
      <c r="DE3" s="73" t="s">
        <v>175</v>
      </c>
      <c r="DF3" s="70" t="s">
        <v>176</v>
      </c>
      <c r="DG3" s="73" t="s">
        <v>177</v>
      </c>
      <c r="DH3" s="73" t="s">
        <v>178</v>
      </c>
      <c r="DI3" s="73" t="s">
        <v>179</v>
      </c>
      <c r="DJ3" s="73" t="s">
        <v>180</v>
      </c>
      <c r="DK3" s="73" t="s">
        <v>181</v>
      </c>
      <c r="DL3" s="73" t="s">
        <v>182</v>
      </c>
      <c r="DM3" s="74" t="s">
        <v>183</v>
      </c>
      <c r="DN3" s="74" t="s">
        <v>184</v>
      </c>
      <c r="DO3" s="74" t="s">
        <v>185</v>
      </c>
      <c r="DP3" s="74" t="s">
        <v>186</v>
      </c>
      <c r="DQ3" s="74" t="s">
        <v>187</v>
      </c>
      <c r="DR3" s="74" t="s">
        <v>188</v>
      </c>
      <c r="DS3" s="74" t="s">
        <v>189</v>
      </c>
      <c r="DT3" s="74" t="s">
        <v>190</v>
      </c>
      <c r="DU3" s="74" t="s">
        <v>191</v>
      </c>
      <c r="DV3" s="74" t="s">
        <v>192</v>
      </c>
    </row>
    <row r="4">
      <c r="A4" s="7" t="s">
        <v>61</v>
      </c>
      <c r="B4" s="7" t="s">
        <v>62</v>
      </c>
      <c r="C4" s="76" t="str">
        <f t="array" ref="C4">_xlfn.XLOOKUP(A4,'Emp Master'!A:A,'Emp Master'!F:F)</f>
        <v>BENG</v>
      </c>
      <c r="D4" s="76" t="str">
        <f t="array" ref="D4">_xlfn.XLOOKUP(A4,'Emp Master'!A:A,'Emp Master'!D:D)</f>
        <v>Sales &amp; Marketing</v>
      </c>
      <c r="E4" s="76" t="str">
        <f t="shared" ref="E4:E64" si="2">_xlfn.XLOOKUP(A4,INDIRECT($D$1),INDIRECT($E$1),0)</f>
        <v>#REF!</v>
      </c>
      <c r="F4" s="76"/>
      <c r="G4" s="79"/>
      <c r="H4" s="80"/>
      <c r="I4" s="79">
        <f t="shared" ref="I4:I5" si="3">G4-H4</f>
        <v>0</v>
      </c>
      <c r="J4" s="80"/>
      <c r="K4" s="79">
        <f t="shared" ref="K4:K44" si="4">I4-J4</f>
        <v>0</v>
      </c>
      <c r="L4" s="80"/>
      <c r="M4" s="79">
        <f t="shared" ref="M4:M44" si="5">K4-L4</f>
        <v>0</v>
      </c>
      <c r="N4" s="80"/>
      <c r="O4" s="79">
        <f t="shared" ref="O4:O44" si="6">M4-N4</f>
        <v>0</v>
      </c>
      <c r="P4" s="80"/>
      <c r="Q4" s="79">
        <f t="shared" ref="Q4:Q44" si="7">O4-P4</f>
        <v>0</v>
      </c>
      <c r="R4" s="79"/>
      <c r="S4" s="79">
        <f t="shared" ref="S4:S44" si="8">Q4-R4</f>
        <v>0</v>
      </c>
      <c r="T4" s="1"/>
      <c r="U4" s="79">
        <f t="shared" ref="U4:U44" si="9">S4-T4</f>
        <v>0</v>
      </c>
      <c r="V4" s="1"/>
      <c r="W4" s="79">
        <f t="shared" ref="W4:W44" si="10">U4-V4</f>
        <v>0</v>
      </c>
      <c r="X4" s="1"/>
      <c r="Y4" s="79">
        <f t="shared" ref="Y4:Y44" si="11">W4-X4</f>
        <v>0</v>
      </c>
      <c r="Z4" s="1"/>
      <c r="AA4" s="79">
        <f t="shared" ref="AA4:AA44" si="12">Y4-Z4</f>
        <v>0</v>
      </c>
      <c r="AB4" s="1"/>
      <c r="AC4" s="79">
        <f t="shared" ref="AC4:AC44" si="13">AA4-AB4</f>
        <v>0</v>
      </c>
      <c r="AD4" s="1"/>
      <c r="AE4" s="79">
        <f t="shared" ref="AE4:AE44" si="14">AC4-AD4</f>
        <v>0</v>
      </c>
      <c r="AF4" s="1"/>
      <c r="AG4" s="79">
        <f t="shared" ref="AG4:AG44" si="15">AE4-AF4</f>
        <v>0</v>
      </c>
      <c r="AH4" s="1"/>
      <c r="AI4" s="79">
        <f t="shared" ref="AI4:AI21" si="16">AG4-AH4</f>
        <v>0</v>
      </c>
      <c r="AJ4" s="1"/>
      <c r="AK4" s="79">
        <f t="shared" ref="AK4:AK44" si="17">AI4-AJ4</f>
        <v>0</v>
      </c>
      <c r="AL4" s="1"/>
      <c r="AM4" s="79">
        <f t="shared" ref="AM4:AM44" si="18">AK4-AL4</f>
        <v>0</v>
      </c>
      <c r="AN4" s="1"/>
      <c r="AO4" s="79">
        <f t="shared" ref="AO4:AO44" si="19">AM4-AN4</f>
        <v>0</v>
      </c>
      <c r="AP4" s="1"/>
      <c r="AQ4" s="79">
        <f t="shared" ref="AQ4:AQ44" si="20">AO4-AP4</f>
        <v>0</v>
      </c>
      <c r="AR4" s="1"/>
      <c r="AS4" s="79">
        <f t="shared" ref="AS4:AS44" si="21">AQ4-AR4</f>
        <v>0</v>
      </c>
      <c r="AT4" s="1"/>
      <c r="AU4" s="79">
        <f t="shared" ref="AU4:AU44" si="22">AS4-AT4</f>
        <v>0</v>
      </c>
      <c r="AV4" s="1"/>
      <c r="AW4" s="79">
        <f t="shared" ref="AW4:AW44" si="23">AU4-AV4</f>
        <v>0</v>
      </c>
      <c r="AX4" s="1"/>
      <c r="AY4" s="79">
        <f t="shared" ref="AY4:AY44" si="24">AW4-AX4</f>
        <v>0</v>
      </c>
      <c r="AZ4" s="1"/>
      <c r="BA4" s="79">
        <f t="shared" ref="BA4:BA44" si="25">AY4-AZ4</f>
        <v>0</v>
      </c>
      <c r="BB4" s="1"/>
      <c r="BC4" s="79">
        <f t="shared" ref="BC4:BC44" si="26">BA4-BB4</f>
        <v>0</v>
      </c>
      <c r="BD4" s="1"/>
      <c r="BE4" s="79">
        <f t="shared" ref="BE4:BE44" si="27">BC4-BD4</f>
        <v>0</v>
      </c>
      <c r="BF4" s="1"/>
      <c r="BG4" s="79">
        <f t="shared" ref="BG4:BG44" si="28">BE4-BF4</f>
        <v>0</v>
      </c>
      <c r="BH4" s="1"/>
      <c r="BI4" s="79">
        <f t="shared" ref="BI4:BI63" si="29">BG4-BH4</f>
        <v>0</v>
      </c>
      <c r="BJ4" s="1"/>
      <c r="BK4" s="79">
        <f t="shared" ref="BK4:BK44" si="30">BI4-BJ4</f>
        <v>0</v>
      </c>
      <c r="BL4" s="1"/>
      <c r="BM4" s="79">
        <f t="shared" ref="BM4:BM44" si="31">BK4-BL4</f>
        <v>0</v>
      </c>
      <c r="BN4" s="1"/>
      <c r="BO4" s="79">
        <f t="shared" ref="BO4:BO44" si="32">BM4-BN4</f>
        <v>0</v>
      </c>
      <c r="BP4" s="1"/>
      <c r="BQ4" s="79">
        <f t="shared" ref="BQ4:BQ44" si="33">BO4-BP4</f>
        <v>0</v>
      </c>
      <c r="BR4" s="1"/>
      <c r="BS4" s="79">
        <f t="shared" ref="BS4:BS64" si="34">BQ4-BR4</f>
        <v>0</v>
      </c>
      <c r="BT4" s="1"/>
      <c r="BU4" s="79">
        <f t="shared" ref="BU4:BU64" si="35">BS4-BT4</f>
        <v>0</v>
      </c>
      <c r="BV4" s="1"/>
      <c r="BW4" s="79">
        <f t="shared" ref="BW4:BW63" si="36">BU4-BV4</f>
        <v>0</v>
      </c>
      <c r="BX4" s="1"/>
      <c r="BY4" s="79">
        <f t="shared" ref="BY4:BY64" si="37">BW4-BX4</f>
        <v>0</v>
      </c>
      <c r="BZ4" s="1"/>
      <c r="CA4" s="79">
        <f t="shared" ref="CA4:CA64" si="38">BY4-BZ4</f>
        <v>0</v>
      </c>
      <c r="CB4" s="1"/>
      <c r="CC4" s="79">
        <f t="shared" ref="CC4:CC56" si="39">CA4-CB4</f>
        <v>0</v>
      </c>
      <c r="CD4" s="1"/>
      <c r="CE4" s="79">
        <f t="shared" ref="CE4:CE64" si="40">CC4-CD4</f>
        <v>0</v>
      </c>
      <c r="CF4" s="1"/>
      <c r="CG4" s="79">
        <f t="shared" ref="CG4:CG61" si="41">CE4-CF4</f>
        <v>0</v>
      </c>
      <c r="CH4" s="1"/>
      <c r="CI4" s="79">
        <f t="shared" ref="CI4:CI64" si="42">CG4-CH4</f>
        <v>0</v>
      </c>
      <c r="CJ4" s="1"/>
      <c r="CK4" s="79">
        <f t="shared" ref="CK4:CK63" si="43">CI4-CJ4</f>
        <v>0</v>
      </c>
      <c r="CL4" s="1"/>
      <c r="CM4" s="79">
        <f t="shared" ref="CM4:CM56" si="44">CK4-CL4</f>
        <v>0</v>
      </c>
      <c r="CN4" s="1"/>
      <c r="CO4" s="79">
        <f t="shared" ref="CO4:CO59" si="45">CM4-CN4</f>
        <v>0</v>
      </c>
      <c r="CP4" s="1"/>
      <c r="CQ4" s="79">
        <f t="shared" ref="CQ4:CQ76" si="46">CO4-CP4</f>
        <v>0</v>
      </c>
      <c r="CR4" s="1"/>
      <c r="CS4" s="79">
        <f t="shared" ref="CS4:CS65" si="47">CQ4-CR4</f>
        <v>0</v>
      </c>
      <c r="CT4" s="79"/>
      <c r="CU4" s="79">
        <f t="shared" ref="CU4:CU61" si="48">CS4-CT4</f>
        <v>0</v>
      </c>
      <c r="CV4" s="79"/>
      <c r="CW4" s="79">
        <f t="shared" ref="CW4:CW93" si="49">CU4-CV4</f>
        <v>0</v>
      </c>
      <c r="CX4" s="79"/>
      <c r="CY4" s="91"/>
      <c r="CZ4" s="79">
        <f t="shared" ref="CZ4:CZ59" si="50">CW4-CX4</f>
        <v>0</v>
      </c>
      <c r="DA4" s="93"/>
      <c r="DB4" s="93">
        <f t="shared" ref="DB4:DB72" si="51">CZ4-DA4</f>
        <v>0</v>
      </c>
      <c r="DC4" s="96"/>
      <c r="DD4" s="93">
        <f t="shared" ref="DD4:DD56" si="52">DB4-DC4</f>
        <v>0</v>
      </c>
      <c r="DE4" s="96"/>
      <c r="DF4" s="93">
        <f t="shared" ref="DF4:DF63" si="53">DD4-DE4</f>
        <v>0</v>
      </c>
      <c r="DG4" s="96"/>
      <c r="DH4" s="93">
        <f t="shared" ref="DH4:DH71" si="54">DF4-DG4</f>
        <v>0</v>
      </c>
      <c r="DI4" s="96"/>
      <c r="DJ4" s="93">
        <f t="shared" ref="DJ4:DJ62" si="55">DH4-DI4</f>
        <v>0</v>
      </c>
      <c r="DK4" s="93"/>
      <c r="DL4" s="93">
        <f t="shared" ref="DL4:DL55" si="56">DJ4-DK4</f>
        <v>0</v>
      </c>
      <c r="DM4" s="100">
        <v>0.0</v>
      </c>
      <c r="DN4" s="93">
        <f t="shared" ref="DN4:DN51" si="57">DL4-DM4</f>
        <v>0</v>
      </c>
      <c r="DO4" s="100">
        <v>0.0</v>
      </c>
      <c r="DP4" s="93">
        <f t="shared" ref="DP4:DP62" si="58">DN4-DO4</f>
        <v>0</v>
      </c>
      <c r="DQ4" s="100">
        <v>0.0</v>
      </c>
      <c r="DR4" s="93">
        <f t="shared" ref="DR4:DR59" si="59">DP4-DQ4</f>
        <v>0</v>
      </c>
      <c r="DS4" s="100">
        <v>0.0</v>
      </c>
      <c r="DT4" s="93">
        <f t="shared" ref="DT4:DT62" si="60">DR4-DS4</f>
        <v>0</v>
      </c>
      <c r="DU4" s="100">
        <v>0.0</v>
      </c>
      <c r="DV4" s="93">
        <f t="shared" ref="DV4:DV265" si="61">DT4-DU4</f>
        <v>0</v>
      </c>
    </row>
    <row r="5">
      <c r="A5" s="7" t="s">
        <v>194</v>
      </c>
      <c r="B5" s="7" t="s">
        <v>195</v>
      </c>
      <c r="C5" s="76" t="str">
        <f t="array" ref="C5">_xlfn.XLOOKUP(A5,'Emp Master'!A:A,'Emp Master'!F:F)</f>
        <v>MUM</v>
      </c>
      <c r="D5" s="76" t="str">
        <f t="array" ref="D5">_xlfn.XLOOKUP(A5,'Emp Master'!A:A,'Emp Master'!D:D)</f>
        <v>Agent</v>
      </c>
      <c r="E5" s="76" t="str">
        <f t="shared" si="2"/>
        <v>#REF!</v>
      </c>
      <c r="F5" s="76"/>
      <c r="G5" s="79"/>
      <c r="H5" s="80"/>
      <c r="I5" s="79">
        <f t="shared" si="3"/>
        <v>0</v>
      </c>
      <c r="J5" s="80"/>
      <c r="K5" s="79">
        <f t="shared" si="4"/>
        <v>0</v>
      </c>
      <c r="L5" s="80"/>
      <c r="M5" s="79">
        <f t="shared" si="5"/>
        <v>0</v>
      </c>
      <c r="N5" s="80"/>
      <c r="O5" s="79">
        <f t="shared" si="6"/>
        <v>0</v>
      </c>
      <c r="P5" s="80"/>
      <c r="Q5" s="79">
        <f t="shared" si="7"/>
        <v>0</v>
      </c>
      <c r="R5" s="1"/>
      <c r="S5" s="79">
        <f t="shared" si="8"/>
        <v>0</v>
      </c>
      <c r="T5" s="1"/>
      <c r="U5" s="79">
        <f t="shared" si="9"/>
        <v>0</v>
      </c>
      <c r="V5" s="1"/>
      <c r="W5" s="79">
        <f t="shared" si="10"/>
        <v>0</v>
      </c>
      <c r="X5" s="1"/>
      <c r="Y5" s="79">
        <f t="shared" si="11"/>
        <v>0</v>
      </c>
      <c r="Z5" s="1"/>
      <c r="AA5" s="79">
        <f t="shared" si="12"/>
        <v>0</v>
      </c>
      <c r="AB5" s="1"/>
      <c r="AC5" s="79">
        <f t="shared" si="13"/>
        <v>0</v>
      </c>
      <c r="AD5" s="106"/>
      <c r="AE5" s="79">
        <f t="shared" si="14"/>
        <v>0</v>
      </c>
      <c r="AF5" s="1"/>
      <c r="AG5" s="79">
        <f t="shared" si="15"/>
        <v>0</v>
      </c>
      <c r="AH5" s="1"/>
      <c r="AI5" s="79">
        <f t="shared" si="16"/>
        <v>0</v>
      </c>
      <c r="AJ5" s="1"/>
      <c r="AK5" s="79">
        <f t="shared" si="17"/>
        <v>0</v>
      </c>
      <c r="AL5" s="1"/>
      <c r="AM5" s="79">
        <f t="shared" si="18"/>
        <v>0</v>
      </c>
      <c r="AN5" s="1"/>
      <c r="AO5" s="79">
        <f t="shared" si="19"/>
        <v>0</v>
      </c>
      <c r="AP5" s="1"/>
      <c r="AQ5" s="79">
        <f t="shared" si="20"/>
        <v>0</v>
      </c>
      <c r="AR5" s="1"/>
      <c r="AS5" s="79">
        <f t="shared" si="21"/>
        <v>0</v>
      </c>
      <c r="AT5" s="1"/>
      <c r="AU5" s="79">
        <f t="shared" si="22"/>
        <v>0</v>
      </c>
      <c r="AV5" s="1"/>
      <c r="AW5" s="79">
        <f t="shared" si="23"/>
        <v>0</v>
      </c>
      <c r="AX5" s="1"/>
      <c r="AY5" s="79">
        <f t="shared" si="24"/>
        <v>0</v>
      </c>
      <c r="AZ5" s="1"/>
      <c r="BA5" s="79">
        <f t="shared" si="25"/>
        <v>0</v>
      </c>
      <c r="BB5" s="1"/>
      <c r="BC5" s="79">
        <f t="shared" si="26"/>
        <v>0</v>
      </c>
      <c r="BD5" s="1"/>
      <c r="BE5" s="79">
        <f t="shared" si="27"/>
        <v>0</v>
      </c>
      <c r="BF5" s="1"/>
      <c r="BG5" s="79">
        <f t="shared" si="28"/>
        <v>0</v>
      </c>
      <c r="BH5" s="1"/>
      <c r="BI5" s="79">
        <f t="shared" si="29"/>
        <v>0</v>
      </c>
      <c r="BJ5" s="1"/>
      <c r="BK5" s="79">
        <f t="shared" si="30"/>
        <v>0</v>
      </c>
      <c r="BL5" s="1"/>
      <c r="BM5" s="79">
        <f t="shared" si="31"/>
        <v>0</v>
      </c>
      <c r="BN5" s="1"/>
      <c r="BO5" s="79">
        <f t="shared" si="32"/>
        <v>0</v>
      </c>
      <c r="BP5" s="1"/>
      <c r="BQ5" s="79">
        <f t="shared" si="33"/>
        <v>0</v>
      </c>
      <c r="BR5" s="1"/>
      <c r="BS5" s="79">
        <f t="shared" si="34"/>
        <v>0</v>
      </c>
      <c r="BT5" s="1"/>
      <c r="BU5" s="79">
        <f t="shared" si="35"/>
        <v>0</v>
      </c>
      <c r="BV5" s="1"/>
      <c r="BW5" s="79">
        <f t="shared" si="36"/>
        <v>0</v>
      </c>
      <c r="BX5" s="1"/>
      <c r="BY5" s="79">
        <f t="shared" si="37"/>
        <v>0</v>
      </c>
      <c r="BZ5" s="1"/>
      <c r="CA5" s="79">
        <f t="shared" si="38"/>
        <v>0</v>
      </c>
      <c r="CB5" s="1"/>
      <c r="CC5" s="79">
        <f t="shared" si="39"/>
        <v>0</v>
      </c>
      <c r="CD5" s="1"/>
      <c r="CE5" s="79">
        <f t="shared" si="40"/>
        <v>0</v>
      </c>
      <c r="CF5" s="1"/>
      <c r="CG5" s="79">
        <f t="shared" si="41"/>
        <v>0</v>
      </c>
      <c r="CH5" s="1"/>
      <c r="CI5" s="79">
        <f t="shared" si="42"/>
        <v>0</v>
      </c>
      <c r="CJ5" s="1"/>
      <c r="CK5" s="79">
        <f t="shared" si="43"/>
        <v>0</v>
      </c>
      <c r="CL5" s="1"/>
      <c r="CM5" s="79">
        <f t="shared" si="44"/>
        <v>0</v>
      </c>
      <c r="CN5" s="1"/>
      <c r="CO5" s="79">
        <f t="shared" si="45"/>
        <v>0</v>
      </c>
      <c r="CP5" s="1"/>
      <c r="CQ5" s="79">
        <f t="shared" si="46"/>
        <v>0</v>
      </c>
      <c r="CR5" s="1"/>
      <c r="CS5" s="79">
        <f t="shared" si="47"/>
        <v>0</v>
      </c>
      <c r="CT5" s="79"/>
      <c r="CU5" s="79">
        <f t="shared" si="48"/>
        <v>0</v>
      </c>
      <c r="CV5" s="79"/>
      <c r="CW5" s="79">
        <f t="shared" si="49"/>
        <v>0</v>
      </c>
      <c r="CX5" s="79"/>
      <c r="CY5" s="91"/>
      <c r="CZ5" s="79">
        <f t="shared" si="50"/>
        <v>0</v>
      </c>
      <c r="DA5" s="93"/>
      <c r="DB5" s="93">
        <f t="shared" si="51"/>
        <v>0</v>
      </c>
      <c r="DC5" s="96"/>
      <c r="DD5" s="93">
        <f t="shared" si="52"/>
        <v>0</v>
      </c>
      <c r="DE5" s="96"/>
      <c r="DF5" s="93">
        <f t="shared" si="53"/>
        <v>0</v>
      </c>
      <c r="DG5" s="96"/>
      <c r="DH5" s="93">
        <f t="shared" si="54"/>
        <v>0</v>
      </c>
      <c r="DI5" s="96"/>
      <c r="DJ5" s="93">
        <f t="shared" si="55"/>
        <v>0</v>
      </c>
      <c r="DK5" s="93"/>
      <c r="DL5" s="93">
        <f t="shared" si="56"/>
        <v>0</v>
      </c>
      <c r="DM5" s="100">
        <v>0.0</v>
      </c>
      <c r="DN5" s="93">
        <f t="shared" si="57"/>
        <v>0</v>
      </c>
      <c r="DO5" s="100">
        <v>0.0</v>
      </c>
      <c r="DP5" s="93">
        <f t="shared" si="58"/>
        <v>0</v>
      </c>
      <c r="DQ5" s="100">
        <v>0.0</v>
      </c>
      <c r="DR5" s="93">
        <f t="shared" si="59"/>
        <v>0</v>
      </c>
      <c r="DS5" s="100">
        <v>0.0</v>
      </c>
      <c r="DT5" s="93">
        <f t="shared" si="60"/>
        <v>0</v>
      </c>
      <c r="DU5" s="100">
        <v>0.0</v>
      </c>
      <c r="DV5" s="93">
        <f t="shared" si="61"/>
        <v>0</v>
      </c>
    </row>
    <row r="6">
      <c r="A6" s="7" t="s">
        <v>200</v>
      </c>
      <c r="B6" s="7" t="s">
        <v>201</v>
      </c>
      <c r="C6" s="76" t="str">
        <f t="array" ref="C6">_xlfn.XLOOKUP(A6,'Emp Master'!A:A,'Emp Master'!F:F)</f>
        <v>DEL</v>
      </c>
      <c r="D6" s="76" t="str">
        <f t="array" ref="D6">_xlfn.XLOOKUP(A6,'Emp Master'!A:A,'Emp Master'!D:D)</f>
        <v>Sales &amp; Marketing</v>
      </c>
      <c r="E6" s="76" t="str">
        <f t="shared" si="2"/>
        <v>#REF!</v>
      </c>
      <c r="F6" s="76"/>
      <c r="G6" s="79"/>
      <c r="H6" s="80"/>
      <c r="I6" s="24">
        <v>0.0</v>
      </c>
      <c r="J6" s="80"/>
      <c r="K6" s="79">
        <f t="shared" si="4"/>
        <v>0</v>
      </c>
      <c r="L6" s="80"/>
      <c r="M6" s="79">
        <f t="shared" si="5"/>
        <v>0</v>
      </c>
      <c r="N6" s="80"/>
      <c r="O6" s="79">
        <f t="shared" si="6"/>
        <v>0</v>
      </c>
      <c r="P6" s="80"/>
      <c r="Q6" s="79">
        <f t="shared" si="7"/>
        <v>0</v>
      </c>
      <c r="R6" s="1"/>
      <c r="S6" s="79">
        <f t="shared" si="8"/>
        <v>0</v>
      </c>
      <c r="T6" s="1"/>
      <c r="U6" s="79">
        <f t="shared" si="9"/>
        <v>0</v>
      </c>
      <c r="V6" s="1"/>
      <c r="W6" s="79">
        <f t="shared" si="10"/>
        <v>0</v>
      </c>
      <c r="X6" s="1"/>
      <c r="Y6" s="79">
        <f t="shared" si="11"/>
        <v>0</v>
      </c>
      <c r="Z6" s="1"/>
      <c r="AA6" s="79">
        <f t="shared" si="12"/>
        <v>0</v>
      </c>
      <c r="AB6" s="1"/>
      <c r="AC6" s="79">
        <f t="shared" si="13"/>
        <v>0</v>
      </c>
      <c r="AD6" s="1"/>
      <c r="AE6" s="79">
        <f t="shared" si="14"/>
        <v>0</v>
      </c>
      <c r="AF6" s="1"/>
      <c r="AG6" s="79">
        <f t="shared" si="15"/>
        <v>0</v>
      </c>
      <c r="AH6" s="1"/>
      <c r="AI6" s="79">
        <f t="shared" si="16"/>
        <v>0</v>
      </c>
      <c r="AJ6" s="1"/>
      <c r="AK6" s="79">
        <f t="shared" si="17"/>
        <v>0</v>
      </c>
      <c r="AL6" s="1"/>
      <c r="AM6" s="79">
        <f t="shared" si="18"/>
        <v>0</v>
      </c>
      <c r="AN6" s="1"/>
      <c r="AO6" s="79">
        <f t="shared" si="19"/>
        <v>0</v>
      </c>
      <c r="AP6" s="1"/>
      <c r="AQ6" s="79">
        <f t="shared" si="20"/>
        <v>0</v>
      </c>
      <c r="AR6" s="1"/>
      <c r="AS6" s="79">
        <f t="shared" si="21"/>
        <v>0</v>
      </c>
      <c r="AT6" s="1"/>
      <c r="AU6" s="79">
        <f t="shared" si="22"/>
        <v>0</v>
      </c>
      <c r="AV6" s="1"/>
      <c r="AW6" s="79">
        <f t="shared" si="23"/>
        <v>0</v>
      </c>
      <c r="AX6" s="1"/>
      <c r="AY6" s="79">
        <f t="shared" si="24"/>
        <v>0</v>
      </c>
      <c r="AZ6" s="1"/>
      <c r="BA6" s="79">
        <f t="shared" si="25"/>
        <v>0</v>
      </c>
      <c r="BB6" s="1"/>
      <c r="BC6" s="79">
        <f t="shared" si="26"/>
        <v>0</v>
      </c>
      <c r="BD6" s="1"/>
      <c r="BE6" s="79">
        <f t="shared" si="27"/>
        <v>0</v>
      </c>
      <c r="BF6" s="1"/>
      <c r="BG6" s="79">
        <f t="shared" si="28"/>
        <v>0</v>
      </c>
      <c r="BH6" s="1"/>
      <c r="BI6" s="79">
        <f t="shared" si="29"/>
        <v>0</v>
      </c>
      <c r="BJ6" s="1"/>
      <c r="BK6" s="79">
        <f t="shared" si="30"/>
        <v>0</v>
      </c>
      <c r="BL6" s="1"/>
      <c r="BM6" s="79">
        <f t="shared" si="31"/>
        <v>0</v>
      </c>
      <c r="BN6" s="1"/>
      <c r="BO6" s="79">
        <f t="shared" si="32"/>
        <v>0</v>
      </c>
      <c r="BP6" s="1"/>
      <c r="BQ6" s="79">
        <f t="shared" si="33"/>
        <v>0</v>
      </c>
      <c r="BR6" s="1"/>
      <c r="BS6" s="79">
        <f t="shared" si="34"/>
        <v>0</v>
      </c>
      <c r="BT6" s="1"/>
      <c r="BU6" s="79">
        <f t="shared" si="35"/>
        <v>0</v>
      </c>
      <c r="BV6" s="1"/>
      <c r="BW6" s="79">
        <f t="shared" si="36"/>
        <v>0</v>
      </c>
      <c r="BX6" s="1"/>
      <c r="BY6" s="79">
        <f t="shared" si="37"/>
        <v>0</v>
      </c>
      <c r="BZ6" s="1"/>
      <c r="CA6" s="79">
        <f t="shared" si="38"/>
        <v>0</v>
      </c>
      <c r="CB6" s="1"/>
      <c r="CC6" s="79">
        <f t="shared" si="39"/>
        <v>0</v>
      </c>
      <c r="CD6" s="1"/>
      <c r="CE6" s="79">
        <f t="shared" si="40"/>
        <v>0</v>
      </c>
      <c r="CF6" s="1"/>
      <c r="CG6" s="79">
        <f t="shared" si="41"/>
        <v>0</v>
      </c>
      <c r="CH6" s="1"/>
      <c r="CI6" s="79">
        <f t="shared" si="42"/>
        <v>0</v>
      </c>
      <c r="CJ6" s="1"/>
      <c r="CK6" s="79">
        <f t="shared" si="43"/>
        <v>0</v>
      </c>
      <c r="CL6" s="1"/>
      <c r="CM6" s="79">
        <f t="shared" si="44"/>
        <v>0</v>
      </c>
      <c r="CN6" s="1"/>
      <c r="CO6" s="79">
        <f t="shared" si="45"/>
        <v>0</v>
      </c>
      <c r="CP6" s="1"/>
      <c r="CQ6" s="79">
        <f t="shared" si="46"/>
        <v>0</v>
      </c>
      <c r="CR6" s="1"/>
      <c r="CS6" s="79">
        <f t="shared" si="47"/>
        <v>0</v>
      </c>
      <c r="CT6" s="79"/>
      <c r="CU6" s="79">
        <f t="shared" si="48"/>
        <v>0</v>
      </c>
      <c r="CV6" s="79"/>
      <c r="CW6" s="79">
        <f t="shared" si="49"/>
        <v>0</v>
      </c>
      <c r="CX6" s="79"/>
      <c r="CY6" s="91"/>
      <c r="CZ6" s="79">
        <f t="shared" si="50"/>
        <v>0</v>
      </c>
      <c r="DA6" s="93"/>
      <c r="DB6" s="93">
        <f t="shared" si="51"/>
        <v>0</v>
      </c>
      <c r="DC6" s="96"/>
      <c r="DD6" s="93">
        <f t="shared" si="52"/>
        <v>0</v>
      </c>
      <c r="DE6" s="96"/>
      <c r="DF6" s="93">
        <f t="shared" si="53"/>
        <v>0</v>
      </c>
      <c r="DG6" s="96"/>
      <c r="DH6" s="93">
        <f t="shared" si="54"/>
        <v>0</v>
      </c>
      <c r="DI6" s="96"/>
      <c r="DJ6" s="93">
        <f t="shared" si="55"/>
        <v>0</v>
      </c>
      <c r="DK6" s="93"/>
      <c r="DL6" s="93">
        <f t="shared" si="56"/>
        <v>0</v>
      </c>
      <c r="DM6" s="100">
        <v>0.0</v>
      </c>
      <c r="DN6" s="93">
        <f t="shared" si="57"/>
        <v>0</v>
      </c>
      <c r="DO6" s="100">
        <v>0.0</v>
      </c>
      <c r="DP6" s="93">
        <f t="shared" si="58"/>
        <v>0</v>
      </c>
      <c r="DQ6" s="100">
        <v>0.0</v>
      </c>
      <c r="DR6" s="93">
        <f t="shared" si="59"/>
        <v>0</v>
      </c>
      <c r="DS6" s="100">
        <v>0.0</v>
      </c>
      <c r="DT6" s="93">
        <f t="shared" si="60"/>
        <v>0</v>
      </c>
      <c r="DU6" s="100">
        <v>0.0</v>
      </c>
      <c r="DV6" s="93">
        <f t="shared" si="61"/>
        <v>0</v>
      </c>
    </row>
    <row r="7">
      <c r="A7" s="7" t="s">
        <v>234</v>
      </c>
      <c r="B7" s="7" t="s">
        <v>235</v>
      </c>
      <c r="C7" s="76" t="str">
        <f t="array" ref="C7">_xlfn.XLOOKUP(A7,'Emp Master'!A:A,'Emp Master'!F:F)</f>
        <v>#N/A</v>
      </c>
      <c r="D7" s="76" t="str">
        <f t="array" ref="D7">_xlfn.XLOOKUP(A7,'Emp Master'!A:A,'Emp Master'!D:D)</f>
        <v>#N/A</v>
      </c>
      <c r="E7" s="76" t="str">
        <f t="shared" si="2"/>
        <v>#REF!</v>
      </c>
      <c r="F7" s="76"/>
      <c r="G7" s="79"/>
      <c r="H7" s="80"/>
      <c r="I7" s="79">
        <f t="shared" ref="I7:I44" si="62">G7-H7</f>
        <v>0</v>
      </c>
      <c r="J7" s="80"/>
      <c r="K7" s="79">
        <f t="shared" si="4"/>
        <v>0</v>
      </c>
      <c r="L7" s="80"/>
      <c r="M7" s="79">
        <f t="shared" si="5"/>
        <v>0</v>
      </c>
      <c r="N7" s="80"/>
      <c r="O7" s="79">
        <f t="shared" si="6"/>
        <v>0</v>
      </c>
      <c r="P7" s="80"/>
      <c r="Q7" s="79">
        <f t="shared" si="7"/>
        <v>0</v>
      </c>
      <c r="R7" s="1"/>
      <c r="S7" s="79">
        <f t="shared" si="8"/>
        <v>0</v>
      </c>
      <c r="T7" s="1"/>
      <c r="U7" s="79">
        <f t="shared" si="9"/>
        <v>0</v>
      </c>
      <c r="V7" s="1"/>
      <c r="W7" s="79">
        <f t="shared" si="10"/>
        <v>0</v>
      </c>
      <c r="X7" s="1"/>
      <c r="Y7" s="79">
        <f t="shared" si="11"/>
        <v>0</v>
      </c>
      <c r="Z7" s="1"/>
      <c r="AA7" s="79">
        <f t="shared" si="12"/>
        <v>0</v>
      </c>
      <c r="AB7" s="1"/>
      <c r="AC7" s="79">
        <f t="shared" si="13"/>
        <v>0</v>
      </c>
      <c r="AD7" s="1"/>
      <c r="AE7" s="79">
        <f t="shared" si="14"/>
        <v>0</v>
      </c>
      <c r="AF7" s="1"/>
      <c r="AG7" s="79">
        <f t="shared" si="15"/>
        <v>0</v>
      </c>
      <c r="AH7" s="1"/>
      <c r="AI7" s="79">
        <f t="shared" si="16"/>
        <v>0</v>
      </c>
      <c r="AJ7" s="1"/>
      <c r="AK7" s="79">
        <f t="shared" si="17"/>
        <v>0</v>
      </c>
      <c r="AL7" s="1"/>
      <c r="AM7" s="79">
        <f t="shared" si="18"/>
        <v>0</v>
      </c>
      <c r="AN7" s="1"/>
      <c r="AO7" s="79">
        <f t="shared" si="19"/>
        <v>0</v>
      </c>
      <c r="AP7" s="1"/>
      <c r="AQ7" s="79">
        <f t="shared" si="20"/>
        <v>0</v>
      </c>
      <c r="AR7" s="1"/>
      <c r="AS7" s="79">
        <f t="shared" si="21"/>
        <v>0</v>
      </c>
      <c r="AT7" s="1"/>
      <c r="AU7" s="79">
        <f t="shared" si="22"/>
        <v>0</v>
      </c>
      <c r="AV7" s="1"/>
      <c r="AW7" s="79">
        <f t="shared" si="23"/>
        <v>0</v>
      </c>
      <c r="AX7" s="1"/>
      <c r="AY7" s="79">
        <f t="shared" si="24"/>
        <v>0</v>
      </c>
      <c r="AZ7" s="1"/>
      <c r="BA7" s="79">
        <f t="shared" si="25"/>
        <v>0</v>
      </c>
      <c r="BB7" s="1"/>
      <c r="BC7" s="79">
        <f t="shared" si="26"/>
        <v>0</v>
      </c>
      <c r="BD7" s="1"/>
      <c r="BE7" s="79">
        <f t="shared" si="27"/>
        <v>0</v>
      </c>
      <c r="BF7" s="1"/>
      <c r="BG7" s="79">
        <f t="shared" si="28"/>
        <v>0</v>
      </c>
      <c r="BH7" s="1"/>
      <c r="BI7" s="79">
        <f t="shared" si="29"/>
        <v>0</v>
      </c>
      <c r="BJ7" s="1"/>
      <c r="BK7" s="79">
        <f t="shared" si="30"/>
        <v>0</v>
      </c>
      <c r="BL7" s="1"/>
      <c r="BM7" s="79">
        <f t="shared" si="31"/>
        <v>0</v>
      </c>
      <c r="BN7" s="1"/>
      <c r="BO7" s="79">
        <f t="shared" si="32"/>
        <v>0</v>
      </c>
      <c r="BP7" s="1"/>
      <c r="BQ7" s="79">
        <f t="shared" si="33"/>
        <v>0</v>
      </c>
      <c r="BR7" s="1"/>
      <c r="BS7" s="79">
        <f t="shared" si="34"/>
        <v>0</v>
      </c>
      <c r="BT7" s="1"/>
      <c r="BU7" s="79">
        <f t="shared" si="35"/>
        <v>0</v>
      </c>
      <c r="BV7" s="1"/>
      <c r="BW7" s="79">
        <f t="shared" si="36"/>
        <v>0</v>
      </c>
      <c r="BX7" s="1"/>
      <c r="BY7" s="79">
        <f t="shared" si="37"/>
        <v>0</v>
      </c>
      <c r="BZ7" s="1"/>
      <c r="CA7" s="79">
        <f t="shared" si="38"/>
        <v>0</v>
      </c>
      <c r="CB7" s="1"/>
      <c r="CC7" s="79">
        <f t="shared" si="39"/>
        <v>0</v>
      </c>
      <c r="CD7" s="1"/>
      <c r="CE7" s="79">
        <f t="shared" si="40"/>
        <v>0</v>
      </c>
      <c r="CF7" s="1"/>
      <c r="CG7" s="79">
        <f t="shared" si="41"/>
        <v>0</v>
      </c>
      <c r="CH7" s="1"/>
      <c r="CI7" s="79">
        <f t="shared" si="42"/>
        <v>0</v>
      </c>
      <c r="CJ7" s="1"/>
      <c r="CK7" s="79">
        <f t="shared" si="43"/>
        <v>0</v>
      </c>
      <c r="CL7" s="1"/>
      <c r="CM7" s="79">
        <f t="shared" si="44"/>
        <v>0</v>
      </c>
      <c r="CN7" s="1"/>
      <c r="CO7" s="79">
        <f t="shared" si="45"/>
        <v>0</v>
      </c>
      <c r="CP7" s="1"/>
      <c r="CQ7" s="79">
        <f t="shared" si="46"/>
        <v>0</v>
      </c>
      <c r="CR7" s="1"/>
      <c r="CS7" s="79">
        <f t="shared" si="47"/>
        <v>0</v>
      </c>
      <c r="CT7" s="79"/>
      <c r="CU7" s="79">
        <f t="shared" si="48"/>
        <v>0</v>
      </c>
      <c r="CV7" s="79"/>
      <c r="CW7" s="79">
        <f t="shared" si="49"/>
        <v>0</v>
      </c>
      <c r="CX7" s="79"/>
      <c r="CY7" s="91"/>
      <c r="CZ7" s="79">
        <f t="shared" si="50"/>
        <v>0</v>
      </c>
      <c r="DA7" s="93"/>
      <c r="DB7" s="93">
        <f t="shared" si="51"/>
        <v>0</v>
      </c>
      <c r="DC7" s="96"/>
      <c r="DD7" s="93">
        <f t="shared" si="52"/>
        <v>0</v>
      </c>
      <c r="DE7" s="96"/>
      <c r="DF7" s="93">
        <f t="shared" si="53"/>
        <v>0</v>
      </c>
      <c r="DG7" s="96"/>
      <c r="DH7" s="93">
        <f t="shared" si="54"/>
        <v>0</v>
      </c>
      <c r="DI7" s="96"/>
      <c r="DJ7" s="93">
        <f t="shared" si="55"/>
        <v>0</v>
      </c>
      <c r="DK7" s="93"/>
      <c r="DL7" s="93">
        <f t="shared" si="56"/>
        <v>0</v>
      </c>
      <c r="DM7" s="100">
        <v>0.0</v>
      </c>
      <c r="DN7" s="93">
        <f t="shared" si="57"/>
        <v>0</v>
      </c>
      <c r="DO7" s="100">
        <v>0.0</v>
      </c>
      <c r="DP7" s="93">
        <f t="shared" si="58"/>
        <v>0</v>
      </c>
      <c r="DQ7" s="100">
        <v>0.0</v>
      </c>
      <c r="DR7" s="93">
        <f t="shared" si="59"/>
        <v>0</v>
      </c>
      <c r="DS7" s="100">
        <v>0.0</v>
      </c>
      <c r="DT7" s="93">
        <f t="shared" si="60"/>
        <v>0</v>
      </c>
      <c r="DU7" s="100">
        <v>0.0</v>
      </c>
      <c r="DV7" s="93">
        <f t="shared" si="61"/>
        <v>0</v>
      </c>
    </row>
    <row r="8">
      <c r="A8" s="7" t="s">
        <v>248</v>
      </c>
      <c r="B8" s="7" t="s">
        <v>249</v>
      </c>
      <c r="C8" s="76" t="str">
        <f t="array" ref="C8">_xlfn.XLOOKUP(A8,'Emp Master'!A:A,'Emp Master'!F:F)</f>
        <v>#N/A</v>
      </c>
      <c r="D8" s="76" t="str">
        <f t="array" ref="D8">_xlfn.XLOOKUP(A8,'Emp Master'!A:A,'Emp Master'!D:D)</f>
        <v>#N/A</v>
      </c>
      <c r="E8" s="76" t="str">
        <f t="shared" si="2"/>
        <v>#REF!</v>
      </c>
      <c r="F8" s="76"/>
      <c r="G8" s="79"/>
      <c r="H8" s="80"/>
      <c r="I8" s="79">
        <f t="shared" si="62"/>
        <v>0</v>
      </c>
      <c r="J8" s="80"/>
      <c r="K8" s="79">
        <f t="shared" si="4"/>
        <v>0</v>
      </c>
      <c r="L8" s="80"/>
      <c r="M8" s="79">
        <f t="shared" si="5"/>
        <v>0</v>
      </c>
      <c r="N8" s="80"/>
      <c r="O8" s="79">
        <f t="shared" si="6"/>
        <v>0</v>
      </c>
      <c r="P8" s="80"/>
      <c r="Q8" s="79">
        <f t="shared" si="7"/>
        <v>0</v>
      </c>
      <c r="R8" s="1"/>
      <c r="S8" s="79">
        <f t="shared" si="8"/>
        <v>0</v>
      </c>
      <c r="T8" s="1"/>
      <c r="U8" s="79">
        <f t="shared" si="9"/>
        <v>0</v>
      </c>
      <c r="V8" s="1"/>
      <c r="W8" s="79">
        <f t="shared" si="10"/>
        <v>0</v>
      </c>
      <c r="X8" s="1"/>
      <c r="Y8" s="79">
        <f t="shared" si="11"/>
        <v>0</v>
      </c>
      <c r="Z8" s="1"/>
      <c r="AA8" s="79">
        <f t="shared" si="12"/>
        <v>0</v>
      </c>
      <c r="AB8" s="1"/>
      <c r="AC8" s="79">
        <f t="shared" si="13"/>
        <v>0</v>
      </c>
      <c r="AD8" s="1"/>
      <c r="AE8" s="79">
        <f t="shared" si="14"/>
        <v>0</v>
      </c>
      <c r="AF8" s="1"/>
      <c r="AG8" s="79">
        <f t="shared" si="15"/>
        <v>0</v>
      </c>
      <c r="AH8" s="1"/>
      <c r="AI8" s="79">
        <f t="shared" si="16"/>
        <v>0</v>
      </c>
      <c r="AJ8" s="1"/>
      <c r="AK8" s="79">
        <f t="shared" si="17"/>
        <v>0</v>
      </c>
      <c r="AL8" s="1"/>
      <c r="AM8" s="79">
        <f t="shared" si="18"/>
        <v>0</v>
      </c>
      <c r="AN8" s="1"/>
      <c r="AO8" s="79">
        <f t="shared" si="19"/>
        <v>0</v>
      </c>
      <c r="AP8" s="1"/>
      <c r="AQ8" s="79">
        <f t="shared" si="20"/>
        <v>0</v>
      </c>
      <c r="AR8" s="1"/>
      <c r="AS8" s="79">
        <f t="shared" si="21"/>
        <v>0</v>
      </c>
      <c r="AT8" s="1"/>
      <c r="AU8" s="79">
        <f t="shared" si="22"/>
        <v>0</v>
      </c>
      <c r="AV8" s="1"/>
      <c r="AW8" s="79">
        <f t="shared" si="23"/>
        <v>0</v>
      </c>
      <c r="AX8" s="1"/>
      <c r="AY8" s="79">
        <f t="shared" si="24"/>
        <v>0</v>
      </c>
      <c r="AZ8" s="1"/>
      <c r="BA8" s="79">
        <f t="shared" si="25"/>
        <v>0</v>
      </c>
      <c r="BB8" s="1"/>
      <c r="BC8" s="79">
        <f t="shared" si="26"/>
        <v>0</v>
      </c>
      <c r="BD8" s="1"/>
      <c r="BE8" s="79">
        <f t="shared" si="27"/>
        <v>0</v>
      </c>
      <c r="BF8" s="1"/>
      <c r="BG8" s="79">
        <f t="shared" si="28"/>
        <v>0</v>
      </c>
      <c r="BH8" s="1"/>
      <c r="BI8" s="79">
        <f t="shared" si="29"/>
        <v>0</v>
      </c>
      <c r="BJ8" s="1"/>
      <c r="BK8" s="79">
        <f t="shared" si="30"/>
        <v>0</v>
      </c>
      <c r="BL8" s="1"/>
      <c r="BM8" s="79">
        <f t="shared" si="31"/>
        <v>0</v>
      </c>
      <c r="BN8" s="1"/>
      <c r="BO8" s="79">
        <f t="shared" si="32"/>
        <v>0</v>
      </c>
      <c r="BP8" s="1"/>
      <c r="BQ8" s="79">
        <f t="shared" si="33"/>
        <v>0</v>
      </c>
      <c r="BR8" s="1"/>
      <c r="BS8" s="79">
        <f t="shared" si="34"/>
        <v>0</v>
      </c>
      <c r="BT8" s="1"/>
      <c r="BU8" s="79">
        <f t="shared" si="35"/>
        <v>0</v>
      </c>
      <c r="BV8" s="1"/>
      <c r="BW8" s="79">
        <f t="shared" si="36"/>
        <v>0</v>
      </c>
      <c r="BX8" s="1"/>
      <c r="BY8" s="79">
        <f t="shared" si="37"/>
        <v>0</v>
      </c>
      <c r="BZ8" s="1"/>
      <c r="CA8" s="79">
        <f t="shared" si="38"/>
        <v>0</v>
      </c>
      <c r="CB8" s="1"/>
      <c r="CC8" s="79">
        <f t="shared" si="39"/>
        <v>0</v>
      </c>
      <c r="CD8" s="1"/>
      <c r="CE8" s="79">
        <f t="shared" si="40"/>
        <v>0</v>
      </c>
      <c r="CF8" s="1"/>
      <c r="CG8" s="79">
        <f t="shared" si="41"/>
        <v>0</v>
      </c>
      <c r="CH8" s="1"/>
      <c r="CI8" s="79">
        <f t="shared" si="42"/>
        <v>0</v>
      </c>
      <c r="CJ8" s="1"/>
      <c r="CK8" s="79">
        <f t="shared" si="43"/>
        <v>0</v>
      </c>
      <c r="CL8" s="1"/>
      <c r="CM8" s="79">
        <f t="shared" si="44"/>
        <v>0</v>
      </c>
      <c r="CN8" s="1"/>
      <c r="CO8" s="79">
        <f t="shared" si="45"/>
        <v>0</v>
      </c>
      <c r="CP8" s="1"/>
      <c r="CQ8" s="79">
        <f t="shared" si="46"/>
        <v>0</v>
      </c>
      <c r="CR8" s="1"/>
      <c r="CS8" s="79">
        <f t="shared" si="47"/>
        <v>0</v>
      </c>
      <c r="CT8" s="79"/>
      <c r="CU8" s="79">
        <f t="shared" si="48"/>
        <v>0</v>
      </c>
      <c r="CV8" s="79"/>
      <c r="CW8" s="79">
        <f t="shared" si="49"/>
        <v>0</v>
      </c>
      <c r="CX8" s="79"/>
      <c r="CY8" s="91"/>
      <c r="CZ8" s="79">
        <f t="shared" si="50"/>
        <v>0</v>
      </c>
      <c r="DA8" s="93"/>
      <c r="DB8" s="93">
        <f t="shared" si="51"/>
        <v>0</v>
      </c>
      <c r="DC8" s="96"/>
      <c r="DD8" s="93">
        <f t="shared" si="52"/>
        <v>0</v>
      </c>
      <c r="DE8" s="96"/>
      <c r="DF8" s="93">
        <f t="shared" si="53"/>
        <v>0</v>
      </c>
      <c r="DG8" s="96"/>
      <c r="DH8" s="93">
        <f t="shared" si="54"/>
        <v>0</v>
      </c>
      <c r="DI8" s="96"/>
      <c r="DJ8" s="93">
        <f t="shared" si="55"/>
        <v>0</v>
      </c>
      <c r="DK8" s="93"/>
      <c r="DL8" s="93">
        <f t="shared" si="56"/>
        <v>0</v>
      </c>
      <c r="DM8" s="100">
        <v>0.0</v>
      </c>
      <c r="DN8" s="93">
        <f t="shared" si="57"/>
        <v>0</v>
      </c>
      <c r="DO8" s="100">
        <v>0.0</v>
      </c>
      <c r="DP8" s="93">
        <f t="shared" si="58"/>
        <v>0</v>
      </c>
      <c r="DQ8" s="100">
        <v>0.0</v>
      </c>
      <c r="DR8" s="93">
        <f t="shared" si="59"/>
        <v>0</v>
      </c>
      <c r="DS8" s="100">
        <v>0.0</v>
      </c>
      <c r="DT8" s="93">
        <f t="shared" si="60"/>
        <v>0</v>
      </c>
      <c r="DU8" s="100">
        <v>0.0</v>
      </c>
      <c r="DV8" s="93">
        <f t="shared" si="61"/>
        <v>0</v>
      </c>
    </row>
    <row r="9">
      <c r="A9" s="7" t="s">
        <v>253</v>
      </c>
      <c r="B9" s="7" t="s">
        <v>254</v>
      </c>
      <c r="C9" s="76" t="str">
        <f t="array" ref="C9">_xlfn.XLOOKUP(A9,'Emp Master'!A:A,'Emp Master'!F:F)</f>
        <v>#N/A</v>
      </c>
      <c r="D9" s="76" t="str">
        <f t="array" ref="D9">_xlfn.XLOOKUP(A9,'Emp Master'!A:A,'Emp Master'!D:D)</f>
        <v>#N/A</v>
      </c>
      <c r="E9" s="76" t="str">
        <f t="shared" si="2"/>
        <v>#REF!</v>
      </c>
      <c r="F9" s="76"/>
      <c r="G9" s="79"/>
      <c r="H9" s="80"/>
      <c r="I9" s="79">
        <f t="shared" si="62"/>
        <v>0</v>
      </c>
      <c r="J9" s="80"/>
      <c r="K9" s="79">
        <f t="shared" si="4"/>
        <v>0</v>
      </c>
      <c r="L9" s="80"/>
      <c r="M9" s="79">
        <f t="shared" si="5"/>
        <v>0</v>
      </c>
      <c r="N9" s="80"/>
      <c r="O9" s="79">
        <f t="shared" si="6"/>
        <v>0</v>
      </c>
      <c r="P9" s="80"/>
      <c r="Q9" s="79">
        <f t="shared" si="7"/>
        <v>0</v>
      </c>
      <c r="R9" s="1"/>
      <c r="S9" s="79">
        <f t="shared" si="8"/>
        <v>0</v>
      </c>
      <c r="T9" s="1"/>
      <c r="U9" s="79">
        <f t="shared" si="9"/>
        <v>0</v>
      </c>
      <c r="V9" s="1"/>
      <c r="W9" s="79">
        <f t="shared" si="10"/>
        <v>0</v>
      </c>
      <c r="X9" s="1"/>
      <c r="Y9" s="79">
        <f t="shared" si="11"/>
        <v>0</v>
      </c>
      <c r="Z9" s="1"/>
      <c r="AA9" s="79">
        <f t="shared" si="12"/>
        <v>0</v>
      </c>
      <c r="AB9" s="1"/>
      <c r="AC9" s="79">
        <f t="shared" si="13"/>
        <v>0</v>
      </c>
      <c r="AD9" s="1"/>
      <c r="AE9" s="79">
        <f t="shared" si="14"/>
        <v>0</v>
      </c>
      <c r="AF9" s="1"/>
      <c r="AG9" s="79">
        <f t="shared" si="15"/>
        <v>0</v>
      </c>
      <c r="AH9" s="1"/>
      <c r="AI9" s="79">
        <f t="shared" si="16"/>
        <v>0</v>
      </c>
      <c r="AJ9" s="1"/>
      <c r="AK9" s="79">
        <f t="shared" si="17"/>
        <v>0</v>
      </c>
      <c r="AL9" s="1"/>
      <c r="AM9" s="79">
        <f t="shared" si="18"/>
        <v>0</v>
      </c>
      <c r="AN9" s="1"/>
      <c r="AO9" s="79">
        <f t="shared" si="19"/>
        <v>0</v>
      </c>
      <c r="AP9" s="1"/>
      <c r="AQ9" s="79">
        <f t="shared" si="20"/>
        <v>0</v>
      </c>
      <c r="AR9" s="1"/>
      <c r="AS9" s="79">
        <f t="shared" si="21"/>
        <v>0</v>
      </c>
      <c r="AT9" s="1"/>
      <c r="AU9" s="79">
        <f t="shared" si="22"/>
        <v>0</v>
      </c>
      <c r="AV9" s="1"/>
      <c r="AW9" s="79">
        <f t="shared" si="23"/>
        <v>0</v>
      </c>
      <c r="AX9" s="1"/>
      <c r="AY9" s="79">
        <f t="shared" si="24"/>
        <v>0</v>
      </c>
      <c r="AZ9" s="1"/>
      <c r="BA9" s="79">
        <f t="shared" si="25"/>
        <v>0</v>
      </c>
      <c r="BB9" s="1"/>
      <c r="BC9" s="79">
        <f t="shared" si="26"/>
        <v>0</v>
      </c>
      <c r="BD9" s="1"/>
      <c r="BE9" s="79">
        <f t="shared" si="27"/>
        <v>0</v>
      </c>
      <c r="BF9" s="1"/>
      <c r="BG9" s="79">
        <f t="shared" si="28"/>
        <v>0</v>
      </c>
      <c r="BH9" s="1"/>
      <c r="BI9" s="79">
        <f t="shared" si="29"/>
        <v>0</v>
      </c>
      <c r="BJ9" s="1"/>
      <c r="BK9" s="79">
        <f t="shared" si="30"/>
        <v>0</v>
      </c>
      <c r="BL9" s="1"/>
      <c r="BM9" s="79">
        <f t="shared" si="31"/>
        <v>0</v>
      </c>
      <c r="BN9" s="1"/>
      <c r="BO9" s="79">
        <f t="shared" si="32"/>
        <v>0</v>
      </c>
      <c r="BP9" s="1"/>
      <c r="BQ9" s="79">
        <f t="shared" si="33"/>
        <v>0</v>
      </c>
      <c r="BR9" s="1"/>
      <c r="BS9" s="79">
        <f t="shared" si="34"/>
        <v>0</v>
      </c>
      <c r="BT9" s="1"/>
      <c r="BU9" s="79">
        <f t="shared" si="35"/>
        <v>0</v>
      </c>
      <c r="BV9" s="1"/>
      <c r="BW9" s="79">
        <f t="shared" si="36"/>
        <v>0</v>
      </c>
      <c r="BX9" s="1"/>
      <c r="BY9" s="79">
        <f t="shared" si="37"/>
        <v>0</v>
      </c>
      <c r="BZ9" s="1"/>
      <c r="CA9" s="79">
        <f t="shared" si="38"/>
        <v>0</v>
      </c>
      <c r="CB9" s="1"/>
      <c r="CC9" s="79">
        <f t="shared" si="39"/>
        <v>0</v>
      </c>
      <c r="CD9" s="1"/>
      <c r="CE9" s="79">
        <f t="shared" si="40"/>
        <v>0</v>
      </c>
      <c r="CF9" s="1"/>
      <c r="CG9" s="79">
        <f t="shared" si="41"/>
        <v>0</v>
      </c>
      <c r="CH9" s="1"/>
      <c r="CI9" s="79">
        <f t="shared" si="42"/>
        <v>0</v>
      </c>
      <c r="CJ9" s="1"/>
      <c r="CK9" s="79">
        <f t="shared" si="43"/>
        <v>0</v>
      </c>
      <c r="CL9" s="1"/>
      <c r="CM9" s="79">
        <f t="shared" si="44"/>
        <v>0</v>
      </c>
      <c r="CN9" s="1"/>
      <c r="CO9" s="79">
        <f t="shared" si="45"/>
        <v>0</v>
      </c>
      <c r="CP9" s="1"/>
      <c r="CQ9" s="79">
        <f t="shared" si="46"/>
        <v>0</v>
      </c>
      <c r="CR9" s="1"/>
      <c r="CS9" s="79">
        <f t="shared" si="47"/>
        <v>0</v>
      </c>
      <c r="CT9" s="79"/>
      <c r="CU9" s="79">
        <f t="shared" si="48"/>
        <v>0</v>
      </c>
      <c r="CV9" s="79"/>
      <c r="CW9" s="79">
        <f t="shared" si="49"/>
        <v>0</v>
      </c>
      <c r="CX9" s="79"/>
      <c r="CY9" s="91"/>
      <c r="CZ9" s="79">
        <f t="shared" si="50"/>
        <v>0</v>
      </c>
      <c r="DA9" s="93"/>
      <c r="DB9" s="93">
        <f t="shared" si="51"/>
        <v>0</v>
      </c>
      <c r="DC9" s="96"/>
      <c r="DD9" s="93">
        <f t="shared" si="52"/>
        <v>0</v>
      </c>
      <c r="DE9" s="96"/>
      <c r="DF9" s="93">
        <f t="shared" si="53"/>
        <v>0</v>
      </c>
      <c r="DG9" s="96"/>
      <c r="DH9" s="93">
        <f t="shared" si="54"/>
        <v>0</v>
      </c>
      <c r="DI9" s="96"/>
      <c r="DJ9" s="93">
        <f t="shared" si="55"/>
        <v>0</v>
      </c>
      <c r="DK9" s="93"/>
      <c r="DL9" s="93">
        <f t="shared" si="56"/>
        <v>0</v>
      </c>
      <c r="DM9" s="100">
        <v>0.0</v>
      </c>
      <c r="DN9" s="93">
        <f t="shared" si="57"/>
        <v>0</v>
      </c>
      <c r="DO9" s="100">
        <v>0.0</v>
      </c>
      <c r="DP9" s="93">
        <f t="shared" si="58"/>
        <v>0</v>
      </c>
      <c r="DQ9" s="100">
        <v>0.0</v>
      </c>
      <c r="DR9" s="93">
        <f t="shared" si="59"/>
        <v>0</v>
      </c>
      <c r="DS9" s="100">
        <v>0.0</v>
      </c>
      <c r="DT9" s="93">
        <f t="shared" si="60"/>
        <v>0</v>
      </c>
      <c r="DU9" s="100">
        <v>0.0</v>
      </c>
      <c r="DV9" s="93">
        <f t="shared" si="61"/>
        <v>0</v>
      </c>
    </row>
    <row r="10">
      <c r="A10" s="7" t="s">
        <v>258</v>
      </c>
      <c r="B10" s="7" t="s">
        <v>259</v>
      </c>
      <c r="C10" s="76" t="str">
        <f t="array" ref="C10">_xlfn.XLOOKUP(A10,'Emp Master'!A:A,'Emp Master'!F:F)</f>
        <v>#N/A</v>
      </c>
      <c r="D10" s="76" t="str">
        <f t="array" ref="D10">_xlfn.XLOOKUP(A10,'Emp Master'!A:A,'Emp Master'!D:D)</f>
        <v>#N/A</v>
      </c>
      <c r="E10" s="76" t="str">
        <f t="shared" si="2"/>
        <v>#REF!</v>
      </c>
      <c r="F10" s="76"/>
      <c r="G10" s="79"/>
      <c r="H10" s="80"/>
      <c r="I10" s="79">
        <f t="shared" si="62"/>
        <v>0</v>
      </c>
      <c r="J10" s="80"/>
      <c r="K10" s="79">
        <f t="shared" si="4"/>
        <v>0</v>
      </c>
      <c r="L10" s="80"/>
      <c r="M10" s="79">
        <f t="shared" si="5"/>
        <v>0</v>
      </c>
      <c r="N10" s="80"/>
      <c r="O10" s="79">
        <f t="shared" si="6"/>
        <v>0</v>
      </c>
      <c r="P10" s="80"/>
      <c r="Q10" s="79">
        <f t="shared" si="7"/>
        <v>0</v>
      </c>
      <c r="R10" s="1"/>
      <c r="S10" s="79">
        <f t="shared" si="8"/>
        <v>0</v>
      </c>
      <c r="T10" s="1"/>
      <c r="U10" s="79">
        <f t="shared" si="9"/>
        <v>0</v>
      </c>
      <c r="V10" s="1"/>
      <c r="W10" s="79">
        <f t="shared" si="10"/>
        <v>0</v>
      </c>
      <c r="X10" s="1"/>
      <c r="Y10" s="79">
        <f t="shared" si="11"/>
        <v>0</v>
      </c>
      <c r="Z10" s="1"/>
      <c r="AA10" s="79">
        <f t="shared" si="12"/>
        <v>0</v>
      </c>
      <c r="AB10" s="1"/>
      <c r="AC10" s="79">
        <f t="shared" si="13"/>
        <v>0</v>
      </c>
      <c r="AD10" s="1"/>
      <c r="AE10" s="79">
        <f t="shared" si="14"/>
        <v>0</v>
      </c>
      <c r="AF10" s="1"/>
      <c r="AG10" s="79">
        <f t="shared" si="15"/>
        <v>0</v>
      </c>
      <c r="AH10" s="1"/>
      <c r="AI10" s="79">
        <f t="shared" si="16"/>
        <v>0</v>
      </c>
      <c r="AJ10" s="1"/>
      <c r="AK10" s="79">
        <f t="shared" si="17"/>
        <v>0</v>
      </c>
      <c r="AL10" s="1"/>
      <c r="AM10" s="79">
        <f t="shared" si="18"/>
        <v>0</v>
      </c>
      <c r="AN10" s="1"/>
      <c r="AO10" s="79">
        <f t="shared" si="19"/>
        <v>0</v>
      </c>
      <c r="AP10" s="1"/>
      <c r="AQ10" s="79">
        <f t="shared" si="20"/>
        <v>0</v>
      </c>
      <c r="AR10" s="1"/>
      <c r="AS10" s="79">
        <f t="shared" si="21"/>
        <v>0</v>
      </c>
      <c r="AT10" s="1"/>
      <c r="AU10" s="79">
        <f t="shared" si="22"/>
        <v>0</v>
      </c>
      <c r="AV10" s="1"/>
      <c r="AW10" s="79">
        <f t="shared" si="23"/>
        <v>0</v>
      </c>
      <c r="AX10" s="1"/>
      <c r="AY10" s="79">
        <f t="shared" si="24"/>
        <v>0</v>
      </c>
      <c r="AZ10" s="1"/>
      <c r="BA10" s="79">
        <f t="shared" si="25"/>
        <v>0</v>
      </c>
      <c r="BB10" s="1"/>
      <c r="BC10" s="79">
        <f t="shared" si="26"/>
        <v>0</v>
      </c>
      <c r="BD10" s="1"/>
      <c r="BE10" s="79">
        <f t="shared" si="27"/>
        <v>0</v>
      </c>
      <c r="BF10" s="1"/>
      <c r="BG10" s="79">
        <f t="shared" si="28"/>
        <v>0</v>
      </c>
      <c r="BH10" s="1"/>
      <c r="BI10" s="79">
        <f t="shared" si="29"/>
        <v>0</v>
      </c>
      <c r="BJ10" s="1"/>
      <c r="BK10" s="79">
        <f t="shared" si="30"/>
        <v>0</v>
      </c>
      <c r="BL10" s="1"/>
      <c r="BM10" s="79">
        <f t="shared" si="31"/>
        <v>0</v>
      </c>
      <c r="BN10" s="1"/>
      <c r="BO10" s="79">
        <f t="shared" si="32"/>
        <v>0</v>
      </c>
      <c r="BP10" s="1"/>
      <c r="BQ10" s="79">
        <f t="shared" si="33"/>
        <v>0</v>
      </c>
      <c r="BR10" s="1"/>
      <c r="BS10" s="79">
        <f t="shared" si="34"/>
        <v>0</v>
      </c>
      <c r="BT10" s="1"/>
      <c r="BU10" s="79">
        <f t="shared" si="35"/>
        <v>0</v>
      </c>
      <c r="BV10" s="1"/>
      <c r="BW10" s="79">
        <f t="shared" si="36"/>
        <v>0</v>
      </c>
      <c r="BX10" s="1"/>
      <c r="BY10" s="79">
        <f t="shared" si="37"/>
        <v>0</v>
      </c>
      <c r="BZ10" s="1"/>
      <c r="CA10" s="79">
        <f t="shared" si="38"/>
        <v>0</v>
      </c>
      <c r="CB10" s="1"/>
      <c r="CC10" s="79">
        <f t="shared" si="39"/>
        <v>0</v>
      </c>
      <c r="CD10" s="1"/>
      <c r="CE10" s="79">
        <f t="shared" si="40"/>
        <v>0</v>
      </c>
      <c r="CF10" s="1"/>
      <c r="CG10" s="79">
        <f t="shared" si="41"/>
        <v>0</v>
      </c>
      <c r="CH10" s="1"/>
      <c r="CI10" s="79">
        <f t="shared" si="42"/>
        <v>0</v>
      </c>
      <c r="CJ10" s="1"/>
      <c r="CK10" s="79">
        <f t="shared" si="43"/>
        <v>0</v>
      </c>
      <c r="CL10" s="1"/>
      <c r="CM10" s="79">
        <f t="shared" si="44"/>
        <v>0</v>
      </c>
      <c r="CN10" s="1"/>
      <c r="CO10" s="79">
        <f t="shared" si="45"/>
        <v>0</v>
      </c>
      <c r="CP10" s="1"/>
      <c r="CQ10" s="79">
        <f t="shared" si="46"/>
        <v>0</v>
      </c>
      <c r="CR10" s="1"/>
      <c r="CS10" s="79">
        <f t="shared" si="47"/>
        <v>0</v>
      </c>
      <c r="CT10" s="79"/>
      <c r="CU10" s="79">
        <f t="shared" si="48"/>
        <v>0</v>
      </c>
      <c r="CV10" s="79"/>
      <c r="CW10" s="79">
        <f t="shared" si="49"/>
        <v>0</v>
      </c>
      <c r="CX10" s="79"/>
      <c r="CY10" s="91"/>
      <c r="CZ10" s="79">
        <f t="shared" si="50"/>
        <v>0</v>
      </c>
      <c r="DA10" s="93"/>
      <c r="DB10" s="93">
        <f t="shared" si="51"/>
        <v>0</v>
      </c>
      <c r="DC10" s="96"/>
      <c r="DD10" s="93">
        <f t="shared" si="52"/>
        <v>0</v>
      </c>
      <c r="DE10" s="96"/>
      <c r="DF10" s="93">
        <f t="shared" si="53"/>
        <v>0</v>
      </c>
      <c r="DG10" s="96"/>
      <c r="DH10" s="93">
        <f t="shared" si="54"/>
        <v>0</v>
      </c>
      <c r="DI10" s="96"/>
      <c r="DJ10" s="93">
        <f t="shared" si="55"/>
        <v>0</v>
      </c>
      <c r="DK10" s="93"/>
      <c r="DL10" s="93">
        <f t="shared" si="56"/>
        <v>0</v>
      </c>
      <c r="DM10" s="100">
        <v>0.0</v>
      </c>
      <c r="DN10" s="93">
        <f t="shared" si="57"/>
        <v>0</v>
      </c>
      <c r="DO10" s="100">
        <v>0.0</v>
      </c>
      <c r="DP10" s="93">
        <f t="shared" si="58"/>
        <v>0</v>
      </c>
      <c r="DQ10" s="100">
        <v>0.0</v>
      </c>
      <c r="DR10" s="93">
        <f t="shared" si="59"/>
        <v>0</v>
      </c>
      <c r="DS10" s="100">
        <v>0.0</v>
      </c>
      <c r="DT10" s="93">
        <f t="shared" si="60"/>
        <v>0</v>
      </c>
      <c r="DU10" s="100">
        <v>0.0</v>
      </c>
      <c r="DV10" s="93">
        <f t="shared" si="61"/>
        <v>0</v>
      </c>
    </row>
    <row r="11">
      <c r="A11" s="7" t="s">
        <v>266</v>
      </c>
      <c r="B11" s="7" t="s">
        <v>267</v>
      </c>
      <c r="C11" s="76" t="str">
        <f t="array" ref="C11">_xlfn.XLOOKUP(A11,'Emp Master'!A:A,'Emp Master'!F:F)</f>
        <v>#N/A</v>
      </c>
      <c r="D11" s="76" t="str">
        <f t="array" ref="D11">_xlfn.XLOOKUP(A11,'Emp Master'!A:A,'Emp Master'!D:D)</f>
        <v>#N/A</v>
      </c>
      <c r="E11" s="76" t="str">
        <f t="shared" si="2"/>
        <v>#REF!</v>
      </c>
      <c r="F11" s="76"/>
      <c r="G11" s="79"/>
      <c r="H11" s="80"/>
      <c r="I11" s="79">
        <f t="shared" si="62"/>
        <v>0</v>
      </c>
      <c r="J11" s="80"/>
      <c r="K11" s="79">
        <f t="shared" si="4"/>
        <v>0</v>
      </c>
      <c r="L11" s="80"/>
      <c r="M11" s="79">
        <f t="shared" si="5"/>
        <v>0</v>
      </c>
      <c r="N11" s="80"/>
      <c r="O11" s="79">
        <f t="shared" si="6"/>
        <v>0</v>
      </c>
      <c r="P11" s="80"/>
      <c r="Q11" s="79">
        <f t="shared" si="7"/>
        <v>0</v>
      </c>
      <c r="R11" s="1"/>
      <c r="S11" s="79">
        <f t="shared" si="8"/>
        <v>0</v>
      </c>
      <c r="T11" s="1"/>
      <c r="U11" s="79">
        <f t="shared" si="9"/>
        <v>0</v>
      </c>
      <c r="V11" s="1"/>
      <c r="W11" s="79">
        <f t="shared" si="10"/>
        <v>0</v>
      </c>
      <c r="X11" s="1"/>
      <c r="Y11" s="79">
        <f t="shared" si="11"/>
        <v>0</v>
      </c>
      <c r="Z11" s="1"/>
      <c r="AA11" s="79">
        <f t="shared" si="12"/>
        <v>0</v>
      </c>
      <c r="AB11" s="1"/>
      <c r="AC11" s="79">
        <f t="shared" si="13"/>
        <v>0</v>
      </c>
      <c r="AD11" s="1"/>
      <c r="AE11" s="79">
        <f t="shared" si="14"/>
        <v>0</v>
      </c>
      <c r="AF11" s="1"/>
      <c r="AG11" s="79">
        <f t="shared" si="15"/>
        <v>0</v>
      </c>
      <c r="AH11" s="1"/>
      <c r="AI11" s="79">
        <f t="shared" si="16"/>
        <v>0</v>
      </c>
      <c r="AJ11" s="1"/>
      <c r="AK11" s="79">
        <f t="shared" si="17"/>
        <v>0</v>
      </c>
      <c r="AL11" s="1"/>
      <c r="AM11" s="79">
        <f t="shared" si="18"/>
        <v>0</v>
      </c>
      <c r="AN11" s="1"/>
      <c r="AO11" s="79">
        <f t="shared" si="19"/>
        <v>0</v>
      </c>
      <c r="AP11" s="1"/>
      <c r="AQ11" s="79">
        <f t="shared" si="20"/>
        <v>0</v>
      </c>
      <c r="AR11" s="1"/>
      <c r="AS11" s="79">
        <f t="shared" si="21"/>
        <v>0</v>
      </c>
      <c r="AT11" s="1"/>
      <c r="AU11" s="79">
        <f t="shared" si="22"/>
        <v>0</v>
      </c>
      <c r="AV11" s="1"/>
      <c r="AW11" s="79">
        <f t="shared" si="23"/>
        <v>0</v>
      </c>
      <c r="AX11" s="1"/>
      <c r="AY11" s="79">
        <f t="shared" si="24"/>
        <v>0</v>
      </c>
      <c r="AZ11" s="1"/>
      <c r="BA11" s="79">
        <f t="shared" si="25"/>
        <v>0</v>
      </c>
      <c r="BB11" s="1"/>
      <c r="BC11" s="79">
        <f t="shared" si="26"/>
        <v>0</v>
      </c>
      <c r="BD11" s="1"/>
      <c r="BE11" s="79">
        <f t="shared" si="27"/>
        <v>0</v>
      </c>
      <c r="BF11" s="1"/>
      <c r="BG11" s="79">
        <f t="shared" si="28"/>
        <v>0</v>
      </c>
      <c r="BH11" s="1"/>
      <c r="BI11" s="79">
        <f t="shared" si="29"/>
        <v>0</v>
      </c>
      <c r="BJ11" s="1"/>
      <c r="BK11" s="79">
        <f t="shared" si="30"/>
        <v>0</v>
      </c>
      <c r="BL11" s="1"/>
      <c r="BM11" s="79">
        <f t="shared" si="31"/>
        <v>0</v>
      </c>
      <c r="BN11" s="1"/>
      <c r="BO11" s="79">
        <f t="shared" si="32"/>
        <v>0</v>
      </c>
      <c r="BP11" s="1"/>
      <c r="BQ11" s="79">
        <f t="shared" si="33"/>
        <v>0</v>
      </c>
      <c r="BR11" s="1"/>
      <c r="BS11" s="79">
        <f t="shared" si="34"/>
        <v>0</v>
      </c>
      <c r="BT11" s="1"/>
      <c r="BU11" s="79">
        <f t="shared" si="35"/>
        <v>0</v>
      </c>
      <c r="BV11" s="1"/>
      <c r="BW11" s="79">
        <f t="shared" si="36"/>
        <v>0</v>
      </c>
      <c r="BX11" s="1"/>
      <c r="BY11" s="79">
        <f t="shared" si="37"/>
        <v>0</v>
      </c>
      <c r="BZ11" s="1"/>
      <c r="CA11" s="79">
        <f t="shared" si="38"/>
        <v>0</v>
      </c>
      <c r="CB11" s="1"/>
      <c r="CC11" s="79">
        <f t="shared" si="39"/>
        <v>0</v>
      </c>
      <c r="CD11" s="1"/>
      <c r="CE11" s="79">
        <f t="shared" si="40"/>
        <v>0</v>
      </c>
      <c r="CF11" s="1"/>
      <c r="CG11" s="79">
        <f t="shared" si="41"/>
        <v>0</v>
      </c>
      <c r="CH11" s="1"/>
      <c r="CI11" s="79">
        <f t="shared" si="42"/>
        <v>0</v>
      </c>
      <c r="CJ11" s="1"/>
      <c r="CK11" s="79">
        <f t="shared" si="43"/>
        <v>0</v>
      </c>
      <c r="CL11" s="1"/>
      <c r="CM11" s="79">
        <f t="shared" si="44"/>
        <v>0</v>
      </c>
      <c r="CN11" s="1"/>
      <c r="CO11" s="79">
        <f t="shared" si="45"/>
        <v>0</v>
      </c>
      <c r="CP11" s="1"/>
      <c r="CQ11" s="79">
        <f t="shared" si="46"/>
        <v>0</v>
      </c>
      <c r="CR11" s="1"/>
      <c r="CS11" s="79">
        <f t="shared" si="47"/>
        <v>0</v>
      </c>
      <c r="CT11" s="79"/>
      <c r="CU11" s="79">
        <f t="shared" si="48"/>
        <v>0</v>
      </c>
      <c r="CV11" s="79"/>
      <c r="CW11" s="79">
        <f t="shared" si="49"/>
        <v>0</v>
      </c>
      <c r="CX11" s="79"/>
      <c r="CY11" s="91"/>
      <c r="CZ11" s="79">
        <f t="shared" si="50"/>
        <v>0</v>
      </c>
      <c r="DA11" s="93"/>
      <c r="DB11" s="93">
        <f t="shared" si="51"/>
        <v>0</v>
      </c>
      <c r="DC11" s="96"/>
      <c r="DD11" s="93">
        <f t="shared" si="52"/>
        <v>0</v>
      </c>
      <c r="DE11" s="96"/>
      <c r="DF11" s="93">
        <f t="shared" si="53"/>
        <v>0</v>
      </c>
      <c r="DG11" s="96"/>
      <c r="DH11" s="93">
        <f t="shared" si="54"/>
        <v>0</v>
      </c>
      <c r="DI11" s="96"/>
      <c r="DJ11" s="93">
        <f t="shared" si="55"/>
        <v>0</v>
      </c>
      <c r="DK11" s="93"/>
      <c r="DL11" s="93">
        <f t="shared" si="56"/>
        <v>0</v>
      </c>
      <c r="DM11" s="100">
        <v>0.0</v>
      </c>
      <c r="DN11" s="93">
        <f t="shared" si="57"/>
        <v>0</v>
      </c>
      <c r="DO11" s="100">
        <v>0.0</v>
      </c>
      <c r="DP11" s="93">
        <f t="shared" si="58"/>
        <v>0</v>
      </c>
      <c r="DQ11" s="100">
        <v>0.0</v>
      </c>
      <c r="DR11" s="93">
        <f t="shared" si="59"/>
        <v>0</v>
      </c>
      <c r="DS11" s="100">
        <v>0.0</v>
      </c>
      <c r="DT11" s="93">
        <f t="shared" si="60"/>
        <v>0</v>
      </c>
      <c r="DU11" s="100">
        <v>0.0</v>
      </c>
      <c r="DV11" s="93">
        <f t="shared" si="61"/>
        <v>0</v>
      </c>
    </row>
    <row r="12">
      <c r="A12" s="7" t="s">
        <v>274</v>
      </c>
      <c r="B12" s="7" t="s">
        <v>275</v>
      </c>
      <c r="C12" s="76" t="str">
        <f t="array" ref="C12">_xlfn.XLOOKUP(A12,'Emp Master'!A:A,'Emp Master'!F:F)</f>
        <v>#N/A</v>
      </c>
      <c r="D12" s="76" t="str">
        <f t="array" ref="D12">_xlfn.XLOOKUP(A12,'Emp Master'!A:A,'Emp Master'!D:D)</f>
        <v>#N/A</v>
      </c>
      <c r="E12" s="76" t="str">
        <f t="shared" si="2"/>
        <v>#REF!</v>
      </c>
      <c r="F12" s="76"/>
      <c r="G12" s="79"/>
      <c r="H12" s="80"/>
      <c r="I12" s="79">
        <f t="shared" si="62"/>
        <v>0</v>
      </c>
      <c r="J12" s="80"/>
      <c r="K12" s="79">
        <f t="shared" si="4"/>
        <v>0</v>
      </c>
      <c r="L12" s="80"/>
      <c r="M12" s="79">
        <f t="shared" si="5"/>
        <v>0</v>
      </c>
      <c r="N12" s="80"/>
      <c r="O12" s="79">
        <f t="shared" si="6"/>
        <v>0</v>
      </c>
      <c r="P12" s="80"/>
      <c r="Q12" s="79">
        <f t="shared" si="7"/>
        <v>0</v>
      </c>
      <c r="R12" s="1"/>
      <c r="S12" s="79">
        <f t="shared" si="8"/>
        <v>0</v>
      </c>
      <c r="T12" s="1"/>
      <c r="U12" s="79">
        <f t="shared" si="9"/>
        <v>0</v>
      </c>
      <c r="V12" s="1"/>
      <c r="W12" s="79">
        <f t="shared" si="10"/>
        <v>0</v>
      </c>
      <c r="X12" s="1"/>
      <c r="Y12" s="79">
        <f t="shared" si="11"/>
        <v>0</v>
      </c>
      <c r="Z12" s="1"/>
      <c r="AA12" s="79">
        <f t="shared" si="12"/>
        <v>0</v>
      </c>
      <c r="AB12" s="1"/>
      <c r="AC12" s="79">
        <f t="shared" si="13"/>
        <v>0</v>
      </c>
      <c r="AD12" s="1"/>
      <c r="AE12" s="79">
        <f t="shared" si="14"/>
        <v>0</v>
      </c>
      <c r="AF12" s="1"/>
      <c r="AG12" s="79">
        <f t="shared" si="15"/>
        <v>0</v>
      </c>
      <c r="AH12" s="1"/>
      <c r="AI12" s="79">
        <f t="shared" si="16"/>
        <v>0</v>
      </c>
      <c r="AJ12" s="1"/>
      <c r="AK12" s="79">
        <f t="shared" si="17"/>
        <v>0</v>
      </c>
      <c r="AL12" s="1"/>
      <c r="AM12" s="79">
        <f t="shared" si="18"/>
        <v>0</v>
      </c>
      <c r="AN12" s="1"/>
      <c r="AO12" s="79">
        <f t="shared" si="19"/>
        <v>0</v>
      </c>
      <c r="AP12" s="1"/>
      <c r="AQ12" s="79">
        <f t="shared" si="20"/>
        <v>0</v>
      </c>
      <c r="AR12" s="1"/>
      <c r="AS12" s="79">
        <f t="shared" si="21"/>
        <v>0</v>
      </c>
      <c r="AT12" s="1"/>
      <c r="AU12" s="79">
        <f t="shared" si="22"/>
        <v>0</v>
      </c>
      <c r="AV12" s="1"/>
      <c r="AW12" s="79">
        <f t="shared" si="23"/>
        <v>0</v>
      </c>
      <c r="AX12" s="1"/>
      <c r="AY12" s="79">
        <f t="shared" si="24"/>
        <v>0</v>
      </c>
      <c r="AZ12" s="1"/>
      <c r="BA12" s="79">
        <f t="shared" si="25"/>
        <v>0</v>
      </c>
      <c r="BB12" s="1"/>
      <c r="BC12" s="79">
        <f t="shared" si="26"/>
        <v>0</v>
      </c>
      <c r="BD12" s="1"/>
      <c r="BE12" s="79">
        <f t="shared" si="27"/>
        <v>0</v>
      </c>
      <c r="BF12" s="1"/>
      <c r="BG12" s="79">
        <f t="shared" si="28"/>
        <v>0</v>
      </c>
      <c r="BH12" s="1"/>
      <c r="BI12" s="79">
        <f t="shared" si="29"/>
        <v>0</v>
      </c>
      <c r="BJ12" s="1"/>
      <c r="BK12" s="79">
        <f t="shared" si="30"/>
        <v>0</v>
      </c>
      <c r="BL12" s="1"/>
      <c r="BM12" s="79">
        <f t="shared" si="31"/>
        <v>0</v>
      </c>
      <c r="BN12" s="1"/>
      <c r="BO12" s="79">
        <f t="shared" si="32"/>
        <v>0</v>
      </c>
      <c r="BP12" s="1"/>
      <c r="BQ12" s="79">
        <f t="shared" si="33"/>
        <v>0</v>
      </c>
      <c r="BR12" s="1"/>
      <c r="BS12" s="79">
        <f t="shared" si="34"/>
        <v>0</v>
      </c>
      <c r="BT12" s="1"/>
      <c r="BU12" s="79">
        <f t="shared" si="35"/>
        <v>0</v>
      </c>
      <c r="BV12" s="1"/>
      <c r="BW12" s="79">
        <f t="shared" si="36"/>
        <v>0</v>
      </c>
      <c r="BX12" s="1"/>
      <c r="BY12" s="79">
        <f t="shared" si="37"/>
        <v>0</v>
      </c>
      <c r="BZ12" s="1"/>
      <c r="CA12" s="79">
        <f t="shared" si="38"/>
        <v>0</v>
      </c>
      <c r="CB12" s="1"/>
      <c r="CC12" s="79">
        <f t="shared" si="39"/>
        <v>0</v>
      </c>
      <c r="CD12" s="1"/>
      <c r="CE12" s="79">
        <f t="shared" si="40"/>
        <v>0</v>
      </c>
      <c r="CF12" s="1"/>
      <c r="CG12" s="79">
        <f t="shared" si="41"/>
        <v>0</v>
      </c>
      <c r="CH12" s="1"/>
      <c r="CI12" s="79">
        <f t="shared" si="42"/>
        <v>0</v>
      </c>
      <c r="CJ12" s="1"/>
      <c r="CK12" s="79">
        <f t="shared" si="43"/>
        <v>0</v>
      </c>
      <c r="CL12" s="1"/>
      <c r="CM12" s="79">
        <f t="shared" si="44"/>
        <v>0</v>
      </c>
      <c r="CN12" s="1"/>
      <c r="CO12" s="79">
        <f t="shared" si="45"/>
        <v>0</v>
      </c>
      <c r="CP12" s="1"/>
      <c r="CQ12" s="79">
        <f t="shared" si="46"/>
        <v>0</v>
      </c>
      <c r="CR12" s="1"/>
      <c r="CS12" s="79">
        <f t="shared" si="47"/>
        <v>0</v>
      </c>
      <c r="CT12" s="79"/>
      <c r="CU12" s="79">
        <f t="shared" si="48"/>
        <v>0</v>
      </c>
      <c r="CV12" s="79"/>
      <c r="CW12" s="79">
        <f t="shared" si="49"/>
        <v>0</v>
      </c>
      <c r="CX12" s="79"/>
      <c r="CY12" s="91"/>
      <c r="CZ12" s="79">
        <f t="shared" si="50"/>
        <v>0</v>
      </c>
      <c r="DA12" s="93"/>
      <c r="DB12" s="93">
        <f t="shared" si="51"/>
        <v>0</v>
      </c>
      <c r="DC12" s="96"/>
      <c r="DD12" s="93">
        <f t="shared" si="52"/>
        <v>0</v>
      </c>
      <c r="DE12" s="96"/>
      <c r="DF12" s="93">
        <f t="shared" si="53"/>
        <v>0</v>
      </c>
      <c r="DG12" s="96"/>
      <c r="DH12" s="93">
        <f t="shared" si="54"/>
        <v>0</v>
      </c>
      <c r="DI12" s="96"/>
      <c r="DJ12" s="93">
        <f t="shared" si="55"/>
        <v>0</v>
      </c>
      <c r="DK12" s="93"/>
      <c r="DL12" s="93">
        <f t="shared" si="56"/>
        <v>0</v>
      </c>
      <c r="DM12" s="100">
        <v>0.0</v>
      </c>
      <c r="DN12" s="93">
        <f t="shared" si="57"/>
        <v>0</v>
      </c>
      <c r="DO12" s="100">
        <v>0.0</v>
      </c>
      <c r="DP12" s="93">
        <f t="shared" si="58"/>
        <v>0</v>
      </c>
      <c r="DQ12" s="100">
        <v>0.0</v>
      </c>
      <c r="DR12" s="93">
        <f t="shared" si="59"/>
        <v>0</v>
      </c>
      <c r="DS12" s="100">
        <v>0.0</v>
      </c>
      <c r="DT12" s="93">
        <f t="shared" si="60"/>
        <v>0</v>
      </c>
      <c r="DU12" s="100">
        <v>0.0</v>
      </c>
      <c r="DV12" s="93">
        <f t="shared" si="61"/>
        <v>0</v>
      </c>
    </row>
    <row r="13">
      <c r="A13" s="7" t="s">
        <v>281</v>
      </c>
      <c r="B13" s="7" t="s">
        <v>282</v>
      </c>
      <c r="C13" s="76" t="str">
        <f t="array" ref="C13">_xlfn.XLOOKUP(A13,'Emp Master'!A:A,'Emp Master'!F:F)</f>
        <v>#N/A</v>
      </c>
      <c r="D13" s="76" t="str">
        <f t="array" ref="D13">_xlfn.XLOOKUP(A13,'Emp Master'!A:A,'Emp Master'!D:D)</f>
        <v>#N/A</v>
      </c>
      <c r="E13" s="76" t="str">
        <f t="shared" si="2"/>
        <v>#REF!</v>
      </c>
      <c r="F13" s="76" t="s">
        <v>70</v>
      </c>
      <c r="G13" s="79" t="s">
        <v>70</v>
      </c>
      <c r="H13" s="80" t="s">
        <v>70</v>
      </c>
      <c r="I13" s="79">
        <f t="shared" si="62"/>
        <v>0</v>
      </c>
      <c r="J13" s="80" t="s">
        <v>70</v>
      </c>
      <c r="K13" s="79">
        <f t="shared" si="4"/>
        <v>0</v>
      </c>
      <c r="L13" s="80" t="s">
        <v>70</v>
      </c>
      <c r="M13" s="79">
        <f t="shared" si="5"/>
        <v>0</v>
      </c>
      <c r="N13" s="80" t="s">
        <v>70</v>
      </c>
      <c r="O13" s="79">
        <f t="shared" si="6"/>
        <v>0</v>
      </c>
      <c r="P13" s="80" t="s">
        <v>70</v>
      </c>
      <c r="Q13" s="79">
        <f t="shared" si="7"/>
        <v>0</v>
      </c>
      <c r="R13" s="1"/>
      <c r="S13" s="79">
        <f t="shared" si="8"/>
        <v>0</v>
      </c>
      <c r="T13" s="1"/>
      <c r="U13" s="79">
        <f t="shared" si="9"/>
        <v>0</v>
      </c>
      <c r="V13" s="1"/>
      <c r="W13" s="79">
        <f t="shared" si="10"/>
        <v>0</v>
      </c>
      <c r="X13" s="1"/>
      <c r="Y13" s="79">
        <f t="shared" si="11"/>
        <v>0</v>
      </c>
      <c r="Z13" s="1"/>
      <c r="AA13" s="79">
        <f t="shared" si="12"/>
        <v>0</v>
      </c>
      <c r="AB13" s="1"/>
      <c r="AC13" s="79">
        <f t="shared" si="13"/>
        <v>0</v>
      </c>
      <c r="AD13" s="1"/>
      <c r="AE13" s="79">
        <f t="shared" si="14"/>
        <v>0</v>
      </c>
      <c r="AF13" s="1"/>
      <c r="AG13" s="79">
        <f t="shared" si="15"/>
        <v>0</v>
      </c>
      <c r="AH13" s="1"/>
      <c r="AI13" s="79">
        <f t="shared" si="16"/>
        <v>0</v>
      </c>
      <c r="AJ13" s="1"/>
      <c r="AK13" s="79">
        <f t="shared" si="17"/>
        <v>0</v>
      </c>
      <c r="AL13" s="1"/>
      <c r="AM13" s="79">
        <f t="shared" si="18"/>
        <v>0</v>
      </c>
      <c r="AN13" s="1"/>
      <c r="AO13" s="79">
        <f t="shared" si="19"/>
        <v>0</v>
      </c>
      <c r="AP13" s="1"/>
      <c r="AQ13" s="79">
        <f t="shared" si="20"/>
        <v>0</v>
      </c>
      <c r="AR13" s="1"/>
      <c r="AS13" s="79">
        <f t="shared" si="21"/>
        <v>0</v>
      </c>
      <c r="AT13" s="1"/>
      <c r="AU13" s="79">
        <f t="shared" si="22"/>
        <v>0</v>
      </c>
      <c r="AV13" s="1"/>
      <c r="AW13" s="79">
        <f t="shared" si="23"/>
        <v>0</v>
      </c>
      <c r="AX13" s="1"/>
      <c r="AY13" s="79">
        <f t="shared" si="24"/>
        <v>0</v>
      </c>
      <c r="AZ13" s="1"/>
      <c r="BA13" s="79">
        <f t="shared" si="25"/>
        <v>0</v>
      </c>
      <c r="BB13" s="1"/>
      <c r="BC13" s="79">
        <f t="shared" si="26"/>
        <v>0</v>
      </c>
      <c r="BD13" s="1"/>
      <c r="BE13" s="79">
        <f t="shared" si="27"/>
        <v>0</v>
      </c>
      <c r="BF13" s="1"/>
      <c r="BG13" s="79">
        <f t="shared" si="28"/>
        <v>0</v>
      </c>
      <c r="BH13" s="1"/>
      <c r="BI13" s="79">
        <f t="shared" si="29"/>
        <v>0</v>
      </c>
      <c r="BJ13" s="1"/>
      <c r="BK13" s="79">
        <f t="shared" si="30"/>
        <v>0</v>
      </c>
      <c r="BL13" s="1"/>
      <c r="BM13" s="79">
        <f t="shared" si="31"/>
        <v>0</v>
      </c>
      <c r="BN13" s="1"/>
      <c r="BO13" s="79">
        <f t="shared" si="32"/>
        <v>0</v>
      </c>
      <c r="BP13" s="1"/>
      <c r="BQ13" s="79">
        <f t="shared" si="33"/>
        <v>0</v>
      </c>
      <c r="BR13" s="1"/>
      <c r="BS13" s="79">
        <f t="shared" si="34"/>
        <v>0</v>
      </c>
      <c r="BT13" s="1"/>
      <c r="BU13" s="79">
        <f t="shared" si="35"/>
        <v>0</v>
      </c>
      <c r="BV13" s="1"/>
      <c r="BW13" s="79">
        <f t="shared" si="36"/>
        <v>0</v>
      </c>
      <c r="BX13" s="1"/>
      <c r="BY13" s="79">
        <f t="shared" si="37"/>
        <v>0</v>
      </c>
      <c r="BZ13" s="1"/>
      <c r="CA13" s="79">
        <f t="shared" si="38"/>
        <v>0</v>
      </c>
      <c r="CB13" s="1"/>
      <c r="CC13" s="79">
        <f t="shared" si="39"/>
        <v>0</v>
      </c>
      <c r="CD13" s="1"/>
      <c r="CE13" s="79">
        <f t="shared" si="40"/>
        <v>0</v>
      </c>
      <c r="CF13" s="1"/>
      <c r="CG13" s="79">
        <f t="shared" si="41"/>
        <v>0</v>
      </c>
      <c r="CH13" s="1"/>
      <c r="CI13" s="79">
        <f t="shared" si="42"/>
        <v>0</v>
      </c>
      <c r="CJ13" s="1"/>
      <c r="CK13" s="79">
        <f t="shared" si="43"/>
        <v>0</v>
      </c>
      <c r="CL13" s="1"/>
      <c r="CM13" s="79">
        <f t="shared" si="44"/>
        <v>0</v>
      </c>
      <c r="CN13" s="1"/>
      <c r="CO13" s="79">
        <f t="shared" si="45"/>
        <v>0</v>
      </c>
      <c r="CP13" s="1"/>
      <c r="CQ13" s="79">
        <f t="shared" si="46"/>
        <v>0</v>
      </c>
      <c r="CR13" s="1"/>
      <c r="CS13" s="79">
        <f t="shared" si="47"/>
        <v>0</v>
      </c>
      <c r="CT13" s="79"/>
      <c r="CU13" s="79">
        <f t="shared" si="48"/>
        <v>0</v>
      </c>
      <c r="CV13" s="79"/>
      <c r="CW13" s="79">
        <f t="shared" si="49"/>
        <v>0</v>
      </c>
      <c r="CX13" s="79"/>
      <c r="CY13" s="91"/>
      <c r="CZ13" s="79">
        <f t="shared" si="50"/>
        <v>0</v>
      </c>
      <c r="DA13" s="93"/>
      <c r="DB13" s="93">
        <f t="shared" si="51"/>
        <v>0</v>
      </c>
      <c r="DC13" s="96"/>
      <c r="DD13" s="93">
        <f t="shared" si="52"/>
        <v>0</v>
      </c>
      <c r="DE13" s="96"/>
      <c r="DF13" s="93">
        <f t="shared" si="53"/>
        <v>0</v>
      </c>
      <c r="DG13" s="96"/>
      <c r="DH13" s="93">
        <f t="shared" si="54"/>
        <v>0</v>
      </c>
      <c r="DI13" s="96"/>
      <c r="DJ13" s="93">
        <f t="shared" si="55"/>
        <v>0</v>
      </c>
      <c r="DK13" s="93"/>
      <c r="DL13" s="93">
        <f t="shared" si="56"/>
        <v>0</v>
      </c>
      <c r="DM13" s="100">
        <v>0.0</v>
      </c>
      <c r="DN13" s="93">
        <f t="shared" si="57"/>
        <v>0</v>
      </c>
      <c r="DO13" s="100">
        <v>0.0</v>
      </c>
      <c r="DP13" s="93">
        <f t="shared" si="58"/>
        <v>0</v>
      </c>
      <c r="DQ13" s="100">
        <v>0.0</v>
      </c>
      <c r="DR13" s="93">
        <f t="shared" si="59"/>
        <v>0</v>
      </c>
      <c r="DS13" s="100">
        <v>0.0</v>
      </c>
      <c r="DT13" s="93">
        <f t="shared" si="60"/>
        <v>0</v>
      </c>
      <c r="DU13" s="100">
        <v>0.0</v>
      </c>
      <c r="DV13" s="93">
        <f t="shared" si="61"/>
        <v>0</v>
      </c>
    </row>
    <row r="14">
      <c r="A14" s="7" t="s">
        <v>288</v>
      </c>
      <c r="B14" s="7" t="s">
        <v>289</v>
      </c>
      <c r="C14" s="76" t="str">
        <f t="array" ref="C14">_xlfn.XLOOKUP(A14,'Emp Master'!A:A,'Emp Master'!F:F)</f>
        <v>#N/A</v>
      </c>
      <c r="D14" s="76" t="str">
        <f t="array" ref="D14">_xlfn.XLOOKUP(A14,'Emp Master'!A:A,'Emp Master'!D:D)</f>
        <v>#N/A</v>
      </c>
      <c r="E14" s="76" t="str">
        <f t="shared" si="2"/>
        <v>#REF!</v>
      </c>
      <c r="F14" s="76"/>
      <c r="G14" s="79"/>
      <c r="H14" s="80"/>
      <c r="I14" s="79">
        <f t="shared" si="62"/>
        <v>0</v>
      </c>
      <c r="J14" s="80"/>
      <c r="K14" s="79">
        <f t="shared" si="4"/>
        <v>0</v>
      </c>
      <c r="L14" s="80"/>
      <c r="M14" s="79">
        <f t="shared" si="5"/>
        <v>0</v>
      </c>
      <c r="N14" s="80"/>
      <c r="O14" s="79">
        <f t="shared" si="6"/>
        <v>0</v>
      </c>
      <c r="P14" s="80"/>
      <c r="Q14" s="79">
        <f t="shared" si="7"/>
        <v>0</v>
      </c>
      <c r="R14" s="1"/>
      <c r="S14" s="79">
        <f t="shared" si="8"/>
        <v>0</v>
      </c>
      <c r="T14" s="1"/>
      <c r="U14" s="79">
        <f t="shared" si="9"/>
        <v>0</v>
      </c>
      <c r="V14" s="1"/>
      <c r="W14" s="79">
        <f t="shared" si="10"/>
        <v>0</v>
      </c>
      <c r="X14" s="1"/>
      <c r="Y14" s="79">
        <f t="shared" si="11"/>
        <v>0</v>
      </c>
      <c r="Z14" s="1"/>
      <c r="AA14" s="79">
        <f t="shared" si="12"/>
        <v>0</v>
      </c>
      <c r="AB14" s="1"/>
      <c r="AC14" s="79">
        <f t="shared" si="13"/>
        <v>0</v>
      </c>
      <c r="AD14" s="1"/>
      <c r="AE14" s="79">
        <f t="shared" si="14"/>
        <v>0</v>
      </c>
      <c r="AF14" s="1"/>
      <c r="AG14" s="79">
        <f t="shared" si="15"/>
        <v>0</v>
      </c>
      <c r="AH14" s="1"/>
      <c r="AI14" s="79">
        <f t="shared" si="16"/>
        <v>0</v>
      </c>
      <c r="AJ14" s="1"/>
      <c r="AK14" s="79">
        <f t="shared" si="17"/>
        <v>0</v>
      </c>
      <c r="AL14" s="1"/>
      <c r="AM14" s="79">
        <f t="shared" si="18"/>
        <v>0</v>
      </c>
      <c r="AN14" s="1"/>
      <c r="AO14" s="79">
        <f t="shared" si="19"/>
        <v>0</v>
      </c>
      <c r="AP14" s="1"/>
      <c r="AQ14" s="79">
        <f t="shared" si="20"/>
        <v>0</v>
      </c>
      <c r="AR14" s="1"/>
      <c r="AS14" s="79">
        <f t="shared" si="21"/>
        <v>0</v>
      </c>
      <c r="AT14" s="1"/>
      <c r="AU14" s="79">
        <f t="shared" si="22"/>
        <v>0</v>
      </c>
      <c r="AV14" s="1"/>
      <c r="AW14" s="79">
        <f t="shared" si="23"/>
        <v>0</v>
      </c>
      <c r="AX14" s="1"/>
      <c r="AY14" s="79">
        <f t="shared" si="24"/>
        <v>0</v>
      </c>
      <c r="AZ14" s="1"/>
      <c r="BA14" s="79">
        <f t="shared" si="25"/>
        <v>0</v>
      </c>
      <c r="BB14" s="1"/>
      <c r="BC14" s="79">
        <f t="shared" si="26"/>
        <v>0</v>
      </c>
      <c r="BD14" s="1"/>
      <c r="BE14" s="79">
        <f t="shared" si="27"/>
        <v>0</v>
      </c>
      <c r="BF14" s="1"/>
      <c r="BG14" s="79">
        <f t="shared" si="28"/>
        <v>0</v>
      </c>
      <c r="BH14" s="1"/>
      <c r="BI14" s="79">
        <f t="shared" si="29"/>
        <v>0</v>
      </c>
      <c r="BJ14" s="1"/>
      <c r="BK14" s="79">
        <f t="shared" si="30"/>
        <v>0</v>
      </c>
      <c r="BL14" s="1"/>
      <c r="BM14" s="79">
        <f t="shared" si="31"/>
        <v>0</v>
      </c>
      <c r="BN14" s="1"/>
      <c r="BO14" s="79">
        <f t="shared" si="32"/>
        <v>0</v>
      </c>
      <c r="BP14" s="1"/>
      <c r="BQ14" s="79">
        <f t="shared" si="33"/>
        <v>0</v>
      </c>
      <c r="BR14" s="1"/>
      <c r="BS14" s="79">
        <f t="shared" si="34"/>
        <v>0</v>
      </c>
      <c r="BT14" s="1"/>
      <c r="BU14" s="79">
        <f t="shared" si="35"/>
        <v>0</v>
      </c>
      <c r="BV14" s="1"/>
      <c r="BW14" s="79">
        <f t="shared" si="36"/>
        <v>0</v>
      </c>
      <c r="BX14" s="1"/>
      <c r="BY14" s="79">
        <f t="shared" si="37"/>
        <v>0</v>
      </c>
      <c r="BZ14" s="1"/>
      <c r="CA14" s="79">
        <f t="shared" si="38"/>
        <v>0</v>
      </c>
      <c r="CB14" s="1"/>
      <c r="CC14" s="79">
        <f t="shared" si="39"/>
        <v>0</v>
      </c>
      <c r="CD14" s="1"/>
      <c r="CE14" s="79">
        <f t="shared" si="40"/>
        <v>0</v>
      </c>
      <c r="CF14" s="1"/>
      <c r="CG14" s="79">
        <f t="shared" si="41"/>
        <v>0</v>
      </c>
      <c r="CH14" s="1"/>
      <c r="CI14" s="79">
        <f t="shared" si="42"/>
        <v>0</v>
      </c>
      <c r="CJ14" s="1"/>
      <c r="CK14" s="79">
        <f t="shared" si="43"/>
        <v>0</v>
      </c>
      <c r="CL14" s="1"/>
      <c r="CM14" s="79">
        <f t="shared" si="44"/>
        <v>0</v>
      </c>
      <c r="CN14" s="1"/>
      <c r="CO14" s="79">
        <f t="shared" si="45"/>
        <v>0</v>
      </c>
      <c r="CP14" s="1"/>
      <c r="CQ14" s="79">
        <f t="shared" si="46"/>
        <v>0</v>
      </c>
      <c r="CR14" s="1"/>
      <c r="CS14" s="79">
        <f t="shared" si="47"/>
        <v>0</v>
      </c>
      <c r="CT14" s="79"/>
      <c r="CU14" s="79">
        <f t="shared" si="48"/>
        <v>0</v>
      </c>
      <c r="CV14" s="79"/>
      <c r="CW14" s="79">
        <f t="shared" si="49"/>
        <v>0</v>
      </c>
      <c r="CX14" s="79"/>
      <c r="CY14" s="91"/>
      <c r="CZ14" s="79">
        <f t="shared" si="50"/>
        <v>0</v>
      </c>
      <c r="DA14" s="93"/>
      <c r="DB14" s="93">
        <f t="shared" si="51"/>
        <v>0</v>
      </c>
      <c r="DC14" s="96"/>
      <c r="DD14" s="93">
        <f t="shared" si="52"/>
        <v>0</v>
      </c>
      <c r="DE14" s="96"/>
      <c r="DF14" s="93">
        <f t="shared" si="53"/>
        <v>0</v>
      </c>
      <c r="DG14" s="96"/>
      <c r="DH14" s="93">
        <f t="shared" si="54"/>
        <v>0</v>
      </c>
      <c r="DI14" s="96"/>
      <c r="DJ14" s="93">
        <f t="shared" si="55"/>
        <v>0</v>
      </c>
      <c r="DK14" s="93"/>
      <c r="DL14" s="93">
        <f t="shared" si="56"/>
        <v>0</v>
      </c>
      <c r="DM14" s="100">
        <v>0.0</v>
      </c>
      <c r="DN14" s="93">
        <f t="shared" si="57"/>
        <v>0</v>
      </c>
      <c r="DO14" s="100">
        <v>0.0</v>
      </c>
      <c r="DP14" s="93">
        <f t="shared" si="58"/>
        <v>0</v>
      </c>
      <c r="DQ14" s="100">
        <v>0.0</v>
      </c>
      <c r="DR14" s="93">
        <f t="shared" si="59"/>
        <v>0</v>
      </c>
      <c r="DS14" s="100">
        <v>0.0</v>
      </c>
      <c r="DT14" s="93">
        <f t="shared" si="60"/>
        <v>0</v>
      </c>
      <c r="DU14" s="100">
        <v>0.0</v>
      </c>
      <c r="DV14" s="93">
        <f t="shared" si="61"/>
        <v>0</v>
      </c>
    </row>
    <row r="15">
      <c r="A15" s="7" t="s">
        <v>295</v>
      </c>
      <c r="B15" s="7" t="s">
        <v>296</v>
      </c>
      <c r="C15" s="76" t="str">
        <f t="array" ref="C15">_xlfn.XLOOKUP(A15,'Emp Master'!A:A,'Emp Master'!F:F)</f>
        <v>#N/A</v>
      </c>
      <c r="D15" s="76" t="str">
        <f t="array" ref="D15">_xlfn.XLOOKUP(A15,'Emp Master'!A:A,'Emp Master'!D:D)</f>
        <v>#N/A</v>
      </c>
      <c r="E15" s="76" t="str">
        <f t="shared" si="2"/>
        <v>#REF!</v>
      </c>
      <c r="F15" s="76"/>
      <c r="G15" s="79"/>
      <c r="H15" s="80"/>
      <c r="I15" s="79">
        <f t="shared" si="62"/>
        <v>0</v>
      </c>
      <c r="J15" s="80"/>
      <c r="K15" s="79">
        <f t="shared" si="4"/>
        <v>0</v>
      </c>
      <c r="L15" s="80"/>
      <c r="M15" s="79">
        <f t="shared" si="5"/>
        <v>0</v>
      </c>
      <c r="N15" s="80"/>
      <c r="O15" s="79">
        <f t="shared" si="6"/>
        <v>0</v>
      </c>
      <c r="P15" s="80"/>
      <c r="Q15" s="79">
        <f t="shared" si="7"/>
        <v>0</v>
      </c>
      <c r="R15" s="1"/>
      <c r="S15" s="79">
        <f t="shared" si="8"/>
        <v>0</v>
      </c>
      <c r="T15" s="1"/>
      <c r="U15" s="79">
        <f t="shared" si="9"/>
        <v>0</v>
      </c>
      <c r="V15" s="1"/>
      <c r="W15" s="79">
        <f t="shared" si="10"/>
        <v>0</v>
      </c>
      <c r="X15" s="1"/>
      <c r="Y15" s="79">
        <f t="shared" si="11"/>
        <v>0</v>
      </c>
      <c r="Z15" s="1"/>
      <c r="AA15" s="79">
        <f t="shared" si="12"/>
        <v>0</v>
      </c>
      <c r="AB15" s="1"/>
      <c r="AC15" s="79">
        <f t="shared" si="13"/>
        <v>0</v>
      </c>
      <c r="AD15" s="1"/>
      <c r="AE15" s="79">
        <f t="shared" si="14"/>
        <v>0</v>
      </c>
      <c r="AF15" s="1"/>
      <c r="AG15" s="79">
        <f t="shared" si="15"/>
        <v>0</v>
      </c>
      <c r="AH15" s="1"/>
      <c r="AI15" s="79">
        <f t="shared" si="16"/>
        <v>0</v>
      </c>
      <c r="AJ15" s="1"/>
      <c r="AK15" s="79">
        <f t="shared" si="17"/>
        <v>0</v>
      </c>
      <c r="AL15" s="1"/>
      <c r="AM15" s="79">
        <f t="shared" si="18"/>
        <v>0</v>
      </c>
      <c r="AN15" s="1"/>
      <c r="AO15" s="79">
        <f t="shared" si="19"/>
        <v>0</v>
      </c>
      <c r="AP15" s="1"/>
      <c r="AQ15" s="79">
        <f t="shared" si="20"/>
        <v>0</v>
      </c>
      <c r="AR15" s="1"/>
      <c r="AS15" s="79">
        <f t="shared" si="21"/>
        <v>0</v>
      </c>
      <c r="AT15" s="1"/>
      <c r="AU15" s="79">
        <f t="shared" si="22"/>
        <v>0</v>
      </c>
      <c r="AV15" s="1"/>
      <c r="AW15" s="79">
        <f t="shared" si="23"/>
        <v>0</v>
      </c>
      <c r="AX15" s="1"/>
      <c r="AY15" s="79">
        <f t="shared" si="24"/>
        <v>0</v>
      </c>
      <c r="AZ15" s="1"/>
      <c r="BA15" s="79">
        <f t="shared" si="25"/>
        <v>0</v>
      </c>
      <c r="BB15" s="1"/>
      <c r="BC15" s="79">
        <f t="shared" si="26"/>
        <v>0</v>
      </c>
      <c r="BD15" s="1"/>
      <c r="BE15" s="79">
        <f t="shared" si="27"/>
        <v>0</v>
      </c>
      <c r="BF15" s="1"/>
      <c r="BG15" s="79">
        <f t="shared" si="28"/>
        <v>0</v>
      </c>
      <c r="BH15" s="1"/>
      <c r="BI15" s="79">
        <f t="shared" si="29"/>
        <v>0</v>
      </c>
      <c r="BJ15" s="1"/>
      <c r="BK15" s="79">
        <f t="shared" si="30"/>
        <v>0</v>
      </c>
      <c r="BL15" s="1"/>
      <c r="BM15" s="79">
        <f t="shared" si="31"/>
        <v>0</v>
      </c>
      <c r="BN15" s="1"/>
      <c r="BO15" s="79">
        <f t="shared" si="32"/>
        <v>0</v>
      </c>
      <c r="BP15" s="1"/>
      <c r="BQ15" s="79">
        <f t="shared" si="33"/>
        <v>0</v>
      </c>
      <c r="BR15" s="1"/>
      <c r="BS15" s="79">
        <f t="shared" si="34"/>
        <v>0</v>
      </c>
      <c r="BT15" s="1"/>
      <c r="BU15" s="79">
        <f t="shared" si="35"/>
        <v>0</v>
      </c>
      <c r="BV15" s="1"/>
      <c r="BW15" s="79">
        <f t="shared" si="36"/>
        <v>0</v>
      </c>
      <c r="BX15" s="1"/>
      <c r="BY15" s="79">
        <f t="shared" si="37"/>
        <v>0</v>
      </c>
      <c r="BZ15" s="1"/>
      <c r="CA15" s="79">
        <f t="shared" si="38"/>
        <v>0</v>
      </c>
      <c r="CB15" s="1"/>
      <c r="CC15" s="79">
        <f t="shared" si="39"/>
        <v>0</v>
      </c>
      <c r="CD15" s="1"/>
      <c r="CE15" s="79">
        <f t="shared" si="40"/>
        <v>0</v>
      </c>
      <c r="CF15" s="1"/>
      <c r="CG15" s="79">
        <f t="shared" si="41"/>
        <v>0</v>
      </c>
      <c r="CH15" s="1"/>
      <c r="CI15" s="79">
        <f t="shared" si="42"/>
        <v>0</v>
      </c>
      <c r="CJ15" s="1"/>
      <c r="CK15" s="79">
        <f t="shared" si="43"/>
        <v>0</v>
      </c>
      <c r="CL15" s="1"/>
      <c r="CM15" s="79">
        <f t="shared" si="44"/>
        <v>0</v>
      </c>
      <c r="CN15" s="1"/>
      <c r="CO15" s="79">
        <f t="shared" si="45"/>
        <v>0</v>
      </c>
      <c r="CP15" s="1"/>
      <c r="CQ15" s="79">
        <f t="shared" si="46"/>
        <v>0</v>
      </c>
      <c r="CR15" s="1"/>
      <c r="CS15" s="79">
        <f t="shared" si="47"/>
        <v>0</v>
      </c>
      <c r="CT15" s="79"/>
      <c r="CU15" s="79">
        <f t="shared" si="48"/>
        <v>0</v>
      </c>
      <c r="CV15" s="79"/>
      <c r="CW15" s="79">
        <f t="shared" si="49"/>
        <v>0</v>
      </c>
      <c r="CX15" s="79"/>
      <c r="CY15" s="91"/>
      <c r="CZ15" s="79">
        <f t="shared" si="50"/>
        <v>0</v>
      </c>
      <c r="DA15" s="93"/>
      <c r="DB15" s="93">
        <f t="shared" si="51"/>
        <v>0</v>
      </c>
      <c r="DC15" s="96"/>
      <c r="DD15" s="93">
        <f t="shared" si="52"/>
        <v>0</v>
      </c>
      <c r="DE15" s="96"/>
      <c r="DF15" s="93">
        <f t="shared" si="53"/>
        <v>0</v>
      </c>
      <c r="DG15" s="96"/>
      <c r="DH15" s="93">
        <f t="shared" si="54"/>
        <v>0</v>
      </c>
      <c r="DI15" s="96"/>
      <c r="DJ15" s="93">
        <f t="shared" si="55"/>
        <v>0</v>
      </c>
      <c r="DK15" s="93"/>
      <c r="DL15" s="93">
        <f t="shared" si="56"/>
        <v>0</v>
      </c>
      <c r="DM15" s="100">
        <v>0.0</v>
      </c>
      <c r="DN15" s="93">
        <f t="shared" si="57"/>
        <v>0</v>
      </c>
      <c r="DO15" s="100">
        <v>0.0</v>
      </c>
      <c r="DP15" s="93">
        <f t="shared" si="58"/>
        <v>0</v>
      </c>
      <c r="DQ15" s="100">
        <v>0.0</v>
      </c>
      <c r="DR15" s="93">
        <f t="shared" si="59"/>
        <v>0</v>
      </c>
      <c r="DS15" s="100">
        <v>0.0</v>
      </c>
      <c r="DT15" s="93">
        <f t="shared" si="60"/>
        <v>0</v>
      </c>
      <c r="DU15" s="100">
        <v>0.0</v>
      </c>
      <c r="DV15" s="93">
        <f t="shared" si="61"/>
        <v>0</v>
      </c>
    </row>
    <row r="16">
      <c r="A16" s="7" t="s">
        <v>301</v>
      </c>
      <c r="B16" s="7" t="s">
        <v>302</v>
      </c>
      <c r="C16" s="76" t="str">
        <f t="array" ref="C16">_xlfn.XLOOKUP(A16,'Emp Master'!A:A,'Emp Master'!F:F)</f>
        <v>#N/A</v>
      </c>
      <c r="D16" s="76" t="str">
        <f t="array" ref="D16">_xlfn.XLOOKUP(A16,'Emp Master'!A:A,'Emp Master'!D:D)</f>
        <v>#N/A</v>
      </c>
      <c r="E16" s="76" t="str">
        <f t="shared" si="2"/>
        <v>#REF!</v>
      </c>
      <c r="F16" s="76" t="s">
        <v>70</v>
      </c>
      <c r="G16" s="79" t="s">
        <v>70</v>
      </c>
      <c r="H16" s="80" t="s">
        <v>70</v>
      </c>
      <c r="I16" s="79">
        <f t="shared" si="62"/>
        <v>0</v>
      </c>
      <c r="J16" s="80" t="s">
        <v>70</v>
      </c>
      <c r="K16" s="79">
        <f t="shared" si="4"/>
        <v>0</v>
      </c>
      <c r="L16" s="80" t="s">
        <v>70</v>
      </c>
      <c r="M16" s="79">
        <f t="shared" si="5"/>
        <v>0</v>
      </c>
      <c r="N16" s="80" t="s">
        <v>70</v>
      </c>
      <c r="O16" s="79">
        <f t="shared" si="6"/>
        <v>0</v>
      </c>
      <c r="P16" s="80" t="s">
        <v>70</v>
      </c>
      <c r="Q16" s="79">
        <f t="shared" si="7"/>
        <v>0</v>
      </c>
      <c r="R16" s="1"/>
      <c r="S16" s="79">
        <f t="shared" si="8"/>
        <v>0</v>
      </c>
      <c r="T16" s="1"/>
      <c r="U16" s="79">
        <f t="shared" si="9"/>
        <v>0</v>
      </c>
      <c r="V16" s="1"/>
      <c r="W16" s="79">
        <f t="shared" si="10"/>
        <v>0</v>
      </c>
      <c r="X16" s="1"/>
      <c r="Y16" s="79">
        <f t="shared" si="11"/>
        <v>0</v>
      </c>
      <c r="Z16" s="1"/>
      <c r="AA16" s="79">
        <f t="shared" si="12"/>
        <v>0</v>
      </c>
      <c r="AB16" s="1"/>
      <c r="AC16" s="79">
        <f t="shared" si="13"/>
        <v>0</v>
      </c>
      <c r="AD16" s="1"/>
      <c r="AE16" s="79">
        <f t="shared" si="14"/>
        <v>0</v>
      </c>
      <c r="AF16" s="1"/>
      <c r="AG16" s="79">
        <f t="shared" si="15"/>
        <v>0</v>
      </c>
      <c r="AH16" s="1"/>
      <c r="AI16" s="79">
        <f t="shared" si="16"/>
        <v>0</v>
      </c>
      <c r="AJ16" s="1"/>
      <c r="AK16" s="79">
        <f t="shared" si="17"/>
        <v>0</v>
      </c>
      <c r="AL16" s="1"/>
      <c r="AM16" s="79">
        <f t="shared" si="18"/>
        <v>0</v>
      </c>
      <c r="AN16" s="1"/>
      <c r="AO16" s="79">
        <f t="shared" si="19"/>
        <v>0</v>
      </c>
      <c r="AP16" s="1"/>
      <c r="AQ16" s="79">
        <f t="shared" si="20"/>
        <v>0</v>
      </c>
      <c r="AR16" s="1"/>
      <c r="AS16" s="79">
        <f t="shared" si="21"/>
        <v>0</v>
      </c>
      <c r="AT16" s="1"/>
      <c r="AU16" s="79">
        <f t="shared" si="22"/>
        <v>0</v>
      </c>
      <c r="AV16" s="1"/>
      <c r="AW16" s="79">
        <f t="shared" si="23"/>
        <v>0</v>
      </c>
      <c r="AX16" s="1"/>
      <c r="AY16" s="79">
        <f t="shared" si="24"/>
        <v>0</v>
      </c>
      <c r="AZ16" s="1"/>
      <c r="BA16" s="79">
        <f t="shared" si="25"/>
        <v>0</v>
      </c>
      <c r="BB16" s="1"/>
      <c r="BC16" s="79">
        <f t="shared" si="26"/>
        <v>0</v>
      </c>
      <c r="BD16" s="1"/>
      <c r="BE16" s="79">
        <f t="shared" si="27"/>
        <v>0</v>
      </c>
      <c r="BF16" s="1"/>
      <c r="BG16" s="79">
        <f t="shared" si="28"/>
        <v>0</v>
      </c>
      <c r="BH16" s="1"/>
      <c r="BI16" s="79">
        <f t="shared" si="29"/>
        <v>0</v>
      </c>
      <c r="BJ16" s="1"/>
      <c r="BK16" s="79">
        <f t="shared" si="30"/>
        <v>0</v>
      </c>
      <c r="BL16" s="1"/>
      <c r="BM16" s="79">
        <f t="shared" si="31"/>
        <v>0</v>
      </c>
      <c r="BN16" s="1"/>
      <c r="BO16" s="79">
        <f t="shared" si="32"/>
        <v>0</v>
      </c>
      <c r="BP16" s="1"/>
      <c r="BQ16" s="79">
        <f t="shared" si="33"/>
        <v>0</v>
      </c>
      <c r="BR16" s="1"/>
      <c r="BS16" s="79">
        <f t="shared" si="34"/>
        <v>0</v>
      </c>
      <c r="BT16" s="1"/>
      <c r="BU16" s="79">
        <f t="shared" si="35"/>
        <v>0</v>
      </c>
      <c r="BV16" s="1"/>
      <c r="BW16" s="79">
        <f t="shared" si="36"/>
        <v>0</v>
      </c>
      <c r="BX16" s="1"/>
      <c r="BY16" s="79">
        <f t="shared" si="37"/>
        <v>0</v>
      </c>
      <c r="BZ16" s="1"/>
      <c r="CA16" s="79">
        <f t="shared" si="38"/>
        <v>0</v>
      </c>
      <c r="CB16" s="1"/>
      <c r="CC16" s="79">
        <f t="shared" si="39"/>
        <v>0</v>
      </c>
      <c r="CD16" s="1"/>
      <c r="CE16" s="79">
        <f t="shared" si="40"/>
        <v>0</v>
      </c>
      <c r="CF16" s="1"/>
      <c r="CG16" s="79">
        <f t="shared" si="41"/>
        <v>0</v>
      </c>
      <c r="CH16" s="1"/>
      <c r="CI16" s="79">
        <f t="shared" si="42"/>
        <v>0</v>
      </c>
      <c r="CJ16" s="1"/>
      <c r="CK16" s="79">
        <f t="shared" si="43"/>
        <v>0</v>
      </c>
      <c r="CL16" s="1"/>
      <c r="CM16" s="79">
        <f t="shared" si="44"/>
        <v>0</v>
      </c>
      <c r="CN16" s="1"/>
      <c r="CO16" s="79">
        <f t="shared" si="45"/>
        <v>0</v>
      </c>
      <c r="CP16" s="1"/>
      <c r="CQ16" s="79">
        <f t="shared" si="46"/>
        <v>0</v>
      </c>
      <c r="CR16" s="1"/>
      <c r="CS16" s="79">
        <f t="shared" si="47"/>
        <v>0</v>
      </c>
      <c r="CT16" s="79"/>
      <c r="CU16" s="79">
        <f t="shared" si="48"/>
        <v>0</v>
      </c>
      <c r="CV16" s="79"/>
      <c r="CW16" s="79">
        <f t="shared" si="49"/>
        <v>0</v>
      </c>
      <c r="CX16" s="79"/>
      <c r="CY16" s="91"/>
      <c r="CZ16" s="79">
        <f t="shared" si="50"/>
        <v>0</v>
      </c>
      <c r="DA16" s="93"/>
      <c r="DB16" s="93">
        <f t="shared" si="51"/>
        <v>0</v>
      </c>
      <c r="DC16" s="96"/>
      <c r="DD16" s="93">
        <f t="shared" si="52"/>
        <v>0</v>
      </c>
      <c r="DE16" s="96"/>
      <c r="DF16" s="93">
        <f t="shared" si="53"/>
        <v>0</v>
      </c>
      <c r="DG16" s="96"/>
      <c r="DH16" s="93">
        <f t="shared" si="54"/>
        <v>0</v>
      </c>
      <c r="DI16" s="96"/>
      <c r="DJ16" s="93">
        <f t="shared" si="55"/>
        <v>0</v>
      </c>
      <c r="DK16" s="93"/>
      <c r="DL16" s="93">
        <f t="shared" si="56"/>
        <v>0</v>
      </c>
      <c r="DM16" s="100">
        <v>0.0</v>
      </c>
      <c r="DN16" s="93">
        <f t="shared" si="57"/>
        <v>0</v>
      </c>
      <c r="DO16" s="100">
        <v>0.0</v>
      </c>
      <c r="DP16" s="93">
        <f t="shared" si="58"/>
        <v>0</v>
      </c>
      <c r="DQ16" s="100">
        <v>0.0</v>
      </c>
      <c r="DR16" s="93">
        <f t="shared" si="59"/>
        <v>0</v>
      </c>
      <c r="DS16" s="100">
        <v>0.0</v>
      </c>
      <c r="DT16" s="93">
        <f t="shared" si="60"/>
        <v>0</v>
      </c>
      <c r="DU16" s="100">
        <v>0.0</v>
      </c>
      <c r="DV16" s="93">
        <f t="shared" si="61"/>
        <v>0</v>
      </c>
    </row>
    <row r="17">
      <c r="A17" s="7" t="s">
        <v>309</v>
      </c>
      <c r="B17" s="7" t="s">
        <v>310</v>
      </c>
      <c r="C17" s="76" t="str">
        <f t="array" ref="C17">_xlfn.XLOOKUP(A17,'Emp Master'!A:A,'Emp Master'!F:F)</f>
        <v>#N/A</v>
      </c>
      <c r="D17" s="76" t="str">
        <f t="array" ref="D17">_xlfn.XLOOKUP(A17,'Emp Master'!A:A,'Emp Master'!D:D)</f>
        <v>#N/A</v>
      </c>
      <c r="E17" s="76" t="str">
        <f t="shared" si="2"/>
        <v>#REF!</v>
      </c>
      <c r="F17" s="76"/>
      <c r="G17" s="79"/>
      <c r="H17" s="80"/>
      <c r="I17" s="79">
        <f t="shared" si="62"/>
        <v>0</v>
      </c>
      <c r="J17" s="80"/>
      <c r="K17" s="79">
        <f t="shared" si="4"/>
        <v>0</v>
      </c>
      <c r="L17" s="80"/>
      <c r="M17" s="79">
        <f t="shared" si="5"/>
        <v>0</v>
      </c>
      <c r="N17" s="80"/>
      <c r="O17" s="79">
        <f t="shared" si="6"/>
        <v>0</v>
      </c>
      <c r="P17" s="80"/>
      <c r="Q17" s="79">
        <f t="shared" si="7"/>
        <v>0</v>
      </c>
      <c r="R17" s="1"/>
      <c r="S17" s="79">
        <f t="shared" si="8"/>
        <v>0</v>
      </c>
      <c r="T17" s="1"/>
      <c r="U17" s="79">
        <f t="shared" si="9"/>
        <v>0</v>
      </c>
      <c r="V17" s="1"/>
      <c r="W17" s="79">
        <f t="shared" si="10"/>
        <v>0</v>
      </c>
      <c r="X17" s="1"/>
      <c r="Y17" s="79">
        <f t="shared" si="11"/>
        <v>0</v>
      </c>
      <c r="Z17" s="1"/>
      <c r="AA17" s="79">
        <f t="shared" si="12"/>
        <v>0</v>
      </c>
      <c r="AB17" s="1"/>
      <c r="AC17" s="79">
        <f t="shared" si="13"/>
        <v>0</v>
      </c>
      <c r="AD17" s="1"/>
      <c r="AE17" s="79">
        <f t="shared" si="14"/>
        <v>0</v>
      </c>
      <c r="AF17" s="1"/>
      <c r="AG17" s="79">
        <f t="shared" si="15"/>
        <v>0</v>
      </c>
      <c r="AH17" s="1"/>
      <c r="AI17" s="79">
        <f t="shared" si="16"/>
        <v>0</v>
      </c>
      <c r="AJ17" s="1"/>
      <c r="AK17" s="79">
        <f t="shared" si="17"/>
        <v>0</v>
      </c>
      <c r="AL17" s="1"/>
      <c r="AM17" s="79">
        <f t="shared" si="18"/>
        <v>0</v>
      </c>
      <c r="AN17" s="1"/>
      <c r="AO17" s="79">
        <f t="shared" si="19"/>
        <v>0</v>
      </c>
      <c r="AP17" s="1"/>
      <c r="AQ17" s="79">
        <f t="shared" si="20"/>
        <v>0</v>
      </c>
      <c r="AR17" s="1"/>
      <c r="AS17" s="79">
        <f t="shared" si="21"/>
        <v>0</v>
      </c>
      <c r="AT17" s="1"/>
      <c r="AU17" s="79">
        <f t="shared" si="22"/>
        <v>0</v>
      </c>
      <c r="AV17" s="1"/>
      <c r="AW17" s="79">
        <f t="shared" si="23"/>
        <v>0</v>
      </c>
      <c r="AX17" s="1"/>
      <c r="AY17" s="79">
        <f t="shared" si="24"/>
        <v>0</v>
      </c>
      <c r="AZ17" s="1"/>
      <c r="BA17" s="79">
        <f t="shared" si="25"/>
        <v>0</v>
      </c>
      <c r="BB17" s="1"/>
      <c r="BC17" s="79">
        <f t="shared" si="26"/>
        <v>0</v>
      </c>
      <c r="BD17" s="1"/>
      <c r="BE17" s="79">
        <f t="shared" si="27"/>
        <v>0</v>
      </c>
      <c r="BF17" s="1"/>
      <c r="BG17" s="79">
        <f t="shared" si="28"/>
        <v>0</v>
      </c>
      <c r="BH17" s="1"/>
      <c r="BI17" s="79">
        <f t="shared" si="29"/>
        <v>0</v>
      </c>
      <c r="BJ17" s="1"/>
      <c r="BK17" s="79">
        <f t="shared" si="30"/>
        <v>0</v>
      </c>
      <c r="BL17" s="1"/>
      <c r="BM17" s="79">
        <f t="shared" si="31"/>
        <v>0</v>
      </c>
      <c r="BN17" s="1"/>
      <c r="BO17" s="79">
        <f t="shared" si="32"/>
        <v>0</v>
      </c>
      <c r="BP17" s="1"/>
      <c r="BQ17" s="79">
        <f t="shared" si="33"/>
        <v>0</v>
      </c>
      <c r="BR17" s="1"/>
      <c r="BS17" s="79">
        <f t="shared" si="34"/>
        <v>0</v>
      </c>
      <c r="BT17" s="1"/>
      <c r="BU17" s="79">
        <f t="shared" si="35"/>
        <v>0</v>
      </c>
      <c r="BV17" s="1"/>
      <c r="BW17" s="79">
        <f t="shared" si="36"/>
        <v>0</v>
      </c>
      <c r="BX17" s="1"/>
      <c r="BY17" s="79">
        <f t="shared" si="37"/>
        <v>0</v>
      </c>
      <c r="BZ17" s="1"/>
      <c r="CA17" s="79">
        <f t="shared" si="38"/>
        <v>0</v>
      </c>
      <c r="CB17" s="1"/>
      <c r="CC17" s="79">
        <f t="shared" si="39"/>
        <v>0</v>
      </c>
      <c r="CD17" s="1"/>
      <c r="CE17" s="79">
        <f t="shared" si="40"/>
        <v>0</v>
      </c>
      <c r="CF17" s="1"/>
      <c r="CG17" s="79">
        <f t="shared" si="41"/>
        <v>0</v>
      </c>
      <c r="CH17" s="1"/>
      <c r="CI17" s="79">
        <f t="shared" si="42"/>
        <v>0</v>
      </c>
      <c r="CJ17" s="1"/>
      <c r="CK17" s="79">
        <f t="shared" si="43"/>
        <v>0</v>
      </c>
      <c r="CL17" s="1"/>
      <c r="CM17" s="79">
        <f t="shared" si="44"/>
        <v>0</v>
      </c>
      <c r="CN17" s="1"/>
      <c r="CO17" s="79">
        <f t="shared" si="45"/>
        <v>0</v>
      </c>
      <c r="CP17" s="1"/>
      <c r="CQ17" s="79">
        <f t="shared" si="46"/>
        <v>0</v>
      </c>
      <c r="CR17" s="1"/>
      <c r="CS17" s="79">
        <f t="shared" si="47"/>
        <v>0</v>
      </c>
      <c r="CT17" s="79"/>
      <c r="CU17" s="79">
        <f t="shared" si="48"/>
        <v>0</v>
      </c>
      <c r="CV17" s="79"/>
      <c r="CW17" s="79">
        <f t="shared" si="49"/>
        <v>0</v>
      </c>
      <c r="CX17" s="79"/>
      <c r="CY17" s="91"/>
      <c r="CZ17" s="79">
        <f t="shared" si="50"/>
        <v>0</v>
      </c>
      <c r="DA17" s="93"/>
      <c r="DB17" s="93">
        <f t="shared" si="51"/>
        <v>0</v>
      </c>
      <c r="DC17" s="96"/>
      <c r="DD17" s="93">
        <f t="shared" si="52"/>
        <v>0</v>
      </c>
      <c r="DE17" s="96"/>
      <c r="DF17" s="93">
        <f t="shared" si="53"/>
        <v>0</v>
      </c>
      <c r="DG17" s="96"/>
      <c r="DH17" s="93">
        <f t="shared" si="54"/>
        <v>0</v>
      </c>
      <c r="DI17" s="96"/>
      <c r="DJ17" s="93">
        <f t="shared" si="55"/>
        <v>0</v>
      </c>
      <c r="DK17" s="93"/>
      <c r="DL17" s="93">
        <f t="shared" si="56"/>
        <v>0</v>
      </c>
      <c r="DM17" s="100">
        <v>0.0</v>
      </c>
      <c r="DN17" s="93">
        <f t="shared" si="57"/>
        <v>0</v>
      </c>
      <c r="DO17" s="100">
        <v>0.0</v>
      </c>
      <c r="DP17" s="93">
        <f t="shared" si="58"/>
        <v>0</v>
      </c>
      <c r="DQ17" s="100">
        <v>0.0</v>
      </c>
      <c r="DR17" s="93">
        <f t="shared" si="59"/>
        <v>0</v>
      </c>
      <c r="DS17" s="100">
        <v>0.0</v>
      </c>
      <c r="DT17" s="93">
        <f t="shared" si="60"/>
        <v>0</v>
      </c>
      <c r="DU17" s="100">
        <v>0.0</v>
      </c>
      <c r="DV17" s="93">
        <f t="shared" si="61"/>
        <v>0</v>
      </c>
    </row>
    <row r="18">
      <c r="A18" s="7" t="s">
        <v>317</v>
      </c>
      <c r="B18" s="7" t="s">
        <v>318</v>
      </c>
      <c r="C18" s="76" t="str">
        <f t="array" ref="C18">_xlfn.XLOOKUP(A18,'Emp Master'!A:A,'Emp Master'!F:F)</f>
        <v>#N/A</v>
      </c>
      <c r="D18" s="76" t="str">
        <f t="array" ref="D18">_xlfn.XLOOKUP(A18,'Emp Master'!A:A,'Emp Master'!D:D)</f>
        <v>#N/A</v>
      </c>
      <c r="E18" s="76" t="str">
        <f t="shared" si="2"/>
        <v>#REF!</v>
      </c>
      <c r="F18" s="76"/>
      <c r="G18" s="79"/>
      <c r="H18" s="80"/>
      <c r="I18" s="79">
        <f t="shared" si="62"/>
        <v>0</v>
      </c>
      <c r="J18" s="80"/>
      <c r="K18" s="79">
        <f t="shared" si="4"/>
        <v>0</v>
      </c>
      <c r="L18" s="80"/>
      <c r="M18" s="79">
        <f t="shared" si="5"/>
        <v>0</v>
      </c>
      <c r="N18" s="80"/>
      <c r="O18" s="79">
        <f t="shared" si="6"/>
        <v>0</v>
      </c>
      <c r="P18" s="80"/>
      <c r="Q18" s="79">
        <f t="shared" si="7"/>
        <v>0</v>
      </c>
      <c r="R18" s="1"/>
      <c r="S18" s="79">
        <f t="shared" si="8"/>
        <v>0</v>
      </c>
      <c r="T18" s="1"/>
      <c r="U18" s="79">
        <f t="shared" si="9"/>
        <v>0</v>
      </c>
      <c r="V18" s="1"/>
      <c r="W18" s="79">
        <f t="shared" si="10"/>
        <v>0</v>
      </c>
      <c r="X18" s="1"/>
      <c r="Y18" s="79">
        <f t="shared" si="11"/>
        <v>0</v>
      </c>
      <c r="Z18" s="1"/>
      <c r="AA18" s="79">
        <f t="shared" si="12"/>
        <v>0</v>
      </c>
      <c r="AB18" s="1"/>
      <c r="AC18" s="79">
        <f t="shared" si="13"/>
        <v>0</v>
      </c>
      <c r="AD18" s="1"/>
      <c r="AE18" s="79">
        <f t="shared" si="14"/>
        <v>0</v>
      </c>
      <c r="AF18" s="1"/>
      <c r="AG18" s="79">
        <f t="shared" si="15"/>
        <v>0</v>
      </c>
      <c r="AH18" s="1"/>
      <c r="AI18" s="79">
        <f t="shared" si="16"/>
        <v>0</v>
      </c>
      <c r="AJ18" s="1"/>
      <c r="AK18" s="79">
        <f t="shared" si="17"/>
        <v>0</v>
      </c>
      <c r="AL18" s="1"/>
      <c r="AM18" s="79">
        <f t="shared" si="18"/>
        <v>0</v>
      </c>
      <c r="AN18" s="1"/>
      <c r="AO18" s="79">
        <f t="shared" si="19"/>
        <v>0</v>
      </c>
      <c r="AP18" s="1"/>
      <c r="AQ18" s="79">
        <f t="shared" si="20"/>
        <v>0</v>
      </c>
      <c r="AR18" s="1"/>
      <c r="AS18" s="79">
        <f t="shared" si="21"/>
        <v>0</v>
      </c>
      <c r="AT18" s="1"/>
      <c r="AU18" s="79">
        <f t="shared" si="22"/>
        <v>0</v>
      </c>
      <c r="AV18" s="1"/>
      <c r="AW18" s="79">
        <f t="shared" si="23"/>
        <v>0</v>
      </c>
      <c r="AX18" s="1"/>
      <c r="AY18" s="79">
        <f t="shared" si="24"/>
        <v>0</v>
      </c>
      <c r="AZ18" s="1"/>
      <c r="BA18" s="79">
        <f t="shared" si="25"/>
        <v>0</v>
      </c>
      <c r="BB18" s="1"/>
      <c r="BC18" s="79">
        <f t="shared" si="26"/>
        <v>0</v>
      </c>
      <c r="BD18" s="1"/>
      <c r="BE18" s="79">
        <f t="shared" si="27"/>
        <v>0</v>
      </c>
      <c r="BF18" s="1"/>
      <c r="BG18" s="79">
        <f t="shared" si="28"/>
        <v>0</v>
      </c>
      <c r="BH18" s="1"/>
      <c r="BI18" s="79">
        <f t="shared" si="29"/>
        <v>0</v>
      </c>
      <c r="BJ18" s="1"/>
      <c r="BK18" s="79">
        <f t="shared" si="30"/>
        <v>0</v>
      </c>
      <c r="BL18" s="1"/>
      <c r="BM18" s="79">
        <f t="shared" si="31"/>
        <v>0</v>
      </c>
      <c r="BN18" s="1"/>
      <c r="BO18" s="79">
        <f t="shared" si="32"/>
        <v>0</v>
      </c>
      <c r="BP18" s="1"/>
      <c r="BQ18" s="79">
        <f t="shared" si="33"/>
        <v>0</v>
      </c>
      <c r="BR18" s="1"/>
      <c r="BS18" s="79">
        <f t="shared" si="34"/>
        <v>0</v>
      </c>
      <c r="BT18" s="1"/>
      <c r="BU18" s="79">
        <f t="shared" si="35"/>
        <v>0</v>
      </c>
      <c r="BV18" s="1"/>
      <c r="BW18" s="79">
        <f t="shared" si="36"/>
        <v>0</v>
      </c>
      <c r="BX18" s="1"/>
      <c r="BY18" s="79">
        <f t="shared" si="37"/>
        <v>0</v>
      </c>
      <c r="BZ18" s="1"/>
      <c r="CA18" s="79">
        <f t="shared" si="38"/>
        <v>0</v>
      </c>
      <c r="CB18" s="1"/>
      <c r="CC18" s="79">
        <f t="shared" si="39"/>
        <v>0</v>
      </c>
      <c r="CD18" s="1"/>
      <c r="CE18" s="79">
        <f t="shared" si="40"/>
        <v>0</v>
      </c>
      <c r="CF18" s="1"/>
      <c r="CG18" s="79">
        <f t="shared" si="41"/>
        <v>0</v>
      </c>
      <c r="CH18" s="1"/>
      <c r="CI18" s="79">
        <f t="shared" si="42"/>
        <v>0</v>
      </c>
      <c r="CJ18" s="1"/>
      <c r="CK18" s="79">
        <f t="shared" si="43"/>
        <v>0</v>
      </c>
      <c r="CL18" s="1"/>
      <c r="CM18" s="79">
        <f t="shared" si="44"/>
        <v>0</v>
      </c>
      <c r="CN18" s="1"/>
      <c r="CO18" s="79">
        <f t="shared" si="45"/>
        <v>0</v>
      </c>
      <c r="CP18" s="1"/>
      <c r="CQ18" s="79">
        <f t="shared" si="46"/>
        <v>0</v>
      </c>
      <c r="CR18" s="1"/>
      <c r="CS18" s="79">
        <f t="shared" si="47"/>
        <v>0</v>
      </c>
      <c r="CT18" s="79"/>
      <c r="CU18" s="79">
        <f t="shared" si="48"/>
        <v>0</v>
      </c>
      <c r="CV18" s="79"/>
      <c r="CW18" s="79">
        <f t="shared" si="49"/>
        <v>0</v>
      </c>
      <c r="CX18" s="79"/>
      <c r="CY18" s="91"/>
      <c r="CZ18" s="79">
        <f t="shared" si="50"/>
        <v>0</v>
      </c>
      <c r="DA18" s="93"/>
      <c r="DB18" s="93">
        <f t="shared" si="51"/>
        <v>0</v>
      </c>
      <c r="DC18" s="96"/>
      <c r="DD18" s="93">
        <f t="shared" si="52"/>
        <v>0</v>
      </c>
      <c r="DE18" s="96"/>
      <c r="DF18" s="93">
        <f t="shared" si="53"/>
        <v>0</v>
      </c>
      <c r="DG18" s="96"/>
      <c r="DH18" s="93">
        <f t="shared" si="54"/>
        <v>0</v>
      </c>
      <c r="DI18" s="96"/>
      <c r="DJ18" s="93">
        <f t="shared" si="55"/>
        <v>0</v>
      </c>
      <c r="DK18" s="93"/>
      <c r="DL18" s="93">
        <f t="shared" si="56"/>
        <v>0</v>
      </c>
      <c r="DM18" s="100">
        <v>0.0</v>
      </c>
      <c r="DN18" s="93">
        <f t="shared" si="57"/>
        <v>0</v>
      </c>
      <c r="DO18" s="100">
        <v>0.0</v>
      </c>
      <c r="DP18" s="93">
        <f t="shared" si="58"/>
        <v>0</v>
      </c>
      <c r="DQ18" s="100">
        <v>0.0</v>
      </c>
      <c r="DR18" s="93">
        <f t="shared" si="59"/>
        <v>0</v>
      </c>
      <c r="DS18" s="100">
        <v>0.0</v>
      </c>
      <c r="DT18" s="93">
        <f t="shared" si="60"/>
        <v>0</v>
      </c>
      <c r="DU18" s="100">
        <v>0.0</v>
      </c>
      <c r="DV18" s="93">
        <f t="shared" si="61"/>
        <v>0</v>
      </c>
    </row>
    <row r="19">
      <c r="A19" s="7" t="s">
        <v>327</v>
      </c>
      <c r="B19" s="7" t="s">
        <v>328</v>
      </c>
      <c r="C19" s="76" t="str">
        <f t="array" ref="C19">_xlfn.XLOOKUP(A19,'Emp Master'!A:A,'Emp Master'!F:F)</f>
        <v>#N/A</v>
      </c>
      <c r="D19" s="76" t="str">
        <f t="array" ref="D19">_xlfn.XLOOKUP(A19,'Emp Master'!A:A,'Emp Master'!D:D)</f>
        <v>#N/A</v>
      </c>
      <c r="E19" s="76" t="str">
        <f t="shared" si="2"/>
        <v>#REF!</v>
      </c>
      <c r="F19" s="76"/>
      <c r="G19" s="79"/>
      <c r="H19" s="80"/>
      <c r="I19" s="79">
        <f t="shared" si="62"/>
        <v>0</v>
      </c>
      <c r="J19" s="80"/>
      <c r="K19" s="79">
        <f t="shared" si="4"/>
        <v>0</v>
      </c>
      <c r="L19" s="80"/>
      <c r="M19" s="79">
        <f t="shared" si="5"/>
        <v>0</v>
      </c>
      <c r="N19" s="80"/>
      <c r="O19" s="79">
        <f t="shared" si="6"/>
        <v>0</v>
      </c>
      <c r="P19" s="80"/>
      <c r="Q19" s="79">
        <f t="shared" si="7"/>
        <v>0</v>
      </c>
      <c r="R19" s="1"/>
      <c r="S19" s="79">
        <f t="shared" si="8"/>
        <v>0</v>
      </c>
      <c r="T19" s="1"/>
      <c r="U19" s="79">
        <f t="shared" si="9"/>
        <v>0</v>
      </c>
      <c r="V19" s="1"/>
      <c r="W19" s="79">
        <f t="shared" si="10"/>
        <v>0</v>
      </c>
      <c r="X19" s="1"/>
      <c r="Y19" s="79">
        <f t="shared" si="11"/>
        <v>0</v>
      </c>
      <c r="Z19" s="1"/>
      <c r="AA19" s="79">
        <f t="shared" si="12"/>
        <v>0</v>
      </c>
      <c r="AB19" s="1"/>
      <c r="AC19" s="79">
        <f t="shared" si="13"/>
        <v>0</v>
      </c>
      <c r="AD19" s="1"/>
      <c r="AE19" s="79">
        <f t="shared" si="14"/>
        <v>0</v>
      </c>
      <c r="AF19" s="1"/>
      <c r="AG19" s="79">
        <f t="shared" si="15"/>
        <v>0</v>
      </c>
      <c r="AH19" s="1"/>
      <c r="AI19" s="79">
        <f t="shared" si="16"/>
        <v>0</v>
      </c>
      <c r="AJ19" s="1"/>
      <c r="AK19" s="79">
        <f t="shared" si="17"/>
        <v>0</v>
      </c>
      <c r="AL19" s="1"/>
      <c r="AM19" s="79">
        <f t="shared" si="18"/>
        <v>0</v>
      </c>
      <c r="AN19" s="1"/>
      <c r="AO19" s="79">
        <f t="shared" si="19"/>
        <v>0</v>
      </c>
      <c r="AP19" s="1"/>
      <c r="AQ19" s="79">
        <f t="shared" si="20"/>
        <v>0</v>
      </c>
      <c r="AR19" s="1"/>
      <c r="AS19" s="79">
        <f t="shared" si="21"/>
        <v>0</v>
      </c>
      <c r="AT19" s="1"/>
      <c r="AU19" s="79">
        <f t="shared" si="22"/>
        <v>0</v>
      </c>
      <c r="AV19" s="1"/>
      <c r="AW19" s="79">
        <f t="shared" si="23"/>
        <v>0</v>
      </c>
      <c r="AX19" s="1"/>
      <c r="AY19" s="79">
        <f t="shared" si="24"/>
        <v>0</v>
      </c>
      <c r="AZ19" s="1"/>
      <c r="BA19" s="79">
        <f t="shared" si="25"/>
        <v>0</v>
      </c>
      <c r="BB19" s="1"/>
      <c r="BC19" s="79">
        <f t="shared" si="26"/>
        <v>0</v>
      </c>
      <c r="BD19" s="1"/>
      <c r="BE19" s="79">
        <f t="shared" si="27"/>
        <v>0</v>
      </c>
      <c r="BF19" s="1"/>
      <c r="BG19" s="79">
        <f t="shared" si="28"/>
        <v>0</v>
      </c>
      <c r="BH19" s="1"/>
      <c r="BI19" s="79">
        <f t="shared" si="29"/>
        <v>0</v>
      </c>
      <c r="BJ19" s="1"/>
      <c r="BK19" s="79">
        <f t="shared" si="30"/>
        <v>0</v>
      </c>
      <c r="BL19" s="1"/>
      <c r="BM19" s="79">
        <f t="shared" si="31"/>
        <v>0</v>
      </c>
      <c r="BN19" s="1"/>
      <c r="BO19" s="79">
        <f t="shared" si="32"/>
        <v>0</v>
      </c>
      <c r="BP19" s="1"/>
      <c r="BQ19" s="79">
        <f t="shared" si="33"/>
        <v>0</v>
      </c>
      <c r="BR19" s="1"/>
      <c r="BS19" s="79">
        <f t="shared" si="34"/>
        <v>0</v>
      </c>
      <c r="BT19" s="1"/>
      <c r="BU19" s="79">
        <f t="shared" si="35"/>
        <v>0</v>
      </c>
      <c r="BV19" s="1"/>
      <c r="BW19" s="79">
        <f t="shared" si="36"/>
        <v>0</v>
      </c>
      <c r="BX19" s="1"/>
      <c r="BY19" s="79">
        <f t="shared" si="37"/>
        <v>0</v>
      </c>
      <c r="BZ19" s="1"/>
      <c r="CA19" s="79">
        <f t="shared" si="38"/>
        <v>0</v>
      </c>
      <c r="CB19" s="1"/>
      <c r="CC19" s="79">
        <f t="shared" si="39"/>
        <v>0</v>
      </c>
      <c r="CD19" s="1"/>
      <c r="CE19" s="79">
        <f t="shared" si="40"/>
        <v>0</v>
      </c>
      <c r="CF19" s="1"/>
      <c r="CG19" s="79">
        <f t="shared" si="41"/>
        <v>0</v>
      </c>
      <c r="CH19" s="1"/>
      <c r="CI19" s="79">
        <f t="shared" si="42"/>
        <v>0</v>
      </c>
      <c r="CJ19" s="1"/>
      <c r="CK19" s="79">
        <f t="shared" si="43"/>
        <v>0</v>
      </c>
      <c r="CL19" s="1"/>
      <c r="CM19" s="79">
        <f t="shared" si="44"/>
        <v>0</v>
      </c>
      <c r="CN19" s="1"/>
      <c r="CO19" s="79">
        <f t="shared" si="45"/>
        <v>0</v>
      </c>
      <c r="CP19" s="1"/>
      <c r="CQ19" s="79">
        <f t="shared" si="46"/>
        <v>0</v>
      </c>
      <c r="CR19" s="1"/>
      <c r="CS19" s="79">
        <f t="shared" si="47"/>
        <v>0</v>
      </c>
      <c r="CT19" s="79"/>
      <c r="CU19" s="79">
        <f t="shared" si="48"/>
        <v>0</v>
      </c>
      <c r="CV19" s="79"/>
      <c r="CW19" s="79">
        <f t="shared" si="49"/>
        <v>0</v>
      </c>
      <c r="CX19" s="79"/>
      <c r="CY19" s="91"/>
      <c r="CZ19" s="79">
        <f t="shared" si="50"/>
        <v>0</v>
      </c>
      <c r="DA19" s="93"/>
      <c r="DB19" s="93">
        <f t="shared" si="51"/>
        <v>0</v>
      </c>
      <c r="DC19" s="96"/>
      <c r="DD19" s="93">
        <f t="shared" si="52"/>
        <v>0</v>
      </c>
      <c r="DE19" s="96"/>
      <c r="DF19" s="93">
        <f t="shared" si="53"/>
        <v>0</v>
      </c>
      <c r="DG19" s="96"/>
      <c r="DH19" s="93">
        <f t="shared" si="54"/>
        <v>0</v>
      </c>
      <c r="DI19" s="96"/>
      <c r="DJ19" s="93">
        <f t="shared" si="55"/>
        <v>0</v>
      </c>
      <c r="DK19" s="93"/>
      <c r="DL19" s="93">
        <f t="shared" si="56"/>
        <v>0</v>
      </c>
      <c r="DM19" s="100">
        <v>0.0</v>
      </c>
      <c r="DN19" s="93">
        <f t="shared" si="57"/>
        <v>0</v>
      </c>
      <c r="DO19" s="100">
        <v>0.0</v>
      </c>
      <c r="DP19" s="93">
        <f t="shared" si="58"/>
        <v>0</v>
      </c>
      <c r="DQ19" s="100">
        <v>0.0</v>
      </c>
      <c r="DR19" s="93">
        <f t="shared" si="59"/>
        <v>0</v>
      </c>
      <c r="DS19" s="100">
        <v>0.0</v>
      </c>
      <c r="DT19" s="93">
        <f t="shared" si="60"/>
        <v>0</v>
      </c>
      <c r="DU19" s="100">
        <v>0.0</v>
      </c>
      <c r="DV19" s="93">
        <f t="shared" si="61"/>
        <v>0</v>
      </c>
    </row>
    <row r="20">
      <c r="A20" s="7" t="s">
        <v>334</v>
      </c>
      <c r="B20" s="7" t="s">
        <v>335</v>
      </c>
      <c r="C20" s="76" t="str">
        <f t="array" ref="C20">_xlfn.XLOOKUP(A20,'Emp Master'!A:A,'Emp Master'!F:F)</f>
        <v>#N/A</v>
      </c>
      <c r="D20" s="76" t="str">
        <f t="array" ref="D20">_xlfn.XLOOKUP(A20,'Emp Master'!A:A,'Emp Master'!D:D)</f>
        <v>#N/A</v>
      </c>
      <c r="E20" s="76" t="str">
        <f t="shared" si="2"/>
        <v>#REF!</v>
      </c>
      <c r="F20" s="76" t="s">
        <v>70</v>
      </c>
      <c r="G20" s="79" t="s">
        <v>70</v>
      </c>
      <c r="H20" s="80" t="s">
        <v>70</v>
      </c>
      <c r="I20" s="79">
        <f t="shared" si="62"/>
        <v>0</v>
      </c>
      <c r="J20" s="80" t="s">
        <v>70</v>
      </c>
      <c r="K20" s="79">
        <f t="shared" si="4"/>
        <v>0</v>
      </c>
      <c r="L20" s="80" t="s">
        <v>70</v>
      </c>
      <c r="M20" s="79">
        <f t="shared" si="5"/>
        <v>0</v>
      </c>
      <c r="N20" s="80" t="s">
        <v>70</v>
      </c>
      <c r="O20" s="79">
        <f t="shared" si="6"/>
        <v>0</v>
      </c>
      <c r="P20" s="80" t="s">
        <v>70</v>
      </c>
      <c r="Q20" s="79">
        <f t="shared" si="7"/>
        <v>0</v>
      </c>
      <c r="R20" s="1"/>
      <c r="S20" s="79">
        <f t="shared" si="8"/>
        <v>0</v>
      </c>
      <c r="T20" s="1"/>
      <c r="U20" s="79">
        <f t="shared" si="9"/>
        <v>0</v>
      </c>
      <c r="V20" s="1"/>
      <c r="W20" s="79">
        <f t="shared" si="10"/>
        <v>0</v>
      </c>
      <c r="X20" s="1"/>
      <c r="Y20" s="79">
        <f t="shared" si="11"/>
        <v>0</v>
      </c>
      <c r="Z20" s="1"/>
      <c r="AA20" s="79">
        <f t="shared" si="12"/>
        <v>0</v>
      </c>
      <c r="AB20" s="1"/>
      <c r="AC20" s="79">
        <f t="shared" si="13"/>
        <v>0</v>
      </c>
      <c r="AD20" s="1"/>
      <c r="AE20" s="79">
        <f t="shared" si="14"/>
        <v>0</v>
      </c>
      <c r="AF20" s="1"/>
      <c r="AG20" s="79">
        <f t="shared" si="15"/>
        <v>0</v>
      </c>
      <c r="AH20" s="1"/>
      <c r="AI20" s="79">
        <f t="shared" si="16"/>
        <v>0</v>
      </c>
      <c r="AJ20" s="1"/>
      <c r="AK20" s="79">
        <f t="shared" si="17"/>
        <v>0</v>
      </c>
      <c r="AL20" s="1"/>
      <c r="AM20" s="79">
        <f t="shared" si="18"/>
        <v>0</v>
      </c>
      <c r="AN20" s="1"/>
      <c r="AO20" s="79">
        <f t="shared" si="19"/>
        <v>0</v>
      </c>
      <c r="AP20" s="1"/>
      <c r="AQ20" s="79">
        <f t="shared" si="20"/>
        <v>0</v>
      </c>
      <c r="AR20" s="1"/>
      <c r="AS20" s="79">
        <f t="shared" si="21"/>
        <v>0</v>
      </c>
      <c r="AT20" s="1"/>
      <c r="AU20" s="79">
        <f t="shared" si="22"/>
        <v>0</v>
      </c>
      <c r="AV20" s="1"/>
      <c r="AW20" s="79">
        <f t="shared" si="23"/>
        <v>0</v>
      </c>
      <c r="AX20" s="1"/>
      <c r="AY20" s="79">
        <f t="shared" si="24"/>
        <v>0</v>
      </c>
      <c r="AZ20" s="1"/>
      <c r="BA20" s="79">
        <f t="shared" si="25"/>
        <v>0</v>
      </c>
      <c r="BB20" s="1"/>
      <c r="BC20" s="79">
        <f t="shared" si="26"/>
        <v>0</v>
      </c>
      <c r="BD20" s="1"/>
      <c r="BE20" s="79">
        <f t="shared" si="27"/>
        <v>0</v>
      </c>
      <c r="BF20" s="1"/>
      <c r="BG20" s="79">
        <f t="shared" si="28"/>
        <v>0</v>
      </c>
      <c r="BH20" s="1"/>
      <c r="BI20" s="79">
        <f t="shared" si="29"/>
        <v>0</v>
      </c>
      <c r="BJ20" s="1"/>
      <c r="BK20" s="79">
        <f t="shared" si="30"/>
        <v>0</v>
      </c>
      <c r="BL20" s="1"/>
      <c r="BM20" s="79">
        <f t="shared" si="31"/>
        <v>0</v>
      </c>
      <c r="BN20" s="1"/>
      <c r="BO20" s="79">
        <f t="shared" si="32"/>
        <v>0</v>
      </c>
      <c r="BP20" s="1"/>
      <c r="BQ20" s="79">
        <f t="shared" si="33"/>
        <v>0</v>
      </c>
      <c r="BR20" s="1"/>
      <c r="BS20" s="79">
        <f t="shared" si="34"/>
        <v>0</v>
      </c>
      <c r="BT20" s="1"/>
      <c r="BU20" s="79">
        <f t="shared" si="35"/>
        <v>0</v>
      </c>
      <c r="BV20" s="1"/>
      <c r="BW20" s="79">
        <f t="shared" si="36"/>
        <v>0</v>
      </c>
      <c r="BX20" s="1"/>
      <c r="BY20" s="79">
        <f t="shared" si="37"/>
        <v>0</v>
      </c>
      <c r="BZ20" s="1"/>
      <c r="CA20" s="79">
        <f t="shared" si="38"/>
        <v>0</v>
      </c>
      <c r="CB20" s="1"/>
      <c r="CC20" s="79">
        <f t="shared" si="39"/>
        <v>0</v>
      </c>
      <c r="CD20" s="1"/>
      <c r="CE20" s="79">
        <f t="shared" si="40"/>
        <v>0</v>
      </c>
      <c r="CF20" s="1"/>
      <c r="CG20" s="79">
        <f t="shared" si="41"/>
        <v>0</v>
      </c>
      <c r="CH20" s="1"/>
      <c r="CI20" s="79">
        <f t="shared" si="42"/>
        <v>0</v>
      </c>
      <c r="CJ20" s="1"/>
      <c r="CK20" s="79">
        <f t="shared" si="43"/>
        <v>0</v>
      </c>
      <c r="CL20" s="1"/>
      <c r="CM20" s="79">
        <f t="shared" si="44"/>
        <v>0</v>
      </c>
      <c r="CN20" s="1"/>
      <c r="CO20" s="79">
        <f t="shared" si="45"/>
        <v>0</v>
      </c>
      <c r="CP20" s="1"/>
      <c r="CQ20" s="79">
        <f t="shared" si="46"/>
        <v>0</v>
      </c>
      <c r="CR20" s="1"/>
      <c r="CS20" s="79">
        <f t="shared" si="47"/>
        <v>0</v>
      </c>
      <c r="CT20" s="79"/>
      <c r="CU20" s="79">
        <f t="shared" si="48"/>
        <v>0</v>
      </c>
      <c r="CV20" s="79"/>
      <c r="CW20" s="79">
        <f t="shared" si="49"/>
        <v>0</v>
      </c>
      <c r="CX20" s="79"/>
      <c r="CY20" s="91"/>
      <c r="CZ20" s="79">
        <f t="shared" si="50"/>
        <v>0</v>
      </c>
      <c r="DA20" s="93"/>
      <c r="DB20" s="93">
        <f t="shared" si="51"/>
        <v>0</v>
      </c>
      <c r="DC20" s="96"/>
      <c r="DD20" s="93">
        <f t="shared" si="52"/>
        <v>0</v>
      </c>
      <c r="DE20" s="96"/>
      <c r="DF20" s="93">
        <f t="shared" si="53"/>
        <v>0</v>
      </c>
      <c r="DG20" s="96"/>
      <c r="DH20" s="93">
        <f t="shared" si="54"/>
        <v>0</v>
      </c>
      <c r="DI20" s="96"/>
      <c r="DJ20" s="93">
        <f t="shared" si="55"/>
        <v>0</v>
      </c>
      <c r="DK20" s="93"/>
      <c r="DL20" s="93">
        <f t="shared" si="56"/>
        <v>0</v>
      </c>
      <c r="DM20" s="100">
        <v>0.0</v>
      </c>
      <c r="DN20" s="93">
        <f t="shared" si="57"/>
        <v>0</v>
      </c>
      <c r="DO20" s="100">
        <v>0.0</v>
      </c>
      <c r="DP20" s="93">
        <f t="shared" si="58"/>
        <v>0</v>
      </c>
      <c r="DQ20" s="100">
        <v>0.0</v>
      </c>
      <c r="DR20" s="93">
        <f t="shared" si="59"/>
        <v>0</v>
      </c>
      <c r="DS20" s="100">
        <v>0.0</v>
      </c>
      <c r="DT20" s="93">
        <f t="shared" si="60"/>
        <v>0</v>
      </c>
      <c r="DU20" s="100">
        <v>0.0</v>
      </c>
      <c r="DV20" s="93">
        <f t="shared" si="61"/>
        <v>0</v>
      </c>
    </row>
    <row r="21">
      <c r="A21" s="7" t="s">
        <v>342</v>
      </c>
      <c r="B21" s="7" t="s">
        <v>343</v>
      </c>
      <c r="C21" s="76" t="str">
        <f t="array" ref="C21">_xlfn.XLOOKUP(A21,'Emp Master'!A:A,'Emp Master'!F:F)</f>
        <v>#N/A</v>
      </c>
      <c r="D21" s="76" t="str">
        <f t="array" ref="D21">_xlfn.XLOOKUP(A21,'Emp Master'!A:A,'Emp Master'!D:D)</f>
        <v>#N/A</v>
      </c>
      <c r="E21" s="76" t="str">
        <f t="shared" si="2"/>
        <v>#REF!</v>
      </c>
      <c r="F21" s="76" t="s">
        <v>70</v>
      </c>
      <c r="G21" s="79" t="s">
        <v>70</v>
      </c>
      <c r="H21" s="80" t="s">
        <v>70</v>
      </c>
      <c r="I21" s="79">
        <f t="shared" si="62"/>
        <v>0</v>
      </c>
      <c r="J21" s="80" t="s">
        <v>70</v>
      </c>
      <c r="K21" s="79">
        <f t="shared" si="4"/>
        <v>0</v>
      </c>
      <c r="L21" s="80" t="s">
        <v>70</v>
      </c>
      <c r="M21" s="79">
        <f t="shared" si="5"/>
        <v>0</v>
      </c>
      <c r="N21" s="80" t="s">
        <v>70</v>
      </c>
      <c r="O21" s="79">
        <f t="shared" si="6"/>
        <v>0</v>
      </c>
      <c r="P21" s="80" t="s">
        <v>70</v>
      </c>
      <c r="Q21" s="79">
        <f t="shared" si="7"/>
        <v>0</v>
      </c>
      <c r="R21" s="1"/>
      <c r="S21" s="79">
        <f t="shared" si="8"/>
        <v>0</v>
      </c>
      <c r="T21" s="1"/>
      <c r="U21" s="79">
        <f t="shared" si="9"/>
        <v>0</v>
      </c>
      <c r="V21" s="1"/>
      <c r="W21" s="79">
        <f t="shared" si="10"/>
        <v>0</v>
      </c>
      <c r="X21" s="1"/>
      <c r="Y21" s="79">
        <f t="shared" si="11"/>
        <v>0</v>
      </c>
      <c r="Z21" s="1"/>
      <c r="AA21" s="79">
        <f t="shared" si="12"/>
        <v>0</v>
      </c>
      <c r="AB21" s="1"/>
      <c r="AC21" s="79">
        <f t="shared" si="13"/>
        <v>0</v>
      </c>
      <c r="AD21" s="1"/>
      <c r="AE21" s="79">
        <f t="shared" si="14"/>
        <v>0</v>
      </c>
      <c r="AF21" s="1"/>
      <c r="AG21" s="79">
        <f t="shared" si="15"/>
        <v>0</v>
      </c>
      <c r="AH21" s="1"/>
      <c r="AI21" s="79">
        <f t="shared" si="16"/>
        <v>0</v>
      </c>
      <c r="AJ21" s="1"/>
      <c r="AK21" s="79">
        <f t="shared" si="17"/>
        <v>0</v>
      </c>
      <c r="AL21" s="1"/>
      <c r="AM21" s="79">
        <f t="shared" si="18"/>
        <v>0</v>
      </c>
      <c r="AN21" s="1"/>
      <c r="AO21" s="79">
        <f t="shared" si="19"/>
        <v>0</v>
      </c>
      <c r="AP21" s="1"/>
      <c r="AQ21" s="79">
        <f t="shared" si="20"/>
        <v>0</v>
      </c>
      <c r="AR21" s="1"/>
      <c r="AS21" s="79">
        <f t="shared" si="21"/>
        <v>0</v>
      </c>
      <c r="AT21" s="1"/>
      <c r="AU21" s="79">
        <f t="shared" si="22"/>
        <v>0</v>
      </c>
      <c r="AV21" s="1"/>
      <c r="AW21" s="79">
        <f t="shared" si="23"/>
        <v>0</v>
      </c>
      <c r="AX21" s="1"/>
      <c r="AY21" s="79">
        <f t="shared" si="24"/>
        <v>0</v>
      </c>
      <c r="AZ21" s="1"/>
      <c r="BA21" s="79">
        <f t="shared" si="25"/>
        <v>0</v>
      </c>
      <c r="BB21" s="1"/>
      <c r="BC21" s="79">
        <f t="shared" si="26"/>
        <v>0</v>
      </c>
      <c r="BD21" s="1"/>
      <c r="BE21" s="79">
        <f t="shared" si="27"/>
        <v>0</v>
      </c>
      <c r="BF21" s="1"/>
      <c r="BG21" s="79">
        <f t="shared" si="28"/>
        <v>0</v>
      </c>
      <c r="BH21" s="1"/>
      <c r="BI21" s="79">
        <f t="shared" si="29"/>
        <v>0</v>
      </c>
      <c r="BJ21" s="1"/>
      <c r="BK21" s="79">
        <f t="shared" si="30"/>
        <v>0</v>
      </c>
      <c r="BL21" s="1"/>
      <c r="BM21" s="79">
        <f t="shared" si="31"/>
        <v>0</v>
      </c>
      <c r="BN21" s="1"/>
      <c r="BO21" s="79">
        <f t="shared" si="32"/>
        <v>0</v>
      </c>
      <c r="BP21" s="1"/>
      <c r="BQ21" s="79">
        <f t="shared" si="33"/>
        <v>0</v>
      </c>
      <c r="BR21" s="1"/>
      <c r="BS21" s="79">
        <f t="shared" si="34"/>
        <v>0</v>
      </c>
      <c r="BT21" s="1"/>
      <c r="BU21" s="79">
        <f t="shared" si="35"/>
        <v>0</v>
      </c>
      <c r="BV21" s="1"/>
      <c r="BW21" s="79">
        <f t="shared" si="36"/>
        <v>0</v>
      </c>
      <c r="BX21" s="1"/>
      <c r="BY21" s="79">
        <f t="shared" si="37"/>
        <v>0</v>
      </c>
      <c r="BZ21" s="1"/>
      <c r="CA21" s="79">
        <f t="shared" si="38"/>
        <v>0</v>
      </c>
      <c r="CB21" s="1"/>
      <c r="CC21" s="79">
        <f t="shared" si="39"/>
        <v>0</v>
      </c>
      <c r="CD21" s="1"/>
      <c r="CE21" s="79">
        <f t="shared" si="40"/>
        <v>0</v>
      </c>
      <c r="CF21" s="1"/>
      <c r="CG21" s="79">
        <f t="shared" si="41"/>
        <v>0</v>
      </c>
      <c r="CH21" s="1"/>
      <c r="CI21" s="79">
        <f t="shared" si="42"/>
        <v>0</v>
      </c>
      <c r="CJ21" s="1"/>
      <c r="CK21" s="79">
        <f t="shared" si="43"/>
        <v>0</v>
      </c>
      <c r="CL21" s="1"/>
      <c r="CM21" s="79">
        <f t="shared" si="44"/>
        <v>0</v>
      </c>
      <c r="CN21" s="1"/>
      <c r="CO21" s="79">
        <f t="shared" si="45"/>
        <v>0</v>
      </c>
      <c r="CP21" s="1"/>
      <c r="CQ21" s="79">
        <f t="shared" si="46"/>
        <v>0</v>
      </c>
      <c r="CR21" s="1"/>
      <c r="CS21" s="79">
        <f t="shared" si="47"/>
        <v>0</v>
      </c>
      <c r="CT21" s="79"/>
      <c r="CU21" s="79">
        <f t="shared" si="48"/>
        <v>0</v>
      </c>
      <c r="CV21" s="79"/>
      <c r="CW21" s="79">
        <f t="shared" si="49"/>
        <v>0</v>
      </c>
      <c r="CX21" s="79"/>
      <c r="CY21" s="91"/>
      <c r="CZ21" s="79">
        <f t="shared" si="50"/>
        <v>0</v>
      </c>
      <c r="DA21" s="93"/>
      <c r="DB21" s="93">
        <f t="shared" si="51"/>
        <v>0</v>
      </c>
      <c r="DC21" s="96"/>
      <c r="DD21" s="93">
        <f t="shared" si="52"/>
        <v>0</v>
      </c>
      <c r="DE21" s="96"/>
      <c r="DF21" s="93">
        <f t="shared" si="53"/>
        <v>0</v>
      </c>
      <c r="DG21" s="96"/>
      <c r="DH21" s="93">
        <f t="shared" si="54"/>
        <v>0</v>
      </c>
      <c r="DI21" s="96"/>
      <c r="DJ21" s="93">
        <f t="shared" si="55"/>
        <v>0</v>
      </c>
      <c r="DK21" s="93"/>
      <c r="DL21" s="93">
        <f t="shared" si="56"/>
        <v>0</v>
      </c>
      <c r="DM21" s="100">
        <v>0.0</v>
      </c>
      <c r="DN21" s="93">
        <f t="shared" si="57"/>
        <v>0</v>
      </c>
      <c r="DO21" s="100">
        <v>0.0</v>
      </c>
      <c r="DP21" s="93">
        <f t="shared" si="58"/>
        <v>0</v>
      </c>
      <c r="DQ21" s="100">
        <v>0.0</v>
      </c>
      <c r="DR21" s="93">
        <f t="shared" si="59"/>
        <v>0</v>
      </c>
      <c r="DS21" s="100">
        <v>0.0</v>
      </c>
      <c r="DT21" s="93">
        <f t="shared" si="60"/>
        <v>0</v>
      </c>
      <c r="DU21" s="100">
        <v>0.0</v>
      </c>
      <c r="DV21" s="93">
        <f t="shared" si="61"/>
        <v>0</v>
      </c>
    </row>
    <row r="22">
      <c r="A22" s="7" t="s">
        <v>203</v>
      </c>
      <c r="B22" s="7" t="s">
        <v>204</v>
      </c>
      <c r="C22" s="76" t="str">
        <f t="array" ref="C22">_xlfn.XLOOKUP(A22,'Emp Master'!A:A,'Emp Master'!F:F)</f>
        <v>DEL</v>
      </c>
      <c r="D22" s="76" t="str">
        <f t="array" ref="D22">_xlfn.XLOOKUP(A22,'Emp Master'!A:A,'Emp Master'!D:D)</f>
        <v>Backend Ops</v>
      </c>
      <c r="E22" s="76" t="str">
        <f t="shared" si="2"/>
        <v>#REF!</v>
      </c>
      <c r="F22" s="76">
        <v>5000.0</v>
      </c>
      <c r="G22" s="79">
        <v>80000.0</v>
      </c>
      <c r="H22" s="80">
        <v>5000.0</v>
      </c>
      <c r="I22" s="79">
        <f t="shared" si="62"/>
        <v>75000</v>
      </c>
      <c r="J22" s="126">
        <v>5000.0</v>
      </c>
      <c r="K22" s="79">
        <f t="shared" si="4"/>
        <v>70000</v>
      </c>
      <c r="L22" s="126">
        <v>0.0</v>
      </c>
      <c r="M22" s="79">
        <f t="shared" si="5"/>
        <v>70000</v>
      </c>
      <c r="N22" s="80">
        <v>5000.0</v>
      </c>
      <c r="O22" s="79">
        <f t="shared" si="6"/>
        <v>65000</v>
      </c>
      <c r="P22" s="80">
        <v>5000.0</v>
      </c>
      <c r="Q22" s="79">
        <f t="shared" si="7"/>
        <v>60000</v>
      </c>
      <c r="R22" s="106">
        <v>5000.0</v>
      </c>
      <c r="S22" s="79">
        <f t="shared" si="8"/>
        <v>55000</v>
      </c>
      <c r="T22" s="106">
        <v>5000.0</v>
      </c>
      <c r="U22" s="79">
        <f t="shared" si="9"/>
        <v>50000</v>
      </c>
      <c r="V22" s="106">
        <v>0.0</v>
      </c>
      <c r="W22" s="79">
        <f t="shared" si="10"/>
        <v>50000</v>
      </c>
      <c r="X22" s="106">
        <v>0.0</v>
      </c>
      <c r="Y22" s="79">
        <f t="shared" si="11"/>
        <v>50000</v>
      </c>
      <c r="Z22" s="106">
        <v>0.0</v>
      </c>
      <c r="AA22" s="79">
        <f t="shared" si="12"/>
        <v>50000</v>
      </c>
      <c r="AB22" s="106">
        <v>0.0</v>
      </c>
      <c r="AC22" s="79">
        <f t="shared" si="13"/>
        <v>50000</v>
      </c>
      <c r="AD22" s="106">
        <v>5000.0</v>
      </c>
      <c r="AE22" s="79">
        <f t="shared" si="14"/>
        <v>45000</v>
      </c>
      <c r="AF22" s="106">
        <v>5000.0</v>
      </c>
      <c r="AG22" s="79">
        <f t="shared" si="15"/>
        <v>40000</v>
      </c>
      <c r="AH22" s="106">
        <v>5000.0</v>
      </c>
      <c r="AI22" s="79">
        <f>AG22-AH22+100000</f>
        <v>135000</v>
      </c>
      <c r="AJ22" s="106">
        <v>5000.0</v>
      </c>
      <c r="AK22" s="79">
        <f t="shared" si="17"/>
        <v>130000</v>
      </c>
      <c r="AL22" s="106">
        <v>5000.0</v>
      </c>
      <c r="AM22" s="79">
        <f t="shared" si="18"/>
        <v>125000</v>
      </c>
      <c r="AN22" s="106">
        <v>5000.0</v>
      </c>
      <c r="AO22" s="79">
        <f t="shared" si="19"/>
        <v>120000</v>
      </c>
      <c r="AP22" s="106">
        <v>5000.0</v>
      </c>
      <c r="AQ22" s="79">
        <f t="shared" si="20"/>
        <v>115000</v>
      </c>
      <c r="AR22" s="106">
        <v>5000.0</v>
      </c>
      <c r="AS22" s="79">
        <f t="shared" si="21"/>
        <v>110000</v>
      </c>
      <c r="AT22" s="127">
        <v>5000.0</v>
      </c>
      <c r="AU22" s="79">
        <f t="shared" si="22"/>
        <v>105000</v>
      </c>
      <c r="AV22" s="106">
        <v>5000.0</v>
      </c>
      <c r="AW22" s="79">
        <f t="shared" si="23"/>
        <v>100000</v>
      </c>
      <c r="AX22" s="106">
        <v>5000.0</v>
      </c>
      <c r="AY22" s="79">
        <f t="shared" si="24"/>
        <v>95000</v>
      </c>
      <c r="AZ22" s="106">
        <v>5000.0</v>
      </c>
      <c r="BA22" s="79">
        <f t="shared" si="25"/>
        <v>90000</v>
      </c>
      <c r="BB22" s="106">
        <v>5000.0</v>
      </c>
      <c r="BC22" s="79">
        <f t="shared" si="26"/>
        <v>85000</v>
      </c>
      <c r="BD22" s="106">
        <v>5000.0</v>
      </c>
      <c r="BE22" s="79">
        <f t="shared" si="27"/>
        <v>80000</v>
      </c>
      <c r="BF22" s="106">
        <v>5000.0</v>
      </c>
      <c r="BG22" s="79">
        <f t="shared" si="28"/>
        <v>75000</v>
      </c>
      <c r="BH22" s="106">
        <v>5000.0</v>
      </c>
      <c r="BI22" s="79">
        <f t="shared" si="29"/>
        <v>70000</v>
      </c>
      <c r="BJ22" s="106">
        <v>5000.0</v>
      </c>
      <c r="BK22" s="79">
        <f t="shared" si="30"/>
        <v>65000</v>
      </c>
      <c r="BL22" s="106">
        <v>5000.0</v>
      </c>
      <c r="BM22" s="79">
        <f t="shared" si="31"/>
        <v>60000</v>
      </c>
      <c r="BN22" s="106">
        <v>5000.0</v>
      </c>
      <c r="BO22" s="79">
        <f t="shared" si="32"/>
        <v>55000</v>
      </c>
      <c r="BP22" s="106">
        <v>5000.0</v>
      </c>
      <c r="BQ22" s="79">
        <f t="shared" si="33"/>
        <v>50000</v>
      </c>
      <c r="BR22" s="106">
        <v>5000.0</v>
      </c>
      <c r="BS22" s="79">
        <f t="shared" si="34"/>
        <v>45000</v>
      </c>
      <c r="BT22" s="106">
        <v>5000.0</v>
      </c>
      <c r="BU22" s="79">
        <f t="shared" si="35"/>
        <v>40000</v>
      </c>
      <c r="BV22" s="106">
        <v>5000.0</v>
      </c>
      <c r="BW22" s="79">
        <f t="shared" si="36"/>
        <v>35000</v>
      </c>
      <c r="BX22" s="106">
        <v>5000.0</v>
      </c>
      <c r="BY22" s="79">
        <f t="shared" si="37"/>
        <v>30000</v>
      </c>
      <c r="BZ22" s="106">
        <v>5000.0</v>
      </c>
      <c r="CA22" s="79">
        <f t="shared" si="38"/>
        <v>25000</v>
      </c>
      <c r="CB22" s="106">
        <v>5000.0</v>
      </c>
      <c r="CC22" s="79">
        <f t="shared" si="39"/>
        <v>20000</v>
      </c>
      <c r="CD22" s="106">
        <v>5000.0</v>
      </c>
      <c r="CE22" s="79">
        <f t="shared" si="40"/>
        <v>15000</v>
      </c>
      <c r="CF22" s="106">
        <v>5000.0</v>
      </c>
      <c r="CG22" s="79">
        <f t="shared" si="41"/>
        <v>10000</v>
      </c>
      <c r="CH22" s="106">
        <v>5000.0</v>
      </c>
      <c r="CI22" s="79">
        <f t="shared" si="42"/>
        <v>5000</v>
      </c>
      <c r="CJ22" s="106">
        <v>5000.0</v>
      </c>
      <c r="CK22" s="79">
        <f t="shared" si="43"/>
        <v>0</v>
      </c>
      <c r="CL22" s="106"/>
      <c r="CM22" s="79">
        <f t="shared" si="44"/>
        <v>0</v>
      </c>
      <c r="CN22" s="106"/>
      <c r="CO22" s="79">
        <f t="shared" si="45"/>
        <v>0</v>
      </c>
      <c r="CP22" s="106"/>
      <c r="CQ22" s="79">
        <f t="shared" si="46"/>
        <v>0</v>
      </c>
      <c r="CR22" s="106"/>
      <c r="CS22" s="79">
        <f t="shared" si="47"/>
        <v>0</v>
      </c>
      <c r="CT22" s="79"/>
      <c r="CU22" s="79">
        <f t="shared" si="48"/>
        <v>0</v>
      </c>
      <c r="CV22" s="79"/>
      <c r="CW22" s="79">
        <f t="shared" si="49"/>
        <v>0</v>
      </c>
      <c r="CX22" s="79"/>
      <c r="CY22" s="91"/>
      <c r="CZ22" s="79">
        <f t="shared" si="50"/>
        <v>0</v>
      </c>
      <c r="DA22" s="93"/>
      <c r="DB22" s="93">
        <f t="shared" si="51"/>
        <v>0</v>
      </c>
      <c r="DC22" s="96"/>
      <c r="DD22" s="93">
        <f t="shared" si="52"/>
        <v>0</v>
      </c>
      <c r="DE22" s="96"/>
      <c r="DF22" s="93">
        <f t="shared" si="53"/>
        <v>0</v>
      </c>
      <c r="DG22" s="96"/>
      <c r="DH22" s="93">
        <f t="shared" si="54"/>
        <v>0</v>
      </c>
      <c r="DI22" s="96"/>
      <c r="DJ22" s="93">
        <f t="shared" si="55"/>
        <v>0</v>
      </c>
      <c r="DK22" s="93"/>
      <c r="DL22" s="93">
        <f t="shared" si="56"/>
        <v>0</v>
      </c>
      <c r="DM22" s="100">
        <v>0.0</v>
      </c>
      <c r="DN22" s="93">
        <f t="shared" si="57"/>
        <v>0</v>
      </c>
      <c r="DO22" s="100">
        <v>0.0</v>
      </c>
      <c r="DP22" s="93">
        <f t="shared" si="58"/>
        <v>0</v>
      </c>
      <c r="DQ22" s="100">
        <v>0.0</v>
      </c>
      <c r="DR22" s="93">
        <f t="shared" si="59"/>
        <v>0</v>
      </c>
      <c r="DS22" s="100">
        <v>0.0</v>
      </c>
      <c r="DT22" s="93">
        <f t="shared" si="60"/>
        <v>0</v>
      </c>
      <c r="DU22" s="100">
        <v>0.0</v>
      </c>
      <c r="DV22" s="93">
        <f t="shared" si="61"/>
        <v>0</v>
      </c>
    </row>
    <row r="23">
      <c r="A23" s="7" t="s">
        <v>360</v>
      </c>
      <c r="B23" s="7" t="s">
        <v>361</v>
      </c>
      <c r="C23" s="76" t="str">
        <f t="array" ref="C23">_xlfn.XLOOKUP(A23,'Emp Master'!A:A,'Emp Master'!F:F)</f>
        <v>#N/A</v>
      </c>
      <c r="D23" s="76" t="str">
        <f t="array" ref="D23">_xlfn.XLOOKUP(A23,'Emp Master'!A:A,'Emp Master'!D:D)</f>
        <v>#N/A</v>
      </c>
      <c r="E23" s="76" t="str">
        <f t="shared" si="2"/>
        <v>#REF!</v>
      </c>
      <c r="F23" s="76"/>
      <c r="G23" s="79"/>
      <c r="H23" s="80"/>
      <c r="I23" s="79">
        <f t="shared" si="62"/>
        <v>0</v>
      </c>
      <c r="J23" s="80"/>
      <c r="K23" s="79">
        <f t="shared" si="4"/>
        <v>0</v>
      </c>
      <c r="L23" s="80"/>
      <c r="M23" s="79">
        <f t="shared" si="5"/>
        <v>0</v>
      </c>
      <c r="N23" s="80"/>
      <c r="O23" s="79">
        <f t="shared" si="6"/>
        <v>0</v>
      </c>
      <c r="P23" s="80"/>
      <c r="Q23" s="79">
        <f t="shared" si="7"/>
        <v>0</v>
      </c>
      <c r="R23" s="1"/>
      <c r="S23" s="79">
        <f t="shared" si="8"/>
        <v>0</v>
      </c>
      <c r="T23" s="1"/>
      <c r="U23" s="79">
        <f t="shared" si="9"/>
        <v>0</v>
      </c>
      <c r="V23" s="1"/>
      <c r="W23" s="79">
        <f t="shared" si="10"/>
        <v>0</v>
      </c>
      <c r="X23" s="1"/>
      <c r="Y23" s="79">
        <f t="shared" si="11"/>
        <v>0</v>
      </c>
      <c r="Z23" s="1"/>
      <c r="AA23" s="79">
        <f t="shared" si="12"/>
        <v>0</v>
      </c>
      <c r="AB23" s="1"/>
      <c r="AC23" s="79">
        <f t="shared" si="13"/>
        <v>0</v>
      </c>
      <c r="AD23" s="1"/>
      <c r="AE23" s="79">
        <f t="shared" si="14"/>
        <v>0</v>
      </c>
      <c r="AF23" s="1"/>
      <c r="AG23" s="79">
        <f t="shared" si="15"/>
        <v>0</v>
      </c>
      <c r="AH23" s="1"/>
      <c r="AI23" s="79">
        <f t="shared" ref="AI23:AI44" si="63">AG23-AH23</f>
        <v>0</v>
      </c>
      <c r="AJ23" s="1"/>
      <c r="AK23" s="79">
        <f t="shared" si="17"/>
        <v>0</v>
      </c>
      <c r="AL23" s="1"/>
      <c r="AM23" s="79">
        <f t="shared" si="18"/>
        <v>0</v>
      </c>
      <c r="AN23" s="1"/>
      <c r="AO23" s="79">
        <f t="shared" si="19"/>
        <v>0</v>
      </c>
      <c r="AP23" s="1"/>
      <c r="AQ23" s="79">
        <f t="shared" si="20"/>
        <v>0</v>
      </c>
      <c r="AR23" s="1"/>
      <c r="AS23" s="79">
        <f t="shared" si="21"/>
        <v>0</v>
      </c>
      <c r="AT23" s="1"/>
      <c r="AU23" s="79">
        <f t="shared" si="22"/>
        <v>0</v>
      </c>
      <c r="AV23" s="1"/>
      <c r="AW23" s="79">
        <f t="shared" si="23"/>
        <v>0</v>
      </c>
      <c r="AX23" s="1"/>
      <c r="AY23" s="79">
        <f t="shared" si="24"/>
        <v>0</v>
      </c>
      <c r="AZ23" s="1"/>
      <c r="BA23" s="79">
        <f t="shared" si="25"/>
        <v>0</v>
      </c>
      <c r="BB23" s="1"/>
      <c r="BC23" s="79">
        <f t="shared" si="26"/>
        <v>0</v>
      </c>
      <c r="BD23" s="1"/>
      <c r="BE23" s="79">
        <f t="shared" si="27"/>
        <v>0</v>
      </c>
      <c r="BF23" s="1"/>
      <c r="BG23" s="79">
        <f t="shared" si="28"/>
        <v>0</v>
      </c>
      <c r="BH23" s="1"/>
      <c r="BI23" s="79">
        <f t="shared" si="29"/>
        <v>0</v>
      </c>
      <c r="BJ23" s="1"/>
      <c r="BK23" s="79">
        <f t="shared" si="30"/>
        <v>0</v>
      </c>
      <c r="BL23" s="1"/>
      <c r="BM23" s="79">
        <f t="shared" si="31"/>
        <v>0</v>
      </c>
      <c r="BN23" s="1"/>
      <c r="BO23" s="79">
        <f t="shared" si="32"/>
        <v>0</v>
      </c>
      <c r="BP23" s="1"/>
      <c r="BQ23" s="79">
        <f t="shared" si="33"/>
        <v>0</v>
      </c>
      <c r="BR23" s="1"/>
      <c r="BS23" s="79">
        <f t="shared" si="34"/>
        <v>0</v>
      </c>
      <c r="BT23" s="1"/>
      <c r="BU23" s="79">
        <f t="shared" si="35"/>
        <v>0</v>
      </c>
      <c r="BV23" s="1"/>
      <c r="BW23" s="79">
        <f t="shared" si="36"/>
        <v>0</v>
      </c>
      <c r="BX23" s="1"/>
      <c r="BY23" s="79">
        <f t="shared" si="37"/>
        <v>0</v>
      </c>
      <c r="BZ23" s="1"/>
      <c r="CA23" s="79">
        <f t="shared" si="38"/>
        <v>0</v>
      </c>
      <c r="CB23" s="1"/>
      <c r="CC23" s="79">
        <f t="shared" si="39"/>
        <v>0</v>
      </c>
      <c r="CD23" s="1"/>
      <c r="CE23" s="79">
        <f t="shared" si="40"/>
        <v>0</v>
      </c>
      <c r="CF23" s="1"/>
      <c r="CG23" s="79">
        <f t="shared" si="41"/>
        <v>0</v>
      </c>
      <c r="CH23" s="1"/>
      <c r="CI23" s="79">
        <f t="shared" si="42"/>
        <v>0</v>
      </c>
      <c r="CJ23" s="1"/>
      <c r="CK23" s="79">
        <f t="shared" si="43"/>
        <v>0</v>
      </c>
      <c r="CL23" s="1"/>
      <c r="CM23" s="79">
        <f t="shared" si="44"/>
        <v>0</v>
      </c>
      <c r="CN23" s="1"/>
      <c r="CO23" s="79">
        <f t="shared" si="45"/>
        <v>0</v>
      </c>
      <c r="CP23" s="1"/>
      <c r="CQ23" s="79">
        <f t="shared" si="46"/>
        <v>0</v>
      </c>
      <c r="CR23" s="1"/>
      <c r="CS23" s="79">
        <f t="shared" si="47"/>
        <v>0</v>
      </c>
      <c r="CT23" s="79"/>
      <c r="CU23" s="79">
        <f t="shared" si="48"/>
        <v>0</v>
      </c>
      <c r="CV23" s="79"/>
      <c r="CW23" s="79">
        <f t="shared" si="49"/>
        <v>0</v>
      </c>
      <c r="CX23" s="79"/>
      <c r="CY23" s="91"/>
      <c r="CZ23" s="79">
        <f t="shared" si="50"/>
        <v>0</v>
      </c>
      <c r="DA23" s="93"/>
      <c r="DB23" s="93">
        <f t="shared" si="51"/>
        <v>0</v>
      </c>
      <c r="DC23" s="96"/>
      <c r="DD23" s="93">
        <f t="shared" si="52"/>
        <v>0</v>
      </c>
      <c r="DE23" s="96"/>
      <c r="DF23" s="93">
        <f t="shared" si="53"/>
        <v>0</v>
      </c>
      <c r="DG23" s="96"/>
      <c r="DH23" s="93">
        <f t="shared" si="54"/>
        <v>0</v>
      </c>
      <c r="DI23" s="96"/>
      <c r="DJ23" s="93">
        <f t="shared" si="55"/>
        <v>0</v>
      </c>
      <c r="DK23" s="93"/>
      <c r="DL23" s="93">
        <f t="shared" si="56"/>
        <v>0</v>
      </c>
      <c r="DM23" s="100">
        <v>0.0</v>
      </c>
      <c r="DN23" s="93">
        <f t="shared" si="57"/>
        <v>0</v>
      </c>
      <c r="DO23" s="100">
        <v>0.0</v>
      </c>
      <c r="DP23" s="93">
        <f t="shared" si="58"/>
        <v>0</v>
      </c>
      <c r="DQ23" s="100">
        <v>0.0</v>
      </c>
      <c r="DR23" s="93">
        <f t="shared" si="59"/>
        <v>0</v>
      </c>
      <c r="DS23" s="100">
        <v>0.0</v>
      </c>
      <c r="DT23" s="93">
        <f t="shared" si="60"/>
        <v>0</v>
      </c>
      <c r="DU23" s="100">
        <v>0.0</v>
      </c>
      <c r="DV23" s="93">
        <f t="shared" si="61"/>
        <v>0</v>
      </c>
    </row>
    <row r="24">
      <c r="A24" s="7" t="s">
        <v>366</v>
      </c>
      <c r="B24" s="7" t="s">
        <v>367</v>
      </c>
      <c r="C24" s="76" t="str">
        <f t="array" ref="C24">_xlfn.XLOOKUP(A24,'Emp Master'!A:A,'Emp Master'!F:F)</f>
        <v>#N/A</v>
      </c>
      <c r="D24" s="76" t="str">
        <f t="array" ref="D24">_xlfn.XLOOKUP(A24,'Emp Master'!A:A,'Emp Master'!D:D)</f>
        <v>#N/A</v>
      </c>
      <c r="E24" s="76" t="str">
        <f t="shared" si="2"/>
        <v>#REF!</v>
      </c>
      <c r="F24" s="76"/>
      <c r="G24" s="79"/>
      <c r="H24" s="80"/>
      <c r="I24" s="79">
        <f t="shared" si="62"/>
        <v>0</v>
      </c>
      <c r="J24" s="80"/>
      <c r="K24" s="79">
        <f t="shared" si="4"/>
        <v>0</v>
      </c>
      <c r="L24" s="80"/>
      <c r="M24" s="79">
        <f t="shared" si="5"/>
        <v>0</v>
      </c>
      <c r="N24" s="80"/>
      <c r="O24" s="79">
        <f t="shared" si="6"/>
        <v>0</v>
      </c>
      <c r="P24" s="80"/>
      <c r="Q24" s="79">
        <f t="shared" si="7"/>
        <v>0</v>
      </c>
      <c r="R24" s="1"/>
      <c r="S24" s="79">
        <f t="shared" si="8"/>
        <v>0</v>
      </c>
      <c r="T24" s="1"/>
      <c r="U24" s="79">
        <f t="shared" si="9"/>
        <v>0</v>
      </c>
      <c r="V24" s="1"/>
      <c r="W24" s="79">
        <f t="shared" si="10"/>
        <v>0</v>
      </c>
      <c r="X24" s="1"/>
      <c r="Y24" s="79">
        <f t="shared" si="11"/>
        <v>0</v>
      </c>
      <c r="Z24" s="1"/>
      <c r="AA24" s="79">
        <f t="shared" si="12"/>
        <v>0</v>
      </c>
      <c r="AB24" s="1"/>
      <c r="AC24" s="79">
        <f t="shared" si="13"/>
        <v>0</v>
      </c>
      <c r="AD24" s="1"/>
      <c r="AE24" s="79">
        <f t="shared" si="14"/>
        <v>0</v>
      </c>
      <c r="AF24" s="1"/>
      <c r="AG24" s="79">
        <f t="shared" si="15"/>
        <v>0</v>
      </c>
      <c r="AH24" s="1"/>
      <c r="AI24" s="79">
        <f t="shared" si="63"/>
        <v>0</v>
      </c>
      <c r="AJ24" s="1"/>
      <c r="AK24" s="79">
        <f t="shared" si="17"/>
        <v>0</v>
      </c>
      <c r="AL24" s="1"/>
      <c r="AM24" s="79">
        <f t="shared" si="18"/>
        <v>0</v>
      </c>
      <c r="AN24" s="1"/>
      <c r="AO24" s="79">
        <f t="shared" si="19"/>
        <v>0</v>
      </c>
      <c r="AP24" s="1"/>
      <c r="AQ24" s="79">
        <f t="shared" si="20"/>
        <v>0</v>
      </c>
      <c r="AR24" s="1"/>
      <c r="AS24" s="79">
        <f t="shared" si="21"/>
        <v>0</v>
      </c>
      <c r="AT24" s="1"/>
      <c r="AU24" s="79">
        <f t="shared" si="22"/>
        <v>0</v>
      </c>
      <c r="AV24" s="1"/>
      <c r="AW24" s="79">
        <f t="shared" si="23"/>
        <v>0</v>
      </c>
      <c r="AX24" s="1"/>
      <c r="AY24" s="79">
        <f t="shared" si="24"/>
        <v>0</v>
      </c>
      <c r="AZ24" s="1"/>
      <c r="BA24" s="79">
        <f t="shared" si="25"/>
        <v>0</v>
      </c>
      <c r="BB24" s="1"/>
      <c r="BC24" s="79">
        <f t="shared" si="26"/>
        <v>0</v>
      </c>
      <c r="BD24" s="1"/>
      <c r="BE24" s="79">
        <f t="shared" si="27"/>
        <v>0</v>
      </c>
      <c r="BF24" s="1"/>
      <c r="BG24" s="79">
        <f t="shared" si="28"/>
        <v>0</v>
      </c>
      <c r="BH24" s="1"/>
      <c r="BI24" s="79">
        <f t="shared" si="29"/>
        <v>0</v>
      </c>
      <c r="BJ24" s="1"/>
      <c r="BK24" s="79">
        <f t="shared" si="30"/>
        <v>0</v>
      </c>
      <c r="BL24" s="1"/>
      <c r="BM24" s="79">
        <f t="shared" si="31"/>
        <v>0</v>
      </c>
      <c r="BN24" s="1"/>
      <c r="BO24" s="79">
        <f t="shared" si="32"/>
        <v>0</v>
      </c>
      <c r="BP24" s="1"/>
      <c r="BQ24" s="79">
        <f t="shared" si="33"/>
        <v>0</v>
      </c>
      <c r="BR24" s="1"/>
      <c r="BS24" s="79">
        <f t="shared" si="34"/>
        <v>0</v>
      </c>
      <c r="BT24" s="1"/>
      <c r="BU24" s="79">
        <f t="shared" si="35"/>
        <v>0</v>
      </c>
      <c r="BV24" s="1"/>
      <c r="BW24" s="79">
        <f t="shared" si="36"/>
        <v>0</v>
      </c>
      <c r="BX24" s="1"/>
      <c r="BY24" s="79">
        <f t="shared" si="37"/>
        <v>0</v>
      </c>
      <c r="BZ24" s="1"/>
      <c r="CA24" s="79">
        <f t="shared" si="38"/>
        <v>0</v>
      </c>
      <c r="CB24" s="1"/>
      <c r="CC24" s="79">
        <f t="shared" si="39"/>
        <v>0</v>
      </c>
      <c r="CD24" s="1"/>
      <c r="CE24" s="79">
        <f t="shared" si="40"/>
        <v>0</v>
      </c>
      <c r="CF24" s="1"/>
      <c r="CG24" s="79">
        <f t="shared" si="41"/>
        <v>0</v>
      </c>
      <c r="CH24" s="1"/>
      <c r="CI24" s="79">
        <f t="shared" si="42"/>
        <v>0</v>
      </c>
      <c r="CJ24" s="1"/>
      <c r="CK24" s="79">
        <f t="shared" si="43"/>
        <v>0</v>
      </c>
      <c r="CL24" s="1"/>
      <c r="CM24" s="79">
        <f t="shared" si="44"/>
        <v>0</v>
      </c>
      <c r="CN24" s="1"/>
      <c r="CO24" s="79">
        <f t="shared" si="45"/>
        <v>0</v>
      </c>
      <c r="CP24" s="1"/>
      <c r="CQ24" s="79">
        <f t="shared" si="46"/>
        <v>0</v>
      </c>
      <c r="CR24" s="1"/>
      <c r="CS24" s="79">
        <f t="shared" si="47"/>
        <v>0</v>
      </c>
      <c r="CT24" s="79"/>
      <c r="CU24" s="79">
        <f t="shared" si="48"/>
        <v>0</v>
      </c>
      <c r="CV24" s="79"/>
      <c r="CW24" s="79">
        <f t="shared" si="49"/>
        <v>0</v>
      </c>
      <c r="CX24" s="79"/>
      <c r="CY24" s="91"/>
      <c r="CZ24" s="79">
        <f t="shared" si="50"/>
        <v>0</v>
      </c>
      <c r="DA24" s="93"/>
      <c r="DB24" s="93">
        <f t="shared" si="51"/>
        <v>0</v>
      </c>
      <c r="DC24" s="96"/>
      <c r="DD24" s="93">
        <f t="shared" si="52"/>
        <v>0</v>
      </c>
      <c r="DE24" s="96"/>
      <c r="DF24" s="93">
        <f t="shared" si="53"/>
        <v>0</v>
      </c>
      <c r="DG24" s="96"/>
      <c r="DH24" s="93">
        <f t="shared" si="54"/>
        <v>0</v>
      </c>
      <c r="DI24" s="96"/>
      <c r="DJ24" s="93">
        <f t="shared" si="55"/>
        <v>0</v>
      </c>
      <c r="DK24" s="93"/>
      <c r="DL24" s="93">
        <f t="shared" si="56"/>
        <v>0</v>
      </c>
      <c r="DM24" s="100">
        <v>0.0</v>
      </c>
      <c r="DN24" s="93">
        <f t="shared" si="57"/>
        <v>0</v>
      </c>
      <c r="DO24" s="100">
        <v>0.0</v>
      </c>
      <c r="DP24" s="93">
        <f t="shared" si="58"/>
        <v>0</v>
      </c>
      <c r="DQ24" s="100">
        <v>0.0</v>
      </c>
      <c r="DR24" s="93">
        <f t="shared" si="59"/>
        <v>0</v>
      </c>
      <c r="DS24" s="100">
        <v>0.0</v>
      </c>
      <c r="DT24" s="93">
        <f t="shared" si="60"/>
        <v>0</v>
      </c>
      <c r="DU24" s="100">
        <v>0.0</v>
      </c>
      <c r="DV24" s="93">
        <f t="shared" si="61"/>
        <v>0</v>
      </c>
    </row>
    <row r="25">
      <c r="A25" s="7" t="s">
        <v>372</v>
      </c>
      <c r="B25" s="7" t="s">
        <v>373</v>
      </c>
      <c r="C25" s="76" t="str">
        <f t="array" ref="C25">_xlfn.XLOOKUP(A25,'Emp Master'!A:A,'Emp Master'!F:F)</f>
        <v>#N/A</v>
      </c>
      <c r="D25" s="76" t="str">
        <f t="array" ref="D25">_xlfn.XLOOKUP(A25,'Emp Master'!A:A,'Emp Master'!D:D)</f>
        <v>#N/A</v>
      </c>
      <c r="E25" s="76" t="str">
        <f t="shared" si="2"/>
        <v>#REF!</v>
      </c>
      <c r="F25" s="76"/>
      <c r="G25" s="79"/>
      <c r="H25" s="80"/>
      <c r="I25" s="79">
        <f t="shared" si="62"/>
        <v>0</v>
      </c>
      <c r="J25" s="80"/>
      <c r="K25" s="79">
        <f t="shared" si="4"/>
        <v>0</v>
      </c>
      <c r="L25" s="80"/>
      <c r="M25" s="79">
        <f t="shared" si="5"/>
        <v>0</v>
      </c>
      <c r="N25" s="80"/>
      <c r="O25" s="79">
        <f t="shared" si="6"/>
        <v>0</v>
      </c>
      <c r="P25" s="80"/>
      <c r="Q25" s="79">
        <f t="shared" si="7"/>
        <v>0</v>
      </c>
      <c r="R25" s="1"/>
      <c r="S25" s="79">
        <f t="shared" si="8"/>
        <v>0</v>
      </c>
      <c r="T25" s="1"/>
      <c r="U25" s="79">
        <f t="shared" si="9"/>
        <v>0</v>
      </c>
      <c r="V25" s="1"/>
      <c r="W25" s="79">
        <f t="shared" si="10"/>
        <v>0</v>
      </c>
      <c r="X25" s="1"/>
      <c r="Y25" s="79">
        <f t="shared" si="11"/>
        <v>0</v>
      </c>
      <c r="Z25" s="1"/>
      <c r="AA25" s="79">
        <f t="shared" si="12"/>
        <v>0</v>
      </c>
      <c r="AB25" s="1"/>
      <c r="AC25" s="79">
        <f t="shared" si="13"/>
        <v>0</v>
      </c>
      <c r="AD25" s="1"/>
      <c r="AE25" s="79">
        <f t="shared" si="14"/>
        <v>0</v>
      </c>
      <c r="AF25" s="1"/>
      <c r="AG25" s="79">
        <f t="shared" si="15"/>
        <v>0</v>
      </c>
      <c r="AH25" s="1"/>
      <c r="AI25" s="79">
        <f t="shared" si="63"/>
        <v>0</v>
      </c>
      <c r="AJ25" s="1"/>
      <c r="AK25" s="79">
        <f t="shared" si="17"/>
        <v>0</v>
      </c>
      <c r="AL25" s="1"/>
      <c r="AM25" s="79">
        <f t="shared" si="18"/>
        <v>0</v>
      </c>
      <c r="AN25" s="1"/>
      <c r="AO25" s="79">
        <f t="shared" si="19"/>
        <v>0</v>
      </c>
      <c r="AP25" s="1"/>
      <c r="AQ25" s="79">
        <f t="shared" si="20"/>
        <v>0</v>
      </c>
      <c r="AR25" s="1"/>
      <c r="AS25" s="79">
        <f t="shared" si="21"/>
        <v>0</v>
      </c>
      <c r="AT25" s="1"/>
      <c r="AU25" s="79">
        <f t="shared" si="22"/>
        <v>0</v>
      </c>
      <c r="AV25" s="1"/>
      <c r="AW25" s="79">
        <f t="shared" si="23"/>
        <v>0</v>
      </c>
      <c r="AX25" s="1"/>
      <c r="AY25" s="79">
        <f t="shared" si="24"/>
        <v>0</v>
      </c>
      <c r="AZ25" s="1"/>
      <c r="BA25" s="79">
        <f t="shared" si="25"/>
        <v>0</v>
      </c>
      <c r="BB25" s="1"/>
      <c r="BC25" s="79">
        <f t="shared" si="26"/>
        <v>0</v>
      </c>
      <c r="BD25" s="1"/>
      <c r="BE25" s="79">
        <f t="shared" si="27"/>
        <v>0</v>
      </c>
      <c r="BF25" s="1"/>
      <c r="BG25" s="79">
        <f t="shared" si="28"/>
        <v>0</v>
      </c>
      <c r="BH25" s="1"/>
      <c r="BI25" s="79">
        <f t="shared" si="29"/>
        <v>0</v>
      </c>
      <c r="BJ25" s="1"/>
      <c r="BK25" s="79">
        <f t="shared" si="30"/>
        <v>0</v>
      </c>
      <c r="BL25" s="1"/>
      <c r="BM25" s="79">
        <f t="shared" si="31"/>
        <v>0</v>
      </c>
      <c r="BN25" s="1"/>
      <c r="BO25" s="79">
        <f t="shared" si="32"/>
        <v>0</v>
      </c>
      <c r="BP25" s="1"/>
      <c r="BQ25" s="79">
        <f t="shared" si="33"/>
        <v>0</v>
      </c>
      <c r="BR25" s="1"/>
      <c r="BS25" s="79">
        <f t="shared" si="34"/>
        <v>0</v>
      </c>
      <c r="BT25" s="1"/>
      <c r="BU25" s="79">
        <f t="shared" si="35"/>
        <v>0</v>
      </c>
      <c r="BV25" s="1"/>
      <c r="BW25" s="79">
        <f t="shared" si="36"/>
        <v>0</v>
      </c>
      <c r="BX25" s="1"/>
      <c r="BY25" s="79">
        <f t="shared" si="37"/>
        <v>0</v>
      </c>
      <c r="BZ25" s="1"/>
      <c r="CA25" s="79">
        <f t="shared" si="38"/>
        <v>0</v>
      </c>
      <c r="CB25" s="1"/>
      <c r="CC25" s="79">
        <f t="shared" si="39"/>
        <v>0</v>
      </c>
      <c r="CD25" s="1"/>
      <c r="CE25" s="79">
        <f t="shared" si="40"/>
        <v>0</v>
      </c>
      <c r="CF25" s="1"/>
      <c r="CG25" s="79">
        <f t="shared" si="41"/>
        <v>0</v>
      </c>
      <c r="CH25" s="1"/>
      <c r="CI25" s="79">
        <f t="shared" si="42"/>
        <v>0</v>
      </c>
      <c r="CJ25" s="1"/>
      <c r="CK25" s="79">
        <f t="shared" si="43"/>
        <v>0</v>
      </c>
      <c r="CL25" s="1"/>
      <c r="CM25" s="79">
        <f t="shared" si="44"/>
        <v>0</v>
      </c>
      <c r="CN25" s="1"/>
      <c r="CO25" s="79">
        <f t="shared" si="45"/>
        <v>0</v>
      </c>
      <c r="CP25" s="1"/>
      <c r="CQ25" s="79">
        <f t="shared" si="46"/>
        <v>0</v>
      </c>
      <c r="CR25" s="1"/>
      <c r="CS25" s="79">
        <f t="shared" si="47"/>
        <v>0</v>
      </c>
      <c r="CT25" s="79"/>
      <c r="CU25" s="79">
        <f t="shared" si="48"/>
        <v>0</v>
      </c>
      <c r="CV25" s="79"/>
      <c r="CW25" s="79">
        <f t="shared" si="49"/>
        <v>0</v>
      </c>
      <c r="CX25" s="79"/>
      <c r="CY25" s="91"/>
      <c r="CZ25" s="79">
        <f t="shared" si="50"/>
        <v>0</v>
      </c>
      <c r="DA25" s="93"/>
      <c r="DB25" s="93">
        <f t="shared" si="51"/>
        <v>0</v>
      </c>
      <c r="DC25" s="96"/>
      <c r="DD25" s="93">
        <f t="shared" si="52"/>
        <v>0</v>
      </c>
      <c r="DE25" s="96"/>
      <c r="DF25" s="93">
        <f t="shared" si="53"/>
        <v>0</v>
      </c>
      <c r="DG25" s="96"/>
      <c r="DH25" s="93">
        <f t="shared" si="54"/>
        <v>0</v>
      </c>
      <c r="DI25" s="96"/>
      <c r="DJ25" s="93">
        <f t="shared" si="55"/>
        <v>0</v>
      </c>
      <c r="DK25" s="93"/>
      <c r="DL25" s="93">
        <f t="shared" si="56"/>
        <v>0</v>
      </c>
      <c r="DM25" s="100">
        <v>0.0</v>
      </c>
      <c r="DN25" s="93">
        <f t="shared" si="57"/>
        <v>0</v>
      </c>
      <c r="DO25" s="100">
        <v>0.0</v>
      </c>
      <c r="DP25" s="93">
        <f t="shared" si="58"/>
        <v>0</v>
      </c>
      <c r="DQ25" s="100">
        <v>0.0</v>
      </c>
      <c r="DR25" s="93">
        <f t="shared" si="59"/>
        <v>0</v>
      </c>
      <c r="DS25" s="100">
        <v>0.0</v>
      </c>
      <c r="DT25" s="93">
        <f t="shared" si="60"/>
        <v>0</v>
      </c>
      <c r="DU25" s="100">
        <v>0.0</v>
      </c>
      <c r="DV25" s="93">
        <f t="shared" si="61"/>
        <v>0</v>
      </c>
    </row>
    <row r="26">
      <c r="A26" s="7" t="s">
        <v>379</v>
      </c>
      <c r="B26" s="7" t="s">
        <v>243</v>
      </c>
      <c r="C26" s="76" t="str">
        <f t="array" ref="C26">_xlfn.XLOOKUP(A26,'Emp Master'!A:A,'Emp Master'!F:F)</f>
        <v>#N/A</v>
      </c>
      <c r="D26" s="76" t="str">
        <f t="array" ref="D26">_xlfn.XLOOKUP(A26,'Emp Master'!A:A,'Emp Master'!D:D)</f>
        <v>#N/A</v>
      </c>
      <c r="E26" s="76" t="str">
        <f t="shared" si="2"/>
        <v>#REF!</v>
      </c>
      <c r="F26" s="76"/>
      <c r="G26" s="79"/>
      <c r="H26" s="80"/>
      <c r="I26" s="79">
        <f t="shared" si="62"/>
        <v>0</v>
      </c>
      <c r="J26" s="80"/>
      <c r="K26" s="79">
        <f t="shared" si="4"/>
        <v>0</v>
      </c>
      <c r="L26" s="80"/>
      <c r="M26" s="79">
        <f t="shared" si="5"/>
        <v>0</v>
      </c>
      <c r="N26" s="80"/>
      <c r="O26" s="79">
        <f t="shared" si="6"/>
        <v>0</v>
      </c>
      <c r="P26" s="80"/>
      <c r="Q26" s="79">
        <f t="shared" si="7"/>
        <v>0</v>
      </c>
      <c r="R26" s="1"/>
      <c r="S26" s="79">
        <f t="shared" si="8"/>
        <v>0</v>
      </c>
      <c r="T26" s="1"/>
      <c r="U26" s="79">
        <f t="shared" si="9"/>
        <v>0</v>
      </c>
      <c r="V26" s="1"/>
      <c r="W26" s="79">
        <f t="shared" si="10"/>
        <v>0</v>
      </c>
      <c r="X26" s="1"/>
      <c r="Y26" s="79">
        <f t="shared" si="11"/>
        <v>0</v>
      </c>
      <c r="Z26" s="1"/>
      <c r="AA26" s="79">
        <f t="shared" si="12"/>
        <v>0</v>
      </c>
      <c r="AB26" s="1"/>
      <c r="AC26" s="79">
        <f t="shared" si="13"/>
        <v>0</v>
      </c>
      <c r="AD26" s="1"/>
      <c r="AE26" s="79">
        <f t="shared" si="14"/>
        <v>0</v>
      </c>
      <c r="AF26" s="1"/>
      <c r="AG26" s="79">
        <f t="shared" si="15"/>
        <v>0</v>
      </c>
      <c r="AH26" s="1"/>
      <c r="AI26" s="79">
        <f t="shared" si="63"/>
        <v>0</v>
      </c>
      <c r="AJ26" s="1"/>
      <c r="AK26" s="79">
        <f t="shared" si="17"/>
        <v>0</v>
      </c>
      <c r="AL26" s="1"/>
      <c r="AM26" s="79">
        <f t="shared" si="18"/>
        <v>0</v>
      </c>
      <c r="AN26" s="1"/>
      <c r="AO26" s="79">
        <f t="shared" si="19"/>
        <v>0</v>
      </c>
      <c r="AP26" s="1"/>
      <c r="AQ26" s="79">
        <f t="shared" si="20"/>
        <v>0</v>
      </c>
      <c r="AR26" s="1"/>
      <c r="AS26" s="79">
        <f t="shared" si="21"/>
        <v>0</v>
      </c>
      <c r="AT26" s="1"/>
      <c r="AU26" s="79">
        <f t="shared" si="22"/>
        <v>0</v>
      </c>
      <c r="AV26" s="1"/>
      <c r="AW26" s="79">
        <f t="shared" si="23"/>
        <v>0</v>
      </c>
      <c r="AX26" s="1"/>
      <c r="AY26" s="79">
        <f t="shared" si="24"/>
        <v>0</v>
      </c>
      <c r="AZ26" s="1"/>
      <c r="BA26" s="79">
        <f t="shared" si="25"/>
        <v>0</v>
      </c>
      <c r="BB26" s="1"/>
      <c r="BC26" s="79">
        <f t="shared" si="26"/>
        <v>0</v>
      </c>
      <c r="BD26" s="1"/>
      <c r="BE26" s="79">
        <f t="shared" si="27"/>
        <v>0</v>
      </c>
      <c r="BF26" s="1"/>
      <c r="BG26" s="79">
        <f t="shared" si="28"/>
        <v>0</v>
      </c>
      <c r="BH26" s="1"/>
      <c r="BI26" s="79">
        <f t="shared" si="29"/>
        <v>0</v>
      </c>
      <c r="BJ26" s="1"/>
      <c r="BK26" s="79">
        <f t="shared" si="30"/>
        <v>0</v>
      </c>
      <c r="BL26" s="1"/>
      <c r="BM26" s="79">
        <f t="shared" si="31"/>
        <v>0</v>
      </c>
      <c r="BN26" s="1"/>
      <c r="BO26" s="79">
        <f t="shared" si="32"/>
        <v>0</v>
      </c>
      <c r="BP26" s="1"/>
      <c r="BQ26" s="79">
        <f t="shared" si="33"/>
        <v>0</v>
      </c>
      <c r="BR26" s="1"/>
      <c r="BS26" s="79">
        <f t="shared" si="34"/>
        <v>0</v>
      </c>
      <c r="BT26" s="1"/>
      <c r="BU26" s="79">
        <f t="shared" si="35"/>
        <v>0</v>
      </c>
      <c r="BV26" s="1"/>
      <c r="BW26" s="79">
        <f t="shared" si="36"/>
        <v>0</v>
      </c>
      <c r="BX26" s="1"/>
      <c r="BY26" s="79">
        <f t="shared" si="37"/>
        <v>0</v>
      </c>
      <c r="BZ26" s="1"/>
      <c r="CA26" s="79">
        <f t="shared" si="38"/>
        <v>0</v>
      </c>
      <c r="CB26" s="1"/>
      <c r="CC26" s="79">
        <f t="shared" si="39"/>
        <v>0</v>
      </c>
      <c r="CD26" s="1"/>
      <c r="CE26" s="79">
        <f t="shared" si="40"/>
        <v>0</v>
      </c>
      <c r="CF26" s="1"/>
      <c r="CG26" s="79">
        <f t="shared" si="41"/>
        <v>0</v>
      </c>
      <c r="CH26" s="1"/>
      <c r="CI26" s="79">
        <f t="shared" si="42"/>
        <v>0</v>
      </c>
      <c r="CJ26" s="1"/>
      <c r="CK26" s="79">
        <f t="shared" si="43"/>
        <v>0</v>
      </c>
      <c r="CL26" s="1"/>
      <c r="CM26" s="79">
        <f t="shared" si="44"/>
        <v>0</v>
      </c>
      <c r="CN26" s="1"/>
      <c r="CO26" s="79">
        <f t="shared" si="45"/>
        <v>0</v>
      </c>
      <c r="CP26" s="1"/>
      <c r="CQ26" s="79">
        <f t="shared" si="46"/>
        <v>0</v>
      </c>
      <c r="CR26" s="1"/>
      <c r="CS26" s="79">
        <f t="shared" si="47"/>
        <v>0</v>
      </c>
      <c r="CT26" s="79"/>
      <c r="CU26" s="79">
        <f t="shared" si="48"/>
        <v>0</v>
      </c>
      <c r="CV26" s="79"/>
      <c r="CW26" s="79">
        <f t="shared" si="49"/>
        <v>0</v>
      </c>
      <c r="CX26" s="79"/>
      <c r="CY26" s="91"/>
      <c r="CZ26" s="79">
        <f t="shared" si="50"/>
        <v>0</v>
      </c>
      <c r="DA26" s="93"/>
      <c r="DB26" s="93">
        <f t="shared" si="51"/>
        <v>0</v>
      </c>
      <c r="DC26" s="96"/>
      <c r="DD26" s="93">
        <f t="shared" si="52"/>
        <v>0</v>
      </c>
      <c r="DE26" s="96"/>
      <c r="DF26" s="93">
        <f t="shared" si="53"/>
        <v>0</v>
      </c>
      <c r="DG26" s="96"/>
      <c r="DH26" s="93">
        <f t="shared" si="54"/>
        <v>0</v>
      </c>
      <c r="DI26" s="96"/>
      <c r="DJ26" s="93">
        <f t="shared" si="55"/>
        <v>0</v>
      </c>
      <c r="DK26" s="93"/>
      <c r="DL26" s="93">
        <f t="shared" si="56"/>
        <v>0</v>
      </c>
      <c r="DM26" s="100">
        <v>0.0</v>
      </c>
      <c r="DN26" s="93">
        <f t="shared" si="57"/>
        <v>0</v>
      </c>
      <c r="DO26" s="100">
        <v>0.0</v>
      </c>
      <c r="DP26" s="93">
        <f t="shared" si="58"/>
        <v>0</v>
      </c>
      <c r="DQ26" s="100">
        <v>0.0</v>
      </c>
      <c r="DR26" s="93">
        <f t="shared" si="59"/>
        <v>0</v>
      </c>
      <c r="DS26" s="100">
        <v>0.0</v>
      </c>
      <c r="DT26" s="93">
        <f t="shared" si="60"/>
        <v>0</v>
      </c>
      <c r="DU26" s="100">
        <v>0.0</v>
      </c>
      <c r="DV26" s="93">
        <f t="shared" si="61"/>
        <v>0</v>
      </c>
    </row>
    <row r="27">
      <c r="A27" s="7" t="s">
        <v>391</v>
      </c>
      <c r="B27" s="7" t="s">
        <v>392</v>
      </c>
      <c r="C27" s="76" t="str">
        <f t="array" ref="C27">_xlfn.XLOOKUP(A27,'Emp Master'!A:A,'Emp Master'!F:F)</f>
        <v>#N/A</v>
      </c>
      <c r="D27" s="76" t="str">
        <f t="array" ref="D27">_xlfn.XLOOKUP(A27,'Emp Master'!A:A,'Emp Master'!D:D)</f>
        <v>#N/A</v>
      </c>
      <c r="E27" s="76" t="str">
        <f t="shared" si="2"/>
        <v>#REF!</v>
      </c>
      <c r="F27" s="76" t="s">
        <v>70</v>
      </c>
      <c r="G27" s="79" t="s">
        <v>70</v>
      </c>
      <c r="H27" s="80" t="s">
        <v>70</v>
      </c>
      <c r="I27" s="79">
        <f t="shared" si="62"/>
        <v>0</v>
      </c>
      <c r="J27" s="80" t="s">
        <v>70</v>
      </c>
      <c r="K27" s="79">
        <f t="shared" si="4"/>
        <v>0</v>
      </c>
      <c r="L27" s="80" t="s">
        <v>70</v>
      </c>
      <c r="M27" s="79">
        <f t="shared" si="5"/>
        <v>0</v>
      </c>
      <c r="N27" s="80" t="s">
        <v>70</v>
      </c>
      <c r="O27" s="79">
        <f t="shared" si="6"/>
        <v>0</v>
      </c>
      <c r="P27" s="80" t="s">
        <v>70</v>
      </c>
      <c r="Q27" s="79">
        <f t="shared" si="7"/>
        <v>0</v>
      </c>
      <c r="R27" s="1"/>
      <c r="S27" s="79">
        <f t="shared" si="8"/>
        <v>0</v>
      </c>
      <c r="T27" s="1"/>
      <c r="U27" s="79">
        <f t="shared" si="9"/>
        <v>0</v>
      </c>
      <c r="V27" s="1"/>
      <c r="W27" s="79">
        <f t="shared" si="10"/>
        <v>0</v>
      </c>
      <c r="X27" s="1"/>
      <c r="Y27" s="79">
        <f t="shared" si="11"/>
        <v>0</v>
      </c>
      <c r="Z27" s="1"/>
      <c r="AA27" s="79">
        <f t="shared" si="12"/>
        <v>0</v>
      </c>
      <c r="AB27" s="1"/>
      <c r="AC27" s="79">
        <f t="shared" si="13"/>
        <v>0</v>
      </c>
      <c r="AD27" s="1"/>
      <c r="AE27" s="79">
        <f t="shared" si="14"/>
        <v>0</v>
      </c>
      <c r="AF27" s="1"/>
      <c r="AG27" s="79">
        <f t="shared" si="15"/>
        <v>0</v>
      </c>
      <c r="AH27" s="1"/>
      <c r="AI27" s="79">
        <f t="shared" si="63"/>
        <v>0</v>
      </c>
      <c r="AJ27" s="1"/>
      <c r="AK27" s="79">
        <f t="shared" si="17"/>
        <v>0</v>
      </c>
      <c r="AL27" s="1"/>
      <c r="AM27" s="79">
        <f t="shared" si="18"/>
        <v>0</v>
      </c>
      <c r="AN27" s="1"/>
      <c r="AO27" s="79">
        <f t="shared" si="19"/>
        <v>0</v>
      </c>
      <c r="AP27" s="1"/>
      <c r="AQ27" s="79">
        <f t="shared" si="20"/>
        <v>0</v>
      </c>
      <c r="AR27" s="1"/>
      <c r="AS27" s="79">
        <f t="shared" si="21"/>
        <v>0</v>
      </c>
      <c r="AT27" s="1"/>
      <c r="AU27" s="79">
        <f t="shared" si="22"/>
        <v>0</v>
      </c>
      <c r="AV27" s="1"/>
      <c r="AW27" s="79">
        <f t="shared" si="23"/>
        <v>0</v>
      </c>
      <c r="AX27" s="1"/>
      <c r="AY27" s="79">
        <f t="shared" si="24"/>
        <v>0</v>
      </c>
      <c r="AZ27" s="1"/>
      <c r="BA27" s="79">
        <f t="shared" si="25"/>
        <v>0</v>
      </c>
      <c r="BB27" s="1"/>
      <c r="BC27" s="79">
        <f t="shared" si="26"/>
        <v>0</v>
      </c>
      <c r="BD27" s="1"/>
      <c r="BE27" s="79">
        <f t="shared" si="27"/>
        <v>0</v>
      </c>
      <c r="BF27" s="1"/>
      <c r="BG27" s="79">
        <f t="shared" si="28"/>
        <v>0</v>
      </c>
      <c r="BH27" s="1"/>
      <c r="BI27" s="79">
        <f t="shared" si="29"/>
        <v>0</v>
      </c>
      <c r="BJ27" s="1"/>
      <c r="BK27" s="79">
        <f t="shared" si="30"/>
        <v>0</v>
      </c>
      <c r="BL27" s="1"/>
      <c r="BM27" s="79">
        <f t="shared" si="31"/>
        <v>0</v>
      </c>
      <c r="BN27" s="1"/>
      <c r="BO27" s="79">
        <f t="shared" si="32"/>
        <v>0</v>
      </c>
      <c r="BP27" s="1"/>
      <c r="BQ27" s="79">
        <f t="shared" si="33"/>
        <v>0</v>
      </c>
      <c r="BR27" s="1"/>
      <c r="BS27" s="79">
        <f t="shared" si="34"/>
        <v>0</v>
      </c>
      <c r="BT27" s="1"/>
      <c r="BU27" s="79">
        <f t="shared" si="35"/>
        <v>0</v>
      </c>
      <c r="BV27" s="1"/>
      <c r="BW27" s="79">
        <f t="shared" si="36"/>
        <v>0</v>
      </c>
      <c r="BX27" s="1"/>
      <c r="BY27" s="79">
        <f t="shared" si="37"/>
        <v>0</v>
      </c>
      <c r="BZ27" s="1"/>
      <c r="CA27" s="79">
        <f t="shared" si="38"/>
        <v>0</v>
      </c>
      <c r="CB27" s="1"/>
      <c r="CC27" s="79">
        <f t="shared" si="39"/>
        <v>0</v>
      </c>
      <c r="CD27" s="1"/>
      <c r="CE27" s="79">
        <f t="shared" si="40"/>
        <v>0</v>
      </c>
      <c r="CF27" s="1"/>
      <c r="CG27" s="79">
        <f t="shared" si="41"/>
        <v>0</v>
      </c>
      <c r="CH27" s="1"/>
      <c r="CI27" s="79">
        <f t="shared" si="42"/>
        <v>0</v>
      </c>
      <c r="CJ27" s="1"/>
      <c r="CK27" s="79">
        <f t="shared" si="43"/>
        <v>0</v>
      </c>
      <c r="CL27" s="1"/>
      <c r="CM27" s="79">
        <f t="shared" si="44"/>
        <v>0</v>
      </c>
      <c r="CN27" s="1"/>
      <c r="CO27" s="79">
        <f t="shared" si="45"/>
        <v>0</v>
      </c>
      <c r="CP27" s="1"/>
      <c r="CQ27" s="79">
        <f t="shared" si="46"/>
        <v>0</v>
      </c>
      <c r="CR27" s="1"/>
      <c r="CS27" s="79">
        <f t="shared" si="47"/>
        <v>0</v>
      </c>
      <c r="CT27" s="79"/>
      <c r="CU27" s="79">
        <f t="shared" si="48"/>
        <v>0</v>
      </c>
      <c r="CV27" s="79"/>
      <c r="CW27" s="79">
        <f t="shared" si="49"/>
        <v>0</v>
      </c>
      <c r="CX27" s="79"/>
      <c r="CY27" s="91"/>
      <c r="CZ27" s="79">
        <f t="shared" si="50"/>
        <v>0</v>
      </c>
      <c r="DA27" s="93"/>
      <c r="DB27" s="93">
        <f t="shared" si="51"/>
        <v>0</v>
      </c>
      <c r="DC27" s="96"/>
      <c r="DD27" s="93">
        <f t="shared" si="52"/>
        <v>0</v>
      </c>
      <c r="DE27" s="96"/>
      <c r="DF27" s="93">
        <f t="shared" si="53"/>
        <v>0</v>
      </c>
      <c r="DG27" s="96"/>
      <c r="DH27" s="93">
        <f t="shared" si="54"/>
        <v>0</v>
      </c>
      <c r="DI27" s="96"/>
      <c r="DJ27" s="93">
        <f t="shared" si="55"/>
        <v>0</v>
      </c>
      <c r="DK27" s="93"/>
      <c r="DL27" s="93">
        <f t="shared" si="56"/>
        <v>0</v>
      </c>
      <c r="DM27" s="100">
        <v>0.0</v>
      </c>
      <c r="DN27" s="93">
        <f t="shared" si="57"/>
        <v>0</v>
      </c>
      <c r="DO27" s="100">
        <v>0.0</v>
      </c>
      <c r="DP27" s="93">
        <f t="shared" si="58"/>
        <v>0</v>
      </c>
      <c r="DQ27" s="100">
        <v>0.0</v>
      </c>
      <c r="DR27" s="93">
        <f t="shared" si="59"/>
        <v>0</v>
      </c>
      <c r="DS27" s="100">
        <v>0.0</v>
      </c>
      <c r="DT27" s="93">
        <f t="shared" si="60"/>
        <v>0</v>
      </c>
      <c r="DU27" s="100">
        <v>0.0</v>
      </c>
      <c r="DV27" s="93">
        <f t="shared" si="61"/>
        <v>0</v>
      </c>
    </row>
    <row r="28">
      <c r="A28" s="7" t="s">
        <v>397</v>
      </c>
      <c r="B28" s="7" t="s">
        <v>398</v>
      </c>
      <c r="C28" s="76" t="str">
        <f t="array" ref="C28">_xlfn.XLOOKUP(A28,'Emp Master'!A:A,'Emp Master'!F:F)</f>
        <v>#N/A</v>
      </c>
      <c r="D28" s="76" t="str">
        <f t="array" ref="D28">_xlfn.XLOOKUP(A28,'Emp Master'!A:A,'Emp Master'!D:D)</f>
        <v>#N/A</v>
      </c>
      <c r="E28" s="76" t="str">
        <f t="shared" si="2"/>
        <v>#REF!</v>
      </c>
      <c r="F28" s="76"/>
      <c r="G28" s="79"/>
      <c r="H28" s="80"/>
      <c r="I28" s="79">
        <f t="shared" si="62"/>
        <v>0</v>
      </c>
      <c r="J28" s="80"/>
      <c r="K28" s="79">
        <f t="shared" si="4"/>
        <v>0</v>
      </c>
      <c r="L28" s="80"/>
      <c r="M28" s="79">
        <f t="shared" si="5"/>
        <v>0</v>
      </c>
      <c r="N28" s="80"/>
      <c r="O28" s="79">
        <f t="shared" si="6"/>
        <v>0</v>
      </c>
      <c r="P28" s="80"/>
      <c r="Q28" s="79">
        <f t="shared" si="7"/>
        <v>0</v>
      </c>
      <c r="R28" s="1"/>
      <c r="S28" s="79">
        <f t="shared" si="8"/>
        <v>0</v>
      </c>
      <c r="T28" s="1"/>
      <c r="U28" s="79">
        <f t="shared" si="9"/>
        <v>0</v>
      </c>
      <c r="V28" s="1"/>
      <c r="W28" s="79">
        <f t="shared" si="10"/>
        <v>0</v>
      </c>
      <c r="X28" s="1"/>
      <c r="Y28" s="79">
        <f t="shared" si="11"/>
        <v>0</v>
      </c>
      <c r="Z28" s="1"/>
      <c r="AA28" s="79">
        <f t="shared" si="12"/>
        <v>0</v>
      </c>
      <c r="AB28" s="1"/>
      <c r="AC28" s="79">
        <f t="shared" si="13"/>
        <v>0</v>
      </c>
      <c r="AD28" s="1"/>
      <c r="AE28" s="79">
        <f t="shared" si="14"/>
        <v>0</v>
      </c>
      <c r="AF28" s="1"/>
      <c r="AG28" s="79">
        <f t="shared" si="15"/>
        <v>0</v>
      </c>
      <c r="AH28" s="1"/>
      <c r="AI28" s="79">
        <f t="shared" si="63"/>
        <v>0</v>
      </c>
      <c r="AJ28" s="1"/>
      <c r="AK28" s="79">
        <f t="shared" si="17"/>
        <v>0</v>
      </c>
      <c r="AL28" s="1"/>
      <c r="AM28" s="79">
        <f t="shared" si="18"/>
        <v>0</v>
      </c>
      <c r="AN28" s="1"/>
      <c r="AO28" s="79">
        <f t="shared" si="19"/>
        <v>0</v>
      </c>
      <c r="AP28" s="1"/>
      <c r="AQ28" s="79">
        <f t="shared" si="20"/>
        <v>0</v>
      </c>
      <c r="AR28" s="1"/>
      <c r="AS28" s="79">
        <f t="shared" si="21"/>
        <v>0</v>
      </c>
      <c r="AT28" s="1"/>
      <c r="AU28" s="79">
        <f t="shared" si="22"/>
        <v>0</v>
      </c>
      <c r="AV28" s="1"/>
      <c r="AW28" s="79">
        <f t="shared" si="23"/>
        <v>0</v>
      </c>
      <c r="AX28" s="1"/>
      <c r="AY28" s="79">
        <f t="shared" si="24"/>
        <v>0</v>
      </c>
      <c r="AZ28" s="1"/>
      <c r="BA28" s="79">
        <f t="shared" si="25"/>
        <v>0</v>
      </c>
      <c r="BB28" s="1"/>
      <c r="BC28" s="79">
        <f t="shared" si="26"/>
        <v>0</v>
      </c>
      <c r="BD28" s="1"/>
      <c r="BE28" s="79">
        <f t="shared" si="27"/>
        <v>0</v>
      </c>
      <c r="BF28" s="1"/>
      <c r="BG28" s="79">
        <f t="shared" si="28"/>
        <v>0</v>
      </c>
      <c r="BH28" s="1"/>
      <c r="BI28" s="79">
        <f t="shared" si="29"/>
        <v>0</v>
      </c>
      <c r="BJ28" s="1"/>
      <c r="BK28" s="79">
        <f t="shared" si="30"/>
        <v>0</v>
      </c>
      <c r="BL28" s="1"/>
      <c r="BM28" s="79">
        <f t="shared" si="31"/>
        <v>0</v>
      </c>
      <c r="BN28" s="1"/>
      <c r="BO28" s="79">
        <f t="shared" si="32"/>
        <v>0</v>
      </c>
      <c r="BP28" s="1"/>
      <c r="BQ28" s="79">
        <f t="shared" si="33"/>
        <v>0</v>
      </c>
      <c r="BR28" s="1"/>
      <c r="BS28" s="79">
        <f t="shared" si="34"/>
        <v>0</v>
      </c>
      <c r="BT28" s="1"/>
      <c r="BU28" s="79">
        <f t="shared" si="35"/>
        <v>0</v>
      </c>
      <c r="BV28" s="1"/>
      <c r="BW28" s="79">
        <f t="shared" si="36"/>
        <v>0</v>
      </c>
      <c r="BX28" s="1"/>
      <c r="BY28" s="79">
        <f t="shared" si="37"/>
        <v>0</v>
      </c>
      <c r="BZ28" s="1"/>
      <c r="CA28" s="79">
        <f t="shared" si="38"/>
        <v>0</v>
      </c>
      <c r="CB28" s="1"/>
      <c r="CC28" s="79">
        <f t="shared" si="39"/>
        <v>0</v>
      </c>
      <c r="CD28" s="1"/>
      <c r="CE28" s="79">
        <f t="shared" si="40"/>
        <v>0</v>
      </c>
      <c r="CF28" s="1"/>
      <c r="CG28" s="79">
        <f t="shared" si="41"/>
        <v>0</v>
      </c>
      <c r="CH28" s="1"/>
      <c r="CI28" s="79">
        <f t="shared" si="42"/>
        <v>0</v>
      </c>
      <c r="CJ28" s="1"/>
      <c r="CK28" s="79">
        <f t="shared" si="43"/>
        <v>0</v>
      </c>
      <c r="CL28" s="1"/>
      <c r="CM28" s="79">
        <f t="shared" si="44"/>
        <v>0</v>
      </c>
      <c r="CN28" s="1"/>
      <c r="CO28" s="79">
        <f t="shared" si="45"/>
        <v>0</v>
      </c>
      <c r="CP28" s="1"/>
      <c r="CQ28" s="79">
        <f t="shared" si="46"/>
        <v>0</v>
      </c>
      <c r="CR28" s="1"/>
      <c r="CS28" s="79">
        <f t="shared" si="47"/>
        <v>0</v>
      </c>
      <c r="CT28" s="79"/>
      <c r="CU28" s="79">
        <f t="shared" si="48"/>
        <v>0</v>
      </c>
      <c r="CV28" s="79"/>
      <c r="CW28" s="79">
        <f t="shared" si="49"/>
        <v>0</v>
      </c>
      <c r="CX28" s="79"/>
      <c r="CY28" s="91"/>
      <c r="CZ28" s="79">
        <f t="shared" si="50"/>
        <v>0</v>
      </c>
      <c r="DA28" s="93"/>
      <c r="DB28" s="93">
        <f t="shared" si="51"/>
        <v>0</v>
      </c>
      <c r="DC28" s="96"/>
      <c r="DD28" s="93">
        <f t="shared" si="52"/>
        <v>0</v>
      </c>
      <c r="DE28" s="96"/>
      <c r="DF28" s="93">
        <f t="shared" si="53"/>
        <v>0</v>
      </c>
      <c r="DG28" s="96"/>
      <c r="DH28" s="93">
        <f t="shared" si="54"/>
        <v>0</v>
      </c>
      <c r="DI28" s="96"/>
      <c r="DJ28" s="93">
        <f t="shared" si="55"/>
        <v>0</v>
      </c>
      <c r="DK28" s="93"/>
      <c r="DL28" s="93">
        <f t="shared" si="56"/>
        <v>0</v>
      </c>
      <c r="DM28" s="100">
        <v>0.0</v>
      </c>
      <c r="DN28" s="93">
        <f t="shared" si="57"/>
        <v>0</v>
      </c>
      <c r="DO28" s="100">
        <v>0.0</v>
      </c>
      <c r="DP28" s="93">
        <f t="shared" si="58"/>
        <v>0</v>
      </c>
      <c r="DQ28" s="100">
        <v>0.0</v>
      </c>
      <c r="DR28" s="93">
        <f t="shared" si="59"/>
        <v>0</v>
      </c>
      <c r="DS28" s="100">
        <v>0.0</v>
      </c>
      <c r="DT28" s="93">
        <f t="shared" si="60"/>
        <v>0</v>
      </c>
      <c r="DU28" s="100">
        <v>0.0</v>
      </c>
      <c r="DV28" s="93">
        <f t="shared" si="61"/>
        <v>0</v>
      </c>
    </row>
    <row r="29">
      <c r="A29" s="7" t="s">
        <v>406</v>
      </c>
      <c r="B29" s="7" t="s">
        <v>407</v>
      </c>
      <c r="C29" s="76" t="str">
        <f t="array" ref="C29">_xlfn.XLOOKUP(A29,'Emp Master'!A:A,'Emp Master'!F:F)</f>
        <v>#N/A</v>
      </c>
      <c r="D29" s="76" t="str">
        <f t="array" ref="D29">_xlfn.XLOOKUP(A29,'Emp Master'!A:A,'Emp Master'!D:D)</f>
        <v>#N/A</v>
      </c>
      <c r="E29" s="76" t="str">
        <f t="shared" si="2"/>
        <v>#REF!</v>
      </c>
      <c r="F29" s="76"/>
      <c r="G29" s="79"/>
      <c r="H29" s="80"/>
      <c r="I29" s="79">
        <f t="shared" si="62"/>
        <v>0</v>
      </c>
      <c r="J29" s="80"/>
      <c r="K29" s="79">
        <f t="shared" si="4"/>
        <v>0</v>
      </c>
      <c r="L29" s="80"/>
      <c r="M29" s="79">
        <f t="shared" si="5"/>
        <v>0</v>
      </c>
      <c r="N29" s="80"/>
      <c r="O29" s="79">
        <f t="shared" si="6"/>
        <v>0</v>
      </c>
      <c r="P29" s="80"/>
      <c r="Q29" s="79">
        <f t="shared" si="7"/>
        <v>0</v>
      </c>
      <c r="R29" s="1"/>
      <c r="S29" s="79">
        <f t="shared" si="8"/>
        <v>0</v>
      </c>
      <c r="T29" s="1"/>
      <c r="U29" s="79">
        <f t="shared" si="9"/>
        <v>0</v>
      </c>
      <c r="V29" s="1"/>
      <c r="W29" s="79">
        <f t="shared" si="10"/>
        <v>0</v>
      </c>
      <c r="X29" s="1"/>
      <c r="Y29" s="79">
        <f t="shared" si="11"/>
        <v>0</v>
      </c>
      <c r="Z29" s="1"/>
      <c r="AA29" s="79">
        <f t="shared" si="12"/>
        <v>0</v>
      </c>
      <c r="AB29" s="1"/>
      <c r="AC29" s="79">
        <f t="shared" si="13"/>
        <v>0</v>
      </c>
      <c r="AD29" s="1"/>
      <c r="AE29" s="79">
        <f t="shared" si="14"/>
        <v>0</v>
      </c>
      <c r="AF29" s="1"/>
      <c r="AG29" s="79">
        <f t="shared" si="15"/>
        <v>0</v>
      </c>
      <c r="AH29" s="1"/>
      <c r="AI29" s="79">
        <f t="shared" si="63"/>
        <v>0</v>
      </c>
      <c r="AJ29" s="1"/>
      <c r="AK29" s="79">
        <f t="shared" si="17"/>
        <v>0</v>
      </c>
      <c r="AL29" s="1"/>
      <c r="AM29" s="79">
        <f t="shared" si="18"/>
        <v>0</v>
      </c>
      <c r="AN29" s="1"/>
      <c r="AO29" s="79">
        <f t="shared" si="19"/>
        <v>0</v>
      </c>
      <c r="AP29" s="1"/>
      <c r="AQ29" s="79">
        <f t="shared" si="20"/>
        <v>0</v>
      </c>
      <c r="AR29" s="1"/>
      <c r="AS29" s="79">
        <f t="shared" si="21"/>
        <v>0</v>
      </c>
      <c r="AT29" s="1"/>
      <c r="AU29" s="79">
        <f t="shared" si="22"/>
        <v>0</v>
      </c>
      <c r="AV29" s="1"/>
      <c r="AW29" s="79">
        <f t="shared" si="23"/>
        <v>0</v>
      </c>
      <c r="AX29" s="1"/>
      <c r="AY29" s="79">
        <f t="shared" si="24"/>
        <v>0</v>
      </c>
      <c r="AZ29" s="1"/>
      <c r="BA29" s="79">
        <f t="shared" si="25"/>
        <v>0</v>
      </c>
      <c r="BB29" s="1"/>
      <c r="BC29" s="79">
        <f t="shared" si="26"/>
        <v>0</v>
      </c>
      <c r="BD29" s="1"/>
      <c r="BE29" s="79">
        <f t="shared" si="27"/>
        <v>0</v>
      </c>
      <c r="BF29" s="1"/>
      <c r="BG29" s="79">
        <f t="shared" si="28"/>
        <v>0</v>
      </c>
      <c r="BH29" s="1"/>
      <c r="BI29" s="79">
        <f t="shared" si="29"/>
        <v>0</v>
      </c>
      <c r="BJ29" s="1"/>
      <c r="BK29" s="79">
        <f t="shared" si="30"/>
        <v>0</v>
      </c>
      <c r="BL29" s="1"/>
      <c r="BM29" s="79">
        <f t="shared" si="31"/>
        <v>0</v>
      </c>
      <c r="BN29" s="1"/>
      <c r="BO29" s="79">
        <f t="shared" si="32"/>
        <v>0</v>
      </c>
      <c r="BP29" s="1"/>
      <c r="BQ29" s="79">
        <f t="shared" si="33"/>
        <v>0</v>
      </c>
      <c r="BR29" s="1"/>
      <c r="BS29" s="79">
        <f t="shared" si="34"/>
        <v>0</v>
      </c>
      <c r="BT29" s="1"/>
      <c r="BU29" s="79">
        <f t="shared" si="35"/>
        <v>0</v>
      </c>
      <c r="BV29" s="1"/>
      <c r="BW29" s="79">
        <f t="shared" si="36"/>
        <v>0</v>
      </c>
      <c r="BX29" s="1"/>
      <c r="BY29" s="79">
        <f t="shared" si="37"/>
        <v>0</v>
      </c>
      <c r="BZ29" s="1"/>
      <c r="CA29" s="79">
        <f t="shared" si="38"/>
        <v>0</v>
      </c>
      <c r="CB29" s="1"/>
      <c r="CC29" s="79">
        <f t="shared" si="39"/>
        <v>0</v>
      </c>
      <c r="CD29" s="1"/>
      <c r="CE29" s="79">
        <f t="shared" si="40"/>
        <v>0</v>
      </c>
      <c r="CF29" s="1"/>
      <c r="CG29" s="79">
        <f t="shared" si="41"/>
        <v>0</v>
      </c>
      <c r="CH29" s="1"/>
      <c r="CI29" s="79">
        <f t="shared" si="42"/>
        <v>0</v>
      </c>
      <c r="CJ29" s="1"/>
      <c r="CK29" s="79">
        <f t="shared" si="43"/>
        <v>0</v>
      </c>
      <c r="CL29" s="1"/>
      <c r="CM29" s="79">
        <f t="shared" si="44"/>
        <v>0</v>
      </c>
      <c r="CN29" s="1"/>
      <c r="CO29" s="79">
        <f t="shared" si="45"/>
        <v>0</v>
      </c>
      <c r="CP29" s="1"/>
      <c r="CQ29" s="79">
        <f t="shared" si="46"/>
        <v>0</v>
      </c>
      <c r="CR29" s="1"/>
      <c r="CS29" s="79">
        <f t="shared" si="47"/>
        <v>0</v>
      </c>
      <c r="CT29" s="79"/>
      <c r="CU29" s="79">
        <f t="shared" si="48"/>
        <v>0</v>
      </c>
      <c r="CV29" s="79"/>
      <c r="CW29" s="79">
        <f t="shared" si="49"/>
        <v>0</v>
      </c>
      <c r="CX29" s="79"/>
      <c r="CY29" s="91"/>
      <c r="CZ29" s="79">
        <f t="shared" si="50"/>
        <v>0</v>
      </c>
      <c r="DA29" s="93"/>
      <c r="DB29" s="93">
        <f t="shared" si="51"/>
        <v>0</v>
      </c>
      <c r="DC29" s="96"/>
      <c r="DD29" s="93">
        <f t="shared" si="52"/>
        <v>0</v>
      </c>
      <c r="DE29" s="96"/>
      <c r="DF29" s="93">
        <f t="shared" si="53"/>
        <v>0</v>
      </c>
      <c r="DG29" s="96"/>
      <c r="DH29" s="93">
        <f t="shared" si="54"/>
        <v>0</v>
      </c>
      <c r="DI29" s="96"/>
      <c r="DJ29" s="93">
        <f t="shared" si="55"/>
        <v>0</v>
      </c>
      <c r="DK29" s="93"/>
      <c r="DL29" s="93">
        <f t="shared" si="56"/>
        <v>0</v>
      </c>
      <c r="DM29" s="100">
        <v>0.0</v>
      </c>
      <c r="DN29" s="93">
        <f t="shared" si="57"/>
        <v>0</v>
      </c>
      <c r="DO29" s="100">
        <v>0.0</v>
      </c>
      <c r="DP29" s="93">
        <f t="shared" si="58"/>
        <v>0</v>
      </c>
      <c r="DQ29" s="100">
        <v>0.0</v>
      </c>
      <c r="DR29" s="93">
        <f t="shared" si="59"/>
        <v>0</v>
      </c>
      <c r="DS29" s="100">
        <v>0.0</v>
      </c>
      <c r="DT29" s="93">
        <f t="shared" si="60"/>
        <v>0</v>
      </c>
      <c r="DU29" s="100">
        <v>0.0</v>
      </c>
      <c r="DV29" s="93">
        <f t="shared" si="61"/>
        <v>0</v>
      </c>
    </row>
    <row r="30">
      <c r="A30" s="7" t="s">
        <v>413</v>
      </c>
      <c r="B30" s="7" t="s">
        <v>414</v>
      </c>
      <c r="C30" s="76" t="str">
        <f t="array" ref="C30">_xlfn.XLOOKUP(A30,'Emp Master'!A:A,'Emp Master'!F:F)</f>
        <v>#N/A</v>
      </c>
      <c r="D30" s="76" t="str">
        <f t="array" ref="D30">_xlfn.XLOOKUP(A30,'Emp Master'!A:A,'Emp Master'!D:D)</f>
        <v>#N/A</v>
      </c>
      <c r="E30" s="76" t="str">
        <f t="shared" si="2"/>
        <v>#REF!</v>
      </c>
      <c r="F30" s="76" t="s">
        <v>70</v>
      </c>
      <c r="G30" s="79" t="s">
        <v>70</v>
      </c>
      <c r="H30" s="80" t="s">
        <v>70</v>
      </c>
      <c r="I30" s="79">
        <f t="shared" si="62"/>
        <v>0</v>
      </c>
      <c r="J30" s="80"/>
      <c r="K30" s="79">
        <f t="shared" si="4"/>
        <v>0</v>
      </c>
      <c r="L30" s="142"/>
      <c r="M30" s="79">
        <f t="shared" si="5"/>
        <v>0</v>
      </c>
      <c r="N30" s="142"/>
      <c r="O30" s="79">
        <f t="shared" si="6"/>
        <v>0</v>
      </c>
      <c r="P30" s="142"/>
      <c r="Q30" s="79">
        <f t="shared" si="7"/>
        <v>0</v>
      </c>
      <c r="R30" s="1"/>
      <c r="S30" s="79">
        <f t="shared" si="8"/>
        <v>0</v>
      </c>
      <c r="T30" s="1"/>
      <c r="U30" s="79">
        <f t="shared" si="9"/>
        <v>0</v>
      </c>
      <c r="V30" s="1"/>
      <c r="W30" s="79">
        <f t="shared" si="10"/>
        <v>0</v>
      </c>
      <c r="X30" s="1"/>
      <c r="Y30" s="79">
        <f t="shared" si="11"/>
        <v>0</v>
      </c>
      <c r="Z30" s="1"/>
      <c r="AA30" s="79">
        <f t="shared" si="12"/>
        <v>0</v>
      </c>
      <c r="AB30" s="1"/>
      <c r="AC30" s="79">
        <f t="shared" si="13"/>
        <v>0</v>
      </c>
      <c r="AD30" s="1"/>
      <c r="AE30" s="79">
        <f t="shared" si="14"/>
        <v>0</v>
      </c>
      <c r="AF30" s="1"/>
      <c r="AG30" s="79">
        <f t="shared" si="15"/>
        <v>0</v>
      </c>
      <c r="AH30" s="1"/>
      <c r="AI30" s="79">
        <f t="shared" si="63"/>
        <v>0</v>
      </c>
      <c r="AJ30" s="1"/>
      <c r="AK30" s="79">
        <f t="shared" si="17"/>
        <v>0</v>
      </c>
      <c r="AL30" s="1"/>
      <c r="AM30" s="79">
        <f t="shared" si="18"/>
        <v>0</v>
      </c>
      <c r="AN30" s="1"/>
      <c r="AO30" s="79">
        <f t="shared" si="19"/>
        <v>0</v>
      </c>
      <c r="AP30" s="1"/>
      <c r="AQ30" s="79">
        <f t="shared" si="20"/>
        <v>0</v>
      </c>
      <c r="AR30" s="1"/>
      <c r="AS30" s="79">
        <f t="shared" si="21"/>
        <v>0</v>
      </c>
      <c r="AT30" s="1"/>
      <c r="AU30" s="79">
        <f t="shared" si="22"/>
        <v>0</v>
      </c>
      <c r="AV30" s="1"/>
      <c r="AW30" s="79">
        <f t="shared" si="23"/>
        <v>0</v>
      </c>
      <c r="AX30" s="1"/>
      <c r="AY30" s="79">
        <f t="shared" si="24"/>
        <v>0</v>
      </c>
      <c r="AZ30" s="1"/>
      <c r="BA30" s="79">
        <f t="shared" si="25"/>
        <v>0</v>
      </c>
      <c r="BB30" s="1"/>
      <c r="BC30" s="79">
        <f t="shared" si="26"/>
        <v>0</v>
      </c>
      <c r="BD30" s="1"/>
      <c r="BE30" s="79">
        <f t="shared" si="27"/>
        <v>0</v>
      </c>
      <c r="BF30" s="1"/>
      <c r="BG30" s="79">
        <f t="shared" si="28"/>
        <v>0</v>
      </c>
      <c r="BH30" s="1"/>
      <c r="BI30" s="79">
        <f t="shared" si="29"/>
        <v>0</v>
      </c>
      <c r="BJ30" s="1"/>
      <c r="BK30" s="79">
        <f t="shared" si="30"/>
        <v>0</v>
      </c>
      <c r="BL30" s="1"/>
      <c r="BM30" s="79">
        <f t="shared" si="31"/>
        <v>0</v>
      </c>
      <c r="BN30" s="1"/>
      <c r="BO30" s="79">
        <f t="shared" si="32"/>
        <v>0</v>
      </c>
      <c r="BP30" s="1"/>
      <c r="BQ30" s="79">
        <f t="shared" si="33"/>
        <v>0</v>
      </c>
      <c r="BR30" s="1"/>
      <c r="BS30" s="79">
        <f t="shared" si="34"/>
        <v>0</v>
      </c>
      <c r="BT30" s="1"/>
      <c r="BU30" s="79">
        <f t="shared" si="35"/>
        <v>0</v>
      </c>
      <c r="BV30" s="1"/>
      <c r="BW30" s="79">
        <f t="shared" si="36"/>
        <v>0</v>
      </c>
      <c r="BX30" s="1"/>
      <c r="BY30" s="79">
        <f t="shared" si="37"/>
        <v>0</v>
      </c>
      <c r="BZ30" s="1"/>
      <c r="CA30" s="79">
        <f t="shared" si="38"/>
        <v>0</v>
      </c>
      <c r="CB30" s="1"/>
      <c r="CC30" s="79">
        <f t="shared" si="39"/>
        <v>0</v>
      </c>
      <c r="CD30" s="1"/>
      <c r="CE30" s="79">
        <f t="shared" si="40"/>
        <v>0</v>
      </c>
      <c r="CF30" s="1"/>
      <c r="CG30" s="79">
        <f t="shared" si="41"/>
        <v>0</v>
      </c>
      <c r="CH30" s="1"/>
      <c r="CI30" s="79">
        <f t="shared" si="42"/>
        <v>0</v>
      </c>
      <c r="CJ30" s="1"/>
      <c r="CK30" s="79">
        <f t="shared" si="43"/>
        <v>0</v>
      </c>
      <c r="CL30" s="1"/>
      <c r="CM30" s="79">
        <f t="shared" si="44"/>
        <v>0</v>
      </c>
      <c r="CN30" s="1"/>
      <c r="CO30" s="79">
        <f t="shared" si="45"/>
        <v>0</v>
      </c>
      <c r="CP30" s="1"/>
      <c r="CQ30" s="79">
        <f t="shared" si="46"/>
        <v>0</v>
      </c>
      <c r="CR30" s="1"/>
      <c r="CS30" s="79">
        <f t="shared" si="47"/>
        <v>0</v>
      </c>
      <c r="CT30" s="79"/>
      <c r="CU30" s="79">
        <f t="shared" si="48"/>
        <v>0</v>
      </c>
      <c r="CV30" s="79"/>
      <c r="CW30" s="79">
        <f t="shared" si="49"/>
        <v>0</v>
      </c>
      <c r="CX30" s="79"/>
      <c r="CY30" s="91"/>
      <c r="CZ30" s="79">
        <f t="shared" si="50"/>
        <v>0</v>
      </c>
      <c r="DA30" s="93"/>
      <c r="DB30" s="93">
        <f t="shared" si="51"/>
        <v>0</v>
      </c>
      <c r="DC30" s="96"/>
      <c r="DD30" s="93">
        <f t="shared" si="52"/>
        <v>0</v>
      </c>
      <c r="DE30" s="96"/>
      <c r="DF30" s="93">
        <f t="shared" si="53"/>
        <v>0</v>
      </c>
      <c r="DG30" s="96"/>
      <c r="DH30" s="93">
        <f t="shared" si="54"/>
        <v>0</v>
      </c>
      <c r="DI30" s="96"/>
      <c r="DJ30" s="93">
        <f t="shared" si="55"/>
        <v>0</v>
      </c>
      <c r="DK30" s="93"/>
      <c r="DL30" s="93">
        <f t="shared" si="56"/>
        <v>0</v>
      </c>
      <c r="DM30" s="100">
        <v>0.0</v>
      </c>
      <c r="DN30" s="93">
        <f t="shared" si="57"/>
        <v>0</v>
      </c>
      <c r="DO30" s="100">
        <v>0.0</v>
      </c>
      <c r="DP30" s="93">
        <f t="shared" si="58"/>
        <v>0</v>
      </c>
      <c r="DQ30" s="100">
        <v>0.0</v>
      </c>
      <c r="DR30" s="93">
        <f t="shared" si="59"/>
        <v>0</v>
      </c>
      <c r="DS30" s="100">
        <v>0.0</v>
      </c>
      <c r="DT30" s="93">
        <f t="shared" si="60"/>
        <v>0</v>
      </c>
      <c r="DU30" s="100">
        <v>0.0</v>
      </c>
      <c r="DV30" s="93">
        <f t="shared" si="61"/>
        <v>0</v>
      </c>
    </row>
    <row r="31">
      <c r="A31" s="7" t="s">
        <v>424</v>
      </c>
      <c r="B31" s="7" t="s">
        <v>425</v>
      </c>
      <c r="C31" s="76" t="str">
        <f t="array" ref="C31">_xlfn.XLOOKUP(A31,'Emp Master'!A:A,'Emp Master'!F:F)</f>
        <v>#N/A</v>
      </c>
      <c r="D31" s="76" t="str">
        <f t="array" ref="D31">_xlfn.XLOOKUP(A31,'Emp Master'!A:A,'Emp Master'!D:D)</f>
        <v>#N/A</v>
      </c>
      <c r="E31" s="76" t="str">
        <f t="shared" si="2"/>
        <v>#REF!</v>
      </c>
      <c r="F31" s="76"/>
      <c r="G31" s="79"/>
      <c r="H31" s="80"/>
      <c r="I31" s="79">
        <f t="shared" si="62"/>
        <v>0</v>
      </c>
      <c r="J31" s="80"/>
      <c r="K31" s="79">
        <f t="shared" si="4"/>
        <v>0</v>
      </c>
      <c r="L31" s="142"/>
      <c r="M31" s="79">
        <f t="shared" si="5"/>
        <v>0</v>
      </c>
      <c r="N31" s="142"/>
      <c r="O31" s="79">
        <f t="shared" si="6"/>
        <v>0</v>
      </c>
      <c r="P31" s="142"/>
      <c r="Q31" s="79">
        <f t="shared" si="7"/>
        <v>0</v>
      </c>
      <c r="R31" s="1"/>
      <c r="S31" s="79">
        <f t="shared" si="8"/>
        <v>0</v>
      </c>
      <c r="T31" s="1"/>
      <c r="U31" s="79">
        <f t="shared" si="9"/>
        <v>0</v>
      </c>
      <c r="V31" s="1"/>
      <c r="W31" s="79">
        <f t="shared" si="10"/>
        <v>0</v>
      </c>
      <c r="X31" s="1"/>
      <c r="Y31" s="79">
        <f t="shared" si="11"/>
        <v>0</v>
      </c>
      <c r="Z31" s="1"/>
      <c r="AA31" s="79">
        <f t="shared" si="12"/>
        <v>0</v>
      </c>
      <c r="AB31" s="1"/>
      <c r="AC31" s="79">
        <f t="shared" si="13"/>
        <v>0</v>
      </c>
      <c r="AD31" s="1"/>
      <c r="AE31" s="79">
        <f t="shared" si="14"/>
        <v>0</v>
      </c>
      <c r="AF31" s="1"/>
      <c r="AG31" s="79">
        <f t="shared" si="15"/>
        <v>0</v>
      </c>
      <c r="AH31" s="1"/>
      <c r="AI31" s="79">
        <f t="shared" si="63"/>
        <v>0</v>
      </c>
      <c r="AJ31" s="1"/>
      <c r="AK31" s="79">
        <f t="shared" si="17"/>
        <v>0</v>
      </c>
      <c r="AL31" s="1"/>
      <c r="AM31" s="79">
        <f t="shared" si="18"/>
        <v>0</v>
      </c>
      <c r="AN31" s="1"/>
      <c r="AO31" s="79">
        <f t="shared" si="19"/>
        <v>0</v>
      </c>
      <c r="AP31" s="1"/>
      <c r="AQ31" s="79">
        <f t="shared" si="20"/>
        <v>0</v>
      </c>
      <c r="AR31" s="1"/>
      <c r="AS31" s="79">
        <f t="shared" si="21"/>
        <v>0</v>
      </c>
      <c r="AT31" s="1"/>
      <c r="AU31" s="79">
        <f t="shared" si="22"/>
        <v>0</v>
      </c>
      <c r="AV31" s="1"/>
      <c r="AW31" s="79">
        <f t="shared" si="23"/>
        <v>0</v>
      </c>
      <c r="AX31" s="1"/>
      <c r="AY31" s="79">
        <f t="shared" si="24"/>
        <v>0</v>
      </c>
      <c r="AZ31" s="1"/>
      <c r="BA31" s="79">
        <f t="shared" si="25"/>
        <v>0</v>
      </c>
      <c r="BB31" s="1"/>
      <c r="BC31" s="79">
        <f t="shared" si="26"/>
        <v>0</v>
      </c>
      <c r="BD31" s="1"/>
      <c r="BE31" s="79">
        <f t="shared" si="27"/>
        <v>0</v>
      </c>
      <c r="BF31" s="1"/>
      <c r="BG31" s="79">
        <f t="shared" si="28"/>
        <v>0</v>
      </c>
      <c r="BH31" s="1"/>
      <c r="BI31" s="79">
        <f t="shared" si="29"/>
        <v>0</v>
      </c>
      <c r="BJ31" s="1"/>
      <c r="BK31" s="79">
        <f t="shared" si="30"/>
        <v>0</v>
      </c>
      <c r="BL31" s="1"/>
      <c r="BM31" s="79">
        <f t="shared" si="31"/>
        <v>0</v>
      </c>
      <c r="BN31" s="1"/>
      <c r="BO31" s="79">
        <f t="shared" si="32"/>
        <v>0</v>
      </c>
      <c r="BP31" s="1"/>
      <c r="BQ31" s="79">
        <f t="shared" si="33"/>
        <v>0</v>
      </c>
      <c r="BR31" s="1"/>
      <c r="BS31" s="79">
        <f t="shared" si="34"/>
        <v>0</v>
      </c>
      <c r="BT31" s="1"/>
      <c r="BU31" s="79">
        <f t="shared" si="35"/>
        <v>0</v>
      </c>
      <c r="BV31" s="1"/>
      <c r="BW31" s="79">
        <f t="shared" si="36"/>
        <v>0</v>
      </c>
      <c r="BX31" s="1"/>
      <c r="BY31" s="79">
        <f t="shared" si="37"/>
        <v>0</v>
      </c>
      <c r="BZ31" s="1"/>
      <c r="CA31" s="79">
        <f t="shared" si="38"/>
        <v>0</v>
      </c>
      <c r="CB31" s="1"/>
      <c r="CC31" s="79">
        <f t="shared" si="39"/>
        <v>0</v>
      </c>
      <c r="CD31" s="1"/>
      <c r="CE31" s="79">
        <f t="shared" si="40"/>
        <v>0</v>
      </c>
      <c r="CF31" s="1"/>
      <c r="CG31" s="79">
        <f t="shared" si="41"/>
        <v>0</v>
      </c>
      <c r="CH31" s="1"/>
      <c r="CI31" s="79">
        <f t="shared" si="42"/>
        <v>0</v>
      </c>
      <c r="CJ31" s="1"/>
      <c r="CK31" s="79">
        <f t="shared" si="43"/>
        <v>0</v>
      </c>
      <c r="CL31" s="1"/>
      <c r="CM31" s="79">
        <f t="shared" si="44"/>
        <v>0</v>
      </c>
      <c r="CN31" s="1"/>
      <c r="CO31" s="79">
        <f t="shared" si="45"/>
        <v>0</v>
      </c>
      <c r="CP31" s="1"/>
      <c r="CQ31" s="79">
        <f t="shared" si="46"/>
        <v>0</v>
      </c>
      <c r="CR31" s="1"/>
      <c r="CS31" s="79">
        <f t="shared" si="47"/>
        <v>0</v>
      </c>
      <c r="CT31" s="79"/>
      <c r="CU31" s="79">
        <f t="shared" si="48"/>
        <v>0</v>
      </c>
      <c r="CV31" s="79"/>
      <c r="CW31" s="79">
        <f t="shared" si="49"/>
        <v>0</v>
      </c>
      <c r="CX31" s="79"/>
      <c r="CY31" s="91"/>
      <c r="CZ31" s="79">
        <f t="shared" si="50"/>
        <v>0</v>
      </c>
      <c r="DA31" s="93"/>
      <c r="DB31" s="93">
        <f t="shared" si="51"/>
        <v>0</v>
      </c>
      <c r="DC31" s="96"/>
      <c r="DD31" s="93">
        <f t="shared" si="52"/>
        <v>0</v>
      </c>
      <c r="DE31" s="96"/>
      <c r="DF31" s="93">
        <f t="shared" si="53"/>
        <v>0</v>
      </c>
      <c r="DG31" s="96"/>
      <c r="DH31" s="93">
        <f t="shared" si="54"/>
        <v>0</v>
      </c>
      <c r="DI31" s="96"/>
      <c r="DJ31" s="93">
        <f t="shared" si="55"/>
        <v>0</v>
      </c>
      <c r="DK31" s="93"/>
      <c r="DL31" s="93">
        <f t="shared" si="56"/>
        <v>0</v>
      </c>
      <c r="DM31" s="100">
        <v>0.0</v>
      </c>
      <c r="DN31" s="93">
        <f t="shared" si="57"/>
        <v>0</v>
      </c>
      <c r="DO31" s="100">
        <v>0.0</v>
      </c>
      <c r="DP31" s="93">
        <f t="shared" si="58"/>
        <v>0</v>
      </c>
      <c r="DQ31" s="100">
        <v>0.0</v>
      </c>
      <c r="DR31" s="93">
        <f t="shared" si="59"/>
        <v>0</v>
      </c>
      <c r="DS31" s="100">
        <v>0.0</v>
      </c>
      <c r="DT31" s="93">
        <f t="shared" si="60"/>
        <v>0</v>
      </c>
      <c r="DU31" s="100">
        <v>0.0</v>
      </c>
      <c r="DV31" s="93">
        <f t="shared" si="61"/>
        <v>0</v>
      </c>
    </row>
    <row r="32">
      <c r="A32" s="7" t="s">
        <v>434</v>
      </c>
      <c r="B32" s="7" t="s">
        <v>435</v>
      </c>
      <c r="C32" s="76" t="str">
        <f t="array" ref="C32">_xlfn.XLOOKUP(A32,'Emp Master'!A:A,'Emp Master'!F:F)</f>
        <v>#N/A</v>
      </c>
      <c r="D32" s="76" t="str">
        <f t="array" ref="D32">_xlfn.XLOOKUP(A32,'Emp Master'!A:A,'Emp Master'!D:D)</f>
        <v>#N/A</v>
      </c>
      <c r="E32" s="76" t="str">
        <f t="shared" si="2"/>
        <v>#REF!</v>
      </c>
      <c r="F32" s="76"/>
      <c r="G32" s="79"/>
      <c r="H32" s="80"/>
      <c r="I32" s="79">
        <f t="shared" si="62"/>
        <v>0</v>
      </c>
      <c r="J32" s="80"/>
      <c r="K32" s="79">
        <f t="shared" si="4"/>
        <v>0</v>
      </c>
      <c r="L32" s="142"/>
      <c r="M32" s="79">
        <f t="shared" si="5"/>
        <v>0</v>
      </c>
      <c r="N32" s="142"/>
      <c r="O32" s="79">
        <f t="shared" si="6"/>
        <v>0</v>
      </c>
      <c r="P32" s="142"/>
      <c r="Q32" s="79">
        <f t="shared" si="7"/>
        <v>0</v>
      </c>
      <c r="R32" s="1"/>
      <c r="S32" s="79">
        <f t="shared" si="8"/>
        <v>0</v>
      </c>
      <c r="T32" s="1"/>
      <c r="U32" s="79">
        <f t="shared" si="9"/>
        <v>0</v>
      </c>
      <c r="V32" s="1"/>
      <c r="W32" s="79">
        <f t="shared" si="10"/>
        <v>0</v>
      </c>
      <c r="X32" s="1"/>
      <c r="Y32" s="79">
        <f t="shared" si="11"/>
        <v>0</v>
      </c>
      <c r="Z32" s="1"/>
      <c r="AA32" s="79">
        <f t="shared" si="12"/>
        <v>0</v>
      </c>
      <c r="AB32" s="1"/>
      <c r="AC32" s="79">
        <f t="shared" si="13"/>
        <v>0</v>
      </c>
      <c r="AD32" s="1"/>
      <c r="AE32" s="79">
        <f t="shared" si="14"/>
        <v>0</v>
      </c>
      <c r="AF32" s="1"/>
      <c r="AG32" s="79">
        <f t="shared" si="15"/>
        <v>0</v>
      </c>
      <c r="AH32" s="1"/>
      <c r="AI32" s="79">
        <f t="shared" si="63"/>
        <v>0</v>
      </c>
      <c r="AJ32" s="1"/>
      <c r="AK32" s="79">
        <f t="shared" si="17"/>
        <v>0</v>
      </c>
      <c r="AL32" s="1"/>
      <c r="AM32" s="79">
        <f t="shared" si="18"/>
        <v>0</v>
      </c>
      <c r="AN32" s="1"/>
      <c r="AO32" s="79">
        <f t="shared" si="19"/>
        <v>0</v>
      </c>
      <c r="AP32" s="1"/>
      <c r="AQ32" s="79">
        <f t="shared" si="20"/>
        <v>0</v>
      </c>
      <c r="AR32" s="1"/>
      <c r="AS32" s="79">
        <f t="shared" si="21"/>
        <v>0</v>
      </c>
      <c r="AT32" s="1"/>
      <c r="AU32" s="79">
        <f t="shared" si="22"/>
        <v>0</v>
      </c>
      <c r="AV32" s="1"/>
      <c r="AW32" s="79">
        <f t="shared" si="23"/>
        <v>0</v>
      </c>
      <c r="AX32" s="1"/>
      <c r="AY32" s="79">
        <f t="shared" si="24"/>
        <v>0</v>
      </c>
      <c r="AZ32" s="1"/>
      <c r="BA32" s="79">
        <f t="shared" si="25"/>
        <v>0</v>
      </c>
      <c r="BB32" s="1"/>
      <c r="BC32" s="79">
        <f t="shared" si="26"/>
        <v>0</v>
      </c>
      <c r="BD32" s="1"/>
      <c r="BE32" s="79">
        <f t="shared" si="27"/>
        <v>0</v>
      </c>
      <c r="BF32" s="1"/>
      <c r="BG32" s="79">
        <f t="shared" si="28"/>
        <v>0</v>
      </c>
      <c r="BH32" s="1"/>
      <c r="BI32" s="79">
        <f t="shared" si="29"/>
        <v>0</v>
      </c>
      <c r="BJ32" s="1"/>
      <c r="BK32" s="79">
        <f t="shared" si="30"/>
        <v>0</v>
      </c>
      <c r="BL32" s="1"/>
      <c r="BM32" s="79">
        <f t="shared" si="31"/>
        <v>0</v>
      </c>
      <c r="BN32" s="1"/>
      <c r="BO32" s="79">
        <f t="shared" si="32"/>
        <v>0</v>
      </c>
      <c r="BP32" s="1"/>
      <c r="BQ32" s="79">
        <f t="shared" si="33"/>
        <v>0</v>
      </c>
      <c r="BR32" s="1"/>
      <c r="BS32" s="79">
        <f t="shared" si="34"/>
        <v>0</v>
      </c>
      <c r="BT32" s="1"/>
      <c r="BU32" s="79">
        <f t="shared" si="35"/>
        <v>0</v>
      </c>
      <c r="BV32" s="1"/>
      <c r="BW32" s="79">
        <f t="shared" si="36"/>
        <v>0</v>
      </c>
      <c r="BX32" s="1"/>
      <c r="BY32" s="79">
        <f t="shared" si="37"/>
        <v>0</v>
      </c>
      <c r="BZ32" s="1"/>
      <c r="CA32" s="79">
        <f t="shared" si="38"/>
        <v>0</v>
      </c>
      <c r="CB32" s="1"/>
      <c r="CC32" s="79">
        <f t="shared" si="39"/>
        <v>0</v>
      </c>
      <c r="CD32" s="1"/>
      <c r="CE32" s="79">
        <f t="shared" si="40"/>
        <v>0</v>
      </c>
      <c r="CF32" s="1"/>
      <c r="CG32" s="79">
        <f t="shared" si="41"/>
        <v>0</v>
      </c>
      <c r="CH32" s="1"/>
      <c r="CI32" s="79">
        <f t="shared" si="42"/>
        <v>0</v>
      </c>
      <c r="CJ32" s="1"/>
      <c r="CK32" s="79">
        <f t="shared" si="43"/>
        <v>0</v>
      </c>
      <c r="CL32" s="1"/>
      <c r="CM32" s="79">
        <f t="shared" si="44"/>
        <v>0</v>
      </c>
      <c r="CN32" s="1"/>
      <c r="CO32" s="79">
        <f t="shared" si="45"/>
        <v>0</v>
      </c>
      <c r="CP32" s="1"/>
      <c r="CQ32" s="79">
        <f t="shared" si="46"/>
        <v>0</v>
      </c>
      <c r="CR32" s="1"/>
      <c r="CS32" s="79">
        <f t="shared" si="47"/>
        <v>0</v>
      </c>
      <c r="CT32" s="79"/>
      <c r="CU32" s="79">
        <f t="shared" si="48"/>
        <v>0</v>
      </c>
      <c r="CV32" s="79"/>
      <c r="CW32" s="79">
        <f t="shared" si="49"/>
        <v>0</v>
      </c>
      <c r="CX32" s="79"/>
      <c r="CY32" s="91"/>
      <c r="CZ32" s="79">
        <f t="shared" si="50"/>
        <v>0</v>
      </c>
      <c r="DA32" s="93"/>
      <c r="DB32" s="93">
        <f t="shared" si="51"/>
        <v>0</v>
      </c>
      <c r="DC32" s="96"/>
      <c r="DD32" s="93">
        <f t="shared" si="52"/>
        <v>0</v>
      </c>
      <c r="DE32" s="96"/>
      <c r="DF32" s="93">
        <f t="shared" si="53"/>
        <v>0</v>
      </c>
      <c r="DG32" s="96"/>
      <c r="DH32" s="93">
        <f t="shared" si="54"/>
        <v>0</v>
      </c>
      <c r="DI32" s="96"/>
      <c r="DJ32" s="93">
        <f t="shared" si="55"/>
        <v>0</v>
      </c>
      <c r="DK32" s="93"/>
      <c r="DL32" s="93">
        <f t="shared" si="56"/>
        <v>0</v>
      </c>
      <c r="DM32" s="100">
        <v>0.0</v>
      </c>
      <c r="DN32" s="93">
        <f t="shared" si="57"/>
        <v>0</v>
      </c>
      <c r="DO32" s="100">
        <v>0.0</v>
      </c>
      <c r="DP32" s="93">
        <f t="shared" si="58"/>
        <v>0</v>
      </c>
      <c r="DQ32" s="100">
        <v>0.0</v>
      </c>
      <c r="DR32" s="93">
        <f t="shared" si="59"/>
        <v>0</v>
      </c>
      <c r="DS32" s="100">
        <v>0.0</v>
      </c>
      <c r="DT32" s="93">
        <f t="shared" si="60"/>
        <v>0</v>
      </c>
      <c r="DU32" s="100">
        <v>0.0</v>
      </c>
      <c r="DV32" s="93">
        <f t="shared" si="61"/>
        <v>0</v>
      </c>
    </row>
    <row r="33">
      <c r="A33" s="7" t="s">
        <v>441</v>
      </c>
      <c r="B33" s="7" t="s">
        <v>442</v>
      </c>
      <c r="C33" s="76" t="str">
        <f t="array" ref="C33">_xlfn.XLOOKUP(A33,'Emp Master'!A:A,'Emp Master'!F:F)</f>
        <v>#N/A</v>
      </c>
      <c r="D33" s="76" t="str">
        <f t="array" ref="D33">_xlfn.XLOOKUP(A33,'Emp Master'!A:A,'Emp Master'!D:D)</f>
        <v>#N/A</v>
      </c>
      <c r="E33" s="76" t="str">
        <f t="shared" si="2"/>
        <v>#REF!</v>
      </c>
      <c r="F33" s="76"/>
      <c r="G33" s="79"/>
      <c r="H33" s="80"/>
      <c r="I33" s="79">
        <f t="shared" si="62"/>
        <v>0</v>
      </c>
      <c r="J33" s="80"/>
      <c r="K33" s="79">
        <f t="shared" si="4"/>
        <v>0</v>
      </c>
      <c r="L33" s="142"/>
      <c r="M33" s="79">
        <f t="shared" si="5"/>
        <v>0</v>
      </c>
      <c r="N33" s="142"/>
      <c r="O33" s="79">
        <f t="shared" si="6"/>
        <v>0</v>
      </c>
      <c r="P33" s="142"/>
      <c r="Q33" s="79">
        <f t="shared" si="7"/>
        <v>0</v>
      </c>
      <c r="R33" s="1"/>
      <c r="S33" s="79">
        <f t="shared" si="8"/>
        <v>0</v>
      </c>
      <c r="T33" s="1"/>
      <c r="U33" s="79">
        <f t="shared" si="9"/>
        <v>0</v>
      </c>
      <c r="V33" s="1"/>
      <c r="W33" s="79">
        <f t="shared" si="10"/>
        <v>0</v>
      </c>
      <c r="X33" s="1"/>
      <c r="Y33" s="79">
        <f t="shared" si="11"/>
        <v>0</v>
      </c>
      <c r="Z33" s="1"/>
      <c r="AA33" s="79">
        <f t="shared" si="12"/>
        <v>0</v>
      </c>
      <c r="AB33" s="1"/>
      <c r="AC33" s="79">
        <f t="shared" si="13"/>
        <v>0</v>
      </c>
      <c r="AD33" s="1"/>
      <c r="AE33" s="79">
        <f t="shared" si="14"/>
        <v>0</v>
      </c>
      <c r="AF33" s="1"/>
      <c r="AG33" s="79">
        <f t="shared" si="15"/>
        <v>0</v>
      </c>
      <c r="AH33" s="1"/>
      <c r="AI33" s="79">
        <f t="shared" si="63"/>
        <v>0</v>
      </c>
      <c r="AJ33" s="1"/>
      <c r="AK33" s="79">
        <f t="shared" si="17"/>
        <v>0</v>
      </c>
      <c r="AL33" s="1"/>
      <c r="AM33" s="79">
        <f t="shared" si="18"/>
        <v>0</v>
      </c>
      <c r="AN33" s="1"/>
      <c r="AO33" s="79">
        <f t="shared" si="19"/>
        <v>0</v>
      </c>
      <c r="AP33" s="1"/>
      <c r="AQ33" s="79">
        <f t="shared" si="20"/>
        <v>0</v>
      </c>
      <c r="AR33" s="1"/>
      <c r="AS33" s="79">
        <f t="shared" si="21"/>
        <v>0</v>
      </c>
      <c r="AT33" s="1"/>
      <c r="AU33" s="79">
        <f t="shared" si="22"/>
        <v>0</v>
      </c>
      <c r="AV33" s="1"/>
      <c r="AW33" s="79">
        <f t="shared" si="23"/>
        <v>0</v>
      </c>
      <c r="AX33" s="1"/>
      <c r="AY33" s="79">
        <f t="shared" si="24"/>
        <v>0</v>
      </c>
      <c r="AZ33" s="1"/>
      <c r="BA33" s="79">
        <f t="shared" si="25"/>
        <v>0</v>
      </c>
      <c r="BB33" s="1"/>
      <c r="BC33" s="79">
        <f t="shared" si="26"/>
        <v>0</v>
      </c>
      <c r="BD33" s="1"/>
      <c r="BE33" s="79">
        <f t="shared" si="27"/>
        <v>0</v>
      </c>
      <c r="BF33" s="1"/>
      <c r="BG33" s="79">
        <f t="shared" si="28"/>
        <v>0</v>
      </c>
      <c r="BH33" s="1"/>
      <c r="BI33" s="79">
        <f t="shared" si="29"/>
        <v>0</v>
      </c>
      <c r="BJ33" s="1"/>
      <c r="BK33" s="79">
        <f t="shared" si="30"/>
        <v>0</v>
      </c>
      <c r="BL33" s="1"/>
      <c r="BM33" s="79">
        <f t="shared" si="31"/>
        <v>0</v>
      </c>
      <c r="BN33" s="1"/>
      <c r="BO33" s="79">
        <f t="shared" si="32"/>
        <v>0</v>
      </c>
      <c r="BP33" s="1"/>
      <c r="BQ33" s="79">
        <f t="shared" si="33"/>
        <v>0</v>
      </c>
      <c r="BR33" s="1"/>
      <c r="BS33" s="79">
        <f t="shared" si="34"/>
        <v>0</v>
      </c>
      <c r="BT33" s="1"/>
      <c r="BU33" s="79">
        <f t="shared" si="35"/>
        <v>0</v>
      </c>
      <c r="BV33" s="1"/>
      <c r="BW33" s="79">
        <f t="shared" si="36"/>
        <v>0</v>
      </c>
      <c r="BX33" s="1"/>
      <c r="BY33" s="79">
        <f t="shared" si="37"/>
        <v>0</v>
      </c>
      <c r="BZ33" s="1"/>
      <c r="CA33" s="79">
        <f t="shared" si="38"/>
        <v>0</v>
      </c>
      <c r="CB33" s="1"/>
      <c r="CC33" s="79">
        <f t="shared" si="39"/>
        <v>0</v>
      </c>
      <c r="CD33" s="1"/>
      <c r="CE33" s="79">
        <f t="shared" si="40"/>
        <v>0</v>
      </c>
      <c r="CF33" s="1"/>
      <c r="CG33" s="79">
        <f t="shared" si="41"/>
        <v>0</v>
      </c>
      <c r="CH33" s="1"/>
      <c r="CI33" s="79">
        <f t="shared" si="42"/>
        <v>0</v>
      </c>
      <c r="CJ33" s="1"/>
      <c r="CK33" s="79">
        <f t="shared" si="43"/>
        <v>0</v>
      </c>
      <c r="CL33" s="1"/>
      <c r="CM33" s="79">
        <f t="shared" si="44"/>
        <v>0</v>
      </c>
      <c r="CN33" s="1"/>
      <c r="CO33" s="79">
        <f t="shared" si="45"/>
        <v>0</v>
      </c>
      <c r="CP33" s="1"/>
      <c r="CQ33" s="79">
        <f t="shared" si="46"/>
        <v>0</v>
      </c>
      <c r="CR33" s="1"/>
      <c r="CS33" s="79">
        <f t="shared" si="47"/>
        <v>0</v>
      </c>
      <c r="CT33" s="79"/>
      <c r="CU33" s="79">
        <f t="shared" si="48"/>
        <v>0</v>
      </c>
      <c r="CV33" s="79"/>
      <c r="CW33" s="79">
        <f t="shared" si="49"/>
        <v>0</v>
      </c>
      <c r="CX33" s="79"/>
      <c r="CY33" s="91"/>
      <c r="CZ33" s="79">
        <f t="shared" si="50"/>
        <v>0</v>
      </c>
      <c r="DA33" s="93"/>
      <c r="DB33" s="93">
        <f t="shared" si="51"/>
        <v>0</v>
      </c>
      <c r="DC33" s="96"/>
      <c r="DD33" s="93">
        <f t="shared" si="52"/>
        <v>0</v>
      </c>
      <c r="DE33" s="96"/>
      <c r="DF33" s="93">
        <f t="shared" si="53"/>
        <v>0</v>
      </c>
      <c r="DG33" s="96"/>
      <c r="DH33" s="93">
        <f t="shared" si="54"/>
        <v>0</v>
      </c>
      <c r="DI33" s="96"/>
      <c r="DJ33" s="93">
        <f t="shared" si="55"/>
        <v>0</v>
      </c>
      <c r="DK33" s="93"/>
      <c r="DL33" s="93">
        <f t="shared" si="56"/>
        <v>0</v>
      </c>
      <c r="DM33" s="100">
        <v>0.0</v>
      </c>
      <c r="DN33" s="93">
        <f t="shared" si="57"/>
        <v>0</v>
      </c>
      <c r="DO33" s="100">
        <v>0.0</v>
      </c>
      <c r="DP33" s="93">
        <f t="shared" si="58"/>
        <v>0</v>
      </c>
      <c r="DQ33" s="100">
        <v>0.0</v>
      </c>
      <c r="DR33" s="93">
        <f t="shared" si="59"/>
        <v>0</v>
      </c>
      <c r="DS33" s="100">
        <v>0.0</v>
      </c>
      <c r="DT33" s="93">
        <f t="shared" si="60"/>
        <v>0</v>
      </c>
      <c r="DU33" s="100">
        <v>0.0</v>
      </c>
      <c r="DV33" s="93">
        <f t="shared" si="61"/>
        <v>0</v>
      </c>
    </row>
    <row r="34">
      <c r="A34" s="7" t="s">
        <v>450</v>
      </c>
      <c r="B34" s="7" t="s">
        <v>451</v>
      </c>
      <c r="C34" s="76" t="str">
        <f t="array" ref="C34">_xlfn.XLOOKUP(A34,'Emp Master'!A:A,'Emp Master'!F:F)</f>
        <v>#N/A</v>
      </c>
      <c r="D34" s="76" t="str">
        <f t="array" ref="D34">_xlfn.XLOOKUP(A34,'Emp Master'!A:A,'Emp Master'!D:D)</f>
        <v>#N/A</v>
      </c>
      <c r="E34" s="76" t="str">
        <f t="shared" si="2"/>
        <v>#REF!</v>
      </c>
      <c r="F34" s="76"/>
      <c r="G34" s="79"/>
      <c r="H34" s="80"/>
      <c r="I34" s="79">
        <f t="shared" si="62"/>
        <v>0</v>
      </c>
      <c r="J34" s="80"/>
      <c r="K34" s="79">
        <f t="shared" si="4"/>
        <v>0</v>
      </c>
      <c r="L34" s="142"/>
      <c r="M34" s="79">
        <f t="shared" si="5"/>
        <v>0</v>
      </c>
      <c r="N34" s="142"/>
      <c r="O34" s="79">
        <f t="shared" si="6"/>
        <v>0</v>
      </c>
      <c r="P34" s="142"/>
      <c r="Q34" s="79">
        <f t="shared" si="7"/>
        <v>0</v>
      </c>
      <c r="R34" s="1"/>
      <c r="S34" s="79">
        <f t="shared" si="8"/>
        <v>0</v>
      </c>
      <c r="T34" s="1"/>
      <c r="U34" s="79">
        <f t="shared" si="9"/>
        <v>0</v>
      </c>
      <c r="V34" s="1"/>
      <c r="W34" s="79">
        <f t="shared" si="10"/>
        <v>0</v>
      </c>
      <c r="X34" s="1"/>
      <c r="Y34" s="79">
        <f t="shared" si="11"/>
        <v>0</v>
      </c>
      <c r="Z34" s="1"/>
      <c r="AA34" s="79">
        <f t="shared" si="12"/>
        <v>0</v>
      </c>
      <c r="AB34" s="1"/>
      <c r="AC34" s="79">
        <f t="shared" si="13"/>
        <v>0</v>
      </c>
      <c r="AD34" s="1"/>
      <c r="AE34" s="79">
        <f t="shared" si="14"/>
        <v>0</v>
      </c>
      <c r="AF34" s="1"/>
      <c r="AG34" s="79">
        <f t="shared" si="15"/>
        <v>0</v>
      </c>
      <c r="AH34" s="1"/>
      <c r="AI34" s="79">
        <f t="shared" si="63"/>
        <v>0</v>
      </c>
      <c r="AJ34" s="1"/>
      <c r="AK34" s="79">
        <f t="shared" si="17"/>
        <v>0</v>
      </c>
      <c r="AL34" s="1"/>
      <c r="AM34" s="79">
        <f t="shared" si="18"/>
        <v>0</v>
      </c>
      <c r="AN34" s="1"/>
      <c r="AO34" s="79">
        <f t="shared" si="19"/>
        <v>0</v>
      </c>
      <c r="AP34" s="1"/>
      <c r="AQ34" s="79">
        <f t="shared" si="20"/>
        <v>0</v>
      </c>
      <c r="AR34" s="1"/>
      <c r="AS34" s="79">
        <f t="shared" si="21"/>
        <v>0</v>
      </c>
      <c r="AT34" s="1"/>
      <c r="AU34" s="79">
        <f t="shared" si="22"/>
        <v>0</v>
      </c>
      <c r="AV34" s="1"/>
      <c r="AW34" s="79">
        <f t="shared" si="23"/>
        <v>0</v>
      </c>
      <c r="AX34" s="1"/>
      <c r="AY34" s="79">
        <f t="shared" si="24"/>
        <v>0</v>
      </c>
      <c r="AZ34" s="1"/>
      <c r="BA34" s="79">
        <f t="shared" si="25"/>
        <v>0</v>
      </c>
      <c r="BB34" s="1"/>
      <c r="BC34" s="79">
        <f t="shared" si="26"/>
        <v>0</v>
      </c>
      <c r="BD34" s="1"/>
      <c r="BE34" s="79">
        <f t="shared" si="27"/>
        <v>0</v>
      </c>
      <c r="BF34" s="1"/>
      <c r="BG34" s="79">
        <f t="shared" si="28"/>
        <v>0</v>
      </c>
      <c r="BH34" s="1"/>
      <c r="BI34" s="79">
        <f t="shared" si="29"/>
        <v>0</v>
      </c>
      <c r="BJ34" s="1"/>
      <c r="BK34" s="79">
        <f t="shared" si="30"/>
        <v>0</v>
      </c>
      <c r="BL34" s="1"/>
      <c r="BM34" s="79">
        <f t="shared" si="31"/>
        <v>0</v>
      </c>
      <c r="BN34" s="1"/>
      <c r="BO34" s="79">
        <f t="shared" si="32"/>
        <v>0</v>
      </c>
      <c r="BP34" s="1"/>
      <c r="BQ34" s="79">
        <f t="shared" si="33"/>
        <v>0</v>
      </c>
      <c r="BR34" s="1"/>
      <c r="BS34" s="79">
        <f t="shared" si="34"/>
        <v>0</v>
      </c>
      <c r="BT34" s="1"/>
      <c r="BU34" s="79">
        <f t="shared" si="35"/>
        <v>0</v>
      </c>
      <c r="BV34" s="1"/>
      <c r="BW34" s="79">
        <f t="shared" si="36"/>
        <v>0</v>
      </c>
      <c r="BX34" s="1"/>
      <c r="BY34" s="79">
        <f t="shared" si="37"/>
        <v>0</v>
      </c>
      <c r="BZ34" s="1"/>
      <c r="CA34" s="79">
        <f t="shared" si="38"/>
        <v>0</v>
      </c>
      <c r="CB34" s="1"/>
      <c r="CC34" s="79">
        <f t="shared" si="39"/>
        <v>0</v>
      </c>
      <c r="CD34" s="1"/>
      <c r="CE34" s="79">
        <f t="shared" si="40"/>
        <v>0</v>
      </c>
      <c r="CF34" s="1"/>
      <c r="CG34" s="79">
        <f t="shared" si="41"/>
        <v>0</v>
      </c>
      <c r="CH34" s="1"/>
      <c r="CI34" s="79">
        <f t="shared" si="42"/>
        <v>0</v>
      </c>
      <c r="CJ34" s="1"/>
      <c r="CK34" s="79">
        <f t="shared" si="43"/>
        <v>0</v>
      </c>
      <c r="CL34" s="1"/>
      <c r="CM34" s="79">
        <f t="shared" si="44"/>
        <v>0</v>
      </c>
      <c r="CN34" s="1"/>
      <c r="CO34" s="79">
        <f t="shared" si="45"/>
        <v>0</v>
      </c>
      <c r="CP34" s="1"/>
      <c r="CQ34" s="79">
        <f t="shared" si="46"/>
        <v>0</v>
      </c>
      <c r="CR34" s="1"/>
      <c r="CS34" s="79">
        <f t="shared" si="47"/>
        <v>0</v>
      </c>
      <c r="CT34" s="79"/>
      <c r="CU34" s="79">
        <f t="shared" si="48"/>
        <v>0</v>
      </c>
      <c r="CV34" s="79"/>
      <c r="CW34" s="79">
        <f t="shared" si="49"/>
        <v>0</v>
      </c>
      <c r="CX34" s="79"/>
      <c r="CY34" s="91"/>
      <c r="CZ34" s="79">
        <f t="shared" si="50"/>
        <v>0</v>
      </c>
      <c r="DA34" s="93"/>
      <c r="DB34" s="93">
        <f t="shared" si="51"/>
        <v>0</v>
      </c>
      <c r="DC34" s="96"/>
      <c r="DD34" s="93">
        <f t="shared" si="52"/>
        <v>0</v>
      </c>
      <c r="DE34" s="96"/>
      <c r="DF34" s="93">
        <f t="shared" si="53"/>
        <v>0</v>
      </c>
      <c r="DG34" s="96"/>
      <c r="DH34" s="93">
        <f t="shared" si="54"/>
        <v>0</v>
      </c>
      <c r="DI34" s="96"/>
      <c r="DJ34" s="93">
        <f t="shared" si="55"/>
        <v>0</v>
      </c>
      <c r="DK34" s="93"/>
      <c r="DL34" s="93">
        <f t="shared" si="56"/>
        <v>0</v>
      </c>
      <c r="DM34" s="100">
        <v>0.0</v>
      </c>
      <c r="DN34" s="93">
        <f t="shared" si="57"/>
        <v>0</v>
      </c>
      <c r="DO34" s="100">
        <v>0.0</v>
      </c>
      <c r="DP34" s="93">
        <f t="shared" si="58"/>
        <v>0</v>
      </c>
      <c r="DQ34" s="100">
        <v>0.0</v>
      </c>
      <c r="DR34" s="93">
        <f t="shared" si="59"/>
        <v>0</v>
      </c>
      <c r="DS34" s="100">
        <v>0.0</v>
      </c>
      <c r="DT34" s="93">
        <f t="shared" si="60"/>
        <v>0</v>
      </c>
      <c r="DU34" s="100">
        <v>0.0</v>
      </c>
      <c r="DV34" s="93">
        <f t="shared" si="61"/>
        <v>0</v>
      </c>
    </row>
    <row r="35">
      <c r="A35" s="7" t="s">
        <v>455</v>
      </c>
      <c r="B35" s="7" t="s">
        <v>456</v>
      </c>
      <c r="C35" s="76" t="str">
        <f t="array" ref="C35">_xlfn.XLOOKUP(A35,'Emp Master'!A:A,'Emp Master'!F:F)</f>
        <v>#N/A</v>
      </c>
      <c r="D35" s="76" t="str">
        <f t="array" ref="D35">_xlfn.XLOOKUP(A35,'Emp Master'!A:A,'Emp Master'!D:D)</f>
        <v>#N/A</v>
      </c>
      <c r="E35" s="76" t="str">
        <f t="shared" si="2"/>
        <v>#REF!</v>
      </c>
      <c r="F35" s="76"/>
      <c r="G35" s="79"/>
      <c r="H35" s="80"/>
      <c r="I35" s="79">
        <f t="shared" si="62"/>
        <v>0</v>
      </c>
      <c r="J35" s="80"/>
      <c r="K35" s="79">
        <f t="shared" si="4"/>
        <v>0</v>
      </c>
      <c r="L35" s="142"/>
      <c r="M35" s="79">
        <f t="shared" si="5"/>
        <v>0</v>
      </c>
      <c r="N35" s="142"/>
      <c r="O35" s="79">
        <f t="shared" si="6"/>
        <v>0</v>
      </c>
      <c r="P35" s="142"/>
      <c r="Q35" s="79">
        <f t="shared" si="7"/>
        <v>0</v>
      </c>
      <c r="R35" s="1"/>
      <c r="S35" s="79">
        <f t="shared" si="8"/>
        <v>0</v>
      </c>
      <c r="T35" s="1"/>
      <c r="U35" s="79">
        <f t="shared" si="9"/>
        <v>0</v>
      </c>
      <c r="V35" s="1"/>
      <c r="W35" s="79">
        <f t="shared" si="10"/>
        <v>0</v>
      </c>
      <c r="X35" s="1"/>
      <c r="Y35" s="79">
        <f t="shared" si="11"/>
        <v>0</v>
      </c>
      <c r="Z35" s="1"/>
      <c r="AA35" s="79">
        <f t="shared" si="12"/>
        <v>0</v>
      </c>
      <c r="AB35" s="1"/>
      <c r="AC35" s="79">
        <f t="shared" si="13"/>
        <v>0</v>
      </c>
      <c r="AD35" s="1"/>
      <c r="AE35" s="79">
        <f t="shared" si="14"/>
        <v>0</v>
      </c>
      <c r="AF35" s="1"/>
      <c r="AG35" s="79">
        <f t="shared" si="15"/>
        <v>0</v>
      </c>
      <c r="AH35" s="1"/>
      <c r="AI35" s="79">
        <f t="shared" si="63"/>
        <v>0</v>
      </c>
      <c r="AJ35" s="1"/>
      <c r="AK35" s="79">
        <f t="shared" si="17"/>
        <v>0</v>
      </c>
      <c r="AL35" s="1"/>
      <c r="AM35" s="79">
        <f t="shared" si="18"/>
        <v>0</v>
      </c>
      <c r="AN35" s="1"/>
      <c r="AO35" s="79">
        <f t="shared" si="19"/>
        <v>0</v>
      </c>
      <c r="AP35" s="1"/>
      <c r="AQ35" s="79">
        <f t="shared" si="20"/>
        <v>0</v>
      </c>
      <c r="AR35" s="1"/>
      <c r="AS35" s="79">
        <f t="shared" si="21"/>
        <v>0</v>
      </c>
      <c r="AT35" s="1"/>
      <c r="AU35" s="79">
        <f t="shared" si="22"/>
        <v>0</v>
      </c>
      <c r="AV35" s="1"/>
      <c r="AW35" s="79">
        <f t="shared" si="23"/>
        <v>0</v>
      </c>
      <c r="AX35" s="1"/>
      <c r="AY35" s="79">
        <f t="shared" si="24"/>
        <v>0</v>
      </c>
      <c r="AZ35" s="1"/>
      <c r="BA35" s="79">
        <f t="shared" si="25"/>
        <v>0</v>
      </c>
      <c r="BB35" s="1"/>
      <c r="BC35" s="79">
        <f t="shared" si="26"/>
        <v>0</v>
      </c>
      <c r="BD35" s="1"/>
      <c r="BE35" s="79">
        <f t="shared" si="27"/>
        <v>0</v>
      </c>
      <c r="BF35" s="1"/>
      <c r="BG35" s="79">
        <f t="shared" si="28"/>
        <v>0</v>
      </c>
      <c r="BH35" s="1"/>
      <c r="BI35" s="79">
        <f t="shared" si="29"/>
        <v>0</v>
      </c>
      <c r="BJ35" s="1"/>
      <c r="BK35" s="79">
        <f t="shared" si="30"/>
        <v>0</v>
      </c>
      <c r="BL35" s="1"/>
      <c r="BM35" s="79">
        <f t="shared" si="31"/>
        <v>0</v>
      </c>
      <c r="BN35" s="1"/>
      <c r="BO35" s="79">
        <f t="shared" si="32"/>
        <v>0</v>
      </c>
      <c r="BP35" s="1"/>
      <c r="BQ35" s="79">
        <f t="shared" si="33"/>
        <v>0</v>
      </c>
      <c r="BR35" s="1"/>
      <c r="BS35" s="79">
        <f t="shared" si="34"/>
        <v>0</v>
      </c>
      <c r="BT35" s="1"/>
      <c r="BU35" s="79">
        <f t="shared" si="35"/>
        <v>0</v>
      </c>
      <c r="BV35" s="1"/>
      <c r="BW35" s="79">
        <f t="shared" si="36"/>
        <v>0</v>
      </c>
      <c r="BX35" s="1"/>
      <c r="BY35" s="79">
        <f t="shared" si="37"/>
        <v>0</v>
      </c>
      <c r="BZ35" s="1"/>
      <c r="CA35" s="79">
        <f t="shared" si="38"/>
        <v>0</v>
      </c>
      <c r="CB35" s="1"/>
      <c r="CC35" s="79">
        <f t="shared" si="39"/>
        <v>0</v>
      </c>
      <c r="CD35" s="1"/>
      <c r="CE35" s="79">
        <f t="shared" si="40"/>
        <v>0</v>
      </c>
      <c r="CF35" s="1"/>
      <c r="CG35" s="79">
        <f t="shared" si="41"/>
        <v>0</v>
      </c>
      <c r="CH35" s="1"/>
      <c r="CI35" s="79">
        <f t="shared" si="42"/>
        <v>0</v>
      </c>
      <c r="CJ35" s="1"/>
      <c r="CK35" s="79">
        <f t="shared" si="43"/>
        <v>0</v>
      </c>
      <c r="CL35" s="1"/>
      <c r="CM35" s="79">
        <f t="shared" si="44"/>
        <v>0</v>
      </c>
      <c r="CN35" s="1"/>
      <c r="CO35" s="79">
        <f t="shared" si="45"/>
        <v>0</v>
      </c>
      <c r="CP35" s="1"/>
      <c r="CQ35" s="79">
        <f t="shared" si="46"/>
        <v>0</v>
      </c>
      <c r="CR35" s="1"/>
      <c r="CS35" s="79">
        <f t="shared" si="47"/>
        <v>0</v>
      </c>
      <c r="CT35" s="79"/>
      <c r="CU35" s="79">
        <f t="shared" si="48"/>
        <v>0</v>
      </c>
      <c r="CV35" s="79"/>
      <c r="CW35" s="79">
        <f t="shared" si="49"/>
        <v>0</v>
      </c>
      <c r="CX35" s="79"/>
      <c r="CY35" s="91"/>
      <c r="CZ35" s="79">
        <f t="shared" si="50"/>
        <v>0</v>
      </c>
      <c r="DA35" s="93"/>
      <c r="DB35" s="93">
        <f t="shared" si="51"/>
        <v>0</v>
      </c>
      <c r="DC35" s="96"/>
      <c r="DD35" s="93">
        <f t="shared" si="52"/>
        <v>0</v>
      </c>
      <c r="DE35" s="96"/>
      <c r="DF35" s="93">
        <f t="shared" si="53"/>
        <v>0</v>
      </c>
      <c r="DG35" s="96"/>
      <c r="DH35" s="93">
        <f t="shared" si="54"/>
        <v>0</v>
      </c>
      <c r="DI35" s="96"/>
      <c r="DJ35" s="93">
        <f t="shared" si="55"/>
        <v>0</v>
      </c>
      <c r="DK35" s="93"/>
      <c r="DL35" s="93">
        <f t="shared" si="56"/>
        <v>0</v>
      </c>
      <c r="DM35" s="100">
        <v>0.0</v>
      </c>
      <c r="DN35" s="93">
        <f t="shared" si="57"/>
        <v>0</v>
      </c>
      <c r="DO35" s="100">
        <v>0.0</v>
      </c>
      <c r="DP35" s="93">
        <f t="shared" si="58"/>
        <v>0</v>
      </c>
      <c r="DQ35" s="100">
        <v>0.0</v>
      </c>
      <c r="DR35" s="93">
        <f t="shared" si="59"/>
        <v>0</v>
      </c>
      <c r="DS35" s="100">
        <v>0.0</v>
      </c>
      <c r="DT35" s="93">
        <f t="shared" si="60"/>
        <v>0</v>
      </c>
      <c r="DU35" s="100">
        <v>0.0</v>
      </c>
      <c r="DV35" s="93">
        <f t="shared" si="61"/>
        <v>0</v>
      </c>
    </row>
    <row r="36">
      <c r="A36" s="7" t="s">
        <v>462</v>
      </c>
      <c r="B36" s="7" t="s">
        <v>463</v>
      </c>
      <c r="C36" s="76" t="str">
        <f t="array" ref="C36">_xlfn.XLOOKUP(A36,'Emp Master'!A:A,'Emp Master'!F:F)</f>
        <v>#N/A</v>
      </c>
      <c r="D36" s="76" t="str">
        <f t="array" ref="D36">_xlfn.XLOOKUP(A36,'Emp Master'!A:A,'Emp Master'!D:D)</f>
        <v>#N/A</v>
      </c>
      <c r="E36" s="76" t="str">
        <f t="shared" si="2"/>
        <v>#REF!</v>
      </c>
      <c r="F36" s="76"/>
      <c r="G36" s="79"/>
      <c r="H36" s="80"/>
      <c r="I36" s="79">
        <f t="shared" si="62"/>
        <v>0</v>
      </c>
      <c r="J36" s="80"/>
      <c r="K36" s="79">
        <f t="shared" si="4"/>
        <v>0</v>
      </c>
      <c r="L36" s="142"/>
      <c r="M36" s="79">
        <f t="shared" si="5"/>
        <v>0</v>
      </c>
      <c r="N36" s="142"/>
      <c r="O36" s="79">
        <f t="shared" si="6"/>
        <v>0</v>
      </c>
      <c r="P36" s="142"/>
      <c r="Q36" s="79">
        <f t="shared" si="7"/>
        <v>0</v>
      </c>
      <c r="R36" s="1"/>
      <c r="S36" s="79">
        <f t="shared" si="8"/>
        <v>0</v>
      </c>
      <c r="T36" s="1"/>
      <c r="U36" s="79">
        <f t="shared" si="9"/>
        <v>0</v>
      </c>
      <c r="V36" s="1"/>
      <c r="W36" s="79">
        <f t="shared" si="10"/>
        <v>0</v>
      </c>
      <c r="X36" s="1"/>
      <c r="Y36" s="79">
        <f t="shared" si="11"/>
        <v>0</v>
      </c>
      <c r="Z36" s="1"/>
      <c r="AA36" s="79">
        <f t="shared" si="12"/>
        <v>0</v>
      </c>
      <c r="AB36" s="1"/>
      <c r="AC36" s="79">
        <f t="shared" si="13"/>
        <v>0</v>
      </c>
      <c r="AD36" s="1"/>
      <c r="AE36" s="79">
        <f t="shared" si="14"/>
        <v>0</v>
      </c>
      <c r="AF36" s="1"/>
      <c r="AG36" s="79">
        <f t="shared" si="15"/>
        <v>0</v>
      </c>
      <c r="AH36" s="1"/>
      <c r="AI36" s="79">
        <f t="shared" si="63"/>
        <v>0</v>
      </c>
      <c r="AJ36" s="1"/>
      <c r="AK36" s="79">
        <f t="shared" si="17"/>
        <v>0</v>
      </c>
      <c r="AL36" s="1"/>
      <c r="AM36" s="79">
        <f t="shared" si="18"/>
        <v>0</v>
      </c>
      <c r="AN36" s="1"/>
      <c r="AO36" s="79">
        <f t="shared" si="19"/>
        <v>0</v>
      </c>
      <c r="AP36" s="1"/>
      <c r="AQ36" s="79">
        <f t="shared" si="20"/>
        <v>0</v>
      </c>
      <c r="AR36" s="1"/>
      <c r="AS36" s="79">
        <f t="shared" si="21"/>
        <v>0</v>
      </c>
      <c r="AT36" s="1"/>
      <c r="AU36" s="79">
        <f t="shared" si="22"/>
        <v>0</v>
      </c>
      <c r="AV36" s="1"/>
      <c r="AW36" s="79">
        <f t="shared" si="23"/>
        <v>0</v>
      </c>
      <c r="AX36" s="1"/>
      <c r="AY36" s="79">
        <f t="shared" si="24"/>
        <v>0</v>
      </c>
      <c r="AZ36" s="1"/>
      <c r="BA36" s="79">
        <f t="shared" si="25"/>
        <v>0</v>
      </c>
      <c r="BB36" s="1"/>
      <c r="BC36" s="79">
        <f t="shared" si="26"/>
        <v>0</v>
      </c>
      <c r="BD36" s="1"/>
      <c r="BE36" s="79">
        <f t="shared" si="27"/>
        <v>0</v>
      </c>
      <c r="BF36" s="1"/>
      <c r="BG36" s="79">
        <f t="shared" si="28"/>
        <v>0</v>
      </c>
      <c r="BH36" s="1"/>
      <c r="BI36" s="79">
        <f t="shared" si="29"/>
        <v>0</v>
      </c>
      <c r="BJ36" s="1"/>
      <c r="BK36" s="79">
        <f t="shared" si="30"/>
        <v>0</v>
      </c>
      <c r="BL36" s="1"/>
      <c r="BM36" s="79">
        <f t="shared" si="31"/>
        <v>0</v>
      </c>
      <c r="BN36" s="1"/>
      <c r="BO36" s="79">
        <f t="shared" si="32"/>
        <v>0</v>
      </c>
      <c r="BP36" s="1"/>
      <c r="BQ36" s="79">
        <f t="shared" si="33"/>
        <v>0</v>
      </c>
      <c r="BR36" s="1"/>
      <c r="BS36" s="79">
        <f t="shared" si="34"/>
        <v>0</v>
      </c>
      <c r="BT36" s="1"/>
      <c r="BU36" s="79">
        <f t="shared" si="35"/>
        <v>0</v>
      </c>
      <c r="BV36" s="1"/>
      <c r="BW36" s="79">
        <f t="shared" si="36"/>
        <v>0</v>
      </c>
      <c r="BX36" s="1"/>
      <c r="BY36" s="79">
        <f t="shared" si="37"/>
        <v>0</v>
      </c>
      <c r="BZ36" s="1"/>
      <c r="CA36" s="79">
        <f t="shared" si="38"/>
        <v>0</v>
      </c>
      <c r="CB36" s="1"/>
      <c r="CC36" s="79">
        <f t="shared" si="39"/>
        <v>0</v>
      </c>
      <c r="CD36" s="1"/>
      <c r="CE36" s="79">
        <f t="shared" si="40"/>
        <v>0</v>
      </c>
      <c r="CF36" s="1"/>
      <c r="CG36" s="79">
        <f t="shared" si="41"/>
        <v>0</v>
      </c>
      <c r="CH36" s="1"/>
      <c r="CI36" s="79">
        <f t="shared" si="42"/>
        <v>0</v>
      </c>
      <c r="CJ36" s="1"/>
      <c r="CK36" s="79">
        <f t="shared" si="43"/>
        <v>0</v>
      </c>
      <c r="CL36" s="1"/>
      <c r="CM36" s="79">
        <f t="shared" si="44"/>
        <v>0</v>
      </c>
      <c r="CN36" s="1"/>
      <c r="CO36" s="79">
        <f t="shared" si="45"/>
        <v>0</v>
      </c>
      <c r="CP36" s="1"/>
      <c r="CQ36" s="79">
        <f t="shared" si="46"/>
        <v>0</v>
      </c>
      <c r="CR36" s="1"/>
      <c r="CS36" s="79">
        <f t="shared" si="47"/>
        <v>0</v>
      </c>
      <c r="CT36" s="79"/>
      <c r="CU36" s="79">
        <f t="shared" si="48"/>
        <v>0</v>
      </c>
      <c r="CV36" s="79"/>
      <c r="CW36" s="79">
        <f t="shared" si="49"/>
        <v>0</v>
      </c>
      <c r="CX36" s="79"/>
      <c r="CY36" s="91"/>
      <c r="CZ36" s="79">
        <f t="shared" si="50"/>
        <v>0</v>
      </c>
      <c r="DA36" s="93"/>
      <c r="DB36" s="93">
        <f t="shared" si="51"/>
        <v>0</v>
      </c>
      <c r="DC36" s="96"/>
      <c r="DD36" s="93">
        <f t="shared" si="52"/>
        <v>0</v>
      </c>
      <c r="DE36" s="96"/>
      <c r="DF36" s="93">
        <f t="shared" si="53"/>
        <v>0</v>
      </c>
      <c r="DG36" s="96"/>
      <c r="DH36" s="93">
        <f t="shared" si="54"/>
        <v>0</v>
      </c>
      <c r="DI36" s="96"/>
      <c r="DJ36" s="93">
        <f t="shared" si="55"/>
        <v>0</v>
      </c>
      <c r="DK36" s="93"/>
      <c r="DL36" s="93">
        <f t="shared" si="56"/>
        <v>0</v>
      </c>
      <c r="DM36" s="100">
        <v>0.0</v>
      </c>
      <c r="DN36" s="93">
        <f t="shared" si="57"/>
        <v>0</v>
      </c>
      <c r="DO36" s="100">
        <v>0.0</v>
      </c>
      <c r="DP36" s="93">
        <f t="shared" si="58"/>
        <v>0</v>
      </c>
      <c r="DQ36" s="100">
        <v>0.0</v>
      </c>
      <c r="DR36" s="93">
        <f t="shared" si="59"/>
        <v>0</v>
      </c>
      <c r="DS36" s="100">
        <v>0.0</v>
      </c>
      <c r="DT36" s="93">
        <f t="shared" si="60"/>
        <v>0</v>
      </c>
      <c r="DU36" s="100">
        <v>0.0</v>
      </c>
      <c r="DV36" s="93">
        <f t="shared" si="61"/>
        <v>0</v>
      </c>
    </row>
    <row r="37">
      <c r="A37" s="7" t="s">
        <v>464</v>
      </c>
      <c r="B37" s="7" t="s">
        <v>465</v>
      </c>
      <c r="C37" s="76" t="str">
        <f t="array" ref="C37">_xlfn.XLOOKUP(A37,'Emp Master'!A:A,'Emp Master'!F:F)</f>
        <v>#N/A</v>
      </c>
      <c r="D37" s="76" t="str">
        <f t="array" ref="D37">_xlfn.XLOOKUP(A37,'Emp Master'!A:A,'Emp Master'!D:D)</f>
        <v>#N/A</v>
      </c>
      <c r="E37" s="76" t="str">
        <f t="shared" si="2"/>
        <v>#REF!</v>
      </c>
      <c r="F37" s="76"/>
      <c r="G37" s="79"/>
      <c r="H37" s="80"/>
      <c r="I37" s="79">
        <f t="shared" si="62"/>
        <v>0</v>
      </c>
      <c r="J37" s="80"/>
      <c r="K37" s="79">
        <f t="shared" si="4"/>
        <v>0</v>
      </c>
      <c r="L37" s="142"/>
      <c r="M37" s="79">
        <f t="shared" si="5"/>
        <v>0</v>
      </c>
      <c r="N37" s="142"/>
      <c r="O37" s="79">
        <f t="shared" si="6"/>
        <v>0</v>
      </c>
      <c r="P37" s="142"/>
      <c r="Q37" s="79">
        <f t="shared" si="7"/>
        <v>0</v>
      </c>
      <c r="R37" s="1"/>
      <c r="S37" s="79">
        <f t="shared" si="8"/>
        <v>0</v>
      </c>
      <c r="T37" s="1"/>
      <c r="U37" s="79">
        <f t="shared" si="9"/>
        <v>0</v>
      </c>
      <c r="V37" s="1"/>
      <c r="W37" s="79">
        <f t="shared" si="10"/>
        <v>0</v>
      </c>
      <c r="X37" s="1"/>
      <c r="Y37" s="79">
        <f t="shared" si="11"/>
        <v>0</v>
      </c>
      <c r="Z37" s="1"/>
      <c r="AA37" s="79">
        <f t="shared" si="12"/>
        <v>0</v>
      </c>
      <c r="AB37" s="1"/>
      <c r="AC37" s="79">
        <f t="shared" si="13"/>
        <v>0</v>
      </c>
      <c r="AD37" s="1"/>
      <c r="AE37" s="79">
        <f t="shared" si="14"/>
        <v>0</v>
      </c>
      <c r="AF37" s="1"/>
      <c r="AG37" s="79">
        <f t="shared" si="15"/>
        <v>0</v>
      </c>
      <c r="AH37" s="1"/>
      <c r="AI37" s="79">
        <f t="shared" si="63"/>
        <v>0</v>
      </c>
      <c r="AJ37" s="1"/>
      <c r="AK37" s="79">
        <f t="shared" si="17"/>
        <v>0</v>
      </c>
      <c r="AL37" s="1"/>
      <c r="AM37" s="79">
        <f t="shared" si="18"/>
        <v>0</v>
      </c>
      <c r="AN37" s="1"/>
      <c r="AO37" s="79">
        <f t="shared" si="19"/>
        <v>0</v>
      </c>
      <c r="AP37" s="1"/>
      <c r="AQ37" s="79">
        <f t="shared" si="20"/>
        <v>0</v>
      </c>
      <c r="AR37" s="1"/>
      <c r="AS37" s="79">
        <f t="shared" si="21"/>
        <v>0</v>
      </c>
      <c r="AT37" s="1"/>
      <c r="AU37" s="79">
        <f t="shared" si="22"/>
        <v>0</v>
      </c>
      <c r="AV37" s="1"/>
      <c r="AW37" s="79">
        <f t="shared" si="23"/>
        <v>0</v>
      </c>
      <c r="AX37" s="1"/>
      <c r="AY37" s="79">
        <f t="shared" si="24"/>
        <v>0</v>
      </c>
      <c r="AZ37" s="1"/>
      <c r="BA37" s="79">
        <f t="shared" si="25"/>
        <v>0</v>
      </c>
      <c r="BB37" s="1"/>
      <c r="BC37" s="79">
        <f t="shared" si="26"/>
        <v>0</v>
      </c>
      <c r="BD37" s="1"/>
      <c r="BE37" s="79">
        <f t="shared" si="27"/>
        <v>0</v>
      </c>
      <c r="BF37" s="1"/>
      <c r="BG37" s="79">
        <f t="shared" si="28"/>
        <v>0</v>
      </c>
      <c r="BH37" s="1"/>
      <c r="BI37" s="79">
        <f t="shared" si="29"/>
        <v>0</v>
      </c>
      <c r="BJ37" s="1"/>
      <c r="BK37" s="79">
        <f t="shared" si="30"/>
        <v>0</v>
      </c>
      <c r="BL37" s="1"/>
      <c r="BM37" s="79">
        <f t="shared" si="31"/>
        <v>0</v>
      </c>
      <c r="BN37" s="1"/>
      <c r="BO37" s="79">
        <f t="shared" si="32"/>
        <v>0</v>
      </c>
      <c r="BP37" s="1"/>
      <c r="BQ37" s="79">
        <f t="shared" si="33"/>
        <v>0</v>
      </c>
      <c r="BR37" s="1"/>
      <c r="BS37" s="79">
        <f t="shared" si="34"/>
        <v>0</v>
      </c>
      <c r="BT37" s="1"/>
      <c r="BU37" s="79">
        <f t="shared" si="35"/>
        <v>0</v>
      </c>
      <c r="BV37" s="1"/>
      <c r="BW37" s="79">
        <f t="shared" si="36"/>
        <v>0</v>
      </c>
      <c r="BX37" s="1"/>
      <c r="BY37" s="79">
        <f t="shared" si="37"/>
        <v>0</v>
      </c>
      <c r="BZ37" s="1"/>
      <c r="CA37" s="79">
        <f t="shared" si="38"/>
        <v>0</v>
      </c>
      <c r="CB37" s="1"/>
      <c r="CC37" s="79">
        <f t="shared" si="39"/>
        <v>0</v>
      </c>
      <c r="CD37" s="1"/>
      <c r="CE37" s="79">
        <f t="shared" si="40"/>
        <v>0</v>
      </c>
      <c r="CF37" s="1"/>
      <c r="CG37" s="79">
        <f t="shared" si="41"/>
        <v>0</v>
      </c>
      <c r="CH37" s="1"/>
      <c r="CI37" s="79">
        <f t="shared" si="42"/>
        <v>0</v>
      </c>
      <c r="CJ37" s="1"/>
      <c r="CK37" s="79">
        <f t="shared" si="43"/>
        <v>0</v>
      </c>
      <c r="CL37" s="1"/>
      <c r="CM37" s="79">
        <f t="shared" si="44"/>
        <v>0</v>
      </c>
      <c r="CN37" s="1"/>
      <c r="CO37" s="79">
        <f t="shared" si="45"/>
        <v>0</v>
      </c>
      <c r="CP37" s="1"/>
      <c r="CQ37" s="79">
        <f t="shared" si="46"/>
        <v>0</v>
      </c>
      <c r="CR37" s="1"/>
      <c r="CS37" s="79">
        <f t="shared" si="47"/>
        <v>0</v>
      </c>
      <c r="CT37" s="79"/>
      <c r="CU37" s="79">
        <f t="shared" si="48"/>
        <v>0</v>
      </c>
      <c r="CV37" s="79"/>
      <c r="CW37" s="79">
        <f t="shared" si="49"/>
        <v>0</v>
      </c>
      <c r="CX37" s="79"/>
      <c r="CY37" s="91"/>
      <c r="CZ37" s="79">
        <f t="shared" si="50"/>
        <v>0</v>
      </c>
      <c r="DA37" s="93"/>
      <c r="DB37" s="93">
        <f t="shared" si="51"/>
        <v>0</v>
      </c>
      <c r="DC37" s="96"/>
      <c r="DD37" s="93">
        <f t="shared" si="52"/>
        <v>0</v>
      </c>
      <c r="DE37" s="96"/>
      <c r="DF37" s="93">
        <f t="shared" si="53"/>
        <v>0</v>
      </c>
      <c r="DG37" s="96"/>
      <c r="DH37" s="93">
        <f t="shared" si="54"/>
        <v>0</v>
      </c>
      <c r="DI37" s="96"/>
      <c r="DJ37" s="93">
        <f t="shared" si="55"/>
        <v>0</v>
      </c>
      <c r="DK37" s="93"/>
      <c r="DL37" s="93">
        <f t="shared" si="56"/>
        <v>0</v>
      </c>
      <c r="DM37" s="100">
        <v>0.0</v>
      </c>
      <c r="DN37" s="93">
        <f t="shared" si="57"/>
        <v>0</v>
      </c>
      <c r="DO37" s="100">
        <v>0.0</v>
      </c>
      <c r="DP37" s="93">
        <f t="shared" si="58"/>
        <v>0</v>
      </c>
      <c r="DQ37" s="100">
        <v>0.0</v>
      </c>
      <c r="DR37" s="93">
        <f t="shared" si="59"/>
        <v>0</v>
      </c>
      <c r="DS37" s="100">
        <v>0.0</v>
      </c>
      <c r="DT37" s="93">
        <f t="shared" si="60"/>
        <v>0</v>
      </c>
      <c r="DU37" s="100">
        <v>0.0</v>
      </c>
      <c r="DV37" s="93">
        <f t="shared" si="61"/>
        <v>0</v>
      </c>
    </row>
    <row r="38">
      <c r="A38" s="7" t="s">
        <v>472</v>
      </c>
      <c r="B38" s="7" t="s">
        <v>473</v>
      </c>
      <c r="C38" s="76" t="str">
        <f t="array" ref="C38">_xlfn.XLOOKUP(A38,'Emp Master'!A:A,'Emp Master'!F:F)</f>
        <v>#N/A</v>
      </c>
      <c r="D38" s="76" t="str">
        <f t="array" ref="D38">_xlfn.XLOOKUP(A38,'Emp Master'!A:A,'Emp Master'!D:D)</f>
        <v>#N/A</v>
      </c>
      <c r="E38" s="76" t="str">
        <f t="shared" si="2"/>
        <v>#REF!</v>
      </c>
      <c r="F38" s="76"/>
      <c r="G38" s="79"/>
      <c r="H38" s="80"/>
      <c r="I38" s="79">
        <f t="shared" si="62"/>
        <v>0</v>
      </c>
      <c r="J38" s="80"/>
      <c r="K38" s="79">
        <f t="shared" si="4"/>
        <v>0</v>
      </c>
      <c r="L38" s="142"/>
      <c r="M38" s="79">
        <f t="shared" si="5"/>
        <v>0</v>
      </c>
      <c r="N38" s="142"/>
      <c r="O38" s="79">
        <f t="shared" si="6"/>
        <v>0</v>
      </c>
      <c r="P38" s="142"/>
      <c r="Q38" s="79">
        <f t="shared" si="7"/>
        <v>0</v>
      </c>
      <c r="R38" s="1"/>
      <c r="S38" s="79">
        <f t="shared" si="8"/>
        <v>0</v>
      </c>
      <c r="T38" s="1"/>
      <c r="U38" s="79">
        <f t="shared" si="9"/>
        <v>0</v>
      </c>
      <c r="V38" s="1"/>
      <c r="W38" s="79">
        <f t="shared" si="10"/>
        <v>0</v>
      </c>
      <c r="X38" s="1"/>
      <c r="Y38" s="79">
        <f t="shared" si="11"/>
        <v>0</v>
      </c>
      <c r="Z38" s="1"/>
      <c r="AA38" s="79">
        <f t="shared" si="12"/>
        <v>0</v>
      </c>
      <c r="AB38" s="1"/>
      <c r="AC38" s="79">
        <f t="shared" si="13"/>
        <v>0</v>
      </c>
      <c r="AD38" s="1"/>
      <c r="AE38" s="79">
        <f t="shared" si="14"/>
        <v>0</v>
      </c>
      <c r="AF38" s="1"/>
      <c r="AG38" s="79">
        <f t="shared" si="15"/>
        <v>0</v>
      </c>
      <c r="AH38" s="1"/>
      <c r="AI38" s="79">
        <f t="shared" si="63"/>
        <v>0</v>
      </c>
      <c r="AJ38" s="1"/>
      <c r="AK38" s="79">
        <f t="shared" si="17"/>
        <v>0</v>
      </c>
      <c r="AL38" s="1"/>
      <c r="AM38" s="79">
        <f t="shared" si="18"/>
        <v>0</v>
      </c>
      <c r="AN38" s="1"/>
      <c r="AO38" s="79">
        <f t="shared" si="19"/>
        <v>0</v>
      </c>
      <c r="AP38" s="1"/>
      <c r="AQ38" s="79">
        <f t="shared" si="20"/>
        <v>0</v>
      </c>
      <c r="AR38" s="1"/>
      <c r="AS38" s="79">
        <f t="shared" si="21"/>
        <v>0</v>
      </c>
      <c r="AT38" s="1"/>
      <c r="AU38" s="79">
        <f t="shared" si="22"/>
        <v>0</v>
      </c>
      <c r="AV38" s="1"/>
      <c r="AW38" s="79">
        <f t="shared" si="23"/>
        <v>0</v>
      </c>
      <c r="AX38" s="1"/>
      <c r="AY38" s="79">
        <f t="shared" si="24"/>
        <v>0</v>
      </c>
      <c r="AZ38" s="1"/>
      <c r="BA38" s="79">
        <f t="shared" si="25"/>
        <v>0</v>
      </c>
      <c r="BB38" s="1"/>
      <c r="BC38" s="79">
        <f t="shared" si="26"/>
        <v>0</v>
      </c>
      <c r="BD38" s="1"/>
      <c r="BE38" s="79">
        <f t="shared" si="27"/>
        <v>0</v>
      </c>
      <c r="BF38" s="1"/>
      <c r="BG38" s="79">
        <f t="shared" si="28"/>
        <v>0</v>
      </c>
      <c r="BH38" s="1"/>
      <c r="BI38" s="79">
        <f t="shared" si="29"/>
        <v>0</v>
      </c>
      <c r="BJ38" s="1"/>
      <c r="BK38" s="79">
        <f t="shared" si="30"/>
        <v>0</v>
      </c>
      <c r="BL38" s="1"/>
      <c r="BM38" s="79">
        <f t="shared" si="31"/>
        <v>0</v>
      </c>
      <c r="BN38" s="1"/>
      <c r="BO38" s="79">
        <f t="shared" si="32"/>
        <v>0</v>
      </c>
      <c r="BP38" s="1"/>
      <c r="BQ38" s="79">
        <f t="shared" si="33"/>
        <v>0</v>
      </c>
      <c r="BR38" s="1"/>
      <c r="BS38" s="79">
        <f t="shared" si="34"/>
        <v>0</v>
      </c>
      <c r="BT38" s="1"/>
      <c r="BU38" s="79">
        <f t="shared" si="35"/>
        <v>0</v>
      </c>
      <c r="BV38" s="1"/>
      <c r="BW38" s="79">
        <f t="shared" si="36"/>
        <v>0</v>
      </c>
      <c r="BX38" s="1"/>
      <c r="BY38" s="79">
        <f t="shared" si="37"/>
        <v>0</v>
      </c>
      <c r="BZ38" s="1"/>
      <c r="CA38" s="79">
        <f t="shared" si="38"/>
        <v>0</v>
      </c>
      <c r="CB38" s="1"/>
      <c r="CC38" s="79">
        <f t="shared" si="39"/>
        <v>0</v>
      </c>
      <c r="CD38" s="1"/>
      <c r="CE38" s="79">
        <f t="shared" si="40"/>
        <v>0</v>
      </c>
      <c r="CF38" s="1"/>
      <c r="CG38" s="79">
        <f t="shared" si="41"/>
        <v>0</v>
      </c>
      <c r="CH38" s="1"/>
      <c r="CI38" s="79">
        <f t="shared" si="42"/>
        <v>0</v>
      </c>
      <c r="CJ38" s="1"/>
      <c r="CK38" s="79">
        <f t="shared" si="43"/>
        <v>0</v>
      </c>
      <c r="CL38" s="1"/>
      <c r="CM38" s="79">
        <f t="shared" si="44"/>
        <v>0</v>
      </c>
      <c r="CN38" s="1"/>
      <c r="CO38" s="79">
        <f t="shared" si="45"/>
        <v>0</v>
      </c>
      <c r="CP38" s="1"/>
      <c r="CQ38" s="79">
        <f t="shared" si="46"/>
        <v>0</v>
      </c>
      <c r="CR38" s="1"/>
      <c r="CS38" s="79">
        <f t="shared" si="47"/>
        <v>0</v>
      </c>
      <c r="CT38" s="79"/>
      <c r="CU38" s="79">
        <f t="shared" si="48"/>
        <v>0</v>
      </c>
      <c r="CV38" s="79"/>
      <c r="CW38" s="79">
        <f t="shared" si="49"/>
        <v>0</v>
      </c>
      <c r="CX38" s="79"/>
      <c r="CY38" s="91"/>
      <c r="CZ38" s="79">
        <f t="shared" si="50"/>
        <v>0</v>
      </c>
      <c r="DA38" s="93"/>
      <c r="DB38" s="93">
        <f t="shared" si="51"/>
        <v>0</v>
      </c>
      <c r="DC38" s="96"/>
      <c r="DD38" s="93">
        <f t="shared" si="52"/>
        <v>0</v>
      </c>
      <c r="DE38" s="96"/>
      <c r="DF38" s="93">
        <f t="shared" si="53"/>
        <v>0</v>
      </c>
      <c r="DG38" s="96"/>
      <c r="DH38" s="93">
        <f t="shared" si="54"/>
        <v>0</v>
      </c>
      <c r="DI38" s="96"/>
      <c r="DJ38" s="93">
        <f t="shared" si="55"/>
        <v>0</v>
      </c>
      <c r="DK38" s="93"/>
      <c r="DL38" s="93">
        <f t="shared" si="56"/>
        <v>0</v>
      </c>
      <c r="DM38" s="100">
        <v>0.0</v>
      </c>
      <c r="DN38" s="93">
        <f t="shared" si="57"/>
        <v>0</v>
      </c>
      <c r="DO38" s="100">
        <v>0.0</v>
      </c>
      <c r="DP38" s="93">
        <f t="shared" si="58"/>
        <v>0</v>
      </c>
      <c r="DQ38" s="100">
        <v>0.0</v>
      </c>
      <c r="DR38" s="93">
        <f t="shared" si="59"/>
        <v>0</v>
      </c>
      <c r="DS38" s="100">
        <v>0.0</v>
      </c>
      <c r="DT38" s="93">
        <f t="shared" si="60"/>
        <v>0</v>
      </c>
      <c r="DU38" s="100">
        <v>0.0</v>
      </c>
      <c r="DV38" s="93">
        <f t="shared" si="61"/>
        <v>0</v>
      </c>
    </row>
    <row r="39">
      <c r="A39" s="7" t="s">
        <v>478</v>
      </c>
      <c r="B39" s="7" t="s">
        <v>479</v>
      </c>
      <c r="C39" s="76" t="str">
        <f t="array" ref="C39">_xlfn.XLOOKUP(A39,'Emp Master'!A:A,'Emp Master'!F:F)</f>
        <v>#N/A</v>
      </c>
      <c r="D39" s="76" t="str">
        <f t="array" ref="D39">_xlfn.XLOOKUP(A39,'Emp Master'!A:A,'Emp Master'!D:D)</f>
        <v>#N/A</v>
      </c>
      <c r="E39" s="76" t="str">
        <f t="shared" si="2"/>
        <v>#REF!</v>
      </c>
      <c r="F39" s="76"/>
      <c r="G39" s="79"/>
      <c r="H39" s="80"/>
      <c r="I39" s="79">
        <f t="shared" si="62"/>
        <v>0</v>
      </c>
      <c r="J39" s="80"/>
      <c r="K39" s="79">
        <f t="shared" si="4"/>
        <v>0</v>
      </c>
      <c r="L39" s="142"/>
      <c r="M39" s="79">
        <f t="shared" si="5"/>
        <v>0</v>
      </c>
      <c r="N39" s="142"/>
      <c r="O39" s="79">
        <f t="shared" si="6"/>
        <v>0</v>
      </c>
      <c r="P39" s="142"/>
      <c r="Q39" s="79">
        <f t="shared" si="7"/>
        <v>0</v>
      </c>
      <c r="R39" s="1"/>
      <c r="S39" s="79">
        <f t="shared" si="8"/>
        <v>0</v>
      </c>
      <c r="T39" s="1"/>
      <c r="U39" s="79">
        <f t="shared" si="9"/>
        <v>0</v>
      </c>
      <c r="V39" s="1"/>
      <c r="W39" s="79">
        <f t="shared" si="10"/>
        <v>0</v>
      </c>
      <c r="X39" s="1"/>
      <c r="Y39" s="79">
        <f t="shared" si="11"/>
        <v>0</v>
      </c>
      <c r="Z39" s="1"/>
      <c r="AA39" s="79">
        <f t="shared" si="12"/>
        <v>0</v>
      </c>
      <c r="AB39" s="1"/>
      <c r="AC39" s="79">
        <f t="shared" si="13"/>
        <v>0</v>
      </c>
      <c r="AD39" s="1"/>
      <c r="AE39" s="79">
        <f t="shared" si="14"/>
        <v>0</v>
      </c>
      <c r="AF39" s="1"/>
      <c r="AG39" s="79">
        <f t="shared" si="15"/>
        <v>0</v>
      </c>
      <c r="AH39" s="1"/>
      <c r="AI39" s="79">
        <f t="shared" si="63"/>
        <v>0</v>
      </c>
      <c r="AJ39" s="1"/>
      <c r="AK39" s="79">
        <f t="shared" si="17"/>
        <v>0</v>
      </c>
      <c r="AL39" s="1"/>
      <c r="AM39" s="79">
        <f t="shared" si="18"/>
        <v>0</v>
      </c>
      <c r="AN39" s="1"/>
      <c r="AO39" s="79">
        <f t="shared" si="19"/>
        <v>0</v>
      </c>
      <c r="AP39" s="1"/>
      <c r="AQ39" s="79">
        <f t="shared" si="20"/>
        <v>0</v>
      </c>
      <c r="AR39" s="1"/>
      <c r="AS39" s="79">
        <f t="shared" si="21"/>
        <v>0</v>
      </c>
      <c r="AT39" s="1"/>
      <c r="AU39" s="79">
        <f t="shared" si="22"/>
        <v>0</v>
      </c>
      <c r="AV39" s="1"/>
      <c r="AW39" s="79">
        <f t="shared" si="23"/>
        <v>0</v>
      </c>
      <c r="AX39" s="1"/>
      <c r="AY39" s="79">
        <f t="shared" si="24"/>
        <v>0</v>
      </c>
      <c r="AZ39" s="1"/>
      <c r="BA39" s="79">
        <f t="shared" si="25"/>
        <v>0</v>
      </c>
      <c r="BB39" s="1"/>
      <c r="BC39" s="79">
        <f t="shared" si="26"/>
        <v>0</v>
      </c>
      <c r="BD39" s="1"/>
      <c r="BE39" s="79">
        <f t="shared" si="27"/>
        <v>0</v>
      </c>
      <c r="BF39" s="1"/>
      <c r="BG39" s="79">
        <f t="shared" si="28"/>
        <v>0</v>
      </c>
      <c r="BH39" s="1"/>
      <c r="BI39" s="79">
        <f t="shared" si="29"/>
        <v>0</v>
      </c>
      <c r="BJ39" s="1"/>
      <c r="BK39" s="79">
        <f t="shared" si="30"/>
        <v>0</v>
      </c>
      <c r="BL39" s="1"/>
      <c r="BM39" s="79">
        <f t="shared" si="31"/>
        <v>0</v>
      </c>
      <c r="BN39" s="1"/>
      <c r="BO39" s="79">
        <f t="shared" si="32"/>
        <v>0</v>
      </c>
      <c r="BP39" s="1"/>
      <c r="BQ39" s="79">
        <f t="shared" si="33"/>
        <v>0</v>
      </c>
      <c r="BR39" s="1"/>
      <c r="BS39" s="79">
        <f t="shared" si="34"/>
        <v>0</v>
      </c>
      <c r="BT39" s="1"/>
      <c r="BU39" s="79">
        <f t="shared" si="35"/>
        <v>0</v>
      </c>
      <c r="BV39" s="1"/>
      <c r="BW39" s="79">
        <f t="shared" si="36"/>
        <v>0</v>
      </c>
      <c r="BX39" s="1"/>
      <c r="BY39" s="79">
        <f t="shared" si="37"/>
        <v>0</v>
      </c>
      <c r="BZ39" s="1"/>
      <c r="CA39" s="79">
        <f t="shared" si="38"/>
        <v>0</v>
      </c>
      <c r="CB39" s="1"/>
      <c r="CC39" s="79">
        <f t="shared" si="39"/>
        <v>0</v>
      </c>
      <c r="CD39" s="1"/>
      <c r="CE39" s="79">
        <f t="shared" si="40"/>
        <v>0</v>
      </c>
      <c r="CF39" s="1"/>
      <c r="CG39" s="79">
        <f t="shared" si="41"/>
        <v>0</v>
      </c>
      <c r="CH39" s="1"/>
      <c r="CI39" s="79">
        <f t="shared" si="42"/>
        <v>0</v>
      </c>
      <c r="CJ39" s="1"/>
      <c r="CK39" s="79">
        <f t="shared" si="43"/>
        <v>0</v>
      </c>
      <c r="CL39" s="1"/>
      <c r="CM39" s="79">
        <f t="shared" si="44"/>
        <v>0</v>
      </c>
      <c r="CN39" s="1"/>
      <c r="CO39" s="79">
        <f t="shared" si="45"/>
        <v>0</v>
      </c>
      <c r="CP39" s="1"/>
      <c r="CQ39" s="79">
        <f t="shared" si="46"/>
        <v>0</v>
      </c>
      <c r="CR39" s="1"/>
      <c r="CS39" s="79">
        <f t="shared" si="47"/>
        <v>0</v>
      </c>
      <c r="CT39" s="79"/>
      <c r="CU39" s="79">
        <f t="shared" si="48"/>
        <v>0</v>
      </c>
      <c r="CV39" s="79"/>
      <c r="CW39" s="79">
        <f t="shared" si="49"/>
        <v>0</v>
      </c>
      <c r="CX39" s="79"/>
      <c r="CY39" s="91"/>
      <c r="CZ39" s="79">
        <f t="shared" si="50"/>
        <v>0</v>
      </c>
      <c r="DA39" s="93"/>
      <c r="DB39" s="93">
        <f t="shared" si="51"/>
        <v>0</v>
      </c>
      <c r="DC39" s="96"/>
      <c r="DD39" s="93">
        <f t="shared" si="52"/>
        <v>0</v>
      </c>
      <c r="DE39" s="96"/>
      <c r="DF39" s="93">
        <f t="shared" si="53"/>
        <v>0</v>
      </c>
      <c r="DG39" s="96"/>
      <c r="DH39" s="93">
        <f t="shared" si="54"/>
        <v>0</v>
      </c>
      <c r="DI39" s="96"/>
      <c r="DJ39" s="93">
        <f t="shared" si="55"/>
        <v>0</v>
      </c>
      <c r="DK39" s="93"/>
      <c r="DL39" s="93">
        <f t="shared" si="56"/>
        <v>0</v>
      </c>
      <c r="DM39" s="100">
        <v>0.0</v>
      </c>
      <c r="DN39" s="93">
        <f t="shared" si="57"/>
        <v>0</v>
      </c>
      <c r="DO39" s="100">
        <v>0.0</v>
      </c>
      <c r="DP39" s="93">
        <f t="shared" si="58"/>
        <v>0</v>
      </c>
      <c r="DQ39" s="100">
        <v>0.0</v>
      </c>
      <c r="DR39" s="93">
        <f t="shared" si="59"/>
        <v>0</v>
      </c>
      <c r="DS39" s="100">
        <v>0.0</v>
      </c>
      <c r="DT39" s="93">
        <f t="shared" si="60"/>
        <v>0</v>
      </c>
      <c r="DU39" s="100">
        <v>0.0</v>
      </c>
      <c r="DV39" s="93">
        <f t="shared" si="61"/>
        <v>0</v>
      </c>
    </row>
    <row r="40">
      <c r="A40" s="7" t="s">
        <v>486</v>
      </c>
      <c r="B40" s="7" t="s">
        <v>282</v>
      </c>
      <c r="C40" s="76" t="str">
        <f t="array" ref="C40">_xlfn.XLOOKUP(A40,'Emp Master'!A:A,'Emp Master'!F:F)</f>
        <v>#N/A</v>
      </c>
      <c r="D40" s="76" t="str">
        <f t="array" ref="D40">_xlfn.XLOOKUP(A40,'Emp Master'!A:A,'Emp Master'!D:D)</f>
        <v>#N/A</v>
      </c>
      <c r="E40" s="76" t="str">
        <f t="shared" si="2"/>
        <v>#REF!</v>
      </c>
      <c r="F40" s="76"/>
      <c r="G40" s="79"/>
      <c r="H40" s="80"/>
      <c r="I40" s="79">
        <f t="shared" si="62"/>
        <v>0</v>
      </c>
      <c r="J40" s="80"/>
      <c r="K40" s="79">
        <f t="shared" si="4"/>
        <v>0</v>
      </c>
      <c r="L40" s="142"/>
      <c r="M40" s="79">
        <f t="shared" si="5"/>
        <v>0</v>
      </c>
      <c r="N40" s="142"/>
      <c r="O40" s="79">
        <f t="shared" si="6"/>
        <v>0</v>
      </c>
      <c r="P40" s="142"/>
      <c r="Q40" s="79">
        <f t="shared" si="7"/>
        <v>0</v>
      </c>
      <c r="R40" s="1"/>
      <c r="S40" s="79">
        <f t="shared" si="8"/>
        <v>0</v>
      </c>
      <c r="T40" s="1"/>
      <c r="U40" s="79">
        <f t="shared" si="9"/>
        <v>0</v>
      </c>
      <c r="V40" s="1"/>
      <c r="W40" s="79">
        <f t="shared" si="10"/>
        <v>0</v>
      </c>
      <c r="X40" s="1"/>
      <c r="Y40" s="79">
        <f t="shared" si="11"/>
        <v>0</v>
      </c>
      <c r="Z40" s="1"/>
      <c r="AA40" s="79">
        <f t="shared" si="12"/>
        <v>0</v>
      </c>
      <c r="AB40" s="1"/>
      <c r="AC40" s="79">
        <f t="shared" si="13"/>
        <v>0</v>
      </c>
      <c r="AD40" s="1"/>
      <c r="AE40" s="79">
        <f t="shared" si="14"/>
        <v>0</v>
      </c>
      <c r="AF40" s="1"/>
      <c r="AG40" s="79">
        <f t="shared" si="15"/>
        <v>0</v>
      </c>
      <c r="AH40" s="1"/>
      <c r="AI40" s="79">
        <f t="shared" si="63"/>
        <v>0</v>
      </c>
      <c r="AJ40" s="1"/>
      <c r="AK40" s="79">
        <f t="shared" si="17"/>
        <v>0</v>
      </c>
      <c r="AL40" s="1"/>
      <c r="AM40" s="79">
        <f t="shared" si="18"/>
        <v>0</v>
      </c>
      <c r="AN40" s="1"/>
      <c r="AO40" s="79">
        <f t="shared" si="19"/>
        <v>0</v>
      </c>
      <c r="AP40" s="1"/>
      <c r="AQ40" s="79">
        <f t="shared" si="20"/>
        <v>0</v>
      </c>
      <c r="AR40" s="1"/>
      <c r="AS40" s="79">
        <f t="shared" si="21"/>
        <v>0</v>
      </c>
      <c r="AT40" s="1"/>
      <c r="AU40" s="79">
        <f t="shared" si="22"/>
        <v>0</v>
      </c>
      <c r="AV40" s="1"/>
      <c r="AW40" s="79">
        <f t="shared" si="23"/>
        <v>0</v>
      </c>
      <c r="AX40" s="1"/>
      <c r="AY40" s="79">
        <f t="shared" si="24"/>
        <v>0</v>
      </c>
      <c r="AZ40" s="1"/>
      <c r="BA40" s="79">
        <f t="shared" si="25"/>
        <v>0</v>
      </c>
      <c r="BB40" s="1"/>
      <c r="BC40" s="79">
        <f t="shared" si="26"/>
        <v>0</v>
      </c>
      <c r="BD40" s="1"/>
      <c r="BE40" s="79">
        <f t="shared" si="27"/>
        <v>0</v>
      </c>
      <c r="BF40" s="1"/>
      <c r="BG40" s="79">
        <f t="shared" si="28"/>
        <v>0</v>
      </c>
      <c r="BH40" s="1"/>
      <c r="BI40" s="79">
        <f t="shared" si="29"/>
        <v>0</v>
      </c>
      <c r="BJ40" s="1"/>
      <c r="BK40" s="79">
        <f t="shared" si="30"/>
        <v>0</v>
      </c>
      <c r="BL40" s="1"/>
      <c r="BM40" s="79">
        <f t="shared" si="31"/>
        <v>0</v>
      </c>
      <c r="BN40" s="1"/>
      <c r="BO40" s="79">
        <f t="shared" si="32"/>
        <v>0</v>
      </c>
      <c r="BP40" s="1"/>
      <c r="BQ40" s="79">
        <f t="shared" si="33"/>
        <v>0</v>
      </c>
      <c r="BR40" s="1"/>
      <c r="BS40" s="79">
        <f t="shared" si="34"/>
        <v>0</v>
      </c>
      <c r="BT40" s="1"/>
      <c r="BU40" s="79">
        <f t="shared" si="35"/>
        <v>0</v>
      </c>
      <c r="BV40" s="1"/>
      <c r="BW40" s="79">
        <f t="shared" si="36"/>
        <v>0</v>
      </c>
      <c r="BX40" s="1"/>
      <c r="BY40" s="79">
        <f t="shared" si="37"/>
        <v>0</v>
      </c>
      <c r="BZ40" s="1"/>
      <c r="CA40" s="79">
        <f t="shared" si="38"/>
        <v>0</v>
      </c>
      <c r="CB40" s="1"/>
      <c r="CC40" s="79">
        <f t="shared" si="39"/>
        <v>0</v>
      </c>
      <c r="CD40" s="1"/>
      <c r="CE40" s="79">
        <f t="shared" si="40"/>
        <v>0</v>
      </c>
      <c r="CF40" s="1"/>
      <c r="CG40" s="79">
        <f t="shared" si="41"/>
        <v>0</v>
      </c>
      <c r="CH40" s="1"/>
      <c r="CI40" s="79">
        <f t="shared" si="42"/>
        <v>0</v>
      </c>
      <c r="CJ40" s="1"/>
      <c r="CK40" s="79">
        <f t="shared" si="43"/>
        <v>0</v>
      </c>
      <c r="CL40" s="1"/>
      <c r="CM40" s="79">
        <f t="shared" si="44"/>
        <v>0</v>
      </c>
      <c r="CN40" s="1"/>
      <c r="CO40" s="79">
        <f t="shared" si="45"/>
        <v>0</v>
      </c>
      <c r="CP40" s="1"/>
      <c r="CQ40" s="79">
        <f t="shared" si="46"/>
        <v>0</v>
      </c>
      <c r="CR40" s="1"/>
      <c r="CS40" s="79">
        <f t="shared" si="47"/>
        <v>0</v>
      </c>
      <c r="CT40" s="79"/>
      <c r="CU40" s="79">
        <f t="shared" si="48"/>
        <v>0</v>
      </c>
      <c r="CV40" s="79"/>
      <c r="CW40" s="79">
        <f t="shared" si="49"/>
        <v>0</v>
      </c>
      <c r="CX40" s="79"/>
      <c r="CY40" s="91"/>
      <c r="CZ40" s="79">
        <f t="shared" si="50"/>
        <v>0</v>
      </c>
      <c r="DA40" s="93"/>
      <c r="DB40" s="93">
        <f t="shared" si="51"/>
        <v>0</v>
      </c>
      <c r="DC40" s="96"/>
      <c r="DD40" s="93">
        <f t="shared" si="52"/>
        <v>0</v>
      </c>
      <c r="DE40" s="96"/>
      <c r="DF40" s="93">
        <f t="shared" si="53"/>
        <v>0</v>
      </c>
      <c r="DG40" s="96"/>
      <c r="DH40" s="93">
        <f t="shared" si="54"/>
        <v>0</v>
      </c>
      <c r="DI40" s="96"/>
      <c r="DJ40" s="93">
        <f t="shared" si="55"/>
        <v>0</v>
      </c>
      <c r="DK40" s="93"/>
      <c r="DL40" s="93">
        <f t="shared" si="56"/>
        <v>0</v>
      </c>
      <c r="DM40" s="100">
        <v>0.0</v>
      </c>
      <c r="DN40" s="93">
        <f t="shared" si="57"/>
        <v>0</v>
      </c>
      <c r="DO40" s="100">
        <v>0.0</v>
      </c>
      <c r="DP40" s="93">
        <f t="shared" si="58"/>
        <v>0</v>
      </c>
      <c r="DQ40" s="100">
        <v>0.0</v>
      </c>
      <c r="DR40" s="93">
        <f t="shared" si="59"/>
        <v>0</v>
      </c>
      <c r="DS40" s="100">
        <v>0.0</v>
      </c>
      <c r="DT40" s="93">
        <f t="shared" si="60"/>
        <v>0</v>
      </c>
      <c r="DU40" s="100">
        <v>0.0</v>
      </c>
      <c r="DV40" s="93">
        <f t="shared" si="61"/>
        <v>0</v>
      </c>
    </row>
    <row r="41">
      <c r="A41" s="106" t="s">
        <v>491</v>
      </c>
      <c r="B41" s="106" t="s">
        <v>492</v>
      </c>
      <c r="C41" s="76" t="str">
        <f t="array" ref="C41">_xlfn.XLOOKUP(A41,'Emp Master'!A:A,'Emp Master'!F:F)</f>
        <v>#N/A</v>
      </c>
      <c r="D41" s="76" t="str">
        <f t="array" ref="D41">_xlfn.XLOOKUP(A41,'Emp Master'!A:A,'Emp Master'!D:D)</f>
        <v>#N/A</v>
      </c>
      <c r="E41" s="76" t="str">
        <f t="shared" si="2"/>
        <v>#REF!</v>
      </c>
      <c r="F41" s="76"/>
      <c r="G41" s="79"/>
      <c r="H41" s="80"/>
      <c r="I41" s="79">
        <f t="shared" si="62"/>
        <v>0</v>
      </c>
      <c r="J41" s="80"/>
      <c r="K41" s="79">
        <f t="shared" si="4"/>
        <v>0</v>
      </c>
      <c r="L41" s="142"/>
      <c r="M41" s="79">
        <f t="shared" si="5"/>
        <v>0</v>
      </c>
      <c r="N41" s="142"/>
      <c r="O41" s="79">
        <f t="shared" si="6"/>
        <v>0</v>
      </c>
      <c r="P41" s="142"/>
      <c r="Q41" s="79">
        <f t="shared" si="7"/>
        <v>0</v>
      </c>
      <c r="R41" s="1"/>
      <c r="S41" s="79">
        <f t="shared" si="8"/>
        <v>0</v>
      </c>
      <c r="T41" s="1"/>
      <c r="U41" s="79">
        <f t="shared" si="9"/>
        <v>0</v>
      </c>
      <c r="V41" s="1"/>
      <c r="W41" s="79">
        <f t="shared" si="10"/>
        <v>0</v>
      </c>
      <c r="X41" s="1"/>
      <c r="Y41" s="79">
        <f t="shared" si="11"/>
        <v>0</v>
      </c>
      <c r="Z41" s="1"/>
      <c r="AA41" s="79">
        <f t="shared" si="12"/>
        <v>0</v>
      </c>
      <c r="AB41" s="1"/>
      <c r="AC41" s="79">
        <f t="shared" si="13"/>
        <v>0</v>
      </c>
      <c r="AD41" s="1"/>
      <c r="AE41" s="79">
        <f t="shared" si="14"/>
        <v>0</v>
      </c>
      <c r="AF41" s="1"/>
      <c r="AG41" s="79">
        <f t="shared" si="15"/>
        <v>0</v>
      </c>
      <c r="AH41" s="1"/>
      <c r="AI41" s="79">
        <f t="shared" si="63"/>
        <v>0</v>
      </c>
      <c r="AJ41" s="1"/>
      <c r="AK41" s="79">
        <f t="shared" si="17"/>
        <v>0</v>
      </c>
      <c r="AL41" s="1"/>
      <c r="AM41" s="79">
        <f t="shared" si="18"/>
        <v>0</v>
      </c>
      <c r="AN41" s="1"/>
      <c r="AO41" s="79">
        <f t="shared" si="19"/>
        <v>0</v>
      </c>
      <c r="AP41" s="1"/>
      <c r="AQ41" s="79">
        <f t="shared" si="20"/>
        <v>0</v>
      </c>
      <c r="AR41" s="1"/>
      <c r="AS41" s="79">
        <f t="shared" si="21"/>
        <v>0</v>
      </c>
      <c r="AT41" s="1"/>
      <c r="AU41" s="79">
        <f t="shared" si="22"/>
        <v>0</v>
      </c>
      <c r="AV41" s="1"/>
      <c r="AW41" s="79">
        <f t="shared" si="23"/>
        <v>0</v>
      </c>
      <c r="AX41" s="1"/>
      <c r="AY41" s="79">
        <f t="shared" si="24"/>
        <v>0</v>
      </c>
      <c r="AZ41" s="1"/>
      <c r="BA41" s="79">
        <f t="shared" si="25"/>
        <v>0</v>
      </c>
      <c r="BB41" s="1"/>
      <c r="BC41" s="79">
        <f t="shared" si="26"/>
        <v>0</v>
      </c>
      <c r="BD41" s="1"/>
      <c r="BE41" s="79">
        <f t="shared" si="27"/>
        <v>0</v>
      </c>
      <c r="BF41" s="1"/>
      <c r="BG41" s="79">
        <f t="shared" si="28"/>
        <v>0</v>
      </c>
      <c r="BH41" s="1"/>
      <c r="BI41" s="79">
        <f t="shared" si="29"/>
        <v>0</v>
      </c>
      <c r="BJ41" s="1"/>
      <c r="BK41" s="79">
        <f t="shared" si="30"/>
        <v>0</v>
      </c>
      <c r="BL41" s="1"/>
      <c r="BM41" s="79">
        <f t="shared" si="31"/>
        <v>0</v>
      </c>
      <c r="BN41" s="1"/>
      <c r="BO41" s="79">
        <f t="shared" si="32"/>
        <v>0</v>
      </c>
      <c r="BP41" s="1"/>
      <c r="BQ41" s="79">
        <f t="shared" si="33"/>
        <v>0</v>
      </c>
      <c r="BR41" s="1"/>
      <c r="BS41" s="79">
        <f t="shared" si="34"/>
        <v>0</v>
      </c>
      <c r="BT41" s="1"/>
      <c r="BU41" s="79">
        <f t="shared" si="35"/>
        <v>0</v>
      </c>
      <c r="BV41" s="1"/>
      <c r="BW41" s="79">
        <f t="shared" si="36"/>
        <v>0</v>
      </c>
      <c r="BX41" s="1"/>
      <c r="BY41" s="79">
        <f t="shared" si="37"/>
        <v>0</v>
      </c>
      <c r="BZ41" s="1"/>
      <c r="CA41" s="79">
        <f t="shared" si="38"/>
        <v>0</v>
      </c>
      <c r="CB41" s="1"/>
      <c r="CC41" s="79">
        <f t="shared" si="39"/>
        <v>0</v>
      </c>
      <c r="CD41" s="1"/>
      <c r="CE41" s="79">
        <f t="shared" si="40"/>
        <v>0</v>
      </c>
      <c r="CF41" s="1"/>
      <c r="CG41" s="79">
        <f t="shared" si="41"/>
        <v>0</v>
      </c>
      <c r="CH41" s="1"/>
      <c r="CI41" s="79">
        <f t="shared" si="42"/>
        <v>0</v>
      </c>
      <c r="CJ41" s="1"/>
      <c r="CK41" s="79">
        <f t="shared" si="43"/>
        <v>0</v>
      </c>
      <c r="CL41" s="1"/>
      <c r="CM41" s="79">
        <f t="shared" si="44"/>
        <v>0</v>
      </c>
      <c r="CN41" s="1"/>
      <c r="CO41" s="79">
        <f t="shared" si="45"/>
        <v>0</v>
      </c>
      <c r="CP41" s="1"/>
      <c r="CQ41" s="79">
        <f t="shared" si="46"/>
        <v>0</v>
      </c>
      <c r="CR41" s="1"/>
      <c r="CS41" s="79">
        <f t="shared" si="47"/>
        <v>0</v>
      </c>
      <c r="CT41" s="79"/>
      <c r="CU41" s="79">
        <f t="shared" si="48"/>
        <v>0</v>
      </c>
      <c r="CV41" s="79"/>
      <c r="CW41" s="79">
        <f t="shared" si="49"/>
        <v>0</v>
      </c>
      <c r="CX41" s="79"/>
      <c r="CY41" s="91"/>
      <c r="CZ41" s="79">
        <f t="shared" si="50"/>
        <v>0</v>
      </c>
      <c r="DA41" s="93"/>
      <c r="DB41" s="93">
        <f t="shared" si="51"/>
        <v>0</v>
      </c>
      <c r="DC41" s="96"/>
      <c r="DD41" s="93">
        <f t="shared" si="52"/>
        <v>0</v>
      </c>
      <c r="DE41" s="96"/>
      <c r="DF41" s="93">
        <f t="shared" si="53"/>
        <v>0</v>
      </c>
      <c r="DG41" s="96"/>
      <c r="DH41" s="93">
        <f t="shared" si="54"/>
        <v>0</v>
      </c>
      <c r="DI41" s="96"/>
      <c r="DJ41" s="93">
        <f t="shared" si="55"/>
        <v>0</v>
      </c>
      <c r="DK41" s="93"/>
      <c r="DL41" s="93">
        <f t="shared" si="56"/>
        <v>0</v>
      </c>
      <c r="DM41" s="100">
        <v>0.0</v>
      </c>
      <c r="DN41" s="93">
        <f t="shared" si="57"/>
        <v>0</v>
      </c>
      <c r="DO41" s="100">
        <v>0.0</v>
      </c>
      <c r="DP41" s="93">
        <f t="shared" si="58"/>
        <v>0</v>
      </c>
      <c r="DQ41" s="100">
        <v>0.0</v>
      </c>
      <c r="DR41" s="93">
        <f t="shared" si="59"/>
        <v>0</v>
      </c>
      <c r="DS41" s="100">
        <v>0.0</v>
      </c>
      <c r="DT41" s="93">
        <f t="shared" si="60"/>
        <v>0</v>
      </c>
      <c r="DU41" s="100">
        <v>0.0</v>
      </c>
      <c r="DV41" s="93">
        <f t="shared" si="61"/>
        <v>0</v>
      </c>
    </row>
    <row r="42">
      <c r="A42" s="106" t="s">
        <v>500</v>
      </c>
      <c r="B42" s="106" t="s">
        <v>501</v>
      </c>
      <c r="C42" s="76" t="str">
        <f t="array" ref="C42">_xlfn.XLOOKUP(A42,'Emp Master'!A:A,'Emp Master'!F:F)</f>
        <v>#N/A</v>
      </c>
      <c r="D42" s="76" t="str">
        <f t="array" ref="D42">_xlfn.XLOOKUP(A42,'Emp Master'!A:A,'Emp Master'!D:D)</f>
        <v>#N/A</v>
      </c>
      <c r="E42" s="76" t="str">
        <f t="shared" si="2"/>
        <v>#REF!</v>
      </c>
      <c r="F42" s="76" t="s">
        <v>70</v>
      </c>
      <c r="G42" s="79" t="s">
        <v>70</v>
      </c>
      <c r="H42" s="80" t="s">
        <v>70</v>
      </c>
      <c r="I42" s="79">
        <f t="shared" si="62"/>
        <v>0</v>
      </c>
      <c r="J42" s="80"/>
      <c r="K42" s="79">
        <f t="shared" si="4"/>
        <v>0</v>
      </c>
      <c r="L42" s="142"/>
      <c r="M42" s="79">
        <f t="shared" si="5"/>
        <v>0</v>
      </c>
      <c r="N42" s="142"/>
      <c r="O42" s="79">
        <f t="shared" si="6"/>
        <v>0</v>
      </c>
      <c r="P42" s="142"/>
      <c r="Q42" s="79">
        <f t="shared" si="7"/>
        <v>0</v>
      </c>
      <c r="R42" s="1"/>
      <c r="S42" s="79">
        <f t="shared" si="8"/>
        <v>0</v>
      </c>
      <c r="T42" s="1"/>
      <c r="U42" s="79">
        <f t="shared" si="9"/>
        <v>0</v>
      </c>
      <c r="V42" s="1"/>
      <c r="W42" s="79">
        <f t="shared" si="10"/>
        <v>0</v>
      </c>
      <c r="X42" s="1"/>
      <c r="Y42" s="79">
        <f t="shared" si="11"/>
        <v>0</v>
      </c>
      <c r="Z42" s="1"/>
      <c r="AA42" s="79">
        <f t="shared" si="12"/>
        <v>0</v>
      </c>
      <c r="AB42" s="1"/>
      <c r="AC42" s="79">
        <f t="shared" si="13"/>
        <v>0</v>
      </c>
      <c r="AD42" s="1"/>
      <c r="AE42" s="79">
        <f t="shared" si="14"/>
        <v>0</v>
      </c>
      <c r="AF42" s="1"/>
      <c r="AG42" s="79">
        <f t="shared" si="15"/>
        <v>0</v>
      </c>
      <c r="AH42" s="1"/>
      <c r="AI42" s="79">
        <f t="shared" si="63"/>
        <v>0</v>
      </c>
      <c r="AJ42" s="1"/>
      <c r="AK42" s="79">
        <f t="shared" si="17"/>
        <v>0</v>
      </c>
      <c r="AL42" s="1"/>
      <c r="AM42" s="79">
        <f t="shared" si="18"/>
        <v>0</v>
      </c>
      <c r="AN42" s="1"/>
      <c r="AO42" s="79">
        <f t="shared" si="19"/>
        <v>0</v>
      </c>
      <c r="AP42" s="1"/>
      <c r="AQ42" s="79">
        <f t="shared" si="20"/>
        <v>0</v>
      </c>
      <c r="AR42" s="1"/>
      <c r="AS42" s="79">
        <f t="shared" si="21"/>
        <v>0</v>
      </c>
      <c r="AT42" s="1"/>
      <c r="AU42" s="79">
        <f t="shared" si="22"/>
        <v>0</v>
      </c>
      <c r="AV42" s="1"/>
      <c r="AW42" s="79">
        <f t="shared" si="23"/>
        <v>0</v>
      </c>
      <c r="AX42" s="1"/>
      <c r="AY42" s="79">
        <f t="shared" si="24"/>
        <v>0</v>
      </c>
      <c r="AZ42" s="1"/>
      <c r="BA42" s="79">
        <f t="shared" si="25"/>
        <v>0</v>
      </c>
      <c r="BB42" s="1"/>
      <c r="BC42" s="79">
        <f t="shared" si="26"/>
        <v>0</v>
      </c>
      <c r="BD42" s="1"/>
      <c r="BE42" s="79">
        <f t="shared" si="27"/>
        <v>0</v>
      </c>
      <c r="BF42" s="1"/>
      <c r="BG42" s="79">
        <f t="shared" si="28"/>
        <v>0</v>
      </c>
      <c r="BH42" s="1"/>
      <c r="BI42" s="79">
        <f t="shared" si="29"/>
        <v>0</v>
      </c>
      <c r="BJ42" s="1"/>
      <c r="BK42" s="79">
        <f t="shared" si="30"/>
        <v>0</v>
      </c>
      <c r="BL42" s="1"/>
      <c r="BM42" s="79">
        <f t="shared" si="31"/>
        <v>0</v>
      </c>
      <c r="BN42" s="1"/>
      <c r="BO42" s="79">
        <f t="shared" si="32"/>
        <v>0</v>
      </c>
      <c r="BP42" s="1"/>
      <c r="BQ42" s="79">
        <f t="shared" si="33"/>
        <v>0</v>
      </c>
      <c r="BR42" s="1"/>
      <c r="BS42" s="79">
        <f t="shared" si="34"/>
        <v>0</v>
      </c>
      <c r="BT42" s="1"/>
      <c r="BU42" s="79">
        <f t="shared" si="35"/>
        <v>0</v>
      </c>
      <c r="BV42" s="1"/>
      <c r="BW42" s="79">
        <f t="shared" si="36"/>
        <v>0</v>
      </c>
      <c r="BX42" s="1"/>
      <c r="BY42" s="79">
        <f t="shared" si="37"/>
        <v>0</v>
      </c>
      <c r="BZ42" s="1"/>
      <c r="CA42" s="79">
        <f t="shared" si="38"/>
        <v>0</v>
      </c>
      <c r="CB42" s="1"/>
      <c r="CC42" s="79">
        <f t="shared" si="39"/>
        <v>0</v>
      </c>
      <c r="CD42" s="1"/>
      <c r="CE42" s="79">
        <f t="shared" si="40"/>
        <v>0</v>
      </c>
      <c r="CF42" s="1"/>
      <c r="CG42" s="79">
        <f t="shared" si="41"/>
        <v>0</v>
      </c>
      <c r="CH42" s="1"/>
      <c r="CI42" s="79">
        <f t="shared" si="42"/>
        <v>0</v>
      </c>
      <c r="CJ42" s="1"/>
      <c r="CK42" s="79">
        <f t="shared" si="43"/>
        <v>0</v>
      </c>
      <c r="CL42" s="1"/>
      <c r="CM42" s="79">
        <f t="shared" si="44"/>
        <v>0</v>
      </c>
      <c r="CN42" s="1"/>
      <c r="CO42" s="79">
        <f t="shared" si="45"/>
        <v>0</v>
      </c>
      <c r="CP42" s="1"/>
      <c r="CQ42" s="79">
        <f t="shared" si="46"/>
        <v>0</v>
      </c>
      <c r="CR42" s="1"/>
      <c r="CS42" s="79">
        <f t="shared" si="47"/>
        <v>0</v>
      </c>
      <c r="CT42" s="79"/>
      <c r="CU42" s="79">
        <f t="shared" si="48"/>
        <v>0</v>
      </c>
      <c r="CV42" s="79"/>
      <c r="CW42" s="79">
        <f t="shared" si="49"/>
        <v>0</v>
      </c>
      <c r="CX42" s="79"/>
      <c r="CY42" s="91"/>
      <c r="CZ42" s="79">
        <f t="shared" si="50"/>
        <v>0</v>
      </c>
      <c r="DA42" s="93"/>
      <c r="DB42" s="93">
        <f t="shared" si="51"/>
        <v>0</v>
      </c>
      <c r="DC42" s="96"/>
      <c r="DD42" s="93">
        <f t="shared" si="52"/>
        <v>0</v>
      </c>
      <c r="DE42" s="96"/>
      <c r="DF42" s="93">
        <f t="shared" si="53"/>
        <v>0</v>
      </c>
      <c r="DG42" s="96"/>
      <c r="DH42" s="93">
        <f t="shared" si="54"/>
        <v>0</v>
      </c>
      <c r="DI42" s="96"/>
      <c r="DJ42" s="93">
        <f t="shared" si="55"/>
        <v>0</v>
      </c>
      <c r="DK42" s="93"/>
      <c r="DL42" s="93">
        <f t="shared" si="56"/>
        <v>0</v>
      </c>
      <c r="DM42" s="100">
        <v>0.0</v>
      </c>
      <c r="DN42" s="93">
        <f t="shared" si="57"/>
        <v>0</v>
      </c>
      <c r="DO42" s="100">
        <v>0.0</v>
      </c>
      <c r="DP42" s="93">
        <f t="shared" si="58"/>
        <v>0</v>
      </c>
      <c r="DQ42" s="100">
        <v>0.0</v>
      </c>
      <c r="DR42" s="93">
        <f t="shared" si="59"/>
        <v>0</v>
      </c>
      <c r="DS42" s="100">
        <v>0.0</v>
      </c>
      <c r="DT42" s="93">
        <f t="shared" si="60"/>
        <v>0</v>
      </c>
      <c r="DU42" s="100">
        <v>0.0</v>
      </c>
      <c r="DV42" s="93">
        <f t="shared" si="61"/>
        <v>0</v>
      </c>
    </row>
    <row r="43">
      <c r="A43" s="7" t="s">
        <v>507</v>
      </c>
      <c r="B43" s="7" t="s">
        <v>508</v>
      </c>
      <c r="C43" s="76" t="str">
        <f t="array" ref="C43">_xlfn.XLOOKUP(A43,'Emp Master'!A:A,'Emp Master'!F:F)</f>
        <v>#N/A</v>
      </c>
      <c r="D43" s="76" t="str">
        <f t="array" ref="D43">_xlfn.XLOOKUP(A43,'Emp Master'!A:A,'Emp Master'!D:D)</f>
        <v>#N/A</v>
      </c>
      <c r="E43" s="76" t="str">
        <f t="shared" si="2"/>
        <v>#REF!</v>
      </c>
      <c r="F43" s="76"/>
      <c r="G43" s="79"/>
      <c r="H43" s="80"/>
      <c r="I43" s="79">
        <f t="shared" si="62"/>
        <v>0</v>
      </c>
      <c r="J43" s="80"/>
      <c r="K43" s="79">
        <f t="shared" si="4"/>
        <v>0</v>
      </c>
      <c r="L43" s="142"/>
      <c r="M43" s="79">
        <f t="shared" si="5"/>
        <v>0</v>
      </c>
      <c r="N43" s="142"/>
      <c r="O43" s="79">
        <f t="shared" si="6"/>
        <v>0</v>
      </c>
      <c r="P43" s="142"/>
      <c r="Q43" s="79">
        <f t="shared" si="7"/>
        <v>0</v>
      </c>
      <c r="R43" s="1"/>
      <c r="S43" s="79">
        <f t="shared" si="8"/>
        <v>0</v>
      </c>
      <c r="T43" s="1"/>
      <c r="U43" s="79">
        <f t="shared" si="9"/>
        <v>0</v>
      </c>
      <c r="V43" s="1"/>
      <c r="W43" s="79">
        <f t="shared" si="10"/>
        <v>0</v>
      </c>
      <c r="X43" s="1"/>
      <c r="Y43" s="79">
        <f t="shared" si="11"/>
        <v>0</v>
      </c>
      <c r="Z43" s="1"/>
      <c r="AA43" s="79">
        <f t="shared" si="12"/>
        <v>0</v>
      </c>
      <c r="AB43" s="1"/>
      <c r="AC43" s="79">
        <f t="shared" si="13"/>
        <v>0</v>
      </c>
      <c r="AD43" s="1"/>
      <c r="AE43" s="79">
        <f t="shared" si="14"/>
        <v>0</v>
      </c>
      <c r="AF43" s="1"/>
      <c r="AG43" s="79">
        <f t="shared" si="15"/>
        <v>0</v>
      </c>
      <c r="AH43" s="1"/>
      <c r="AI43" s="79">
        <f t="shared" si="63"/>
        <v>0</v>
      </c>
      <c r="AJ43" s="1"/>
      <c r="AK43" s="79">
        <f t="shared" si="17"/>
        <v>0</v>
      </c>
      <c r="AL43" s="1"/>
      <c r="AM43" s="79">
        <f t="shared" si="18"/>
        <v>0</v>
      </c>
      <c r="AN43" s="1"/>
      <c r="AO43" s="79">
        <f t="shared" si="19"/>
        <v>0</v>
      </c>
      <c r="AP43" s="1"/>
      <c r="AQ43" s="79">
        <f t="shared" si="20"/>
        <v>0</v>
      </c>
      <c r="AR43" s="1"/>
      <c r="AS43" s="79">
        <f t="shared" si="21"/>
        <v>0</v>
      </c>
      <c r="AT43" s="1"/>
      <c r="AU43" s="79">
        <f t="shared" si="22"/>
        <v>0</v>
      </c>
      <c r="AV43" s="1"/>
      <c r="AW43" s="79">
        <f t="shared" si="23"/>
        <v>0</v>
      </c>
      <c r="AX43" s="1"/>
      <c r="AY43" s="79">
        <f t="shared" si="24"/>
        <v>0</v>
      </c>
      <c r="AZ43" s="1"/>
      <c r="BA43" s="79">
        <f t="shared" si="25"/>
        <v>0</v>
      </c>
      <c r="BB43" s="1"/>
      <c r="BC43" s="79">
        <f t="shared" si="26"/>
        <v>0</v>
      </c>
      <c r="BD43" s="1"/>
      <c r="BE43" s="79">
        <f t="shared" si="27"/>
        <v>0</v>
      </c>
      <c r="BF43" s="1"/>
      <c r="BG43" s="79">
        <f t="shared" si="28"/>
        <v>0</v>
      </c>
      <c r="BH43" s="1"/>
      <c r="BI43" s="79">
        <f t="shared" si="29"/>
        <v>0</v>
      </c>
      <c r="BJ43" s="1"/>
      <c r="BK43" s="79">
        <f t="shared" si="30"/>
        <v>0</v>
      </c>
      <c r="BL43" s="1"/>
      <c r="BM43" s="79">
        <f t="shared" si="31"/>
        <v>0</v>
      </c>
      <c r="BN43" s="1"/>
      <c r="BO43" s="79">
        <f t="shared" si="32"/>
        <v>0</v>
      </c>
      <c r="BP43" s="1"/>
      <c r="BQ43" s="79">
        <f t="shared" si="33"/>
        <v>0</v>
      </c>
      <c r="BR43" s="1"/>
      <c r="BS43" s="79">
        <f t="shared" si="34"/>
        <v>0</v>
      </c>
      <c r="BT43" s="1"/>
      <c r="BU43" s="79">
        <f t="shared" si="35"/>
        <v>0</v>
      </c>
      <c r="BV43" s="1"/>
      <c r="BW43" s="79">
        <f t="shared" si="36"/>
        <v>0</v>
      </c>
      <c r="BX43" s="1"/>
      <c r="BY43" s="79">
        <f t="shared" si="37"/>
        <v>0</v>
      </c>
      <c r="BZ43" s="1"/>
      <c r="CA43" s="79">
        <f t="shared" si="38"/>
        <v>0</v>
      </c>
      <c r="CB43" s="1"/>
      <c r="CC43" s="79">
        <f t="shared" si="39"/>
        <v>0</v>
      </c>
      <c r="CD43" s="1"/>
      <c r="CE43" s="79">
        <f t="shared" si="40"/>
        <v>0</v>
      </c>
      <c r="CF43" s="1"/>
      <c r="CG43" s="79">
        <f t="shared" si="41"/>
        <v>0</v>
      </c>
      <c r="CH43" s="1"/>
      <c r="CI43" s="79">
        <f t="shared" si="42"/>
        <v>0</v>
      </c>
      <c r="CJ43" s="1"/>
      <c r="CK43" s="79">
        <f t="shared" si="43"/>
        <v>0</v>
      </c>
      <c r="CL43" s="1"/>
      <c r="CM43" s="79">
        <f t="shared" si="44"/>
        <v>0</v>
      </c>
      <c r="CN43" s="1"/>
      <c r="CO43" s="79">
        <f t="shared" si="45"/>
        <v>0</v>
      </c>
      <c r="CP43" s="1"/>
      <c r="CQ43" s="79">
        <f t="shared" si="46"/>
        <v>0</v>
      </c>
      <c r="CR43" s="1"/>
      <c r="CS43" s="79">
        <f t="shared" si="47"/>
        <v>0</v>
      </c>
      <c r="CT43" s="79"/>
      <c r="CU43" s="79">
        <f t="shared" si="48"/>
        <v>0</v>
      </c>
      <c r="CV43" s="79"/>
      <c r="CW43" s="79">
        <f t="shared" si="49"/>
        <v>0</v>
      </c>
      <c r="CX43" s="79"/>
      <c r="CY43" s="91"/>
      <c r="CZ43" s="79">
        <f t="shared" si="50"/>
        <v>0</v>
      </c>
      <c r="DA43" s="93"/>
      <c r="DB43" s="93">
        <f t="shared" si="51"/>
        <v>0</v>
      </c>
      <c r="DC43" s="96"/>
      <c r="DD43" s="93">
        <f t="shared" si="52"/>
        <v>0</v>
      </c>
      <c r="DE43" s="96"/>
      <c r="DF43" s="93">
        <f t="shared" si="53"/>
        <v>0</v>
      </c>
      <c r="DG43" s="96"/>
      <c r="DH43" s="93">
        <f t="shared" si="54"/>
        <v>0</v>
      </c>
      <c r="DI43" s="96"/>
      <c r="DJ43" s="93">
        <f t="shared" si="55"/>
        <v>0</v>
      </c>
      <c r="DK43" s="93"/>
      <c r="DL43" s="93">
        <f t="shared" si="56"/>
        <v>0</v>
      </c>
      <c r="DM43" s="100">
        <v>0.0</v>
      </c>
      <c r="DN43" s="93">
        <f t="shared" si="57"/>
        <v>0</v>
      </c>
      <c r="DO43" s="100">
        <v>0.0</v>
      </c>
      <c r="DP43" s="93">
        <f t="shared" si="58"/>
        <v>0</v>
      </c>
      <c r="DQ43" s="100">
        <v>0.0</v>
      </c>
      <c r="DR43" s="93">
        <f t="shared" si="59"/>
        <v>0</v>
      </c>
      <c r="DS43" s="100">
        <v>0.0</v>
      </c>
      <c r="DT43" s="93">
        <f t="shared" si="60"/>
        <v>0</v>
      </c>
      <c r="DU43" s="100">
        <v>0.0</v>
      </c>
      <c r="DV43" s="93">
        <f t="shared" si="61"/>
        <v>0</v>
      </c>
    </row>
    <row r="44">
      <c r="A44" s="7" t="s">
        <v>516</v>
      </c>
      <c r="B44" s="7" t="s">
        <v>517</v>
      </c>
      <c r="C44" s="76" t="str">
        <f t="array" ref="C44">_xlfn.XLOOKUP(A44,'Emp Master'!A:A,'Emp Master'!F:F)</f>
        <v>#N/A</v>
      </c>
      <c r="D44" s="76" t="str">
        <f t="array" ref="D44">_xlfn.XLOOKUP(A44,'Emp Master'!A:A,'Emp Master'!D:D)</f>
        <v>#N/A</v>
      </c>
      <c r="E44" s="76" t="str">
        <f t="shared" si="2"/>
        <v>#REF!</v>
      </c>
      <c r="F44" s="76"/>
      <c r="G44" s="79"/>
      <c r="H44" s="80"/>
      <c r="I44" s="79">
        <f t="shared" si="62"/>
        <v>0</v>
      </c>
      <c r="J44" s="80"/>
      <c r="K44" s="79">
        <f t="shared" si="4"/>
        <v>0</v>
      </c>
      <c r="L44" s="142"/>
      <c r="M44" s="79">
        <f t="shared" si="5"/>
        <v>0</v>
      </c>
      <c r="N44" s="142"/>
      <c r="O44" s="79">
        <f t="shared" si="6"/>
        <v>0</v>
      </c>
      <c r="P44" s="142"/>
      <c r="Q44" s="79">
        <f t="shared" si="7"/>
        <v>0</v>
      </c>
      <c r="R44" s="1"/>
      <c r="S44" s="79">
        <f t="shared" si="8"/>
        <v>0</v>
      </c>
      <c r="T44" s="1"/>
      <c r="U44" s="79">
        <f t="shared" si="9"/>
        <v>0</v>
      </c>
      <c r="V44" s="1"/>
      <c r="W44" s="79">
        <f t="shared" si="10"/>
        <v>0</v>
      </c>
      <c r="X44" s="1"/>
      <c r="Y44" s="79">
        <f t="shared" si="11"/>
        <v>0</v>
      </c>
      <c r="Z44" s="1"/>
      <c r="AA44" s="79">
        <f t="shared" si="12"/>
        <v>0</v>
      </c>
      <c r="AB44" s="1"/>
      <c r="AC44" s="79">
        <f t="shared" si="13"/>
        <v>0</v>
      </c>
      <c r="AD44" s="1"/>
      <c r="AE44" s="79">
        <f t="shared" si="14"/>
        <v>0</v>
      </c>
      <c r="AF44" s="1"/>
      <c r="AG44" s="79">
        <f t="shared" si="15"/>
        <v>0</v>
      </c>
      <c r="AH44" s="1"/>
      <c r="AI44" s="79">
        <f t="shared" si="63"/>
        <v>0</v>
      </c>
      <c r="AJ44" s="1"/>
      <c r="AK44" s="79">
        <f t="shared" si="17"/>
        <v>0</v>
      </c>
      <c r="AL44" s="1"/>
      <c r="AM44" s="79">
        <f t="shared" si="18"/>
        <v>0</v>
      </c>
      <c r="AN44" s="1"/>
      <c r="AO44" s="79">
        <f t="shared" si="19"/>
        <v>0</v>
      </c>
      <c r="AP44" s="1"/>
      <c r="AQ44" s="79">
        <f t="shared" si="20"/>
        <v>0</v>
      </c>
      <c r="AR44" s="1"/>
      <c r="AS44" s="79">
        <f t="shared" si="21"/>
        <v>0</v>
      </c>
      <c r="AT44" s="1"/>
      <c r="AU44" s="79">
        <f t="shared" si="22"/>
        <v>0</v>
      </c>
      <c r="AV44" s="1"/>
      <c r="AW44" s="79">
        <f t="shared" si="23"/>
        <v>0</v>
      </c>
      <c r="AX44" s="1"/>
      <c r="AY44" s="79">
        <f t="shared" si="24"/>
        <v>0</v>
      </c>
      <c r="AZ44" s="1"/>
      <c r="BA44" s="79">
        <f t="shared" si="25"/>
        <v>0</v>
      </c>
      <c r="BB44" s="1"/>
      <c r="BC44" s="79">
        <f t="shared" si="26"/>
        <v>0</v>
      </c>
      <c r="BD44" s="1"/>
      <c r="BE44" s="79">
        <f t="shared" si="27"/>
        <v>0</v>
      </c>
      <c r="BF44" s="1"/>
      <c r="BG44" s="79">
        <f t="shared" si="28"/>
        <v>0</v>
      </c>
      <c r="BH44" s="1"/>
      <c r="BI44" s="79">
        <f t="shared" si="29"/>
        <v>0</v>
      </c>
      <c r="BJ44" s="1"/>
      <c r="BK44" s="79">
        <f t="shared" si="30"/>
        <v>0</v>
      </c>
      <c r="BL44" s="1"/>
      <c r="BM44" s="79">
        <f t="shared" si="31"/>
        <v>0</v>
      </c>
      <c r="BN44" s="1"/>
      <c r="BO44" s="79">
        <f t="shared" si="32"/>
        <v>0</v>
      </c>
      <c r="BP44" s="1"/>
      <c r="BQ44" s="79">
        <f t="shared" si="33"/>
        <v>0</v>
      </c>
      <c r="BR44" s="1"/>
      <c r="BS44" s="79">
        <f t="shared" si="34"/>
        <v>0</v>
      </c>
      <c r="BT44" s="1"/>
      <c r="BU44" s="79">
        <f t="shared" si="35"/>
        <v>0</v>
      </c>
      <c r="BV44" s="1"/>
      <c r="BW44" s="79">
        <f t="shared" si="36"/>
        <v>0</v>
      </c>
      <c r="BX44" s="1"/>
      <c r="BY44" s="79">
        <f t="shared" si="37"/>
        <v>0</v>
      </c>
      <c r="BZ44" s="1"/>
      <c r="CA44" s="79">
        <f t="shared" si="38"/>
        <v>0</v>
      </c>
      <c r="CB44" s="1"/>
      <c r="CC44" s="79">
        <f t="shared" si="39"/>
        <v>0</v>
      </c>
      <c r="CD44" s="1"/>
      <c r="CE44" s="79">
        <f t="shared" si="40"/>
        <v>0</v>
      </c>
      <c r="CF44" s="1"/>
      <c r="CG44" s="79">
        <f t="shared" si="41"/>
        <v>0</v>
      </c>
      <c r="CH44" s="1"/>
      <c r="CI44" s="79">
        <f t="shared" si="42"/>
        <v>0</v>
      </c>
      <c r="CJ44" s="1"/>
      <c r="CK44" s="79">
        <f t="shared" si="43"/>
        <v>0</v>
      </c>
      <c r="CL44" s="1"/>
      <c r="CM44" s="79">
        <f t="shared" si="44"/>
        <v>0</v>
      </c>
      <c r="CN44" s="1"/>
      <c r="CO44" s="79">
        <f t="shared" si="45"/>
        <v>0</v>
      </c>
      <c r="CP44" s="1"/>
      <c r="CQ44" s="79">
        <f t="shared" si="46"/>
        <v>0</v>
      </c>
      <c r="CR44" s="1"/>
      <c r="CS44" s="79">
        <f t="shared" si="47"/>
        <v>0</v>
      </c>
      <c r="CT44" s="79"/>
      <c r="CU44" s="79">
        <f t="shared" si="48"/>
        <v>0</v>
      </c>
      <c r="CV44" s="79"/>
      <c r="CW44" s="79">
        <f t="shared" si="49"/>
        <v>0</v>
      </c>
      <c r="CX44" s="79"/>
      <c r="CY44" s="91"/>
      <c r="CZ44" s="79">
        <f t="shared" si="50"/>
        <v>0</v>
      </c>
      <c r="DA44" s="93"/>
      <c r="DB44" s="93">
        <f t="shared" si="51"/>
        <v>0</v>
      </c>
      <c r="DC44" s="96"/>
      <c r="DD44" s="93">
        <f t="shared" si="52"/>
        <v>0</v>
      </c>
      <c r="DE44" s="96"/>
      <c r="DF44" s="93">
        <f t="shared" si="53"/>
        <v>0</v>
      </c>
      <c r="DG44" s="96"/>
      <c r="DH44" s="93">
        <f t="shared" si="54"/>
        <v>0</v>
      </c>
      <c r="DI44" s="96"/>
      <c r="DJ44" s="93">
        <f t="shared" si="55"/>
        <v>0</v>
      </c>
      <c r="DK44" s="93"/>
      <c r="DL44" s="93">
        <f t="shared" si="56"/>
        <v>0</v>
      </c>
      <c r="DM44" s="100">
        <v>0.0</v>
      </c>
      <c r="DN44" s="93">
        <f t="shared" si="57"/>
        <v>0</v>
      </c>
      <c r="DO44" s="100">
        <v>0.0</v>
      </c>
      <c r="DP44" s="93">
        <f t="shared" si="58"/>
        <v>0</v>
      </c>
      <c r="DQ44" s="100">
        <v>0.0</v>
      </c>
      <c r="DR44" s="93">
        <f t="shared" si="59"/>
        <v>0</v>
      </c>
      <c r="DS44" s="100">
        <v>0.0</v>
      </c>
      <c r="DT44" s="93">
        <f t="shared" si="60"/>
        <v>0</v>
      </c>
      <c r="DU44" s="100">
        <v>0.0</v>
      </c>
      <c r="DV44" s="93">
        <f t="shared" si="61"/>
        <v>0</v>
      </c>
    </row>
    <row r="45">
      <c r="A45" s="25" t="s">
        <v>523</v>
      </c>
      <c r="B45" s="25" t="s">
        <v>524</v>
      </c>
      <c r="C45" s="76" t="str">
        <f t="array" ref="C45">_xlfn.XLOOKUP(A45,'Emp Master'!A:A,'Emp Master'!F:F)</f>
        <v>#N/A</v>
      </c>
      <c r="D45" s="76" t="str">
        <f t="array" ref="D45">_xlfn.XLOOKUP(A45,'Emp Master'!A:A,'Emp Master'!D:D)</f>
        <v>#N/A</v>
      </c>
      <c r="E45" s="76" t="str">
        <f t="shared" si="2"/>
        <v>#REF!</v>
      </c>
      <c r="F45" s="76"/>
      <c r="G45" s="79"/>
      <c r="H45" s="80"/>
      <c r="I45" s="79"/>
      <c r="J45" s="80"/>
      <c r="K45" s="79"/>
      <c r="L45" s="142"/>
      <c r="M45" s="1"/>
      <c r="N45" s="142"/>
      <c r="O45" s="1"/>
      <c r="P45" s="142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79">
        <f t="shared" si="29"/>
        <v>0</v>
      </c>
      <c r="BJ45" s="1"/>
      <c r="BK45" s="1"/>
      <c r="BL45" s="1"/>
      <c r="BM45" s="1"/>
      <c r="BN45" s="1"/>
      <c r="BO45" s="1"/>
      <c r="BP45" s="1"/>
      <c r="BQ45" s="79"/>
      <c r="BR45" s="1"/>
      <c r="BS45" s="79">
        <f t="shared" si="34"/>
        <v>0</v>
      </c>
      <c r="BT45" s="1"/>
      <c r="BU45" s="79">
        <f t="shared" si="35"/>
        <v>0</v>
      </c>
      <c r="BV45" s="1"/>
      <c r="BW45" s="79">
        <f t="shared" si="36"/>
        <v>0</v>
      </c>
      <c r="BX45" s="1"/>
      <c r="BY45" s="79">
        <f t="shared" si="37"/>
        <v>0</v>
      </c>
      <c r="BZ45" s="1"/>
      <c r="CA45" s="79">
        <f t="shared" si="38"/>
        <v>0</v>
      </c>
      <c r="CB45" s="1"/>
      <c r="CC45" s="79">
        <f t="shared" si="39"/>
        <v>0</v>
      </c>
      <c r="CD45" s="1"/>
      <c r="CE45" s="79">
        <f t="shared" si="40"/>
        <v>0</v>
      </c>
      <c r="CF45" s="1"/>
      <c r="CG45" s="79">
        <f t="shared" si="41"/>
        <v>0</v>
      </c>
      <c r="CH45" s="1"/>
      <c r="CI45" s="79">
        <f t="shared" si="42"/>
        <v>0</v>
      </c>
      <c r="CJ45" s="1"/>
      <c r="CK45" s="79">
        <f t="shared" si="43"/>
        <v>0</v>
      </c>
      <c r="CL45" s="1"/>
      <c r="CM45" s="79">
        <f t="shared" si="44"/>
        <v>0</v>
      </c>
      <c r="CN45" s="1"/>
      <c r="CO45" s="79">
        <f t="shared" si="45"/>
        <v>0</v>
      </c>
      <c r="CP45" s="1"/>
      <c r="CQ45" s="79">
        <f t="shared" si="46"/>
        <v>0</v>
      </c>
      <c r="CR45" s="1"/>
      <c r="CS45" s="79">
        <f t="shared" si="47"/>
        <v>0</v>
      </c>
      <c r="CT45" s="79"/>
      <c r="CU45" s="79">
        <f t="shared" si="48"/>
        <v>0</v>
      </c>
      <c r="CV45" s="79"/>
      <c r="CW45" s="79">
        <f t="shared" si="49"/>
        <v>0</v>
      </c>
      <c r="CX45" s="79"/>
      <c r="CY45" s="91"/>
      <c r="CZ45" s="79">
        <f t="shared" si="50"/>
        <v>0</v>
      </c>
      <c r="DA45" s="93"/>
      <c r="DB45" s="93">
        <f t="shared" si="51"/>
        <v>0</v>
      </c>
      <c r="DC45" s="96"/>
      <c r="DD45" s="93">
        <f t="shared" si="52"/>
        <v>0</v>
      </c>
      <c r="DE45" s="96"/>
      <c r="DF45" s="93">
        <f t="shared" si="53"/>
        <v>0</v>
      </c>
      <c r="DG45" s="96"/>
      <c r="DH45" s="93">
        <f t="shared" si="54"/>
        <v>0</v>
      </c>
      <c r="DI45" s="96"/>
      <c r="DJ45" s="93">
        <f t="shared" si="55"/>
        <v>0</v>
      </c>
      <c r="DK45" s="93"/>
      <c r="DL45" s="93">
        <f t="shared" si="56"/>
        <v>0</v>
      </c>
      <c r="DM45" s="100">
        <v>0.0</v>
      </c>
      <c r="DN45" s="93">
        <f t="shared" si="57"/>
        <v>0</v>
      </c>
      <c r="DO45" s="100">
        <v>0.0</v>
      </c>
      <c r="DP45" s="93">
        <f t="shared" si="58"/>
        <v>0</v>
      </c>
      <c r="DQ45" s="100">
        <v>0.0</v>
      </c>
      <c r="DR45" s="93">
        <f t="shared" si="59"/>
        <v>0</v>
      </c>
      <c r="DS45" s="100">
        <v>0.0</v>
      </c>
      <c r="DT45" s="93">
        <f t="shared" si="60"/>
        <v>0</v>
      </c>
      <c r="DU45" s="100">
        <v>0.0</v>
      </c>
      <c r="DV45" s="93">
        <f t="shared" si="61"/>
        <v>0</v>
      </c>
    </row>
    <row r="46">
      <c r="A46" s="25" t="s">
        <v>531</v>
      </c>
      <c r="B46" s="25" t="s">
        <v>532</v>
      </c>
      <c r="C46" s="76" t="str">
        <f t="array" ref="C46">_xlfn.XLOOKUP(A46,'Emp Master'!A:A,'Emp Master'!F:F)</f>
        <v>#N/A</v>
      </c>
      <c r="D46" s="76" t="str">
        <f t="array" ref="D46">_xlfn.XLOOKUP(A46,'Emp Master'!A:A,'Emp Master'!D:D)</f>
        <v>#N/A</v>
      </c>
      <c r="E46" s="76" t="str">
        <f t="shared" si="2"/>
        <v>#REF!</v>
      </c>
      <c r="F46" s="76"/>
      <c r="G46" s="79"/>
      <c r="H46" s="80"/>
      <c r="I46" s="79"/>
      <c r="J46" s="80"/>
      <c r="K46" s="79"/>
      <c r="L46" s="142"/>
      <c r="M46" s="1"/>
      <c r="N46" s="142"/>
      <c r="O46" s="1"/>
      <c r="P46" s="142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79">
        <f>BE46-BF46+12500</f>
        <v>12500</v>
      </c>
      <c r="BH46" s="106">
        <v>6000.0</v>
      </c>
      <c r="BI46" s="79">
        <f t="shared" si="29"/>
        <v>6500</v>
      </c>
      <c r="BJ46" s="106">
        <v>2000.0</v>
      </c>
      <c r="BK46" s="79">
        <f>BI46-BJ46</f>
        <v>4500</v>
      </c>
      <c r="BL46" s="1"/>
      <c r="BM46" s="79">
        <f>BK46-BL46</f>
        <v>4500</v>
      </c>
      <c r="BN46" s="106">
        <v>2000.0</v>
      </c>
      <c r="BO46" s="79">
        <f>BM46-BN46</f>
        <v>2500</v>
      </c>
      <c r="BP46" s="106">
        <v>2500.0</v>
      </c>
      <c r="BQ46" s="79">
        <f>BO46-BP46</f>
        <v>0</v>
      </c>
      <c r="BR46" s="1"/>
      <c r="BS46" s="79">
        <f t="shared" si="34"/>
        <v>0</v>
      </c>
      <c r="BT46" s="1"/>
      <c r="BU46" s="79">
        <f t="shared" si="35"/>
        <v>0</v>
      </c>
      <c r="BV46" s="1"/>
      <c r="BW46" s="79">
        <f t="shared" si="36"/>
        <v>0</v>
      </c>
      <c r="BX46" s="1"/>
      <c r="BY46" s="79">
        <f t="shared" si="37"/>
        <v>0</v>
      </c>
      <c r="BZ46" s="1"/>
      <c r="CA46" s="79">
        <f t="shared" si="38"/>
        <v>0</v>
      </c>
      <c r="CB46" s="1"/>
      <c r="CC46" s="79">
        <f t="shared" si="39"/>
        <v>0</v>
      </c>
      <c r="CD46" s="1"/>
      <c r="CE46" s="79">
        <f t="shared" si="40"/>
        <v>0</v>
      </c>
      <c r="CF46" s="1"/>
      <c r="CG46" s="79">
        <f t="shared" si="41"/>
        <v>0</v>
      </c>
      <c r="CH46" s="1"/>
      <c r="CI46" s="79">
        <f t="shared" si="42"/>
        <v>0</v>
      </c>
      <c r="CJ46" s="1"/>
      <c r="CK46" s="79">
        <f t="shared" si="43"/>
        <v>0</v>
      </c>
      <c r="CL46" s="1"/>
      <c r="CM46" s="79">
        <f t="shared" si="44"/>
        <v>0</v>
      </c>
      <c r="CN46" s="1"/>
      <c r="CO46" s="79">
        <f t="shared" si="45"/>
        <v>0</v>
      </c>
      <c r="CP46" s="1"/>
      <c r="CQ46" s="79">
        <f t="shared" si="46"/>
        <v>0</v>
      </c>
      <c r="CR46" s="1"/>
      <c r="CS46" s="79">
        <f t="shared" si="47"/>
        <v>0</v>
      </c>
      <c r="CT46" s="79"/>
      <c r="CU46" s="79">
        <f t="shared" si="48"/>
        <v>0</v>
      </c>
      <c r="CV46" s="79"/>
      <c r="CW46" s="79">
        <f t="shared" si="49"/>
        <v>0</v>
      </c>
      <c r="CX46" s="79"/>
      <c r="CY46" s="91"/>
      <c r="CZ46" s="79">
        <f t="shared" si="50"/>
        <v>0</v>
      </c>
      <c r="DA46" s="93"/>
      <c r="DB46" s="93">
        <f t="shared" si="51"/>
        <v>0</v>
      </c>
      <c r="DC46" s="96"/>
      <c r="DD46" s="93">
        <f t="shared" si="52"/>
        <v>0</v>
      </c>
      <c r="DE46" s="96"/>
      <c r="DF46" s="93">
        <f t="shared" si="53"/>
        <v>0</v>
      </c>
      <c r="DG46" s="96"/>
      <c r="DH46" s="93">
        <f t="shared" si="54"/>
        <v>0</v>
      </c>
      <c r="DI46" s="96"/>
      <c r="DJ46" s="93">
        <f t="shared" si="55"/>
        <v>0</v>
      </c>
      <c r="DK46" s="93"/>
      <c r="DL46" s="93">
        <f t="shared" si="56"/>
        <v>0</v>
      </c>
      <c r="DM46" s="100">
        <v>0.0</v>
      </c>
      <c r="DN46" s="93">
        <f t="shared" si="57"/>
        <v>0</v>
      </c>
      <c r="DO46" s="100">
        <v>0.0</v>
      </c>
      <c r="DP46" s="93">
        <f t="shared" si="58"/>
        <v>0</v>
      </c>
      <c r="DQ46" s="100">
        <v>0.0</v>
      </c>
      <c r="DR46" s="93">
        <f t="shared" si="59"/>
        <v>0</v>
      </c>
      <c r="DS46" s="100">
        <v>0.0</v>
      </c>
      <c r="DT46" s="93">
        <f t="shared" si="60"/>
        <v>0</v>
      </c>
      <c r="DU46" s="100">
        <v>0.0</v>
      </c>
      <c r="DV46" s="93">
        <f t="shared" si="61"/>
        <v>0</v>
      </c>
    </row>
    <row r="47">
      <c r="A47" s="146" t="s">
        <v>537</v>
      </c>
      <c r="B47" s="146" t="s">
        <v>538</v>
      </c>
      <c r="C47" s="76" t="str">
        <f t="array" ref="C47">_xlfn.XLOOKUP(A47,'Emp Master'!A:A,'Emp Master'!F:F)</f>
        <v>#N/A</v>
      </c>
      <c r="D47" s="76" t="str">
        <f t="array" ref="D47">_xlfn.XLOOKUP(A47,'Emp Master'!A:A,'Emp Master'!D:D)</f>
        <v>#N/A</v>
      </c>
      <c r="E47" s="76" t="str">
        <f t="shared" si="2"/>
        <v>#REF!</v>
      </c>
      <c r="F47" s="76"/>
      <c r="G47" s="79"/>
      <c r="H47" s="80"/>
      <c r="I47" s="79"/>
      <c r="J47" s="80"/>
      <c r="K47" s="79"/>
      <c r="L47" s="142"/>
      <c r="M47" s="1"/>
      <c r="N47" s="142"/>
      <c r="O47" s="1"/>
      <c r="P47" s="142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79">
        <f t="shared" si="29"/>
        <v>0</v>
      </c>
      <c r="BJ47" s="1"/>
      <c r="BK47" s="1"/>
      <c r="BL47" s="1"/>
      <c r="BM47" s="1"/>
      <c r="BN47" s="1"/>
      <c r="BO47" s="1"/>
      <c r="BP47" s="1"/>
      <c r="BQ47" s="24">
        <v>500.0</v>
      </c>
      <c r="BR47" s="106">
        <v>500.0</v>
      </c>
      <c r="BS47" s="79">
        <f t="shared" si="34"/>
        <v>0</v>
      </c>
      <c r="BT47" s="1"/>
      <c r="BU47" s="79">
        <f t="shared" si="35"/>
        <v>0</v>
      </c>
      <c r="BV47" s="1"/>
      <c r="BW47" s="79">
        <f t="shared" si="36"/>
        <v>0</v>
      </c>
      <c r="BX47" s="1"/>
      <c r="BY47" s="79">
        <f t="shared" si="37"/>
        <v>0</v>
      </c>
      <c r="BZ47" s="1"/>
      <c r="CA47" s="79">
        <f t="shared" si="38"/>
        <v>0</v>
      </c>
      <c r="CB47" s="1"/>
      <c r="CC47" s="79">
        <f t="shared" si="39"/>
        <v>0</v>
      </c>
      <c r="CD47" s="1"/>
      <c r="CE47" s="79">
        <f t="shared" si="40"/>
        <v>0</v>
      </c>
      <c r="CF47" s="1"/>
      <c r="CG47" s="79">
        <f t="shared" si="41"/>
        <v>0</v>
      </c>
      <c r="CH47" s="1"/>
      <c r="CI47" s="79">
        <f t="shared" si="42"/>
        <v>0</v>
      </c>
      <c r="CJ47" s="1"/>
      <c r="CK47" s="79">
        <f t="shared" si="43"/>
        <v>0</v>
      </c>
      <c r="CL47" s="1"/>
      <c r="CM47" s="79">
        <f t="shared" si="44"/>
        <v>0</v>
      </c>
      <c r="CN47" s="1"/>
      <c r="CO47" s="79">
        <f t="shared" si="45"/>
        <v>0</v>
      </c>
      <c r="CP47" s="1"/>
      <c r="CQ47" s="79">
        <f t="shared" si="46"/>
        <v>0</v>
      </c>
      <c r="CR47" s="1"/>
      <c r="CS47" s="79">
        <f t="shared" si="47"/>
        <v>0</v>
      </c>
      <c r="CT47" s="79"/>
      <c r="CU47" s="79">
        <f t="shared" si="48"/>
        <v>0</v>
      </c>
      <c r="CV47" s="79"/>
      <c r="CW47" s="79">
        <f t="shared" si="49"/>
        <v>0</v>
      </c>
      <c r="CX47" s="79"/>
      <c r="CY47" s="91"/>
      <c r="CZ47" s="79">
        <f t="shared" si="50"/>
        <v>0</v>
      </c>
      <c r="DA47" s="93"/>
      <c r="DB47" s="93">
        <f t="shared" si="51"/>
        <v>0</v>
      </c>
      <c r="DC47" s="96"/>
      <c r="DD47" s="93">
        <f t="shared" si="52"/>
        <v>0</v>
      </c>
      <c r="DE47" s="96"/>
      <c r="DF47" s="93">
        <f t="shared" si="53"/>
        <v>0</v>
      </c>
      <c r="DG47" s="96"/>
      <c r="DH47" s="93">
        <f t="shared" si="54"/>
        <v>0</v>
      </c>
      <c r="DI47" s="96"/>
      <c r="DJ47" s="93">
        <f t="shared" si="55"/>
        <v>0</v>
      </c>
      <c r="DK47" s="93"/>
      <c r="DL47" s="93">
        <f t="shared" si="56"/>
        <v>0</v>
      </c>
      <c r="DM47" s="100">
        <v>0.0</v>
      </c>
      <c r="DN47" s="93">
        <f t="shared" si="57"/>
        <v>0</v>
      </c>
      <c r="DO47" s="100">
        <v>0.0</v>
      </c>
      <c r="DP47" s="93">
        <f t="shared" si="58"/>
        <v>0</v>
      </c>
      <c r="DQ47" s="100">
        <v>0.0</v>
      </c>
      <c r="DR47" s="93">
        <f t="shared" si="59"/>
        <v>0</v>
      </c>
      <c r="DS47" s="100">
        <v>0.0</v>
      </c>
      <c r="DT47" s="93">
        <f t="shared" si="60"/>
        <v>0</v>
      </c>
      <c r="DU47" s="100">
        <v>0.0</v>
      </c>
      <c r="DV47" s="93">
        <f t="shared" si="61"/>
        <v>0</v>
      </c>
    </row>
    <row r="48">
      <c r="A48" s="1" t="s">
        <v>546</v>
      </c>
      <c r="B48" s="1" t="s">
        <v>547</v>
      </c>
      <c r="C48" s="76" t="str">
        <f t="array" ref="C48">_xlfn.XLOOKUP(A48,'Emp Master'!A:A,'Emp Master'!F:F)</f>
        <v>#N/A</v>
      </c>
      <c r="D48" s="76" t="str">
        <f t="array" ref="D48">_xlfn.XLOOKUP(A48,'Emp Master'!A:A,'Emp Master'!D:D)</f>
        <v>#N/A</v>
      </c>
      <c r="E48" s="76" t="str">
        <f t="shared" si="2"/>
        <v>#REF!</v>
      </c>
      <c r="F48" s="76"/>
      <c r="G48" s="79"/>
      <c r="H48" s="80"/>
      <c r="I48" s="79"/>
      <c r="J48" s="80"/>
      <c r="K48" s="79"/>
      <c r="L48" s="142"/>
      <c r="M48" s="1"/>
      <c r="N48" s="142"/>
      <c r="O48" s="1"/>
      <c r="P48" s="142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79">
        <f t="shared" si="29"/>
        <v>0</v>
      </c>
      <c r="BJ48" s="1"/>
      <c r="BK48" s="1"/>
      <c r="BL48" s="1"/>
      <c r="BM48" s="1"/>
      <c r="BN48" s="1"/>
      <c r="BO48" s="1"/>
      <c r="BP48" s="1"/>
      <c r="BQ48" s="79"/>
      <c r="BR48" s="1"/>
      <c r="BS48" s="79">
        <f t="shared" si="34"/>
        <v>0</v>
      </c>
      <c r="BT48" s="1"/>
      <c r="BU48" s="79">
        <f t="shared" si="35"/>
        <v>0</v>
      </c>
      <c r="BV48" s="1"/>
      <c r="BW48" s="79">
        <f t="shared" si="36"/>
        <v>0</v>
      </c>
      <c r="BX48" s="1"/>
      <c r="BY48" s="79">
        <f t="shared" si="37"/>
        <v>0</v>
      </c>
      <c r="BZ48" s="1"/>
      <c r="CA48" s="79">
        <f t="shared" si="38"/>
        <v>0</v>
      </c>
      <c r="CB48" s="1"/>
      <c r="CC48" s="79">
        <f t="shared" si="39"/>
        <v>0</v>
      </c>
      <c r="CD48" s="1"/>
      <c r="CE48" s="79">
        <f t="shared" si="40"/>
        <v>0</v>
      </c>
      <c r="CF48" s="1"/>
      <c r="CG48" s="79">
        <f t="shared" si="41"/>
        <v>0</v>
      </c>
      <c r="CH48" s="1"/>
      <c r="CI48" s="79">
        <f t="shared" si="42"/>
        <v>0</v>
      </c>
      <c r="CJ48" s="1"/>
      <c r="CK48" s="79">
        <f t="shared" si="43"/>
        <v>0</v>
      </c>
      <c r="CL48" s="1"/>
      <c r="CM48" s="79">
        <f t="shared" si="44"/>
        <v>0</v>
      </c>
      <c r="CN48" s="1"/>
      <c r="CO48" s="79">
        <f t="shared" si="45"/>
        <v>0</v>
      </c>
      <c r="CP48" s="1"/>
      <c r="CQ48" s="79">
        <f t="shared" si="46"/>
        <v>0</v>
      </c>
      <c r="CR48" s="1"/>
      <c r="CS48" s="79">
        <f t="shared" si="47"/>
        <v>0</v>
      </c>
      <c r="CT48" s="79"/>
      <c r="CU48" s="79">
        <f t="shared" si="48"/>
        <v>0</v>
      </c>
      <c r="CV48" s="79"/>
      <c r="CW48" s="79">
        <f t="shared" si="49"/>
        <v>0</v>
      </c>
      <c r="CX48" s="79"/>
      <c r="CY48" s="91"/>
      <c r="CZ48" s="79">
        <f t="shared" si="50"/>
        <v>0</v>
      </c>
      <c r="DA48" s="93"/>
      <c r="DB48" s="93">
        <f t="shared" si="51"/>
        <v>0</v>
      </c>
      <c r="DC48" s="96"/>
      <c r="DD48" s="93">
        <f t="shared" si="52"/>
        <v>0</v>
      </c>
      <c r="DE48" s="96"/>
      <c r="DF48" s="93">
        <f t="shared" si="53"/>
        <v>0</v>
      </c>
      <c r="DG48" s="96"/>
      <c r="DH48" s="93">
        <f t="shared" si="54"/>
        <v>0</v>
      </c>
      <c r="DI48" s="96"/>
      <c r="DJ48" s="93">
        <f t="shared" si="55"/>
        <v>0</v>
      </c>
      <c r="DK48" s="93"/>
      <c r="DL48" s="93">
        <f t="shared" si="56"/>
        <v>0</v>
      </c>
      <c r="DM48" s="100">
        <v>0.0</v>
      </c>
      <c r="DN48" s="93">
        <f t="shared" si="57"/>
        <v>0</v>
      </c>
      <c r="DO48" s="100">
        <v>0.0</v>
      </c>
      <c r="DP48" s="93">
        <f t="shared" si="58"/>
        <v>0</v>
      </c>
      <c r="DQ48" s="100">
        <v>0.0</v>
      </c>
      <c r="DR48" s="93">
        <f t="shared" si="59"/>
        <v>0</v>
      </c>
      <c r="DS48" s="100">
        <v>0.0</v>
      </c>
      <c r="DT48" s="93">
        <f t="shared" si="60"/>
        <v>0</v>
      </c>
      <c r="DU48" s="100">
        <v>0.0</v>
      </c>
      <c r="DV48" s="93">
        <f t="shared" si="61"/>
        <v>0</v>
      </c>
    </row>
    <row r="49">
      <c r="A49" s="1" t="s">
        <v>552</v>
      </c>
      <c r="B49" s="1" t="s">
        <v>553</v>
      </c>
      <c r="C49" s="76" t="str">
        <f t="array" ref="C49">_xlfn.XLOOKUP(A49,'Emp Master'!A:A,'Emp Master'!F:F)</f>
        <v>#N/A</v>
      </c>
      <c r="D49" s="76" t="str">
        <f t="array" ref="D49">_xlfn.XLOOKUP(A49,'Emp Master'!A:A,'Emp Master'!D:D)</f>
        <v>#N/A</v>
      </c>
      <c r="E49" s="76" t="str">
        <f t="shared" si="2"/>
        <v>#REF!</v>
      </c>
      <c r="F49" s="76"/>
      <c r="G49" s="79"/>
      <c r="H49" s="80"/>
      <c r="I49" s="79"/>
      <c r="J49" s="80"/>
      <c r="K49" s="79"/>
      <c r="L49" s="142"/>
      <c r="M49" s="1"/>
      <c r="N49" s="142"/>
      <c r="O49" s="1"/>
      <c r="P49" s="142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79">
        <f t="shared" si="29"/>
        <v>0</v>
      </c>
      <c r="BJ49" s="1"/>
      <c r="BK49" s="1"/>
      <c r="BL49" s="1"/>
      <c r="BM49" s="1"/>
      <c r="BN49" s="1"/>
      <c r="BO49" s="1"/>
      <c r="BP49" s="1"/>
      <c r="BQ49" s="79"/>
      <c r="BR49" s="1"/>
      <c r="BS49" s="79">
        <f t="shared" si="34"/>
        <v>0</v>
      </c>
      <c r="BT49" s="1"/>
      <c r="BU49" s="79">
        <f t="shared" si="35"/>
        <v>0</v>
      </c>
      <c r="BV49" s="1"/>
      <c r="BW49" s="79">
        <f t="shared" si="36"/>
        <v>0</v>
      </c>
      <c r="BX49" s="1"/>
      <c r="BY49" s="79">
        <f t="shared" si="37"/>
        <v>0</v>
      </c>
      <c r="BZ49" s="1"/>
      <c r="CA49" s="79">
        <f t="shared" si="38"/>
        <v>0</v>
      </c>
      <c r="CB49" s="1"/>
      <c r="CC49" s="79">
        <f t="shared" si="39"/>
        <v>0</v>
      </c>
      <c r="CD49" s="1"/>
      <c r="CE49" s="79">
        <f t="shared" si="40"/>
        <v>0</v>
      </c>
      <c r="CF49" s="1"/>
      <c r="CG49" s="79">
        <f t="shared" si="41"/>
        <v>0</v>
      </c>
      <c r="CH49" s="1"/>
      <c r="CI49" s="79">
        <f t="shared" si="42"/>
        <v>0</v>
      </c>
      <c r="CJ49" s="1"/>
      <c r="CK49" s="79">
        <f t="shared" si="43"/>
        <v>0</v>
      </c>
      <c r="CL49" s="1"/>
      <c r="CM49" s="79">
        <f t="shared" si="44"/>
        <v>0</v>
      </c>
      <c r="CN49" s="1"/>
      <c r="CO49" s="79">
        <f t="shared" si="45"/>
        <v>0</v>
      </c>
      <c r="CP49" s="1"/>
      <c r="CQ49" s="79">
        <f t="shared" si="46"/>
        <v>0</v>
      </c>
      <c r="CR49" s="1"/>
      <c r="CS49" s="79">
        <f t="shared" si="47"/>
        <v>0</v>
      </c>
      <c r="CT49" s="79"/>
      <c r="CU49" s="79">
        <f t="shared" si="48"/>
        <v>0</v>
      </c>
      <c r="CV49" s="79"/>
      <c r="CW49" s="79">
        <f t="shared" si="49"/>
        <v>0</v>
      </c>
      <c r="CX49" s="79"/>
      <c r="CY49" s="91"/>
      <c r="CZ49" s="79">
        <f t="shared" si="50"/>
        <v>0</v>
      </c>
      <c r="DA49" s="93"/>
      <c r="DB49" s="93">
        <f t="shared" si="51"/>
        <v>0</v>
      </c>
      <c r="DC49" s="96"/>
      <c r="DD49" s="93">
        <f t="shared" si="52"/>
        <v>0</v>
      </c>
      <c r="DE49" s="96"/>
      <c r="DF49" s="93">
        <f t="shared" si="53"/>
        <v>0</v>
      </c>
      <c r="DG49" s="96"/>
      <c r="DH49" s="93">
        <f t="shared" si="54"/>
        <v>0</v>
      </c>
      <c r="DI49" s="96"/>
      <c r="DJ49" s="93">
        <f t="shared" si="55"/>
        <v>0</v>
      </c>
      <c r="DK49" s="93"/>
      <c r="DL49" s="93">
        <f t="shared" si="56"/>
        <v>0</v>
      </c>
      <c r="DM49" s="100">
        <v>0.0</v>
      </c>
      <c r="DN49" s="93">
        <f t="shared" si="57"/>
        <v>0</v>
      </c>
      <c r="DO49" s="100">
        <v>0.0</v>
      </c>
      <c r="DP49" s="93">
        <f t="shared" si="58"/>
        <v>0</v>
      </c>
      <c r="DQ49" s="100">
        <v>0.0</v>
      </c>
      <c r="DR49" s="93">
        <f t="shared" si="59"/>
        <v>0</v>
      </c>
      <c r="DS49" s="100">
        <v>0.0</v>
      </c>
      <c r="DT49" s="93">
        <f t="shared" si="60"/>
        <v>0</v>
      </c>
      <c r="DU49" s="100">
        <v>0.0</v>
      </c>
      <c r="DV49" s="93">
        <f t="shared" si="61"/>
        <v>0</v>
      </c>
    </row>
    <row r="50">
      <c r="A50" s="7" t="s">
        <v>556</v>
      </c>
      <c r="B50" s="7" t="s">
        <v>320</v>
      </c>
      <c r="C50" s="76" t="str">
        <f t="array" ref="C50">_xlfn.XLOOKUP(A50,'Emp Master'!A:A,'Emp Master'!F:F)</f>
        <v>#N/A</v>
      </c>
      <c r="D50" s="76" t="str">
        <f t="array" ref="D50">_xlfn.XLOOKUP(A50,'Emp Master'!A:A,'Emp Master'!D:D)</f>
        <v>#N/A</v>
      </c>
      <c r="E50" s="76" t="str">
        <f t="shared" si="2"/>
        <v>#REF!</v>
      </c>
      <c r="F50" s="76"/>
      <c r="G50" s="79"/>
      <c r="H50" s="80"/>
      <c r="I50" s="79">
        <f t="shared" ref="I50:I64" si="64">G50-H50</f>
        <v>0</v>
      </c>
      <c r="J50" s="80"/>
      <c r="K50" s="79">
        <f t="shared" ref="K50:K63" si="65">I50-J50</f>
        <v>0</v>
      </c>
      <c r="L50" s="80"/>
      <c r="M50" s="79">
        <f t="shared" ref="M50:M64" si="66">K50-L50</f>
        <v>0</v>
      </c>
      <c r="N50" s="80"/>
      <c r="O50" s="79">
        <f t="shared" ref="O50:O58" si="67">M50-N50</f>
        <v>0</v>
      </c>
      <c r="P50" s="80"/>
      <c r="Q50" s="79">
        <f t="shared" ref="Q50:Q64" si="68">O50-P50</f>
        <v>0</v>
      </c>
      <c r="R50" s="1"/>
      <c r="S50" s="79">
        <f t="shared" ref="S50:S56" si="69">Q50-R50</f>
        <v>0</v>
      </c>
      <c r="T50" s="1"/>
      <c r="U50" s="79">
        <f t="shared" ref="U50:U61" si="70">S50-T50</f>
        <v>0</v>
      </c>
      <c r="V50" s="1"/>
      <c r="W50" s="79">
        <f t="shared" ref="W50:W64" si="71">U50-V50</f>
        <v>0</v>
      </c>
      <c r="X50" s="1"/>
      <c r="Y50" s="79">
        <f t="shared" ref="Y50:Y64" si="72">W50-X50</f>
        <v>0</v>
      </c>
      <c r="Z50" s="1"/>
      <c r="AA50" s="79">
        <f t="shared" ref="AA50:AA60" si="73">Y50-Z50</f>
        <v>0</v>
      </c>
      <c r="AB50" s="1"/>
      <c r="AC50" s="79">
        <f t="shared" ref="AC50:AC64" si="74">AA50-AB50</f>
        <v>0</v>
      </c>
      <c r="AD50" s="1"/>
      <c r="AE50" s="79">
        <f t="shared" ref="AE50:AE64" si="75">AC50-AD50</f>
        <v>0</v>
      </c>
      <c r="AF50" s="1"/>
      <c r="AG50" s="79">
        <f t="shared" ref="AG50:AG59" si="76">AE50-AF50</f>
        <v>0</v>
      </c>
      <c r="AH50" s="1"/>
      <c r="AI50" s="79">
        <f t="shared" ref="AI50:AI64" si="77">AG50-AH50</f>
        <v>0</v>
      </c>
      <c r="AJ50" s="1"/>
      <c r="AK50" s="79">
        <f t="shared" ref="AK50:AK63" si="78">AI50-AJ50</f>
        <v>0</v>
      </c>
      <c r="AL50" s="1"/>
      <c r="AM50" s="79">
        <f t="shared" ref="AM50:AM63" si="79">AK50-AL50</f>
        <v>0</v>
      </c>
      <c r="AN50" s="1"/>
      <c r="AO50" s="79">
        <f t="shared" ref="AO50:AO64" si="80">AM50-AN50</f>
        <v>0</v>
      </c>
      <c r="AP50" s="1"/>
      <c r="AQ50" s="79">
        <f t="shared" ref="AQ50:AQ56" si="81">AO50-AP50</f>
        <v>0</v>
      </c>
      <c r="AR50" s="1"/>
      <c r="AS50" s="79">
        <f t="shared" ref="AS50:AS64" si="82">AQ50-AR50</f>
        <v>0</v>
      </c>
      <c r="AT50" s="1"/>
      <c r="AU50" s="79">
        <f t="shared" ref="AU50:AU64" si="83">AS50-AT50</f>
        <v>0</v>
      </c>
      <c r="AV50" s="1"/>
      <c r="AW50" s="79">
        <f t="shared" ref="AW50:AW61" si="84">AU50-AV50</f>
        <v>0</v>
      </c>
      <c r="AX50" s="1"/>
      <c r="AY50" s="79">
        <f t="shared" ref="AY50:AY62" si="85">AW50-AX50</f>
        <v>0</v>
      </c>
      <c r="AZ50" s="1"/>
      <c r="BA50" s="79">
        <f t="shared" ref="BA50:BA64" si="86">AY50-AZ50</f>
        <v>0</v>
      </c>
      <c r="BB50" s="1"/>
      <c r="BC50" s="79">
        <f t="shared" ref="BC50:BC64" si="87">BA50-BB50</f>
        <v>0</v>
      </c>
      <c r="BD50" s="1"/>
      <c r="BE50" s="79">
        <f t="shared" ref="BE50:BE64" si="88">BC50-BD50</f>
        <v>0</v>
      </c>
      <c r="BF50" s="1"/>
      <c r="BG50" s="79">
        <f t="shared" ref="BG50:BG64" si="89">BE50-BF50</f>
        <v>0</v>
      </c>
      <c r="BH50" s="1"/>
      <c r="BI50" s="79">
        <f t="shared" si="29"/>
        <v>0</v>
      </c>
      <c r="BJ50" s="1"/>
      <c r="BK50" s="79">
        <f t="shared" ref="BK50:BK64" si="90">BI50-BJ50</f>
        <v>0</v>
      </c>
      <c r="BL50" s="1"/>
      <c r="BM50" s="79">
        <f t="shared" ref="BM50:BM64" si="91">BK50-BL50</f>
        <v>0</v>
      </c>
      <c r="BN50" s="1"/>
      <c r="BO50" s="79">
        <f t="shared" ref="BO50:BO56" si="92">BM50-BN50</f>
        <v>0</v>
      </c>
      <c r="BP50" s="1"/>
      <c r="BQ50" s="79">
        <f t="shared" ref="BQ50:BQ64" si="93">BO50-BP50</f>
        <v>0</v>
      </c>
      <c r="BR50" s="1"/>
      <c r="BS50" s="79">
        <f t="shared" si="34"/>
        <v>0</v>
      </c>
      <c r="BT50" s="1"/>
      <c r="BU50" s="79">
        <f t="shared" si="35"/>
        <v>0</v>
      </c>
      <c r="BV50" s="1"/>
      <c r="BW50" s="79">
        <f t="shared" si="36"/>
        <v>0</v>
      </c>
      <c r="BX50" s="1"/>
      <c r="BY50" s="79">
        <f t="shared" si="37"/>
        <v>0</v>
      </c>
      <c r="BZ50" s="1"/>
      <c r="CA50" s="79">
        <f t="shared" si="38"/>
        <v>0</v>
      </c>
      <c r="CB50" s="1"/>
      <c r="CC50" s="79">
        <f t="shared" si="39"/>
        <v>0</v>
      </c>
      <c r="CD50" s="1"/>
      <c r="CE50" s="79">
        <f t="shared" si="40"/>
        <v>0</v>
      </c>
      <c r="CF50" s="1"/>
      <c r="CG50" s="79">
        <f t="shared" si="41"/>
        <v>0</v>
      </c>
      <c r="CH50" s="1"/>
      <c r="CI50" s="79">
        <f t="shared" si="42"/>
        <v>0</v>
      </c>
      <c r="CJ50" s="1"/>
      <c r="CK50" s="79">
        <f t="shared" si="43"/>
        <v>0</v>
      </c>
      <c r="CL50" s="1"/>
      <c r="CM50" s="79">
        <f t="shared" si="44"/>
        <v>0</v>
      </c>
      <c r="CN50" s="1"/>
      <c r="CO50" s="79">
        <f t="shared" si="45"/>
        <v>0</v>
      </c>
      <c r="CP50" s="1"/>
      <c r="CQ50" s="79">
        <f t="shared" si="46"/>
        <v>0</v>
      </c>
      <c r="CR50" s="1"/>
      <c r="CS50" s="79">
        <f t="shared" si="47"/>
        <v>0</v>
      </c>
      <c r="CT50" s="79"/>
      <c r="CU50" s="79">
        <f t="shared" si="48"/>
        <v>0</v>
      </c>
      <c r="CV50" s="79"/>
      <c r="CW50" s="79">
        <f t="shared" si="49"/>
        <v>0</v>
      </c>
      <c r="CX50" s="79"/>
      <c r="CY50" s="91"/>
      <c r="CZ50" s="79">
        <f t="shared" si="50"/>
        <v>0</v>
      </c>
      <c r="DA50" s="93"/>
      <c r="DB50" s="93">
        <f t="shared" si="51"/>
        <v>0</v>
      </c>
      <c r="DC50" s="96"/>
      <c r="DD50" s="93">
        <f t="shared" si="52"/>
        <v>0</v>
      </c>
      <c r="DE50" s="96"/>
      <c r="DF50" s="93">
        <f t="shared" si="53"/>
        <v>0</v>
      </c>
      <c r="DG50" s="96"/>
      <c r="DH50" s="93">
        <f t="shared" si="54"/>
        <v>0</v>
      </c>
      <c r="DI50" s="96"/>
      <c r="DJ50" s="93">
        <f t="shared" si="55"/>
        <v>0</v>
      </c>
      <c r="DK50" s="93"/>
      <c r="DL50" s="93">
        <f t="shared" si="56"/>
        <v>0</v>
      </c>
      <c r="DM50" s="100">
        <v>0.0</v>
      </c>
      <c r="DN50" s="93">
        <f t="shared" si="57"/>
        <v>0</v>
      </c>
      <c r="DO50" s="100">
        <v>0.0</v>
      </c>
      <c r="DP50" s="93">
        <f t="shared" si="58"/>
        <v>0</v>
      </c>
      <c r="DQ50" s="100">
        <v>0.0</v>
      </c>
      <c r="DR50" s="93">
        <f t="shared" si="59"/>
        <v>0</v>
      </c>
      <c r="DS50" s="100">
        <v>0.0</v>
      </c>
      <c r="DT50" s="93">
        <f t="shared" si="60"/>
        <v>0</v>
      </c>
      <c r="DU50" s="100">
        <v>0.0</v>
      </c>
      <c r="DV50" s="93">
        <f t="shared" si="61"/>
        <v>0</v>
      </c>
    </row>
    <row r="51">
      <c r="A51" s="7" t="s">
        <v>567</v>
      </c>
      <c r="B51" s="7" t="s">
        <v>285</v>
      </c>
      <c r="C51" s="76" t="str">
        <f t="array" ref="C51">_xlfn.XLOOKUP(A51,'Emp Master'!A:A,'Emp Master'!F:F)</f>
        <v>#N/A</v>
      </c>
      <c r="D51" s="76" t="str">
        <f t="array" ref="D51">_xlfn.XLOOKUP(A51,'Emp Master'!A:A,'Emp Master'!D:D)</f>
        <v>#N/A</v>
      </c>
      <c r="E51" s="76" t="str">
        <f t="shared" si="2"/>
        <v>#REF!</v>
      </c>
      <c r="F51" s="76"/>
      <c r="G51" s="79"/>
      <c r="H51" s="80"/>
      <c r="I51" s="79">
        <f t="shared" si="64"/>
        <v>0</v>
      </c>
      <c r="J51" s="80"/>
      <c r="K51" s="79">
        <f t="shared" si="65"/>
        <v>0</v>
      </c>
      <c r="L51" s="80"/>
      <c r="M51" s="79">
        <f t="shared" si="66"/>
        <v>0</v>
      </c>
      <c r="N51" s="80"/>
      <c r="O51" s="79">
        <f t="shared" si="67"/>
        <v>0</v>
      </c>
      <c r="P51" s="80"/>
      <c r="Q51" s="79">
        <f t="shared" si="68"/>
        <v>0</v>
      </c>
      <c r="R51" s="1"/>
      <c r="S51" s="79">
        <f t="shared" si="69"/>
        <v>0</v>
      </c>
      <c r="T51" s="1"/>
      <c r="U51" s="79">
        <f t="shared" si="70"/>
        <v>0</v>
      </c>
      <c r="V51" s="1"/>
      <c r="W51" s="79">
        <f t="shared" si="71"/>
        <v>0</v>
      </c>
      <c r="X51" s="1"/>
      <c r="Y51" s="79">
        <f t="shared" si="72"/>
        <v>0</v>
      </c>
      <c r="Z51" s="1"/>
      <c r="AA51" s="79">
        <f t="shared" si="73"/>
        <v>0</v>
      </c>
      <c r="AB51" s="1"/>
      <c r="AC51" s="79">
        <f t="shared" si="74"/>
        <v>0</v>
      </c>
      <c r="AD51" s="1"/>
      <c r="AE51" s="79">
        <f t="shared" si="75"/>
        <v>0</v>
      </c>
      <c r="AF51" s="1"/>
      <c r="AG51" s="79">
        <f t="shared" si="76"/>
        <v>0</v>
      </c>
      <c r="AH51" s="1"/>
      <c r="AI51" s="79">
        <f t="shared" si="77"/>
        <v>0</v>
      </c>
      <c r="AJ51" s="1"/>
      <c r="AK51" s="79">
        <f t="shared" si="78"/>
        <v>0</v>
      </c>
      <c r="AL51" s="1"/>
      <c r="AM51" s="79">
        <f t="shared" si="79"/>
        <v>0</v>
      </c>
      <c r="AN51" s="1"/>
      <c r="AO51" s="79">
        <f t="shared" si="80"/>
        <v>0</v>
      </c>
      <c r="AP51" s="1"/>
      <c r="AQ51" s="79">
        <f t="shared" si="81"/>
        <v>0</v>
      </c>
      <c r="AR51" s="1"/>
      <c r="AS51" s="79">
        <f t="shared" si="82"/>
        <v>0</v>
      </c>
      <c r="AT51" s="1"/>
      <c r="AU51" s="79">
        <f t="shared" si="83"/>
        <v>0</v>
      </c>
      <c r="AV51" s="1"/>
      <c r="AW51" s="79">
        <f t="shared" si="84"/>
        <v>0</v>
      </c>
      <c r="AX51" s="1"/>
      <c r="AY51" s="79">
        <f t="shared" si="85"/>
        <v>0</v>
      </c>
      <c r="AZ51" s="1"/>
      <c r="BA51" s="79">
        <f t="shared" si="86"/>
        <v>0</v>
      </c>
      <c r="BB51" s="1"/>
      <c r="BC51" s="79">
        <f t="shared" si="87"/>
        <v>0</v>
      </c>
      <c r="BD51" s="1"/>
      <c r="BE51" s="79">
        <f t="shared" si="88"/>
        <v>0</v>
      </c>
      <c r="BF51" s="1"/>
      <c r="BG51" s="79">
        <f t="shared" si="89"/>
        <v>0</v>
      </c>
      <c r="BH51" s="1"/>
      <c r="BI51" s="79">
        <f t="shared" si="29"/>
        <v>0</v>
      </c>
      <c r="BJ51" s="1"/>
      <c r="BK51" s="79">
        <f t="shared" si="90"/>
        <v>0</v>
      </c>
      <c r="BL51" s="1"/>
      <c r="BM51" s="79">
        <f t="shared" si="91"/>
        <v>0</v>
      </c>
      <c r="BN51" s="1"/>
      <c r="BO51" s="79">
        <f t="shared" si="92"/>
        <v>0</v>
      </c>
      <c r="BP51" s="1"/>
      <c r="BQ51" s="79">
        <f t="shared" si="93"/>
        <v>0</v>
      </c>
      <c r="BR51" s="1"/>
      <c r="BS51" s="79">
        <f t="shared" si="34"/>
        <v>0</v>
      </c>
      <c r="BT51" s="1"/>
      <c r="BU51" s="79">
        <f t="shared" si="35"/>
        <v>0</v>
      </c>
      <c r="BV51" s="1"/>
      <c r="BW51" s="79">
        <f t="shared" si="36"/>
        <v>0</v>
      </c>
      <c r="BX51" s="1"/>
      <c r="BY51" s="79">
        <f t="shared" si="37"/>
        <v>0</v>
      </c>
      <c r="BZ51" s="1"/>
      <c r="CA51" s="79">
        <f t="shared" si="38"/>
        <v>0</v>
      </c>
      <c r="CB51" s="1"/>
      <c r="CC51" s="79">
        <f t="shared" si="39"/>
        <v>0</v>
      </c>
      <c r="CD51" s="1"/>
      <c r="CE51" s="79">
        <f t="shared" si="40"/>
        <v>0</v>
      </c>
      <c r="CF51" s="1"/>
      <c r="CG51" s="79">
        <f t="shared" si="41"/>
        <v>0</v>
      </c>
      <c r="CH51" s="1"/>
      <c r="CI51" s="79">
        <f t="shared" si="42"/>
        <v>0</v>
      </c>
      <c r="CJ51" s="1"/>
      <c r="CK51" s="79">
        <f t="shared" si="43"/>
        <v>0</v>
      </c>
      <c r="CL51" s="1"/>
      <c r="CM51" s="79">
        <f t="shared" si="44"/>
        <v>0</v>
      </c>
      <c r="CN51" s="1"/>
      <c r="CO51" s="79">
        <f t="shared" si="45"/>
        <v>0</v>
      </c>
      <c r="CP51" s="1"/>
      <c r="CQ51" s="79">
        <f t="shared" si="46"/>
        <v>0</v>
      </c>
      <c r="CR51" s="1"/>
      <c r="CS51" s="79">
        <f t="shared" si="47"/>
        <v>0</v>
      </c>
      <c r="CT51" s="79"/>
      <c r="CU51" s="79">
        <f t="shared" si="48"/>
        <v>0</v>
      </c>
      <c r="CV51" s="79"/>
      <c r="CW51" s="79">
        <f t="shared" si="49"/>
        <v>0</v>
      </c>
      <c r="CX51" s="79"/>
      <c r="CY51" s="91"/>
      <c r="CZ51" s="79">
        <f t="shared" si="50"/>
        <v>0</v>
      </c>
      <c r="DA51" s="93"/>
      <c r="DB51" s="93">
        <f t="shared" si="51"/>
        <v>0</v>
      </c>
      <c r="DC51" s="96"/>
      <c r="DD51" s="93">
        <f t="shared" si="52"/>
        <v>0</v>
      </c>
      <c r="DE51" s="96"/>
      <c r="DF51" s="93">
        <f t="shared" si="53"/>
        <v>0</v>
      </c>
      <c r="DG51" s="96"/>
      <c r="DH51" s="93">
        <f t="shared" si="54"/>
        <v>0</v>
      </c>
      <c r="DI51" s="96"/>
      <c r="DJ51" s="93">
        <f t="shared" si="55"/>
        <v>0</v>
      </c>
      <c r="DK51" s="93"/>
      <c r="DL51" s="93">
        <f t="shared" si="56"/>
        <v>0</v>
      </c>
      <c r="DM51" s="100">
        <v>0.0</v>
      </c>
      <c r="DN51" s="93">
        <f t="shared" si="57"/>
        <v>0</v>
      </c>
      <c r="DO51" s="100">
        <v>0.0</v>
      </c>
      <c r="DP51" s="93">
        <f t="shared" si="58"/>
        <v>0</v>
      </c>
      <c r="DQ51" s="100">
        <v>0.0</v>
      </c>
      <c r="DR51" s="93">
        <f t="shared" si="59"/>
        <v>0</v>
      </c>
      <c r="DS51" s="100">
        <v>0.0</v>
      </c>
      <c r="DT51" s="93">
        <f t="shared" si="60"/>
        <v>0</v>
      </c>
      <c r="DU51" s="100">
        <v>0.0</v>
      </c>
      <c r="DV51" s="93">
        <f t="shared" si="61"/>
        <v>0</v>
      </c>
    </row>
    <row r="52">
      <c r="A52" s="7" t="s">
        <v>278</v>
      </c>
      <c r="B52" s="7" t="s">
        <v>279</v>
      </c>
      <c r="C52" s="76" t="str">
        <f t="array" ref="C52">_xlfn.XLOOKUP(A52,'Emp Master'!A:A,'Emp Master'!F:F)</f>
        <v>SNP</v>
      </c>
      <c r="D52" s="76" t="str">
        <f t="array" ref="D52">_xlfn.XLOOKUP(A52,'Emp Master'!A:A,'Emp Master'!D:D)</f>
        <v>Garden</v>
      </c>
      <c r="E52" s="76" t="str">
        <f t="shared" si="2"/>
        <v>#REF!</v>
      </c>
      <c r="F52" s="76"/>
      <c r="G52" s="79"/>
      <c r="H52" s="80"/>
      <c r="I52" s="79">
        <f t="shared" si="64"/>
        <v>0</v>
      </c>
      <c r="J52" s="80"/>
      <c r="K52" s="79">
        <f t="shared" si="65"/>
        <v>0</v>
      </c>
      <c r="L52" s="80"/>
      <c r="M52" s="79">
        <f t="shared" si="66"/>
        <v>0</v>
      </c>
      <c r="N52" s="80"/>
      <c r="O52" s="79">
        <f t="shared" si="67"/>
        <v>0</v>
      </c>
      <c r="P52" s="80"/>
      <c r="Q52" s="79">
        <f t="shared" si="68"/>
        <v>0</v>
      </c>
      <c r="R52" s="1"/>
      <c r="S52" s="79">
        <f t="shared" si="69"/>
        <v>0</v>
      </c>
      <c r="T52" s="1"/>
      <c r="U52" s="79">
        <f t="shared" si="70"/>
        <v>0</v>
      </c>
      <c r="V52" s="1"/>
      <c r="W52" s="79">
        <f t="shared" si="71"/>
        <v>0</v>
      </c>
      <c r="X52" s="1"/>
      <c r="Y52" s="79">
        <f t="shared" si="72"/>
        <v>0</v>
      </c>
      <c r="Z52" s="1"/>
      <c r="AA52" s="79">
        <f t="shared" si="73"/>
        <v>0</v>
      </c>
      <c r="AB52" s="1"/>
      <c r="AC52" s="79">
        <f t="shared" si="74"/>
        <v>0</v>
      </c>
      <c r="AD52" s="1"/>
      <c r="AE52" s="79">
        <f t="shared" si="75"/>
        <v>0</v>
      </c>
      <c r="AF52" s="1"/>
      <c r="AG52" s="79">
        <f t="shared" si="76"/>
        <v>0</v>
      </c>
      <c r="AH52" s="1"/>
      <c r="AI52" s="79">
        <f t="shared" si="77"/>
        <v>0</v>
      </c>
      <c r="AJ52" s="1"/>
      <c r="AK52" s="79">
        <f t="shared" si="78"/>
        <v>0</v>
      </c>
      <c r="AL52" s="1"/>
      <c r="AM52" s="79">
        <f t="shared" si="79"/>
        <v>0</v>
      </c>
      <c r="AN52" s="1"/>
      <c r="AO52" s="79">
        <f t="shared" si="80"/>
        <v>0</v>
      </c>
      <c r="AP52" s="1"/>
      <c r="AQ52" s="79">
        <f t="shared" si="81"/>
        <v>0</v>
      </c>
      <c r="AR52" s="1"/>
      <c r="AS52" s="79">
        <f t="shared" si="82"/>
        <v>0</v>
      </c>
      <c r="AT52" s="1"/>
      <c r="AU52" s="79">
        <f t="shared" si="83"/>
        <v>0</v>
      </c>
      <c r="AV52" s="1"/>
      <c r="AW52" s="79">
        <f t="shared" si="84"/>
        <v>0</v>
      </c>
      <c r="AX52" s="1"/>
      <c r="AY52" s="79">
        <f t="shared" si="85"/>
        <v>0</v>
      </c>
      <c r="AZ52" s="1"/>
      <c r="BA52" s="79">
        <f t="shared" si="86"/>
        <v>0</v>
      </c>
      <c r="BB52" s="1"/>
      <c r="BC52" s="79">
        <f t="shared" si="87"/>
        <v>0</v>
      </c>
      <c r="BD52" s="1"/>
      <c r="BE52" s="79">
        <f t="shared" si="88"/>
        <v>0</v>
      </c>
      <c r="BF52" s="1"/>
      <c r="BG52" s="79">
        <f t="shared" si="89"/>
        <v>0</v>
      </c>
      <c r="BH52" s="1"/>
      <c r="BI52" s="79">
        <f t="shared" si="29"/>
        <v>0</v>
      </c>
      <c r="BJ52" s="1"/>
      <c r="BK52" s="79">
        <f t="shared" si="90"/>
        <v>0</v>
      </c>
      <c r="BL52" s="1"/>
      <c r="BM52" s="79">
        <f t="shared" si="91"/>
        <v>0</v>
      </c>
      <c r="BN52" s="1"/>
      <c r="BO52" s="79">
        <f t="shared" si="92"/>
        <v>0</v>
      </c>
      <c r="BP52" s="1"/>
      <c r="BQ52" s="79">
        <f t="shared" si="93"/>
        <v>0</v>
      </c>
      <c r="BR52" s="1"/>
      <c r="BS52" s="79">
        <f t="shared" si="34"/>
        <v>0</v>
      </c>
      <c r="BT52" s="1"/>
      <c r="BU52" s="79">
        <f t="shared" si="35"/>
        <v>0</v>
      </c>
      <c r="BV52" s="1"/>
      <c r="BW52" s="79">
        <f t="shared" si="36"/>
        <v>0</v>
      </c>
      <c r="BX52" s="1"/>
      <c r="BY52" s="79">
        <f t="shared" si="37"/>
        <v>0</v>
      </c>
      <c r="BZ52" s="1"/>
      <c r="CA52" s="79">
        <f t="shared" si="38"/>
        <v>0</v>
      </c>
      <c r="CB52" s="1"/>
      <c r="CC52" s="79">
        <f t="shared" si="39"/>
        <v>0</v>
      </c>
      <c r="CD52" s="1"/>
      <c r="CE52" s="79">
        <f t="shared" si="40"/>
        <v>0</v>
      </c>
      <c r="CF52" s="1"/>
      <c r="CG52" s="79">
        <f t="shared" si="41"/>
        <v>0</v>
      </c>
      <c r="CH52" s="1"/>
      <c r="CI52" s="79">
        <f t="shared" si="42"/>
        <v>0</v>
      </c>
      <c r="CJ52" s="1"/>
      <c r="CK52" s="79">
        <f t="shared" si="43"/>
        <v>0</v>
      </c>
      <c r="CL52" s="1"/>
      <c r="CM52" s="79">
        <f t="shared" si="44"/>
        <v>0</v>
      </c>
      <c r="CN52" s="1"/>
      <c r="CO52" s="79">
        <f t="shared" si="45"/>
        <v>0</v>
      </c>
      <c r="CP52" s="1"/>
      <c r="CQ52" s="79">
        <f t="shared" si="46"/>
        <v>0</v>
      </c>
      <c r="CR52" s="1"/>
      <c r="CS52" s="79">
        <f t="shared" si="47"/>
        <v>0</v>
      </c>
      <c r="CT52" s="79"/>
      <c r="CU52" s="79">
        <f t="shared" si="48"/>
        <v>0</v>
      </c>
      <c r="CV52" s="79"/>
      <c r="CW52" s="79">
        <f t="shared" si="49"/>
        <v>0</v>
      </c>
      <c r="CX52" s="79"/>
      <c r="CY52" s="91"/>
      <c r="CZ52" s="79">
        <f t="shared" si="50"/>
        <v>0</v>
      </c>
      <c r="DA52" s="93"/>
      <c r="DB52" s="93">
        <f t="shared" si="51"/>
        <v>0</v>
      </c>
      <c r="DC52" s="96"/>
      <c r="DD52" s="93">
        <f t="shared" si="52"/>
        <v>0</v>
      </c>
      <c r="DE52" s="96"/>
      <c r="DF52" s="93">
        <f t="shared" si="53"/>
        <v>0</v>
      </c>
      <c r="DG52" s="96"/>
      <c r="DH52" s="93">
        <f t="shared" si="54"/>
        <v>0</v>
      </c>
      <c r="DI52" s="96"/>
      <c r="DJ52" s="93">
        <f t="shared" si="55"/>
        <v>0</v>
      </c>
      <c r="DK52" s="93"/>
      <c r="DL52" s="93">
        <f t="shared" si="56"/>
        <v>0</v>
      </c>
      <c r="DM52" s="100">
        <v>0.0</v>
      </c>
      <c r="DN52" s="93">
        <f>DL52-DM52+1790</f>
        <v>1790</v>
      </c>
      <c r="DO52" s="100">
        <v>500.0</v>
      </c>
      <c r="DP52" s="93">
        <f t="shared" si="58"/>
        <v>1290</v>
      </c>
      <c r="DQ52" s="100">
        <v>500.0</v>
      </c>
      <c r="DR52" s="93">
        <f t="shared" si="59"/>
        <v>790</v>
      </c>
      <c r="DS52" s="100">
        <v>790.0</v>
      </c>
      <c r="DT52" s="93">
        <f t="shared" si="60"/>
        <v>0</v>
      </c>
      <c r="DU52" s="100">
        <v>0.0</v>
      </c>
      <c r="DV52" s="93">
        <f t="shared" si="61"/>
        <v>0</v>
      </c>
    </row>
    <row r="53">
      <c r="A53" s="7" t="s">
        <v>576</v>
      </c>
      <c r="B53" s="7" t="s">
        <v>494</v>
      </c>
      <c r="C53" s="76" t="str">
        <f t="array" ref="C53">_xlfn.XLOOKUP(A53,'Emp Master'!A:A,'Emp Master'!F:F)</f>
        <v>#N/A</v>
      </c>
      <c r="D53" s="76" t="str">
        <f t="array" ref="D53">_xlfn.XLOOKUP(A53,'Emp Master'!A:A,'Emp Master'!D:D)</f>
        <v>#N/A</v>
      </c>
      <c r="E53" s="76" t="str">
        <f t="shared" si="2"/>
        <v>#REF!</v>
      </c>
      <c r="F53" s="76"/>
      <c r="G53" s="79"/>
      <c r="H53" s="80"/>
      <c r="I53" s="79">
        <f t="shared" si="64"/>
        <v>0</v>
      </c>
      <c r="J53" s="80"/>
      <c r="K53" s="79">
        <f t="shared" si="65"/>
        <v>0</v>
      </c>
      <c r="L53" s="80"/>
      <c r="M53" s="79">
        <f t="shared" si="66"/>
        <v>0</v>
      </c>
      <c r="N53" s="80"/>
      <c r="O53" s="79">
        <f t="shared" si="67"/>
        <v>0</v>
      </c>
      <c r="P53" s="80"/>
      <c r="Q53" s="79">
        <f t="shared" si="68"/>
        <v>0</v>
      </c>
      <c r="R53" s="1"/>
      <c r="S53" s="79">
        <f t="shared" si="69"/>
        <v>0</v>
      </c>
      <c r="T53" s="1"/>
      <c r="U53" s="79">
        <f t="shared" si="70"/>
        <v>0</v>
      </c>
      <c r="V53" s="1"/>
      <c r="W53" s="79">
        <f t="shared" si="71"/>
        <v>0</v>
      </c>
      <c r="X53" s="1"/>
      <c r="Y53" s="79">
        <f t="shared" si="72"/>
        <v>0</v>
      </c>
      <c r="Z53" s="1"/>
      <c r="AA53" s="79">
        <f t="shared" si="73"/>
        <v>0</v>
      </c>
      <c r="AB53" s="1"/>
      <c r="AC53" s="79">
        <f t="shared" si="74"/>
        <v>0</v>
      </c>
      <c r="AD53" s="1"/>
      <c r="AE53" s="79">
        <f t="shared" si="75"/>
        <v>0</v>
      </c>
      <c r="AF53" s="1"/>
      <c r="AG53" s="79">
        <f t="shared" si="76"/>
        <v>0</v>
      </c>
      <c r="AH53" s="1"/>
      <c r="AI53" s="79">
        <f t="shared" si="77"/>
        <v>0</v>
      </c>
      <c r="AJ53" s="1"/>
      <c r="AK53" s="79">
        <f t="shared" si="78"/>
        <v>0</v>
      </c>
      <c r="AL53" s="1"/>
      <c r="AM53" s="79">
        <f t="shared" si="79"/>
        <v>0</v>
      </c>
      <c r="AN53" s="1"/>
      <c r="AO53" s="79">
        <f t="shared" si="80"/>
        <v>0</v>
      </c>
      <c r="AP53" s="1"/>
      <c r="AQ53" s="79">
        <f t="shared" si="81"/>
        <v>0</v>
      </c>
      <c r="AR53" s="1"/>
      <c r="AS53" s="79">
        <f t="shared" si="82"/>
        <v>0</v>
      </c>
      <c r="AT53" s="106">
        <v>0.0</v>
      </c>
      <c r="AU53" s="79">
        <f t="shared" si="83"/>
        <v>0</v>
      </c>
      <c r="AV53" s="106">
        <v>0.0</v>
      </c>
      <c r="AW53" s="79">
        <f t="shared" si="84"/>
        <v>0</v>
      </c>
      <c r="AX53" s="106">
        <v>0.0</v>
      </c>
      <c r="AY53" s="79">
        <f t="shared" si="85"/>
        <v>0</v>
      </c>
      <c r="AZ53" s="106">
        <v>0.0</v>
      </c>
      <c r="BA53" s="79">
        <f t="shared" si="86"/>
        <v>0</v>
      </c>
      <c r="BB53" s="106">
        <v>0.0</v>
      </c>
      <c r="BC53" s="79">
        <f t="shared" si="87"/>
        <v>0</v>
      </c>
      <c r="BD53" s="1"/>
      <c r="BE53" s="79">
        <f t="shared" si="88"/>
        <v>0</v>
      </c>
      <c r="BF53" s="1"/>
      <c r="BG53" s="79">
        <f t="shared" si="89"/>
        <v>0</v>
      </c>
      <c r="BH53" s="1"/>
      <c r="BI53" s="79">
        <f t="shared" si="29"/>
        <v>0</v>
      </c>
      <c r="BJ53" s="1"/>
      <c r="BK53" s="79">
        <f t="shared" si="90"/>
        <v>0</v>
      </c>
      <c r="BL53" s="1"/>
      <c r="BM53" s="79">
        <f t="shared" si="91"/>
        <v>0</v>
      </c>
      <c r="BN53" s="1"/>
      <c r="BO53" s="79">
        <f t="shared" si="92"/>
        <v>0</v>
      </c>
      <c r="BP53" s="1"/>
      <c r="BQ53" s="79">
        <f t="shared" si="93"/>
        <v>0</v>
      </c>
      <c r="BR53" s="1"/>
      <c r="BS53" s="79">
        <f t="shared" si="34"/>
        <v>0</v>
      </c>
      <c r="BT53" s="1"/>
      <c r="BU53" s="79">
        <f t="shared" si="35"/>
        <v>0</v>
      </c>
      <c r="BV53" s="1"/>
      <c r="BW53" s="79">
        <f t="shared" si="36"/>
        <v>0</v>
      </c>
      <c r="BX53" s="1"/>
      <c r="BY53" s="79">
        <f t="shared" si="37"/>
        <v>0</v>
      </c>
      <c r="BZ53" s="1"/>
      <c r="CA53" s="79">
        <f t="shared" si="38"/>
        <v>0</v>
      </c>
      <c r="CB53" s="1"/>
      <c r="CC53" s="79">
        <f t="shared" si="39"/>
        <v>0</v>
      </c>
      <c r="CD53" s="1"/>
      <c r="CE53" s="79">
        <f t="shared" si="40"/>
        <v>0</v>
      </c>
      <c r="CF53" s="1"/>
      <c r="CG53" s="79">
        <f t="shared" si="41"/>
        <v>0</v>
      </c>
      <c r="CH53" s="1"/>
      <c r="CI53" s="79">
        <f t="shared" si="42"/>
        <v>0</v>
      </c>
      <c r="CJ53" s="1"/>
      <c r="CK53" s="79">
        <f t="shared" si="43"/>
        <v>0</v>
      </c>
      <c r="CL53" s="1"/>
      <c r="CM53" s="79">
        <f t="shared" si="44"/>
        <v>0</v>
      </c>
      <c r="CN53" s="1"/>
      <c r="CO53" s="79">
        <f t="shared" si="45"/>
        <v>0</v>
      </c>
      <c r="CP53" s="1"/>
      <c r="CQ53" s="79">
        <f t="shared" si="46"/>
        <v>0</v>
      </c>
      <c r="CR53" s="1"/>
      <c r="CS53" s="79">
        <f t="shared" si="47"/>
        <v>0</v>
      </c>
      <c r="CT53" s="79"/>
      <c r="CU53" s="79">
        <f t="shared" si="48"/>
        <v>0</v>
      </c>
      <c r="CV53" s="79"/>
      <c r="CW53" s="79">
        <f t="shared" si="49"/>
        <v>0</v>
      </c>
      <c r="CX53" s="79"/>
      <c r="CY53" s="91"/>
      <c r="CZ53" s="79">
        <f t="shared" si="50"/>
        <v>0</v>
      </c>
      <c r="DA53" s="93"/>
      <c r="DB53" s="93">
        <f t="shared" si="51"/>
        <v>0</v>
      </c>
      <c r="DC53" s="96"/>
      <c r="DD53" s="93">
        <f t="shared" si="52"/>
        <v>0</v>
      </c>
      <c r="DE53" s="96"/>
      <c r="DF53" s="93">
        <f t="shared" si="53"/>
        <v>0</v>
      </c>
      <c r="DG53" s="96"/>
      <c r="DH53" s="93">
        <f t="shared" si="54"/>
        <v>0</v>
      </c>
      <c r="DI53" s="96"/>
      <c r="DJ53" s="93">
        <f t="shared" si="55"/>
        <v>0</v>
      </c>
      <c r="DK53" s="93"/>
      <c r="DL53" s="93">
        <f t="shared" si="56"/>
        <v>0</v>
      </c>
      <c r="DM53" s="100">
        <v>0.0</v>
      </c>
      <c r="DN53" s="93">
        <f t="shared" ref="DN53:DN55" si="94">DL53-DM53</f>
        <v>0</v>
      </c>
      <c r="DO53" s="100">
        <v>0.0</v>
      </c>
      <c r="DP53" s="93">
        <f t="shared" si="58"/>
        <v>0</v>
      </c>
      <c r="DQ53" s="100">
        <v>0.0</v>
      </c>
      <c r="DR53" s="93">
        <f t="shared" si="59"/>
        <v>0</v>
      </c>
      <c r="DS53" s="100">
        <v>0.0</v>
      </c>
      <c r="DT53" s="93">
        <f t="shared" si="60"/>
        <v>0</v>
      </c>
      <c r="DU53" s="100">
        <v>0.0</v>
      </c>
      <c r="DV53" s="93">
        <f t="shared" si="61"/>
        <v>0</v>
      </c>
    </row>
    <row r="54">
      <c r="A54" s="7" t="s">
        <v>583</v>
      </c>
      <c r="B54" s="7" t="s">
        <v>584</v>
      </c>
      <c r="C54" s="76" t="str">
        <f t="array" ref="C54">_xlfn.XLOOKUP(A54,'Emp Master'!A:A,'Emp Master'!F:F)</f>
        <v>#N/A</v>
      </c>
      <c r="D54" s="76" t="str">
        <f t="array" ref="D54">_xlfn.XLOOKUP(A54,'Emp Master'!A:A,'Emp Master'!D:D)</f>
        <v>#N/A</v>
      </c>
      <c r="E54" s="76" t="str">
        <f t="shared" si="2"/>
        <v>#REF!</v>
      </c>
      <c r="F54" s="76">
        <v>2000.0</v>
      </c>
      <c r="G54" s="79">
        <v>4000.0</v>
      </c>
      <c r="H54" s="80">
        <v>2000.0</v>
      </c>
      <c r="I54" s="79">
        <f t="shared" si="64"/>
        <v>2000</v>
      </c>
      <c r="J54" s="80">
        <v>2000.0</v>
      </c>
      <c r="K54" s="79">
        <f t="shared" si="65"/>
        <v>0</v>
      </c>
      <c r="L54" s="80"/>
      <c r="M54" s="79">
        <f t="shared" si="66"/>
        <v>0</v>
      </c>
      <c r="N54" s="80"/>
      <c r="O54" s="79">
        <f t="shared" si="67"/>
        <v>0</v>
      </c>
      <c r="P54" s="80"/>
      <c r="Q54" s="79">
        <f t="shared" si="68"/>
        <v>0</v>
      </c>
      <c r="R54" s="1"/>
      <c r="S54" s="79">
        <f t="shared" si="69"/>
        <v>0</v>
      </c>
      <c r="T54" s="1"/>
      <c r="U54" s="79">
        <f t="shared" si="70"/>
        <v>0</v>
      </c>
      <c r="V54" s="1"/>
      <c r="W54" s="79">
        <f t="shared" si="71"/>
        <v>0</v>
      </c>
      <c r="X54" s="1"/>
      <c r="Y54" s="79">
        <f t="shared" si="72"/>
        <v>0</v>
      </c>
      <c r="Z54" s="1"/>
      <c r="AA54" s="79">
        <f t="shared" si="73"/>
        <v>0</v>
      </c>
      <c r="AB54" s="1"/>
      <c r="AC54" s="79">
        <f t="shared" si="74"/>
        <v>0</v>
      </c>
      <c r="AD54" s="1"/>
      <c r="AE54" s="79">
        <f t="shared" si="75"/>
        <v>0</v>
      </c>
      <c r="AF54" s="1"/>
      <c r="AG54" s="79">
        <f t="shared" si="76"/>
        <v>0</v>
      </c>
      <c r="AH54" s="1"/>
      <c r="AI54" s="79">
        <f t="shared" si="77"/>
        <v>0</v>
      </c>
      <c r="AJ54" s="1"/>
      <c r="AK54" s="79">
        <f t="shared" si="78"/>
        <v>0</v>
      </c>
      <c r="AL54" s="1"/>
      <c r="AM54" s="79">
        <f t="shared" si="79"/>
        <v>0</v>
      </c>
      <c r="AN54" s="1"/>
      <c r="AO54" s="79">
        <f t="shared" si="80"/>
        <v>0</v>
      </c>
      <c r="AP54" s="1"/>
      <c r="AQ54" s="79">
        <f t="shared" si="81"/>
        <v>0</v>
      </c>
      <c r="AR54" s="1"/>
      <c r="AS54" s="79">
        <f t="shared" si="82"/>
        <v>0</v>
      </c>
      <c r="AT54" s="1"/>
      <c r="AU54" s="79">
        <f t="shared" si="83"/>
        <v>0</v>
      </c>
      <c r="AV54" s="1"/>
      <c r="AW54" s="79">
        <f t="shared" si="84"/>
        <v>0</v>
      </c>
      <c r="AX54" s="1"/>
      <c r="AY54" s="79">
        <f t="shared" si="85"/>
        <v>0</v>
      </c>
      <c r="AZ54" s="1"/>
      <c r="BA54" s="79">
        <f t="shared" si="86"/>
        <v>0</v>
      </c>
      <c r="BB54" s="1"/>
      <c r="BC54" s="79">
        <f t="shared" si="87"/>
        <v>0</v>
      </c>
      <c r="BD54" s="1"/>
      <c r="BE54" s="79">
        <f t="shared" si="88"/>
        <v>0</v>
      </c>
      <c r="BF54" s="1"/>
      <c r="BG54" s="79">
        <f t="shared" si="89"/>
        <v>0</v>
      </c>
      <c r="BH54" s="1"/>
      <c r="BI54" s="79">
        <f t="shared" si="29"/>
        <v>0</v>
      </c>
      <c r="BJ54" s="1"/>
      <c r="BK54" s="79">
        <f t="shared" si="90"/>
        <v>0</v>
      </c>
      <c r="BL54" s="1"/>
      <c r="BM54" s="79">
        <f t="shared" si="91"/>
        <v>0</v>
      </c>
      <c r="BN54" s="1"/>
      <c r="BO54" s="79">
        <f t="shared" si="92"/>
        <v>0</v>
      </c>
      <c r="BP54" s="1"/>
      <c r="BQ54" s="79">
        <f t="shared" si="93"/>
        <v>0</v>
      </c>
      <c r="BR54" s="1"/>
      <c r="BS54" s="79">
        <f t="shared" si="34"/>
        <v>0</v>
      </c>
      <c r="BT54" s="1"/>
      <c r="BU54" s="79">
        <f t="shared" si="35"/>
        <v>0</v>
      </c>
      <c r="BV54" s="1"/>
      <c r="BW54" s="79">
        <f t="shared" si="36"/>
        <v>0</v>
      </c>
      <c r="BX54" s="1"/>
      <c r="BY54" s="79">
        <f t="shared" si="37"/>
        <v>0</v>
      </c>
      <c r="BZ54" s="1"/>
      <c r="CA54" s="79">
        <f t="shared" si="38"/>
        <v>0</v>
      </c>
      <c r="CB54" s="1"/>
      <c r="CC54" s="79">
        <f t="shared" si="39"/>
        <v>0</v>
      </c>
      <c r="CD54" s="1"/>
      <c r="CE54" s="79">
        <f t="shared" si="40"/>
        <v>0</v>
      </c>
      <c r="CF54" s="1"/>
      <c r="CG54" s="79">
        <f t="shared" si="41"/>
        <v>0</v>
      </c>
      <c r="CH54" s="1"/>
      <c r="CI54" s="79">
        <f t="shared" si="42"/>
        <v>0</v>
      </c>
      <c r="CJ54" s="1"/>
      <c r="CK54" s="79">
        <f t="shared" si="43"/>
        <v>0</v>
      </c>
      <c r="CL54" s="1"/>
      <c r="CM54" s="79">
        <f t="shared" si="44"/>
        <v>0</v>
      </c>
      <c r="CN54" s="1"/>
      <c r="CO54" s="79">
        <f t="shared" si="45"/>
        <v>0</v>
      </c>
      <c r="CP54" s="1"/>
      <c r="CQ54" s="79">
        <f t="shared" si="46"/>
        <v>0</v>
      </c>
      <c r="CR54" s="1"/>
      <c r="CS54" s="79">
        <f t="shared" si="47"/>
        <v>0</v>
      </c>
      <c r="CT54" s="79"/>
      <c r="CU54" s="79">
        <f t="shared" si="48"/>
        <v>0</v>
      </c>
      <c r="CV54" s="79"/>
      <c r="CW54" s="79">
        <f t="shared" si="49"/>
        <v>0</v>
      </c>
      <c r="CX54" s="79"/>
      <c r="CY54" s="91"/>
      <c r="CZ54" s="79">
        <f t="shared" si="50"/>
        <v>0</v>
      </c>
      <c r="DA54" s="93"/>
      <c r="DB54" s="93">
        <f t="shared" si="51"/>
        <v>0</v>
      </c>
      <c r="DC54" s="96"/>
      <c r="DD54" s="93">
        <f t="shared" si="52"/>
        <v>0</v>
      </c>
      <c r="DE54" s="96"/>
      <c r="DF54" s="93">
        <f t="shared" si="53"/>
        <v>0</v>
      </c>
      <c r="DG54" s="96"/>
      <c r="DH54" s="93">
        <f t="shared" si="54"/>
        <v>0</v>
      </c>
      <c r="DI54" s="96"/>
      <c r="DJ54" s="93">
        <f t="shared" si="55"/>
        <v>0</v>
      </c>
      <c r="DK54" s="93"/>
      <c r="DL54" s="93">
        <f t="shared" si="56"/>
        <v>0</v>
      </c>
      <c r="DM54" s="100">
        <v>0.0</v>
      </c>
      <c r="DN54" s="93">
        <f t="shared" si="94"/>
        <v>0</v>
      </c>
      <c r="DO54" s="100">
        <v>0.0</v>
      </c>
      <c r="DP54" s="93">
        <f t="shared" si="58"/>
        <v>0</v>
      </c>
      <c r="DQ54" s="100">
        <v>0.0</v>
      </c>
      <c r="DR54" s="93">
        <f t="shared" si="59"/>
        <v>0</v>
      </c>
      <c r="DS54" s="100">
        <v>0.0</v>
      </c>
      <c r="DT54" s="93">
        <f t="shared" si="60"/>
        <v>0</v>
      </c>
      <c r="DU54" s="100">
        <v>0.0</v>
      </c>
      <c r="DV54" s="93">
        <f t="shared" si="61"/>
        <v>0</v>
      </c>
    </row>
    <row r="55">
      <c r="A55" s="7" t="s">
        <v>284</v>
      </c>
      <c r="B55" s="7" t="s">
        <v>285</v>
      </c>
      <c r="C55" s="76" t="str">
        <f t="array" ref="C55">_xlfn.XLOOKUP(A55,'Emp Master'!A:A,'Emp Master'!F:F)</f>
        <v>DEL</v>
      </c>
      <c r="D55" s="76" t="str">
        <f t="array" ref="D55">_xlfn.XLOOKUP(A55,'Emp Master'!A:A,'Emp Master'!D:D)</f>
        <v>Accounts &amp; Finance</v>
      </c>
      <c r="E55" s="76" t="str">
        <f t="shared" si="2"/>
        <v>#REF!</v>
      </c>
      <c r="F55" s="76"/>
      <c r="G55" s="79"/>
      <c r="H55" s="80"/>
      <c r="I55" s="79">
        <f t="shared" si="64"/>
        <v>0</v>
      </c>
      <c r="J55" s="80"/>
      <c r="K55" s="79">
        <f t="shared" si="65"/>
        <v>0</v>
      </c>
      <c r="L55" s="80"/>
      <c r="M55" s="79">
        <f t="shared" si="66"/>
        <v>0</v>
      </c>
      <c r="N55" s="80"/>
      <c r="O55" s="79">
        <f t="shared" si="67"/>
        <v>0</v>
      </c>
      <c r="P55" s="80"/>
      <c r="Q55" s="79">
        <f t="shared" si="68"/>
        <v>0</v>
      </c>
      <c r="R55" s="1"/>
      <c r="S55" s="79">
        <f t="shared" si="69"/>
        <v>0</v>
      </c>
      <c r="T55" s="1"/>
      <c r="U55" s="79">
        <f t="shared" si="70"/>
        <v>0</v>
      </c>
      <c r="V55" s="1"/>
      <c r="W55" s="79">
        <f t="shared" si="71"/>
        <v>0</v>
      </c>
      <c r="X55" s="1"/>
      <c r="Y55" s="79">
        <f t="shared" si="72"/>
        <v>0</v>
      </c>
      <c r="Z55" s="1"/>
      <c r="AA55" s="79">
        <f t="shared" si="73"/>
        <v>0</v>
      </c>
      <c r="AB55" s="1"/>
      <c r="AC55" s="79">
        <f t="shared" si="74"/>
        <v>0</v>
      </c>
      <c r="AD55" s="1"/>
      <c r="AE55" s="79">
        <f t="shared" si="75"/>
        <v>0</v>
      </c>
      <c r="AF55" s="1"/>
      <c r="AG55" s="79">
        <f t="shared" si="76"/>
        <v>0</v>
      </c>
      <c r="AH55" s="1"/>
      <c r="AI55" s="79">
        <f t="shared" si="77"/>
        <v>0</v>
      </c>
      <c r="AJ55" s="1"/>
      <c r="AK55" s="79">
        <f t="shared" si="78"/>
        <v>0</v>
      </c>
      <c r="AL55" s="1"/>
      <c r="AM55" s="79">
        <f t="shared" si="79"/>
        <v>0</v>
      </c>
      <c r="AN55" s="1"/>
      <c r="AO55" s="79">
        <f t="shared" si="80"/>
        <v>0</v>
      </c>
      <c r="AP55" s="1"/>
      <c r="AQ55" s="79">
        <f t="shared" si="81"/>
        <v>0</v>
      </c>
      <c r="AR55" s="1"/>
      <c r="AS55" s="79">
        <f t="shared" si="82"/>
        <v>0</v>
      </c>
      <c r="AT55" s="1"/>
      <c r="AU55" s="79">
        <f t="shared" si="83"/>
        <v>0</v>
      </c>
      <c r="AV55" s="1"/>
      <c r="AW55" s="79">
        <f t="shared" si="84"/>
        <v>0</v>
      </c>
      <c r="AX55" s="1"/>
      <c r="AY55" s="79">
        <f t="shared" si="85"/>
        <v>0</v>
      </c>
      <c r="AZ55" s="1"/>
      <c r="BA55" s="79">
        <f t="shared" si="86"/>
        <v>0</v>
      </c>
      <c r="BB55" s="1"/>
      <c r="BC55" s="79">
        <f t="shared" si="87"/>
        <v>0</v>
      </c>
      <c r="BD55" s="1"/>
      <c r="BE55" s="79">
        <f t="shared" si="88"/>
        <v>0</v>
      </c>
      <c r="BF55" s="1"/>
      <c r="BG55" s="79">
        <f t="shared" si="89"/>
        <v>0</v>
      </c>
      <c r="BH55" s="1"/>
      <c r="BI55" s="79">
        <f t="shared" si="29"/>
        <v>0</v>
      </c>
      <c r="BJ55" s="1"/>
      <c r="BK55" s="79">
        <f t="shared" si="90"/>
        <v>0</v>
      </c>
      <c r="BL55" s="1"/>
      <c r="BM55" s="79">
        <f t="shared" si="91"/>
        <v>0</v>
      </c>
      <c r="BN55" s="1"/>
      <c r="BO55" s="79">
        <f t="shared" si="92"/>
        <v>0</v>
      </c>
      <c r="BP55" s="1"/>
      <c r="BQ55" s="79">
        <f t="shared" si="93"/>
        <v>0</v>
      </c>
      <c r="BR55" s="1"/>
      <c r="BS55" s="79">
        <f t="shared" si="34"/>
        <v>0</v>
      </c>
      <c r="BT55" s="1"/>
      <c r="BU55" s="79">
        <f t="shared" si="35"/>
        <v>0</v>
      </c>
      <c r="BV55" s="1"/>
      <c r="BW55" s="79">
        <f t="shared" si="36"/>
        <v>0</v>
      </c>
      <c r="BX55" s="1"/>
      <c r="BY55" s="79">
        <f t="shared" si="37"/>
        <v>0</v>
      </c>
      <c r="BZ55" s="1"/>
      <c r="CA55" s="79">
        <f t="shared" si="38"/>
        <v>0</v>
      </c>
      <c r="CB55" s="1"/>
      <c r="CC55" s="79">
        <f t="shared" si="39"/>
        <v>0</v>
      </c>
      <c r="CD55" s="1"/>
      <c r="CE55" s="79">
        <f t="shared" si="40"/>
        <v>0</v>
      </c>
      <c r="CF55" s="1"/>
      <c r="CG55" s="79">
        <f t="shared" si="41"/>
        <v>0</v>
      </c>
      <c r="CH55" s="1"/>
      <c r="CI55" s="79">
        <f t="shared" si="42"/>
        <v>0</v>
      </c>
      <c r="CJ55" s="1"/>
      <c r="CK55" s="79">
        <f t="shared" si="43"/>
        <v>0</v>
      </c>
      <c r="CL55" s="1"/>
      <c r="CM55" s="79">
        <f t="shared" si="44"/>
        <v>0</v>
      </c>
      <c r="CN55" s="1"/>
      <c r="CO55" s="79">
        <f t="shared" si="45"/>
        <v>0</v>
      </c>
      <c r="CP55" s="1"/>
      <c r="CQ55" s="79">
        <f t="shared" si="46"/>
        <v>0</v>
      </c>
      <c r="CR55" s="1"/>
      <c r="CS55" s="79">
        <f t="shared" si="47"/>
        <v>0</v>
      </c>
      <c r="CT55" s="79"/>
      <c r="CU55" s="79">
        <f t="shared" si="48"/>
        <v>0</v>
      </c>
      <c r="CV55" s="79"/>
      <c r="CW55" s="79">
        <f t="shared" si="49"/>
        <v>0</v>
      </c>
      <c r="CX55" s="79"/>
      <c r="CY55" s="91"/>
      <c r="CZ55" s="79">
        <f t="shared" si="50"/>
        <v>0</v>
      </c>
      <c r="DA55" s="93"/>
      <c r="DB55" s="93">
        <f t="shared" si="51"/>
        <v>0</v>
      </c>
      <c r="DC55" s="96"/>
      <c r="DD55" s="93">
        <f t="shared" si="52"/>
        <v>0</v>
      </c>
      <c r="DE55" s="96"/>
      <c r="DF55" s="93">
        <f t="shared" si="53"/>
        <v>0</v>
      </c>
      <c r="DG55" s="96"/>
      <c r="DH55" s="93">
        <f t="shared" si="54"/>
        <v>0</v>
      </c>
      <c r="DI55" s="96"/>
      <c r="DJ55" s="93">
        <f t="shared" si="55"/>
        <v>0</v>
      </c>
      <c r="DK55" s="93"/>
      <c r="DL55" s="93">
        <f t="shared" si="56"/>
        <v>0</v>
      </c>
      <c r="DM55" s="100">
        <v>0.0</v>
      </c>
      <c r="DN55" s="93">
        <f t="shared" si="94"/>
        <v>0</v>
      </c>
      <c r="DO55" s="100">
        <v>0.0</v>
      </c>
      <c r="DP55" s="93">
        <f t="shared" si="58"/>
        <v>0</v>
      </c>
      <c r="DQ55" s="100">
        <v>0.0</v>
      </c>
      <c r="DR55" s="93">
        <f t="shared" si="59"/>
        <v>0</v>
      </c>
      <c r="DS55" s="100">
        <v>0.0</v>
      </c>
      <c r="DT55" s="93">
        <f t="shared" si="60"/>
        <v>0</v>
      </c>
      <c r="DU55" s="100">
        <v>0.0</v>
      </c>
      <c r="DV55" s="93">
        <f t="shared" si="61"/>
        <v>0</v>
      </c>
    </row>
    <row r="56">
      <c r="A56" s="7" t="s">
        <v>290</v>
      </c>
      <c r="B56" s="7" t="s">
        <v>291</v>
      </c>
      <c r="C56" s="76" t="str">
        <f t="array" ref="C56">_xlfn.XLOOKUP(A56,'Emp Master'!A:A,'Emp Master'!F:F)</f>
        <v>SNP</v>
      </c>
      <c r="D56" s="76" t="str">
        <f t="array" ref="D56">_xlfn.XLOOKUP(A56,'Emp Master'!A:A,'Emp Master'!D:D)</f>
        <v>Cutting</v>
      </c>
      <c r="E56" s="76" t="str">
        <f t="shared" si="2"/>
        <v>#REF!</v>
      </c>
      <c r="F56" s="76"/>
      <c r="G56" s="79"/>
      <c r="H56" s="80"/>
      <c r="I56" s="79">
        <f t="shared" si="64"/>
        <v>0</v>
      </c>
      <c r="J56" s="80"/>
      <c r="K56" s="79">
        <f t="shared" si="65"/>
        <v>0</v>
      </c>
      <c r="L56" s="80"/>
      <c r="M56" s="79">
        <f t="shared" si="66"/>
        <v>0</v>
      </c>
      <c r="N56" s="80"/>
      <c r="O56" s="79">
        <f t="shared" si="67"/>
        <v>0</v>
      </c>
      <c r="P56" s="80"/>
      <c r="Q56" s="79">
        <f t="shared" si="68"/>
        <v>0</v>
      </c>
      <c r="R56" s="1"/>
      <c r="S56" s="79">
        <f t="shared" si="69"/>
        <v>0</v>
      </c>
      <c r="T56" s="1"/>
      <c r="U56" s="79">
        <f t="shared" si="70"/>
        <v>0</v>
      </c>
      <c r="V56" s="1"/>
      <c r="W56" s="79">
        <f t="shared" si="71"/>
        <v>0</v>
      </c>
      <c r="X56" s="1"/>
      <c r="Y56" s="79">
        <f t="shared" si="72"/>
        <v>0</v>
      </c>
      <c r="Z56" s="1"/>
      <c r="AA56" s="79">
        <f t="shared" si="73"/>
        <v>0</v>
      </c>
      <c r="AB56" s="1"/>
      <c r="AC56" s="79">
        <f t="shared" si="74"/>
        <v>0</v>
      </c>
      <c r="AD56" s="1"/>
      <c r="AE56" s="79">
        <f t="shared" si="75"/>
        <v>0</v>
      </c>
      <c r="AF56" s="1"/>
      <c r="AG56" s="79">
        <f t="shared" si="76"/>
        <v>0</v>
      </c>
      <c r="AH56" s="1"/>
      <c r="AI56" s="79">
        <f t="shared" si="77"/>
        <v>0</v>
      </c>
      <c r="AJ56" s="1"/>
      <c r="AK56" s="79">
        <f t="shared" si="78"/>
        <v>0</v>
      </c>
      <c r="AL56" s="1"/>
      <c r="AM56" s="79">
        <f t="shared" si="79"/>
        <v>0</v>
      </c>
      <c r="AN56" s="1"/>
      <c r="AO56" s="79">
        <f t="shared" si="80"/>
        <v>0</v>
      </c>
      <c r="AP56" s="1"/>
      <c r="AQ56" s="79">
        <f t="shared" si="81"/>
        <v>0</v>
      </c>
      <c r="AR56" s="1"/>
      <c r="AS56" s="79">
        <f t="shared" si="82"/>
        <v>0</v>
      </c>
      <c r="AT56" s="1"/>
      <c r="AU56" s="79">
        <f t="shared" si="83"/>
        <v>0</v>
      </c>
      <c r="AV56" s="1"/>
      <c r="AW56" s="79">
        <f t="shared" si="84"/>
        <v>0</v>
      </c>
      <c r="AX56" s="1"/>
      <c r="AY56" s="79">
        <f t="shared" si="85"/>
        <v>0</v>
      </c>
      <c r="AZ56" s="1"/>
      <c r="BA56" s="79">
        <f t="shared" si="86"/>
        <v>0</v>
      </c>
      <c r="BB56" s="1"/>
      <c r="BC56" s="79">
        <f t="shared" si="87"/>
        <v>0</v>
      </c>
      <c r="BD56" s="1"/>
      <c r="BE56" s="79">
        <f t="shared" si="88"/>
        <v>0</v>
      </c>
      <c r="BF56" s="1"/>
      <c r="BG56" s="79">
        <f t="shared" si="89"/>
        <v>0</v>
      </c>
      <c r="BH56" s="1"/>
      <c r="BI56" s="79">
        <f t="shared" si="29"/>
        <v>0</v>
      </c>
      <c r="BJ56" s="1"/>
      <c r="BK56" s="79">
        <f t="shared" si="90"/>
        <v>0</v>
      </c>
      <c r="BL56" s="1"/>
      <c r="BM56" s="79">
        <f t="shared" si="91"/>
        <v>0</v>
      </c>
      <c r="BN56" s="1"/>
      <c r="BO56" s="79">
        <f t="shared" si="92"/>
        <v>0</v>
      </c>
      <c r="BP56" s="1"/>
      <c r="BQ56" s="79">
        <f t="shared" si="93"/>
        <v>0</v>
      </c>
      <c r="BR56" s="1"/>
      <c r="BS56" s="79">
        <f t="shared" si="34"/>
        <v>0</v>
      </c>
      <c r="BT56" s="1"/>
      <c r="BU56" s="79">
        <f t="shared" si="35"/>
        <v>0</v>
      </c>
      <c r="BV56" s="1"/>
      <c r="BW56" s="79">
        <f t="shared" si="36"/>
        <v>0</v>
      </c>
      <c r="BX56" s="1"/>
      <c r="BY56" s="79">
        <f t="shared" si="37"/>
        <v>0</v>
      </c>
      <c r="BZ56" s="1"/>
      <c r="CA56" s="79">
        <f t="shared" si="38"/>
        <v>0</v>
      </c>
      <c r="CB56" s="1"/>
      <c r="CC56" s="79">
        <f t="shared" si="39"/>
        <v>0</v>
      </c>
      <c r="CD56" s="1"/>
      <c r="CE56" s="79">
        <f t="shared" si="40"/>
        <v>0</v>
      </c>
      <c r="CF56" s="1"/>
      <c r="CG56" s="79">
        <f t="shared" si="41"/>
        <v>0</v>
      </c>
      <c r="CH56" s="1"/>
      <c r="CI56" s="79">
        <f t="shared" si="42"/>
        <v>0</v>
      </c>
      <c r="CJ56" s="1"/>
      <c r="CK56" s="79">
        <f t="shared" si="43"/>
        <v>0</v>
      </c>
      <c r="CL56" s="1"/>
      <c r="CM56" s="79">
        <f t="shared" si="44"/>
        <v>0</v>
      </c>
      <c r="CN56" s="1"/>
      <c r="CO56" s="79">
        <f t="shared" si="45"/>
        <v>0</v>
      </c>
      <c r="CP56" s="1"/>
      <c r="CQ56" s="79">
        <f t="shared" si="46"/>
        <v>0</v>
      </c>
      <c r="CR56" s="1"/>
      <c r="CS56" s="79">
        <f t="shared" si="47"/>
        <v>0</v>
      </c>
      <c r="CT56" s="79"/>
      <c r="CU56" s="79">
        <f t="shared" si="48"/>
        <v>0</v>
      </c>
      <c r="CV56" s="79"/>
      <c r="CW56" s="79">
        <f t="shared" si="49"/>
        <v>0</v>
      </c>
      <c r="CX56" s="79"/>
      <c r="CY56" s="91"/>
      <c r="CZ56" s="79">
        <f t="shared" si="50"/>
        <v>0</v>
      </c>
      <c r="DA56" s="93"/>
      <c r="DB56" s="93">
        <f t="shared" si="51"/>
        <v>0</v>
      </c>
      <c r="DC56" s="96"/>
      <c r="DD56" s="93">
        <f t="shared" si="52"/>
        <v>0</v>
      </c>
      <c r="DE56" s="96"/>
      <c r="DF56" s="93">
        <f t="shared" si="53"/>
        <v>0</v>
      </c>
      <c r="DG56" s="96"/>
      <c r="DH56" s="93">
        <f t="shared" si="54"/>
        <v>0</v>
      </c>
      <c r="DI56" s="96"/>
      <c r="DJ56" s="93">
        <f t="shared" si="55"/>
        <v>0</v>
      </c>
      <c r="DK56" s="93"/>
      <c r="DL56" s="100">
        <v>1572.0</v>
      </c>
      <c r="DM56" s="100">
        <v>200.0</v>
      </c>
      <c r="DN56" s="93">
        <f>DL56-DM56+1790</f>
        <v>3162</v>
      </c>
      <c r="DO56" s="100">
        <v>1000.0</v>
      </c>
      <c r="DP56" s="93">
        <f t="shared" si="58"/>
        <v>2162</v>
      </c>
      <c r="DQ56" s="100">
        <v>1000.0</v>
      </c>
      <c r="DR56" s="93">
        <f t="shared" si="59"/>
        <v>1162</v>
      </c>
      <c r="DS56" s="100">
        <v>1162.0</v>
      </c>
      <c r="DT56" s="93">
        <f t="shared" si="60"/>
        <v>0</v>
      </c>
      <c r="DU56" s="100">
        <v>0.0</v>
      </c>
      <c r="DV56" s="93">
        <f t="shared" si="61"/>
        <v>0</v>
      </c>
    </row>
    <row r="57">
      <c r="A57" s="7" t="s">
        <v>293</v>
      </c>
      <c r="B57" s="7" t="s">
        <v>294</v>
      </c>
      <c r="C57" s="76" t="str">
        <f t="array" ref="C57">_xlfn.XLOOKUP(A57,'Emp Master'!A:A,'Emp Master'!F:F)</f>
        <v>SNP</v>
      </c>
      <c r="D57" s="76" t="str">
        <f t="array" ref="D57">_xlfn.XLOOKUP(A57,'Emp Master'!A:A,'Emp Master'!D:D)</f>
        <v>Cutting</v>
      </c>
      <c r="E57" s="76" t="str">
        <f t="shared" si="2"/>
        <v>#REF!</v>
      </c>
      <c r="F57" s="76">
        <v>2000.0</v>
      </c>
      <c r="G57" s="79">
        <v>8000.0</v>
      </c>
      <c r="H57" s="80">
        <v>2000.0</v>
      </c>
      <c r="I57" s="79">
        <f t="shared" si="64"/>
        <v>6000</v>
      </c>
      <c r="J57" s="126">
        <v>3000.0</v>
      </c>
      <c r="K57" s="79">
        <f t="shared" si="65"/>
        <v>3000</v>
      </c>
      <c r="L57" s="126">
        <v>3000.0</v>
      </c>
      <c r="M57" s="79">
        <f t="shared" si="66"/>
        <v>0</v>
      </c>
      <c r="N57" s="80"/>
      <c r="O57" s="79">
        <f t="shared" si="67"/>
        <v>0</v>
      </c>
      <c r="P57" s="80"/>
      <c r="Q57" s="79">
        <f t="shared" si="68"/>
        <v>0</v>
      </c>
      <c r="R57" s="1"/>
      <c r="S57" s="79">
        <f>Q57-R57+25000</f>
        <v>25000</v>
      </c>
      <c r="T57" s="106">
        <v>5000.0</v>
      </c>
      <c r="U57" s="79">
        <f t="shared" si="70"/>
        <v>20000</v>
      </c>
      <c r="V57" s="106">
        <v>3000.0</v>
      </c>
      <c r="W57" s="79">
        <f t="shared" si="71"/>
        <v>17000</v>
      </c>
      <c r="X57" s="106">
        <v>0.0</v>
      </c>
      <c r="Y57" s="79">
        <f t="shared" si="72"/>
        <v>17000</v>
      </c>
      <c r="Z57" s="106">
        <v>3000.0</v>
      </c>
      <c r="AA57" s="79">
        <f t="shared" si="73"/>
        <v>14000</v>
      </c>
      <c r="AB57" s="106">
        <v>3000.0</v>
      </c>
      <c r="AC57" s="79">
        <f t="shared" si="74"/>
        <v>11000</v>
      </c>
      <c r="AD57" s="106">
        <v>3000.0</v>
      </c>
      <c r="AE57" s="79">
        <f t="shared" si="75"/>
        <v>8000</v>
      </c>
      <c r="AF57" s="106">
        <v>4000.0</v>
      </c>
      <c r="AG57" s="79">
        <f t="shared" si="76"/>
        <v>4000</v>
      </c>
      <c r="AH57" s="106">
        <v>4000.0</v>
      </c>
      <c r="AI57" s="79">
        <f t="shared" si="77"/>
        <v>0</v>
      </c>
      <c r="AJ57" s="1"/>
      <c r="AK57" s="79">
        <f t="shared" si="78"/>
        <v>0</v>
      </c>
      <c r="AL57" s="1"/>
      <c r="AM57" s="79">
        <f t="shared" si="79"/>
        <v>0</v>
      </c>
      <c r="AN57" s="1"/>
      <c r="AO57" s="79">
        <f t="shared" si="80"/>
        <v>0</v>
      </c>
      <c r="AP57" s="1"/>
      <c r="AQ57" s="79">
        <f>AO57-AP57+20000</f>
        <v>20000</v>
      </c>
      <c r="AR57" s="106">
        <v>4000.0</v>
      </c>
      <c r="AS57" s="79">
        <f t="shared" si="82"/>
        <v>16000</v>
      </c>
      <c r="AT57" s="106">
        <v>4000.0</v>
      </c>
      <c r="AU57" s="79">
        <f t="shared" si="83"/>
        <v>12000</v>
      </c>
      <c r="AV57" s="106">
        <v>4000.0</v>
      </c>
      <c r="AW57" s="79">
        <f t="shared" si="84"/>
        <v>8000</v>
      </c>
      <c r="AX57" s="106">
        <v>4000.0</v>
      </c>
      <c r="AY57" s="79">
        <f t="shared" si="85"/>
        <v>4000</v>
      </c>
      <c r="AZ57" s="106">
        <v>4000.0</v>
      </c>
      <c r="BA57" s="79">
        <f t="shared" si="86"/>
        <v>0</v>
      </c>
      <c r="BB57" s="1"/>
      <c r="BC57" s="79">
        <f t="shared" si="87"/>
        <v>0</v>
      </c>
      <c r="BD57" s="1"/>
      <c r="BE57" s="79">
        <f t="shared" si="88"/>
        <v>0</v>
      </c>
      <c r="BF57" s="1"/>
      <c r="BG57" s="79">
        <f t="shared" si="89"/>
        <v>0</v>
      </c>
      <c r="BH57" s="1"/>
      <c r="BI57" s="79">
        <f t="shared" si="29"/>
        <v>0</v>
      </c>
      <c r="BJ57" s="1"/>
      <c r="BK57" s="79">
        <f t="shared" si="90"/>
        <v>0</v>
      </c>
      <c r="BL57" s="1"/>
      <c r="BM57" s="79">
        <f t="shared" si="91"/>
        <v>0</v>
      </c>
      <c r="BN57" s="1"/>
      <c r="BO57" s="176">
        <f>BM57-BN57+20000</f>
        <v>20000</v>
      </c>
      <c r="BP57" s="106">
        <v>5000.0</v>
      </c>
      <c r="BQ57" s="79">
        <f t="shared" si="93"/>
        <v>15000</v>
      </c>
      <c r="BR57" s="106">
        <v>5000.0</v>
      </c>
      <c r="BS57" s="79">
        <f t="shared" si="34"/>
        <v>10000</v>
      </c>
      <c r="BT57" s="106">
        <v>5000.0</v>
      </c>
      <c r="BU57" s="79">
        <f t="shared" si="35"/>
        <v>5000</v>
      </c>
      <c r="BV57" s="106">
        <v>5000.0</v>
      </c>
      <c r="BW57" s="79">
        <f t="shared" si="36"/>
        <v>0</v>
      </c>
      <c r="BX57" s="1"/>
      <c r="BY57" s="79">
        <f t="shared" si="37"/>
        <v>0</v>
      </c>
      <c r="BZ57" s="1"/>
      <c r="CA57" s="79">
        <f t="shared" si="38"/>
        <v>0</v>
      </c>
      <c r="CB57" s="1"/>
      <c r="CC57" s="24">
        <v>10000.0</v>
      </c>
      <c r="CD57" s="106">
        <v>5000.0</v>
      </c>
      <c r="CE57" s="79">
        <f t="shared" si="40"/>
        <v>5000</v>
      </c>
      <c r="CF57" s="106">
        <v>5000.0</v>
      </c>
      <c r="CG57" s="79">
        <f t="shared" si="41"/>
        <v>0</v>
      </c>
      <c r="CH57" s="106"/>
      <c r="CI57" s="79">
        <f t="shared" si="42"/>
        <v>0</v>
      </c>
      <c r="CJ57" s="106"/>
      <c r="CK57" s="79">
        <f t="shared" si="43"/>
        <v>0</v>
      </c>
      <c r="CL57" s="106"/>
      <c r="CM57" s="79">
        <f>25000+CK57-CL57</f>
        <v>25000</v>
      </c>
      <c r="CN57" s="106">
        <v>6250.0</v>
      </c>
      <c r="CO57" s="79">
        <f t="shared" si="45"/>
        <v>18750</v>
      </c>
      <c r="CP57" s="106">
        <v>6250.0</v>
      </c>
      <c r="CQ57" s="79">
        <f t="shared" si="46"/>
        <v>12500</v>
      </c>
      <c r="CR57" s="106">
        <v>6250.0</v>
      </c>
      <c r="CS57" s="79">
        <f t="shared" si="47"/>
        <v>6250</v>
      </c>
      <c r="CT57" s="24">
        <v>6250.0</v>
      </c>
      <c r="CU57" s="79">
        <f t="shared" si="48"/>
        <v>0</v>
      </c>
      <c r="CV57" s="79"/>
      <c r="CW57" s="79">
        <f t="shared" si="49"/>
        <v>0</v>
      </c>
      <c r="CX57" s="79"/>
      <c r="CY57" s="91"/>
      <c r="CZ57" s="79">
        <f t="shared" si="50"/>
        <v>0</v>
      </c>
      <c r="DA57" s="93"/>
      <c r="DB57" s="93">
        <f t="shared" si="51"/>
        <v>0</v>
      </c>
      <c r="DC57" s="96"/>
      <c r="DD57" s="93">
        <f>DB57-DC57+20000</f>
        <v>20000</v>
      </c>
      <c r="DE57" s="178">
        <v>10000.0</v>
      </c>
      <c r="DF57" s="93">
        <f t="shared" si="53"/>
        <v>10000</v>
      </c>
      <c r="DG57" s="178">
        <v>10000.0</v>
      </c>
      <c r="DH57" s="93">
        <f t="shared" si="54"/>
        <v>0</v>
      </c>
      <c r="DI57" s="178"/>
      <c r="DJ57" s="93">
        <f t="shared" si="55"/>
        <v>0</v>
      </c>
      <c r="DK57" s="93"/>
      <c r="DL57" s="100">
        <v>25000.0</v>
      </c>
      <c r="DM57" s="100">
        <v>10000.0</v>
      </c>
      <c r="DN57" s="93">
        <f t="shared" ref="DN57:DN62" si="95">DL57-DM57</f>
        <v>15000</v>
      </c>
      <c r="DO57" s="100">
        <v>10000.0</v>
      </c>
      <c r="DP57" s="93">
        <f t="shared" si="58"/>
        <v>5000</v>
      </c>
      <c r="DQ57" s="100">
        <v>5000.0</v>
      </c>
      <c r="DR57" s="93">
        <f t="shared" si="59"/>
        <v>0</v>
      </c>
      <c r="DS57" s="100">
        <v>0.0</v>
      </c>
      <c r="DT57" s="93">
        <f t="shared" si="60"/>
        <v>0</v>
      </c>
      <c r="DU57" s="100">
        <v>0.0</v>
      </c>
      <c r="DV57" s="93">
        <f t="shared" si="61"/>
        <v>0</v>
      </c>
    </row>
    <row r="58">
      <c r="A58" s="7" t="s">
        <v>609</v>
      </c>
      <c r="B58" s="7" t="s">
        <v>610</v>
      </c>
      <c r="C58" s="76" t="str">
        <f t="array" ref="C58">_xlfn.XLOOKUP(A58,'Emp Master'!A:A,'Emp Master'!F:F)</f>
        <v>#N/A</v>
      </c>
      <c r="D58" s="76" t="str">
        <f t="array" ref="D58">_xlfn.XLOOKUP(A58,'Emp Master'!A:A,'Emp Master'!D:D)</f>
        <v>#N/A</v>
      </c>
      <c r="E58" s="76" t="str">
        <f t="shared" si="2"/>
        <v>#REF!</v>
      </c>
      <c r="F58" s="76"/>
      <c r="G58" s="79"/>
      <c r="H58" s="80"/>
      <c r="I58" s="79">
        <f t="shared" si="64"/>
        <v>0</v>
      </c>
      <c r="J58" s="80"/>
      <c r="K58" s="79">
        <f t="shared" si="65"/>
        <v>0</v>
      </c>
      <c r="L58" s="80"/>
      <c r="M58" s="79">
        <f t="shared" si="66"/>
        <v>0</v>
      </c>
      <c r="N58" s="80"/>
      <c r="O58" s="79">
        <f t="shared" si="67"/>
        <v>0</v>
      </c>
      <c r="P58" s="80"/>
      <c r="Q58" s="79">
        <f t="shared" si="68"/>
        <v>0</v>
      </c>
      <c r="R58" s="1"/>
      <c r="S58" s="79">
        <f t="shared" ref="S58:S64" si="96">Q58-R58</f>
        <v>0</v>
      </c>
      <c r="T58" s="1"/>
      <c r="U58" s="79">
        <f t="shared" si="70"/>
        <v>0</v>
      </c>
      <c r="V58" s="1"/>
      <c r="W58" s="79">
        <f t="shared" si="71"/>
        <v>0</v>
      </c>
      <c r="X58" s="1"/>
      <c r="Y58" s="79">
        <f t="shared" si="72"/>
        <v>0</v>
      </c>
      <c r="Z58" s="1"/>
      <c r="AA58" s="79">
        <f t="shared" si="73"/>
        <v>0</v>
      </c>
      <c r="AB58" s="1"/>
      <c r="AC58" s="79">
        <f t="shared" si="74"/>
        <v>0</v>
      </c>
      <c r="AD58" s="1"/>
      <c r="AE58" s="79">
        <f t="shared" si="75"/>
        <v>0</v>
      </c>
      <c r="AF58" s="1"/>
      <c r="AG58" s="79">
        <f t="shared" si="76"/>
        <v>0</v>
      </c>
      <c r="AH58" s="1"/>
      <c r="AI58" s="79">
        <f t="shared" si="77"/>
        <v>0</v>
      </c>
      <c r="AJ58" s="1"/>
      <c r="AK58" s="79">
        <f t="shared" si="78"/>
        <v>0</v>
      </c>
      <c r="AL58" s="1"/>
      <c r="AM58" s="79">
        <f t="shared" si="79"/>
        <v>0</v>
      </c>
      <c r="AN58" s="1"/>
      <c r="AO58" s="79">
        <f t="shared" si="80"/>
        <v>0</v>
      </c>
      <c r="AP58" s="1"/>
      <c r="AQ58" s="79">
        <f t="shared" ref="AQ58:AQ64" si="97">AO58-AP58</f>
        <v>0</v>
      </c>
      <c r="AR58" s="1"/>
      <c r="AS58" s="79">
        <f t="shared" si="82"/>
        <v>0</v>
      </c>
      <c r="AT58" s="1"/>
      <c r="AU58" s="79">
        <f t="shared" si="83"/>
        <v>0</v>
      </c>
      <c r="AV58" s="1"/>
      <c r="AW58" s="79">
        <f t="shared" si="84"/>
        <v>0</v>
      </c>
      <c r="AX58" s="1"/>
      <c r="AY58" s="79">
        <f t="shared" si="85"/>
        <v>0</v>
      </c>
      <c r="AZ58" s="1"/>
      <c r="BA58" s="79">
        <f t="shared" si="86"/>
        <v>0</v>
      </c>
      <c r="BB58" s="1"/>
      <c r="BC58" s="79">
        <f t="shared" si="87"/>
        <v>0</v>
      </c>
      <c r="BD58" s="1"/>
      <c r="BE58" s="79">
        <f t="shared" si="88"/>
        <v>0</v>
      </c>
      <c r="BF58" s="1"/>
      <c r="BG58" s="79">
        <f t="shared" si="89"/>
        <v>0</v>
      </c>
      <c r="BH58" s="1"/>
      <c r="BI58" s="79">
        <f t="shared" si="29"/>
        <v>0</v>
      </c>
      <c r="BJ58" s="1"/>
      <c r="BK58" s="79">
        <f t="shared" si="90"/>
        <v>0</v>
      </c>
      <c r="BL58" s="1"/>
      <c r="BM58" s="79">
        <f t="shared" si="91"/>
        <v>0</v>
      </c>
      <c r="BN58" s="1"/>
      <c r="BO58" s="79">
        <f t="shared" ref="BO58:BO62" si="98">BM58-BN58</f>
        <v>0</v>
      </c>
      <c r="BP58" s="1"/>
      <c r="BQ58" s="79">
        <f t="shared" si="93"/>
        <v>0</v>
      </c>
      <c r="BR58" s="1"/>
      <c r="BS58" s="79">
        <f t="shared" si="34"/>
        <v>0</v>
      </c>
      <c r="BT58" s="1"/>
      <c r="BU58" s="79">
        <f t="shared" si="35"/>
        <v>0</v>
      </c>
      <c r="BV58" s="1"/>
      <c r="BW58" s="79">
        <f t="shared" si="36"/>
        <v>0</v>
      </c>
      <c r="BX58" s="1"/>
      <c r="BY58" s="79">
        <f t="shared" si="37"/>
        <v>0</v>
      </c>
      <c r="BZ58" s="1"/>
      <c r="CA58" s="79">
        <f t="shared" si="38"/>
        <v>0</v>
      </c>
      <c r="CB58" s="1"/>
      <c r="CC58" s="79">
        <f t="shared" ref="CC58:CC61" si="99">CA58-CB58</f>
        <v>0</v>
      </c>
      <c r="CD58" s="1"/>
      <c r="CE58" s="79">
        <f t="shared" si="40"/>
        <v>0</v>
      </c>
      <c r="CF58" s="1"/>
      <c r="CG58" s="79">
        <f t="shared" si="41"/>
        <v>0</v>
      </c>
      <c r="CH58" s="1"/>
      <c r="CI58" s="79">
        <f t="shared" si="42"/>
        <v>0</v>
      </c>
      <c r="CJ58" s="1"/>
      <c r="CK58" s="79">
        <f t="shared" si="43"/>
        <v>0</v>
      </c>
      <c r="CL58" s="1"/>
      <c r="CM58" s="79">
        <f t="shared" ref="CM58:CM62" si="100">CK58-CL58</f>
        <v>0</v>
      </c>
      <c r="CN58" s="1"/>
      <c r="CO58" s="79">
        <f t="shared" si="45"/>
        <v>0</v>
      </c>
      <c r="CP58" s="1"/>
      <c r="CQ58" s="79">
        <f t="shared" si="46"/>
        <v>0</v>
      </c>
      <c r="CR58" s="1"/>
      <c r="CS58" s="79">
        <f t="shared" si="47"/>
        <v>0</v>
      </c>
      <c r="CT58" s="79"/>
      <c r="CU58" s="79">
        <f t="shared" si="48"/>
        <v>0</v>
      </c>
      <c r="CV58" s="79"/>
      <c r="CW58" s="79">
        <f t="shared" si="49"/>
        <v>0</v>
      </c>
      <c r="CX58" s="79"/>
      <c r="CY58" s="91"/>
      <c r="CZ58" s="79">
        <f t="shared" si="50"/>
        <v>0</v>
      </c>
      <c r="DA58" s="93"/>
      <c r="DB58" s="93">
        <f t="shared" si="51"/>
        <v>0</v>
      </c>
      <c r="DC58" s="96"/>
      <c r="DD58" s="93">
        <f t="shared" ref="DD58:DD61" si="101">DB58-DC58</f>
        <v>0</v>
      </c>
      <c r="DE58" s="96"/>
      <c r="DF58" s="93">
        <f t="shared" si="53"/>
        <v>0</v>
      </c>
      <c r="DG58" s="96"/>
      <c r="DH58" s="93">
        <f t="shared" si="54"/>
        <v>0</v>
      </c>
      <c r="DI58" s="96"/>
      <c r="DJ58" s="93">
        <f t="shared" si="55"/>
        <v>0</v>
      </c>
      <c r="DK58" s="93"/>
      <c r="DL58" s="93">
        <f t="shared" ref="DL58:DL61" si="102">DJ58-DK58</f>
        <v>0</v>
      </c>
      <c r="DM58" s="100">
        <v>0.0</v>
      </c>
      <c r="DN58" s="93">
        <f t="shared" si="95"/>
        <v>0</v>
      </c>
      <c r="DO58" s="100">
        <v>0.0</v>
      </c>
      <c r="DP58" s="93">
        <f t="shared" si="58"/>
        <v>0</v>
      </c>
      <c r="DQ58" s="100">
        <v>0.0</v>
      </c>
      <c r="DR58" s="93">
        <f t="shared" si="59"/>
        <v>0</v>
      </c>
      <c r="DS58" s="100">
        <v>0.0</v>
      </c>
      <c r="DT58" s="93">
        <f t="shared" si="60"/>
        <v>0</v>
      </c>
      <c r="DU58" s="100">
        <v>0.0</v>
      </c>
      <c r="DV58" s="93">
        <f t="shared" si="61"/>
        <v>0</v>
      </c>
    </row>
    <row r="59">
      <c r="A59" s="7" t="s">
        <v>618</v>
      </c>
      <c r="B59" s="7" t="s">
        <v>619</v>
      </c>
      <c r="C59" s="76" t="str">
        <f t="array" ref="C59">_xlfn.XLOOKUP(A59,'Emp Master'!A:A,'Emp Master'!F:F)</f>
        <v>#N/A</v>
      </c>
      <c r="D59" s="76" t="str">
        <f t="array" ref="D59">_xlfn.XLOOKUP(A59,'Emp Master'!A:A,'Emp Master'!D:D)</f>
        <v>#N/A</v>
      </c>
      <c r="E59" s="76" t="str">
        <f t="shared" si="2"/>
        <v>#REF!</v>
      </c>
      <c r="F59" s="76">
        <v>2000.0</v>
      </c>
      <c r="G59" s="79">
        <v>12000.0</v>
      </c>
      <c r="H59" s="80">
        <v>2000.0</v>
      </c>
      <c r="I59" s="79">
        <f t="shared" si="64"/>
        <v>10000</v>
      </c>
      <c r="J59" s="80">
        <v>2000.0</v>
      </c>
      <c r="K59" s="79">
        <f t="shared" si="65"/>
        <v>8000</v>
      </c>
      <c r="L59" s="80">
        <v>2000.0</v>
      </c>
      <c r="M59" s="79">
        <f t="shared" si="66"/>
        <v>6000</v>
      </c>
      <c r="N59" s="80">
        <v>2000.0</v>
      </c>
      <c r="O59" s="79">
        <f>M59-N59+6000</f>
        <v>10000</v>
      </c>
      <c r="P59" s="80">
        <v>2000.0</v>
      </c>
      <c r="Q59" s="79">
        <f t="shared" si="68"/>
        <v>8000</v>
      </c>
      <c r="R59" s="106">
        <v>8000.0</v>
      </c>
      <c r="S59" s="79">
        <f t="shared" si="96"/>
        <v>0</v>
      </c>
      <c r="T59" s="1"/>
      <c r="U59" s="79">
        <f t="shared" si="70"/>
        <v>0</v>
      </c>
      <c r="V59" s="1"/>
      <c r="W59" s="79">
        <f t="shared" si="71"/>
        <v>0</v>
      </c>
      <c r="X59" s="1"/>
      <c r="Y59" s="79">
        <f t="shared" si="72"/>
        <v>0</v>
      </c>
      <c r="Z59" s="1"/>
      <c r="AA59" s="79">
        <f t="shared" si="73"/>
        <v>0</v>
      </c>
      <c r="AB59" s="1"/>
      <c r="AC59" s="79">
        <f t="shared" si="74"/>
        <v>0</v>
      </c>
      <c r="AD59" s="1"/>
      <c r="AE59" s="79">
        <f t="shared" si="75"/>
        <v>0</v>
      </c>
      <c r="AF59" s="1"/>
      <c r="AG59" s="79">
        <f t="shared" si="76"/>
        <v>0</v>
      </c>
      <c r="AH59" s="1"/>
      <c r="AI59" s="79">
        <f t="shared" si="77"/>
        <v>0</v>
      </c>
      <c r="AJ59" s="1"/>
      <c r="AK59" s="79">
        <f t="shared" si="78"/>
        <v>0</v>
      </c>
      <c r="AL59" s="1"/>
      <c r="AM59" s="79">
        <f t="shared" si="79"/>
        <v>0</v>
      </c>
      <c r="AN59" s="1"/>
      <c r="AO59" s="79">
        <f t="shared" si="80"/>
        <v>0</v>
      </c>
      <c r="AP59" s="1"/>
      <c r="AQ59" s="79">
        <f t="shared" si="97"/>
        <v>0</v>
      </c>
      <c r="AR59" s="1"/>
      <c r="AS59" s="79">
        <f t="shared" si="82"/>
        <v>0</v>
      </c>
      <c r="AT59" s="1"/>
      <c r="AU59" s="79">
        <f t="shared" si="83"/>
        <v>0</v>
      </c>
      <c r="AV59" s="1"/>
      <c r="AW59" s="79">
        <f t="shared" si="84"/>
        <v>0</v>
      </c>
      <c r="AX59" s="1"/>
      <c r="AY59" s="79">
        <f t="shared" si="85"/>
        <v>0</v>
      </c>
      <c r="AZ59" s="1"/>
      <c r="BA59" s="79">
        <f t="shared" si="86"/>
        <v>0</v>
      </c>
      <c r="BB59" s="1"/>
      <c r="BC59" s="79">
        <f t="shared" si="87"/>
        <v>0</v>
      </c>
      <c r="BD59" s="1"/>
      <c r="BE59" s="79">
        <f t="shared" si="88"/>
        <v>0</v>
      </c>
      <c r="BF59" s="1"/>
      <c r="BG59" s="79">
        <f t="shared" si="89"/>
        <v>0</v>
      </c>
      <c r="BH59" s="1"/>
      <c r="BI59" s="79">
        <f t="shared" si="29"/>
        <v>0</v>
      </c>
      <c r="BJ59" s="1"/>
      <c r="BK59" s="79">
        <f t="shared" si="90"/>
        <v>0</v>
      </c>
      <c r="BL59" s="1"/>
      <c r="BM59" s="79">
        <f t="shared" si="91"/>
        <v>0</v>
      </c>
      <c r="BN59" s="1"/>
      <c r="BO59" s="79">
        <f t="shared" si="98"/>
        <v>0</v>
      </c>
      <c r="BP59" s="1"/>
      <c r="BQ59" s="79">
        <f t="shared" si="93"/>
        <v>0</v>
      </c>
      <c r="BR59" s="1"/>
      <c r="BS59" s="79">
        <f t="shared" si="34"/>
        <v>0</v>
      </c>
      <c r="BT59" s="1"/>
      <c r="BU59" s="79">
        <f t="shared" si="35"/>
        <v>0</v>
      </c>
      <c r="BV59" s="1"/>
      <c r="BW59" s="79">
        <f t="shared" si="36"/>
        <v>0</v>
      </c>
      <c r="BX59" s="1"/>
      <c r="BY59" s="79">
        <f t="shared" si="37"/>
        <v>0</v>
      </c>
      <c r="BZ59" s="1"/>
      <c r="CA59" s="79">
        <f t="shared" si="38"/>
        <v>0</v>
      </c>
      <c r="CB59" s="1"/>
      <c r="CC59" s="79">
        <f t="shared" si="99"/>
        <v>0</v>
      </c>
      <c r="CD59" s="1"/>
      <c r="CE59" s="79">
        <f t="shared" si="40"/>
        <v>0</v>
      </c>
      <c r="CF59" s="1"/>
      <c r="CG59" s="79">
        <f t="shared" si="41"/>
        <v>0</v>
      </c>
      <c r="CH59" s="1"/>
      <c r="CI59" s="79">
        <f t="shared" si="42"/>
        <v>0</v>
      </c>
      <c r="CJ59" s="1"/>
      <c r="CK59" s="79">
        <f t="shared" si="43"/>
        <v>0</v>
      </c>
      <c r="CL59" s="1"/>
      <c r="CM59" s="79">
        <f t="shared" si="100"/>
        <v>0</v>
      </c>
      <c r="CN59" s="1"/>
      <c r="CO59" s="79">
        <f t="shared" si="45"/>
        <v>0</v>
      </c>
      <c r="CP59" s="1"/>
      <c r="CQ59" s="79">
        <f t="shared" si="46"/>
        <v>0</v>
      </c>
      <c r="CR59" s="1"/>
      <c r="CS59" s="79">
        <f t="shared" si="47"/>
        <v>0</v>
      </c>
      <c r="CT59" s="79"/>
      <c r="CU59" s="79">
        <f t="shared" si="48"/>
        <v>0</v>
      </c>
      <c r="CV59" s="79"/>
      <c r="CW59" s="79">
        <f t="shared" si="49"/>
        <v>0</v>
      </c>
      <c r="CX59" s="79"/>
      <c r="CY59" s="91"/>
      <c r="CZ59" s="79">
        <f t="shared" si="50"/>
        <v>0</v>
      </c>
      <c r="DA59" s="93"/>
      <c r="DB59" s="93">
        <f t="shared" si="51"/>
        <v>0</v>
      </c>
      <c r="DC59" s="96"/>
      <c r="DD59" s="93">
        <f t="shared" si="101"/>
        <v>0</v>
      </c>
      <c r="DE59" s="96"/>
      <c r="DF59" s="93">
        <f t="shared" si="53"/>
        <v>0</v>
      </c>
      <c r="DG59" s="96"/>
      <c r="DH59" s="93">
        <f t="shared" si="54"/>
        <v>0</v>
      </c>
      <c r="DI59" s="96"/>
      <c r="DJ59" s="93">
        <f t="shared" si="55"/>
        <v>0</v>
      </c>
      <c r="DK59" s="93"/>
      <c r="DL59" s="93">
        <f t="shared" si="102"/>
        <v>0</v>
      </c>
      <c r="DM59" s="100">
        <v>0.0</v>
      </c>
      <c r="DN59" s="93">
        <f t="shared" si="95"/>
        <v>0</v>
      </c>
      <c r="DO59" s="100">
        <v>0.0</v>
      </c>
      <c r="DP59" s="93">
        <f t="shared" si="58"/>
        <v>0</v>
      </c>
      <c r="DQ59" s="100">
        <v>0.0</v>
      </c>
      <c r="DR59" s="93">
        <f t="shared" si="59"/>
        <v>0</v>
      </c>
      <c r="DS59" s="100">
        <v>0.0</v>
      </c>
      <c r="DT59" s="93">
        <f t="shared" si="60"/>
        <v>0</v>
      </c>
      <c r="DU59" s="100">
        <v>0.0</v>
      </c>
      <c r="DV59" s="93">
        <f t="shared" si="61"/>
        <v>0</v>
      </c>
    </row>
    <row r="60">
      <c r="A60" s="7" t="s">
        <v>297</v>
      </c>
      <c r="B60" s="7" t="s">
        <v>298</v>
      </c>
      <c r="C60" s="76" t="str">
        <f t="array" ref="C60">_xlfn.XLOOKUP(A60,'Emp Master'!A:A,'Emp Master'!F:F)</f>
        <v>SNP</v>
      </c>
      <c r="D60" s="76" t="str">
        <f t="array" ref="D60">_xlfn.XLOOKUP(A60,'Emp Master'!A:A,'Emp Master'!D:D)</f>
        <v>Cutting</v>
      </c>
      <c r="E60" s="76" t="str">
        <f t="shared" si="2"/>
        <v>#REF!</v>
      </c>
      <c r="F60" s="76">
        <v>2000.0</v>
      </c>
      <c r="G60" s="79">
        <v>10000.0</v>
      </c>
      <c r="H60" s="80">
        <v>2000.0</v>
      </c>
      <c r="I60" s="79">
        <f t="shared" si="64"/>
        <v>8000</v>
      </c>
      <c r="J60" s="80">
        <v>2000.0</v>
      </c>
      <c r="K60" s="79">
        <f t="shared" si="65"/>
        <v>6000</v>
      </c>
      <c r="L60" s="80">
        <v>2000.0</v>
      </c>
      <c r="M60" s="79">
        <f t="shared" si="66"/>
        <v>4000</v>
      </c>
      <c r="N60" s="80">
        <v>2000.0</v>
      </c>
      <c r="O60" s="79">
        <f t="shared" ref="O60:O62" si="103">M60-N60</f>
        <v>2000</v>
      </c>
      <c r="P60" s="80">
        <v>2000.0</v>
      </c>
      <c r="Q60" s="79">
        <f t="shared" si="68"/>
        <v>0</v>
      </c>
      <c r="R60" s="1"/>
      <c r="S60" s="79">
        <f t="shared" si="96"/>
        <v>0</v>
      </c>
      <c r="T60" s="1"/>
      <c r="U60" s="79">
        <f t="shared" si="70"/>
        <v>0</v>
      </c>
      <c r="V60" s="1"/>
      <c r="W60" s="79">
        <f t="shared" si="71"/>
        <v>0</v>
      </c>
      <c r="X60" s="1"/>
      <c r="Y60" s="79">
        <f t="shared" si="72"/>
        <v>0</v>
      </c>
      <c r="Z60" s="1"/>
      <c r="AA60" s="79">
        <f t="shared" si="73"/>
        <v>0</v>
      </c>
      <c r="AB60" s="1"/>
      <c r="AC60" s="79">
        <f t="shared" si="74"/>
        <v>0</v>
      </c>
      <c r="AD60" s="1"/>
      <c r="AE60" s="79">
        <f t="shared" si="75"/>
        <v>0</v>
      </c>
      <c r="AF60" s="1"/>
      <c r="AG60" s="79">
        <f>AE60-AF60+20000</f>
        <v>20000</v>
      </c>
      <c r="AH60" s="1"/>
      <c r="AI60" s="79">
        <f t="shared" si="77"/>
        <v>20000</v>
      </c>
      <c r="AJ60" s="106">
        <v>2000.0</v>
      </c>
      <c r="AK60" s="79">
        <f t="shared" si="78"/>
        <v>18000</v>
      </c>
      <c r="AL60" s="106">
        <v>2000.0</v>
      </c>
      <c r="AM60" s="79">
        <f t="shared" si="79"/>
        <v>16000</v>
      </c>
      <c r="AN60" s="106">
        <v>2000.0</v>
      </c>
      <c r="AO60" s="79">
        <f t="shared" si="80"/>
        <v>14000</v>
      </c>
      <c r="AP60" s="106">
        <v>2000.0</v>
      </c>
      <c r="AQ60" s="79">
        <f t="shared" si="97"/>
        <v>12000</v>
      </c>
      <c r="AR60" s="106">
        <v>2000.0</v>
      </c>
      <c r="AS60" s="79">
        <f t="shared" si="82"/>
        <v>10000</v>
      </c>
      <c r="AT60" s="106">
        <v>2000.0</v>
      </c>
      <c r="AU60" s="79">
        <f t="shared" si="83"/>
        <v>8000</v>
      </c>
      <c r="AV60" s="106">
        <v>2000.0</v>
      </c>
      <c r="AW60" s="79">
        <f t="shared" si="84"/>
        <v>6000</v>
      </c>
      <c r="AX60" s="106">
        <v>2000.0</v>
      </c>
      <c r="AY60" s="79">
        <f t="shared" si="85"/>
        <v>4000</v>
      </c>
      <c r="AZ60" s="106">
        <v>2000.0</v>
      </c>
      <c r="BA60" s="79">
        <f t="shared" si="86"/>
        <v>2000</v>
      </c>
      <c r="BB60" s="106">
        <v>2000.0</v>
      </c>
      <c r="BC60" s="79">
        <f t="shared" si="87"/>
        <v>0</v>
      </c>
      <c r="BD60" s="1"/>
      <c r="BE60" s="79">
        <f t="shared" si="88"/>
        <v>0</v>
      </c>
      <c r="BF60" s="1"/>
      <c r="BG60" s="79">
        <f t="shared" si="89"/>
        <v>0</v>
      </c>
      <c r="BH60" s="1"/>
      <c r="BI60" s="79">
        <f t="shared" si="29"/>
        <v>0</v>
      </c>
      <c r="BJ60" s="1"/>
      <c r="BK60" s="79">
        <f t="shared" si="90"/>
        <v>0</v>
      </c>
      <c r="BL60" s="1"/>
      <c r="BM60" s="79">
        <f t="shared" si="91"/>
        <v>0</v>
      </c>
      <c r="BN60" s="1"/>
      <c r="BO60" s="79">
        <f t="shared" si="98"/>
        <v>0</v>
      </c>
      <c r="BP60" s="1"/>
      <c r="BQ60" s="79">
        <f t="shared" si="93"/>
        <v>0</v>
      </c>
      <c r="BR60" s="1"/>
      <c r="BS60" s="79">
        <f t="shared" si="34"/>
        <v>0</v>
      </c>
      <c r="BT60" s="1"/>
      <c r="BU60" s="79">
        <f t="shared" si="35"/>
        <v>0</v>
      </c>
      <c r="BV60" s="1"/>
      <c r="BW60" s="79">
        <f t="shared" si="36"/>
        <v>0</v>
      </c>
      <c r="BX60" s="1"/>
      <c r="BY60" s="79">
        <f t="shared" si="37"/>
        <v>0</v>
      </c>
      <c r="BZ60" s="1"/>
      <c r="CA60" s="79">
        <f t="shared" si="38"/>
        <v>0</v>
      </c>
      <c r="CB60" s="1"/>
      <c r="CC60" s="79">
        <f t="shared" si="99"/>
        <v>0</v>
      </c>
      <c r="CD60" s="1"/>
      <c r="CE60" s="79">
        <f t="shared" si="40"/>
        <v>0</v>
      </c>
      <c r="CF60" s="1"/>
      <c r="CG60" s="79">
        <f t="shared" si="41"/>
        <v>0</v>
      </c>
      <c r="CH60" s="1"/>
      <c r="CI60" s="79">
        <f t="shared" si="42"/>
        <v>0</v>
      </c>
      <c r="CJ60" s="1"/>
      <c r="CK60" s="79">
        <f t="shared" si="43"/>
        <v>0</v>
      </c>
      <c r="CL60" s="1"/>
      <c r="CM60" s="79">
        <f t="shared" si="100"/>
        <v>0</v>
      </c>
      <c r="CN60" s="1"/>
      <c r="CO60" s="79">
        <f>25000+CM60-CN60</f>
        <v>25000</v>
      </c>
      <c r="CP60" s="106">
        <v>6250.0</v>
      </c>
      <c r="CQ60" s="79">
        <f t="shared" si="46"/>
        <v>18750</v>
      </c>
      <c r="CR60" s="106">
        <v>0.0</v>
      </c>
      <c r="CS60" s="79">
        <f t="shared" si="47"/>
        <v>18750</v>
      </c>
      <c r="CT60" s="79"/>
      <c r="CU60" s="79">
        <f t="shared" si="48"/>
        <v>18750</v>
      </c>
      <c r="CV60" s="24">
        <v>6250.0</v>
      </c>
      <c r="CW60" s="79">
        <f t="shared" si="49"/>
        <v>12500</v>
      </c>
      <c r="CX60" s="24">
        <v>6250.0</v>
      </c>
      <c r="CY60" s="91">
        <v>6250.0</v>
      </c>
      <c r="CZ60" s="79">
        <f>CW60-CX60-CY60</f>
        <v>0</v>
      </c>
      <c r="DA60" s="93"/>
      <c r="DB60" s="93">
        <f t="shared" si="51"/>
        <v>0</v>
      </c>
      <c r="DC60" s="96"/>
      <c r="DD60" s="93">
        <f t="shared" si="101"/>
        <v>0</v>
      </c>
      <c r="DE60" s="96"/>
      <c r="DF60" s="93">
        <f t="shared" si="53"/>
        <v>0</v>
      </c>
      <c r="DG60" s="96"/>
      <c r="DH60" s="93">
        <f t="shared" si="54"/>
        <v>0</v>
      </c>
      <c r="DI60" s="96"/>
      <c r="DJ60" s="93">
        <f t="shared" si="55"/>
        <v>0</v>
      </c>
      <c r="DK60" s="93"/>
      <c r="DL60" s="93">
        <f t="shared" si="102"/>
        <v>0</v>
      </c>
      <c r="DM60" s="100">
        <v>0.0</v>
      </c>
      <c r="DN60" s="93">
        <f t="shared" si="95"/>
        <v>0</v>
      </c>
      <c r="DO60" s="100">
        <v>0.0</v>
      </c>
      <c r="DP60" s="93">
        <f t="shared" si="58"/>
        <v>0</v>
      </c>
      <c r="DQ60" s="100">
        <v>0.0</v>
      </c>
      <c r="DR60" s="93">
        <f>DP60-DQ60+496
</f>
        <v>496</v>
      </c>
      <c r="DS60" s="100">
        <v>496.0</v>
      </c>
      <c r="DT60" s="93">
        <f t="shared" si="60"/>
        <v>0</v>
      </c>
      <c r="DU60" s="100">
        <v>0.0</v>
      </c>
      <c r="DV60" s="93">
        <f t="shared" si="61"/>
        <v>0</v>
      </c>
    </row>
    <row r="61">
      <c r="A61" s="7" t="s">
        <v>299</v>
      </c>
      <c r="B61" s="7" t="s">
        <v>300</v>
      </c>
      <c r="C61" s="76" t="str">
        <f t="array" ref="C61">_xlfn.XLOOKUP(A61,'Emp Master'!A:A,'Emp Master'!F:F)</f>
        <v>SNP</v>
      </c>
      <c r="D61" s="76" t="str">
        <f t="array" ref="D61">_xlfn.XLOOKUP(A61,'Emp Master'!A:A,'Emp Master'!D:D)</f>
        <v>Cutting</v>
      </c>
      <c r="E61" s="76" t="str">
        <f t="shared" si="2"/>
        <v>#REF!</v>
      </c>
      <c r="F61" s="76">
        <v>1000.0</v>
      </c>
      <c r="G61" s="79">
        <v>5000.0</v>
      </c>
      <c r="H61" s="80">
        <v>1000.0</v>
      </c>
      <c r="I61" s="79">
        <f t="shared" si="64"/>
        <v>4000</v>
      </c>
      <c r="J61" s="80">
        <v>1000.0</v>
      </c>
      <c r="K61" s="79">
        <f t="shared" si="65"/>
        <v>3000</v>
      </c>
      <c r="L61" s="80">
        <v>1000.0</v>
      </c>
      <c r="M61" s="79">
        <f t="shared" si="66"/>
        <v>2000</v>
      </c>
      <c r="N61" s="80">
        <v>1000.0</v>
      </c>
      <c r="O61" s="79">
        <f t="shared" si="103"/>
        <v>1000</v>
      </c>
      <c r="P61" s="80">
        <v>1000.0</v>
      </c>
      <c r="Q61" s="79">
        <f t="shared" si="68"/>
        <v>0</v>
      </c>
      <c r="R61" s="1"/>
      <c r="S61" s="79">
        <f t="shared" si="96"/>
        <v>0</v>
      </c>
      <c r="T61" s="1"/>
      <c r="U61" s="79">
        <f t="shared" si="70"/>
        <v>0</v>
      </c>
      <c r="V61" s="1"/>
      <c r="W61" s="79">
        <f t="shared" si="71"/>
        <v>0</v>
      </c>
      <c r="X61" s="1"/>
      <c r="Y61" s="79">
        <f t="shared" si="72"/>
        <v>0</v>
      </c>
      <c r="Z61" s="1"/>
      <c r="AA61" s="79">
        <f>Y61-Z61+20000</f>
        <v>20000</v>
      </c>
      <c r="AB61" s="106">
        <v>2000.0</v>
      </c>
      <c r="AC61" s="79">
        <f t="shared" si="74"/>
        <v>18000</v>
      </c>
      <c r="AD61" s="106">
        <v>2000.0</v>
      </c>
      <c r="AE61" s="79">
        <f t="shared" si="75"/>
        <v>16000</v>
      </c>
      <c r="AF61" s="106">
        <v>2000.0</v>
      </c>
      <c r="AG61" s="79">
        <f t="shared" ref="AG61:AG62" si="104">AE61-AF61</f>
        <v>14000</v>
      </c>
      <c r="AH61" s="106">
        <v>2000.0</v>
      </c>
      <c r="AI61" s="79">
        <f t="shared" si="77"/>
        <v>12000</v>
      </c>
      <c r="AJ61" s="106">
        <v>2000.0</v>
      </c>
      <c r="AK61" s="79">
        <f t="shared" si="78"/>
        <v>10000</v>
      </c>
      <c r="AL61" s="106">
        <v>2000.0</v>
      </c>
      <c r="AM61" s="79">
        <f t="shared" si="79"/>
        <v>8000</v>
      </c>
      <c r="AN61" s="106">
        <v>2000.0</v>
      </c>
      <c r="AO61" s="79">
        <f t="shared" si="80"/>
        <v>6000</v>
      </c>
      <c r="AP61" s="106">
        <v>2000.0</v>
      </c>
      <c r="AQ61" s="79">
        <f t="shared" si="97"/>
        <v>4000</v>
      </c>
      <c r="AR61" s="106">
        <v>2000.0</v>
      </c>
      <c r="AS61" s="79">
        <f t="shared" si="82"/>
        <v>2000</v>
      </c>
      <c r="AT61" s="106">
        <v>2000.0</v>
      </c>
      <c r="AU61" s="79">
        <f t="shared" si="83"/>
        <v>0</v>
      </c>
      <c r="AV61" s="1"/>
      <c r="AW61" s="79">
        <f t="shared" si="84"/>
        <v>0</v>
      </c>
      <c r="AX61" s="1"/>
      <c r="AY61" s="79">
        <f t="shared" si="85"/>
        <v>0</v>
      </c>
      <c r="AZ61" s="1"/>
      <c r="BA61" s="79">
        <f t="shared" si="86"/>
        <v>0</v>
      </c>
      <c r="BB61" s="1"/>
      <c r="BC61" s="79">
        <f t="shared" si="87"/>
        <v>0</v>
      </c>
      <c r="BD61" s="1"/>
      <c r="BE61" s="79">
        <f t="shared" si="88"/>
        <v>0</v>
      </c>
      <c r="BF61" s="1"/>
      <c r="BG61" s="79">
        <f t="shared" si="89"/>
        <v>0</v>
      </c>
      <c r="BH61" s="1"/>
      <c r="BI61" s="79">
        <f t="shared" si="29"/>
        <v>0</v>
      </c>
      <c r="BJ61" s="1"/>
      <c r="BK61" s="79">
        <f t="shared" si="90"/>
        <v>0</v>
      </c>
      <c r="BL61" s="1"/>
      <c r="BM61" s="79">
        <f t="shared" si="91"/>
        <v>0</v>
      </c>
      <c r="BN61" s="1"/>
      <c r="BO61" s="79">
        <f t="shared" si="98"/>
        <v>0</v>
      </c>
      <c r="BP61" s="1"/>
      <c r="BQ61" s="79">
        <f t="shared" si="93"/>
        <v>0</v>
      </c>
      <c r="BR61" s="1"/>
      <c r="BS61" s="79">
        <f t="shared" si="34"/>
        <v>0</v>
      </c>
      <c r="BT61" s="1"/>
      <c r="BU61" s="79">
        <f t="shared" si="35"/>
        <v>0</v>
      </c>
      <c r="BV61" s="1"/>
      <c r="BW61" s="79">
        <f t="shared" si="36"/>
        <v>0</v>
      </c>
      <c r="BX61" s="1"/>
      <c r="BY61" s="79">
        <f t="shared" si="37"/>
        <v>0</v>
      </c>
      <c r="BZ61" s="1"/>
      <c r="CA61" s="79">
        <f t="shared" si="38"/>
        <v>0</v>
      </c>
      <c r="CB61" s="1"/>
      <c r="CC61" s="79">
        <f t="shared" si="99"/>
        <v>0</v>
      </c>
      <c r="CD61" s="1"/>
      <c r="CE61" s="79">
        <f t="shared" si="40"/>
        <v>0</v>
      </c>
      <c r="CF61" s="1"/>
      <c r="CG61" s="79">
        <f t="shared" si="41"/>
        <v>0</v>
      </c>
      <c r="CH61" s="1"/>
      <c r="CI61" s="79">
        <f t="shared" si="42"/>
        <v>0</v>
      </c>
      <c r="CJ61" s="1"/>
      <c r="CK61" s="79">
        <f t="shared" si="43"/>
        <v>0</v>
      </c>
      <c r="CL61" s="1"/>
      <c r="CM61" s="79">
        <f t="shared" si="100"/>
        <v>0</v>
      </c>
      <c r="CN61" s="1"/>
      <c r="CO61" s="79">
        <f t="shared" ref="CO61:CO71" si="105">CM61-CN61</f>
        <v>0</v>
      </c>
      <c r="CP61" s="1"/>
      <c r="CQ61" s="79">
        <f t="shared" si="46"/>
        <v>0</v>
      </c>
      <c r="CR61" s="1"/>
      <c r="CS61" s="79">
        <f t="shared" si="47"/>
        <v>0</v>
      </c>
      <c r="CT61" s="79"/>
      <c r="CU61" s="79">
        <f t="shared" si="48"/>
        <v>0</v>
      </c>
      <c r="CV61" s="79"/>
      <c r="CW61" s="79">
        <f t="shared" si="49"/>
        <v>0</v>
      </c>
      <c r="CX61" s="79"/>
      <c r="CY61" s="91"/>
      <c r="CZ61" s="79">
        <f>CW61-CX61</f>
        <v>0</v>
      </c>
      <c r="DA61" s="93"/>
      <c r="DB61" s="93">
        <f t="shared" si="51"/>
        <v>0</v>
      </c>
      <c r="DC61" s="96"/>
      <c r="DD61" s="93">
        <f t="shared" si="101"/>
        <v>0</v>
      </c>
      <c r="DE61" s="96"/>
      <c r="DF61" s="93">
        <f t="shared" si="53"/>
        <v>0</v>
      </c>
      <c r="DG61" s="96"/>
      <c r="DH61" s="93">
        <f t="shared" si="54"/>
        <v>0</v>
      </c>
      <c r="DI61" s="96"/>
      <c r="DJ61" s="93">
        <f t="shared" si="55"/>
        <v>0</v>
      </c>
      <c r="DK61" s="93"/>
      <c r="DL61" s="93">
        <f t="shared" si="102"/>
        <v>0</v>
      </c>
      <c r="DM61" s="100">
        <v>0.0</v>
      </c>
      <c r="DN61" s="93">
        <f t="shared" si="95"/>
        <v>0</v>
      </c>
      <c r="DO61" s="100">
        <v>0.0</v>
      </c>
      <c r="DP61" s="93">
        <f t="shared" si="58"/>
        <v>0</v>
      </c>
      <c r="DQ61" s="100">
        <v>0.0</v>
      </c>
      <c r="DR61" s="93">
        <f t="shared" ref="DR61:DR62" si="106">DP61-DQ61</f>
        <v>0</v>
      </c>
      <c r="DS61" s="100">
        <v>0.0</v>
      </c>
      <c r="DT61" s="93">
        <f t="shared" si="60"/>
        <v>0</v>
      </c>
      <c r="DU61" s="100">
        <v>0.0</v>
      </c>
      <c r="DV61" s="93">
        <f t="shared" si="61"/>
        <v>0</v>
      </c>
    </row>
    <row r="62">
      <c r="A62" s="7" t="s">
        <v>303</v>
      </c>
      <c r="B62" s="7" t="s">
        <v>304</v>
      </c>
      <c r="C62" s="76" t="str">
        <f t="array" ref="C62">_xlfn.XLOOKUP(A62,'Emp Master'!A:A,'Emp Master'!F:F)</f>
        <v>SNP</v>
      </c>
      <c r="D62" s="76" t="str">
        <f t="array" ref="D62">_xlfn.XLOOKUP(A62,'Emp Master'!A:A,'Emp Master'!D:D)</f>
        <v>Cutting</v>
      </c>
      <c r="E62" s="76" t="str">
        <f t="shared" si="2"/>
        <v>#REF!</v>
      </c>
      <c r="F62" s="76">
        <v>2000.0</v>
      </c>
      <c r="G62" s="79">
        <v>14000.0</v>
      </c>
      <c r="H62" s="80">
        <v>2000.0</v>
      </c>
      <c r="I62" s="79">
        <f t="shared" si="64"/>
        <v>12000</v>
      </c>
      <c r="J62" s="80">
        <v>2000.0</v>
      </c>
      <c r="K62" s="79">
        <f t="shared" si="65"/>
        <v>10000</v>
      </c>
      <c r="L62" s="80">
        <v>2000.0</v>
      </c>
      <c r="M62" s="79">
        <f t="shared" si="66"/>
        <v>8000</v>
      </c>
      <c r="N62" s="80">
        <v>2000.0</v>
      </c>
      <c r="O62" s="79">
        <f t="shared" si="103"/>
        <v>6000</v>
      </c>
      <c r="P62" s="80">
        <v>2000.0</v>
      </c>
      <c r="Q62" s="79">
        <f t="shared" si="68"/>
        <v>4000</v>
      </c>
      <c r="R62" s="106">
        <v>2000.0</v>
      </c>
      <c r="S62" s="79">
        <f t="shared" si="96"/>
        <v>2000</v>
      </c>
      <c r="T62" s="106">
        <v>2000.0</v>
      </c>
      <c r="U62" s="79">
        <f>S62-T62+20000</f>
        <v>20000</v>
      </c>
      <c r="V62" s="106">
        <v>2000.0</v>
      </c>
      <c r="W62" s="79">
        <f t="shared" si="71"/>
        <v>18000</v>
      </c>
      <c r="X62" s="106">
        <v>2000.0</v>
      </c>
      <c r="Y62" s="79">
        <f t="shared" si="72"/>
        <v>16000</v>
      </c>
      <c r="Z62" s="106">
        <v>2000.0</v>
      </c>
      <c r="AA62" s="79">
        <f t="shared" ref="AA62:AA64" si="107">Y62-Z62</f>
        <v>14000</v>
      </c>
      <c r="AB62" s="106">
        <v>2000.0</v>
      </c>
      <c r="AC62" s="79">
        <f t="shared" si="74"/>
        <v>12000</v>
      </c>
      <c r="AD62" s="106">
        <v>2000.0</v>
      </c>
      <c r="AE62" s="79">
        <f t="shared" si="75"/>
        <v>10000</v>
      </c>
      <c r="AF62" s="106">
        <v>2000.0</v>
      </c>
      <c r="AG62" s="79">
        <f t="shared" si="104"/>
        <v>8000</v>
      </c>
      <c r="AH62" s="106"/>
      <c r="AI62" s="79">
        <f t="shared" si="77"/>
        <v>8000</v>
      </c>
      <c r="AJ62" s="106">
        <v>2000.0</v>
      </c>
      <c r="AK62" s="79">
        <f t="shared" si="78"/>
        <v>6000</v>
      </c>
      <c r="AL62" s="106">
        <v>0.0</v>
      </c>
      <c r="AM62" s="79">
        <f t="shared" si="79"/>
        <v>6000</v>
      </c>
      <c r="AN62" s="106">
        <v>2000.0</v>
      </c>
      <c r="AO62" s="79">
        <f t="shared" si="80"/>
        <v>4000</v>
      </c>
      <c r="AP62" s="106">
        <v>2000.0</v>
      </c>
      <c r="AQ62" s="79">
        <f t="shared" si="97"/>
        <v>2000</v>
      </c>
      <c r="AR62" s="106">
        <v>2000.0</v>
      </c>
      <c r="AS62" s="79">
        <f t="shared" si="82"/>
        <v>0</v>
      </c>
      <c r="AT62" s="1"/>
      <c r="AU62" s="79">
        <f t="shared" si="83"/>
        <v>0</v>
      </c>
      <c r="AV62" s="1"/>
      <c r="AW62" s="79">
        <f>AU62-AV62+20000</f>
        <v>20000</v>
      </c>
      <c r="AX62" s="1"/>
      <c r="AY62" s="79">
        <f t="shared" si="85"/>
        <v>20000</v>
      </c>
      <c r="AZ62" s="106">
        <v>3000.0</v>
      </c>
      <c r="BA62" s="79">
        <f t="shared" si="86"/>
        <v>17000</v>
      </c>
      <c r="BB62" s="106">
        <v>3000.0</v>
      </c>
      <c r="BC62" s="79">
        <f t="shared" si="87"/>
        <v>14000</v>
      </c>
      <c r="BD62" s="106">
        <v>3000.0</v>
      </c>
      <c r="BE62" s="79">
        <f t="shared" si="88"/>
        <v>11000</v>
      </c>
      <c r="BF62" s="106">
        <v>3000.0</v>
      </c>
      <c r="BG62" s="79">
        <f t="shared" si="89"/>
        <v>8000</v>
      </c>
      <c r="BH62" s="106">
        <v>3000.0</v>
      </c>
      <c r="BI62" s="79">
        <f t="shared" si="29"/>
        <v>5000</v>
      </c>
      <c r="BJ62" s="106">
        <v>3000.0</v>
      </c>
      <c r="BK62" s="79">
        <f t="shared" si="90"/>
        <v>2000</v>
      </c>
      <c r="BL62" s="106">
        <v>2000.0</v>
      </c>
      <c r="BM62" s="79">
        <f t="shared" si="91"/>
        <v>0</v>
      </c>
      <c r="BN62" s="1"/>
      <c r="BO62" s="79">
        <f t="shared" si="98"/>
        <v>0</v>
      </c>
      <c r="BP62" s="1"/>
      <c r="BQ62" s="79">
        <f t="shared" si="93"/>
        <v>0</v>
      </c>
      <c r="BR62" s="1"/>
      <c r="BS62" s="79">
        <f t="shared" si="34"/>
        <v>0</v>
      </c>
      <c r="BT62" s="1"/>
      <c r="BU62" s="79">
        <f t="shared" si="35"/>
        <v>0</v>
      </c>
      <c r="BV62" s="1"/>
      <c r="BW62" s="79">
        <f t="shared" si="36"/>
        <v>0</v>
      </c>
      <c r="BX62" s="1"/>
      <c r="BY62" s="79">
        <f t="shared" si="37"/>
        <v>0</v>
      </c>
      <c r="BZ62" s="1"/>
      <c r="CA62" s="79">
        <f t="shared" si="38"/>
        <v>0</v>
      </c>
      <c r="CB62" s="1"/>
      <c r="CC62" s="79">
        <f>1500+(CA62-CB62)</f>
        <v>1500</v>
      </c>
      <c r="CD62" s="106">
        <v>1500.0</v>
      </c>
      <c r="CE62" s="79">
        <f t="shared" si="40"/>
        <v>0</v>
      </c>
      <c r="CF62" s="1"/>
      <c r="CG62" s="79">
        <f>15000+(CE62-CF62)</f>
        <v>15000</v>
      </c>
      <c r="CH62" s="106">
        <v>4000.0</v>
      </c>
      <c r="CI62" s="79">
        <f t="shared" si="42"/>
        <v>11000</v>
      </c>
      <c r="CJ62" s="106">
        <v>4000.0</v>
      </c>
      <c r="CK62" s="79">
        <f t="shared" si="43"/>
        <v>7000</v>
      </c>
      <c r="CL62" s="106"/>
      <c r="CM62" s="79">
        <f t="shared" si="100"/>
        <v>7000</v>
      </c>
      <c r="CN62" s="106">
        <v>4000.0</v>
      </c>
      <c r="CO62" s="79">
        <f t="shared" si="105"/>
        <v>3000</v>
      </c>
      <c r="CP62" s="106">
        <v>3000.0</v>
      </c>
      <c r="CQ62" s="79">
        <f t="shared" si="46"/>
        <v>0</v>
      </c>
      <c r="CR62" s="106"/>
      <c r="CS62" s="79">
        <f t="shared" si="47"/>
        <v>0</v>
      </c>
      <c r="CT62" s="79"/>
      <c r="CU62" s="79">
        <f t="shared" ref="CU62:CU63" si="108">CS62-CT62+25000</f>
        <v>25000</v>
      </c>
      <c r="CV62" s="24">
        <v>5000.0</v>
      </c>
      <c r="CW62" s="79">
        <f t="shared" si="49"/>
        <v>20000</v>
      </c>
      <c r="CX62" s="24">
        <v>5000.0</v>
      </c>
      <c r="CY62" s="91">
        <v>15000.0</v>
      </c>
      <c r="CZ62" s="79">
        <f t="shared" ref="CZ62:CZ63" si="109">CW62-CX62-CY62</f>
        <v>0</v>
      </c>
      <c r="DA62" s="93"/>
      <c r="DB62" s="93">
        <f t="shared" si="51"/>
        <v>0</v>
      </c>
      <c r="DC62" s="96"/>
      <c r="DD62" s="93">
        <f>DB62-DC62+20000+6000</f>
        <v>26000</v>
      </c>
      <c r="DE62" s="178">
        <f>5000+6000</f>
        <v>11000</v>
      </c>
      <c r="DF62" s="93">
        <f t="shared" si="53"/>
        <v>15000</v>
      </c>
      <c r="DG62" s="178">
        <v>10000.0</v>
      </c>
      <c r="DH62" s="93">
        <f t="shared" si="54"/>
        <v>5000</v>
      </c>
      <c r="DI62" s="178">
        <v>5000.0</v>
      </c>
      <c r="DJ62" s="93">
        <f t="shared" si="55"/>
        <v>0</v>
      </c>
      <c r="DK62" s="93"/>
      <c r="DL62" s="100">
        <v>1572.0</v>
      </c>
      <c r="DM62" s="100">
        <v>300.0</v>
      </c>
      <c r="DN62" s="93">
        <f t="shared" si="95"/>
        <v>1272</v>
      </c>
      <c r="DO62" s="100">
        <v>500.0</v>
      </c>
      <c r="DP62" s="93">
        <f t="shared" si="58"/>
        <v>772</v>
      </c>
      <c r="DQ62" s="100">
        <v>772.0</v>
      </c>
      <c r="DR62" s="93">
        <f t="shared" si="106"/>
        <v>0</v>
      </c>
      <c r="DS62" s="100">
        <v>0.0</v>
      </c>
      <c r="DT62" s="93">
        <f t="shared" si="60"/>
        <v>0</v>
      </c>
      <c r="DU62" s="100">
        <v>0.0</v>
      </c>
      <c r="DV62" s="93">
        <f t="shared" si="61"/>
        <v>0</v>
      </c>
    </row>
    <row r="63">
      <c r="A63" s="7" t="s">
        <v>305</v>
      </c>
      <c r="B63" s="7" t="s">
        <v>306</v>
      </c>
      <c r="C63" s="76" t="str">
        <f t="array" ref="C63">_xlfn.XLOOKUP(A63,'Emp Master'!A:A,'Emp Master'!F:F)</f>
        <v>SNP</v>
      </c>
      <c r="D63" s="76" t="str">
        <f t="array" ref="D63">_xlfn.XLOOKUP(A63,'Emp Master'!A:A,'Emp Master'!D:D)</f>
        <v>Cutting</v>
      </c>
      <c r="E63" s="76" t="str">
        <f t="shared" si="2"/>
        <v>#REF!</v>
      </c>
      <c r="F63" s="76">
        <v>1000.0</v>
      </c>
      <c r="G63" s="79">
        <v>10000.0</v>
      </c>
      <c r="H63" s="80">
        <v>1000.0</v>
      </c>
      <c r="I63" s="79">
        <f t="shared" si="64"/>
        <v>9000</v>
      </c>
      <c r="J63" s="80">
        <v>1000.0</v>
      </c>
      <c r="K63" s="79">
        <f t="shared" si="65"/>
        <v>8000</v>
      </c>
      <c r="L63" s="80">
        <v>1000.0</v>
      </c>
      <c r="M63" s="79">
        <f t="shared" si="66"/>
        <v>7000</v>
      </c>
      <c r="N63" s="80">
        <v>1000.0</v>
      </c>
      <c r="O63" s="79">
        <f>M63-N63+20000</f>
        <v>26000</v>
      </c>
      <c r="P63" s="126">
        <v>3000.0</v>
      </c>
      <c r="Q63" s="79">
        <f t="shared" si="68"/>
        <v>23000</v>
      </c>
      <c r="R63" s="106">
        <v>0.0</v>
      </c>
      <c r="S63" s="79">
        <f t="shared" si="96"/>
        <v>23000</v>
      </c>
      <c r="T63" s="106">
        <v>3000.0</v>
      </c>
      <c r="U63" s="79">
        <f t="shared" ref="U63:U64" si="110">S63-T63</f>
        <v>20000</v>
      </c>
      <c r="V63" s="106">
        <v>3000.0</v>
      </c>
      <c r="W63" s="79">
        <f t="shared" si="71"/>
        <v>17000</v>
      </c>
      <c r="X63" s="106">
        <v>3000.0</v>
      </c>
      <c r="Y63" s="79">
        <f t="shared" si="72"/>
        <v>14000</v>
      </c>
      <c r="Z63" s="106">
        <v>3000.0</v>
      </c>
      <c r="AA63" s="79">
        <f t="shared" si="107"/>
        <v>11000</v>
      </c>
      <c r="AB63" s="106">
        <v>3000.0</v>
      </c>
      <c r="AC63" s="79">
        <f t="shared" si="74"/>
        <v>8000</v>
      </c>
      <c r="AD63" s="106">
        <v>3000.0</v>
      </c>
      <c r="AE63" s="79">
        <f t="shared" si="75"/>
        <v>5000</v>
      </c>
      <c r="AF63" s="106">
        <v>3000.0</v>
      </c>
      <c r="AG63" s="79">
        <f>AE63-AF63+25000</f>
        <v>27000</v>
      </c>
      <c r="AH63" s="106">
        <v>2000.0</v>
      </c>
      <c r="AI63" s="79">
        <f t="shared" si="77"/>
        <v>25000</v>
      </c>
      <c r="AJ63" s="106">
        <v>2000.0</v>
      </c>
      <c r="AK63" s="79">
        <f t="shared" si="78"/>
        <v>23000</v>
      </c>
      <c r="AL63" s="106">
        <v>2000.0</v>
      </c>
      <c r="AM63" s="79">
        <f t="shared" si="79"/>
        <v>21000</v>
      </c>
      <c r="AN63" s="106">
        <v>3000.0</v>
      </c>
      <c r="AO63" s="79">
        <f t="shared" si="80"/>
        <v>18000</v>
      </c>
      <c r="AP63" s="106">
        <v>3000.0</v>
      </c>
      <c r="AQ63" s="79">
        <f t="shared" si="97"/>
        <v>15000</v>
      </c>
      <c r="AR63" s="106">
        <v>3000.0</v>
      </c>
      <c r="AS63" s="79">
        <f t="shared" si="82"/>
        <v>12000</v>
      </c>
      <c r="AT63" s="106">
        <v>3000.0</v>
      </c>
      <c r="AU63" s="79">
        <f t="shared" si="83"/>
        <v>9000</v>
      </c>
      <c r="AV63" s="106">
        <v>3000.0</v>
      </c>
      <c r="AW63" s="79">
        <f t="shared" ref="AW63:AW64" si="111">AU63-AV63</f>
        <v>6000</v>
      </c>
      <c r="AX63" s="106">
        <v>3000.0</v>
      </c>
      <c r="AY63" s="79">
        <f>AW63-AX63+25000</f>
        <v>28000</v>
      </c>
      <c r="AZ63" s="106">
        <v>3000.0</v>
      </c>
      <c r="BA63" s="79">
        <f t="shared" si="86"/>
        <v>25000</v>
      </c>
      <c r="BB63" s="106">
        <v>3000.0</v>
      </c>
      <c r="BC63" s="79">
        <f t="shared" si="87"/>
        <v>22000</v>
      </c>
      <c r="BD63" s="106">
        <v>3000.0</v>
      </c>
      <c r="BE63" s="79">
        <f t="shared" si="88"/>
        <v>19000</v>
      </c>
      <c r="BF63" s="106">
        <v>3000.0</v>
      </c>
      <c r="BG63" s="79">
        <f t="shared" si="89"/>
        <v>16000</v>
      </c>
      <c r="BH63" s="106">
        <v>3000.0</v>
      </c>
      <c r="BI63" s="79">
        <f t="shared" si="29"/>
        <v>13000</v>
      </c>
      <c r="BJ63" s="106">
        <v>3000.0</v>
      </c>
      <c r="BK63" s="79">
        <f t="shared" si="90"/>
        <v>10000</v>
      </c>
      <c r="BL63" s="106">
        <v>3000.0</v>
      </c>
      <c r="BM63" s="79">
        <f t="shared" si="91"/>
        <v>7000</v>
      </c>
      <c r="BN63" s="106">
        <v>7000.0</v>
      </c>
      <c r="BO63" s="176">
        <f>BM63-BN63+30000</f>
        <v>30000</v>
      </c>
      <c r="BP63" s="106">
        <v>5000.0</v>
      </c>
      <c r="BQ63" s="79">
        <f t="shared" si="93"/>
        <v>25000</v>
      </c>
      <c r="BR63" s="1"/>
      <c r="BS63" s="79">
        <f t="shared" si="34"/>
        <v>25000</v>
      </c>
      <c r="BT63" s="106">
        <v>5000.0</v>
      </c>
      <c r="BU63" s="79">
        <f t="shared" si="35"/>
        <v>20000</v>
      </c>
      <c r="BV63" s="106">
        <v>5000.0</v>
      </c>
      <c r="BW63" s="79">
        <f t="shared" si="36"/>
        <v>15000</v>
      </c>
      <c r="BX63" s="106">
        <v>5000.0</v>
      </c>
      <c r="BY63" s="79">
        <f t="shared" si="37"/>
        <v>10000</v>
      </c>
      <c r="BZ63" s="106">
        <v>5000.0</v>
      </c>
      <c r="CA63" s="79">
        <f t="shared" si="38"/>
        <v>5000</v>
      </c>
      <c r="CB63" s="106">
        <v>5000.0</v>
      </c>
      <c r="CC63" s="79">
        <f>25000+(CA63-CB63)</f>
        <v>25000</v>
      </c>
      <c r="CD63" s="106">
        <v>6000.0</v>
      </c>
      <c r="CE63" s="79">
        <f t="shared" si="40"/>
        <v>19000</v>
      </c>
      <c r="CF63" s="106">
        <v>6000.0</v>
      </c>
      <c r="CG63" s="79">
        <f t="shared" ref="CG63:CG64" si="112">CE63-CF63</f>
        <v>13000</v>
      </c>
      <c r="CH63" s="106">
        <v>6000.0</v>
      </c>
      <c r="CI63" s="79">
        <f t="shared" si="42"/>
        <v>7000</v>
      </c>
      <c r="CJ63" s="106">
        <v>6000.0</v>
      </c>
      <c r="CK63" s="79">
        <f t="shared" si="43"/>
        <v>1000</v>
      </c>
      <c r="CL63" s="106">
        <v>1000.0</v>
      </c>
      <c r="CM63" s="79">
        <f>30000+CK63-CL63</f>
        <v>30000</v>
      </c>
      <c r="CN63" s="106">
        <v>7500.0</v>
      </c>
      <c r="CO63" s="79">
        <f t="shared" si="105"/>
        <v>22500</v>
      </c>
      <c r="CP63" s="106">
        <v>7500.0</v>
      </c>
      <c r="CQ63" s="79">
        <f t="shared" si="46"/>
        <v>15000</v>
      </c>
      <c r="CR63" s="106">
        <v>7500.0</v>
      </c>
      <c r="CS63" s="79">
        <f t="shared" si="47"/>
        <v>7500</v>
      </c>
      <c r="CT63" s="24">
        <v>7500.0</v>
      </c>
      <c r="CU63" s="79">
        <f t="shared" si="108"/>
        <v>25000</v>
      </c>
      <c r="CV63" s="24">
        <v>5000.0</v>
      </c>
      <c r="CW63" s="79">
        <f t="shared" si="49"/>
        <v>20000</v>
      </c>
      <c r="CX63" s="24">
        <v>5000.0</v>
      </c>
      <c r="CY63" s="91">
        <v>15000.0</v>
      </c>
      <c r="CZ63" s="79">
        <f t="shared" si="109"/>
        <v>0</v>
      </c>
      <c r="DA63" s="93"/>
      <c r="DB63" s="93">
        <f t="shared" si="51"/>
        <v>0</v>
      </c>
      <c r="DC63" s="96"/>
      <c r="DD63" s="93">
        <f t="shared" ref="DD63:DD65" si="113">DB63-DC63</f>
        <v>0</v>
      </c>
      <c r="DE63" s="96"/>
      <c r="DF63" s="93">
        <f t="shared" si="53"/>
        <v>0</v>
      </c>
      <c r="DG63" s="96"/>
      <c r="DH63" s="93">
        <f t="shared" si="54"/>
        <v>0</v>
      </c>
      <c r="DI63" s="96"/>
      <c r="DJ63" s="100">
        <v>20000.0</v>
      </c>
      <c r="DK63" s="100">
        <v>5000.0</v>
      </c>
      <c r="DL63" s="93">
        <f t="shared" ref="DL63:DL71" si="114">DJ63-DK63</f>
        <v>15000</v>
      </c>
      <c r="DM63" s="100">
        <v>5000.0</v>
      </c>
      <c r="DN63" s="93">
        <f>DL63-DM63+20000</f>
        <v>30000</v>
      </c>
      <c r="DO63" s="100">
        <v>0.0</v>
      </c>
      <c r="DP63" s="93">
        <f>DN63-DO63+10000+15000</f>
        <v>55000</v>
      </c>
      <c r="DQ63" s="100">
        <v>0.0</v>
      </c>
      <c r="DR63" s="93">
        <f>DP63-DQ63+10000+10000+10000+10000</f>
        <v>95000</v>
      </c>
      <c r="DS63" s="100">
        <v>0.0</v>
      </c>
      <c r="DT63" s="93">
        <f>DR63-DS63+10000</f>
        <v>105000</v>
      </c>
      <c r="DU63" s="100">
        <v>0.0</v>
      </c>
      <c r="DV63" s="93">
        <f t="shared" si="61"/>
        <v>105000</v>
      </c>
    </row>
    <row r="64">
      <c r="A64" s="7" t="s">
        <v>307</v>
      </c>
      <c r="B64" s="7" t="s">
        <v>308</v>
      </c>
      <c r="C64" s="76" t="str">
        <f t="array" ref="C64">_xlfn.XLOOKUP(A64,'Emp Master'!A:A,'Emp Master'!F:F)</f>
        <v>SNP</v>
      </c>
      <c r="D64" s="76" t="str">
        <f t="array" ref="D64">_xlfn.XLOOKUP(A64,'Emp Master'!A:A,'Emp Master'!D:D)</f>
        <v>Cutting</v>
      </c>
      <c r="E64" s="76" t="str">
        <f t="shared" si="2"/>
        <v>#REF!</v>
      </c>
      <c r="F64" s="76">
        <v>1000.0</v>
      </c>
      <c r="G64" s="79">
        <v>7500.0</v>
      </c>
      <c r="H64" s="80">
        <v>1000.0</v>
      </c>
      <c r="I64" s="79">
        <f t="shared" si="64"/>
        <v>6500</v>
      </c>
      <c r="J64" s="126">
        <v>0.0</v>
      </c>
      <c r="K64" s="79">
        <f>I64-J64+15000</f>
        <v>21500</v>
      </c>
      <c r="L64" s="126">
        <v>0.0</v>
      </c>
      <c r="M64" s="79">
        <f t="shared" si="66"/>
        <v>21500</v>
      </c>
      <c r="N64" s="80">
        <v>1000.0</v>
      </c>
      <c r="O64" s="79">
        <f>M64-N64</f>
        <v>20500</v>
      </c>
      <c r="P64" s="126">
        <v>3000.0</v>
      </c>
      <c r="Q64" s="79">
        <f t="shared" si="68"/>
        <v>17500</v>
      </c>
      <c r="R64" s="106">
        <v>3000.0</v>
      </c>
      <c r="S64" s="79">
        <f t="shared" si="96"/>
        <v>14500</v>
      </c>
      <c r="T64" s="106">
        <v>2000.0</v>
      </c>
      <c r="U64" s="79">
        <f t="shared" si="110"/>
        <v>12500</v>
      </c>
      <c r="V64" s="106">
        <v>2000.0</v>
      </c>
      <c r="W64" s="79">
        <f t="shared" si="71"/>
        <v>10500</v>
      </c>
      <c r="X64" s="106">
        <v>2000.0</v>
      </c>
      <c r="Y64" s="79">
        <f t="shared" si="72"/>
        <v>8500</v>
      </c>
      <c r="Z64" s="106">
        <v>2000.0</v>
      </c>
      <c r="AA64" s="79">
        <f t="shared" si="107"/>
        <v>6500</v>
      </c>
      <c r="AB64" s="106">
        <v>2000.0</v>
      </c>
      <c r="AC64" s="79">
        <f t="shared" si="74"/>
        <v>4500</v>
      </c>
      <c r="AD64" s="106">
        <v>2000.0</v>
      </c>
      <c r="AE64" s="79">
        <f t="shared" si="75"/>
        <v>2500</v>
      </c>
      <c r="AF64" s="106">
        <v>2500.0</v>
      </c>
      <c r="AG64" s="79">
        <f>AE64-AF64</f>
        <v>0</v>
      </c>
      <c r="AH64" s="106"/>
      <c r="AI64" s="79">
        <f t="shared" si="77"/>
        <v>0</v>
      </c>
      <c r="AJ64" s="1"/>
      <c r="AK64" s="79">
        <f>AI64-AJ64+15000</f>
        <v>15000</v>
      </c>
      <c r="AL64" s="106">
        <v>2000.0</v>
      </c>
      <c r="AM64" s="79">
        <f>AK64-AL64+15000</f>
        <v>28000</v>
      </c>
      <c r="AN64" s="1"/>
      <c r="AO64" s="79">
        <f t="shared" si="80"/>
        <v>28000</v>
      </c>
      <c r="AP64" s="106">
        <v>12000.0</v>
      </c>
      <c r="AQ64" s="79">
        <f t="shared" si="97"/>
        <v>16000</v>
      </c>
      <c r="AR64" s="106">
        <v>3000.0</v>
      </c>
      <c r="AS64" s="79">
        <f t="shared" si="82"/>
        <v>13000</v>
      </c>
      <c r="AT64" s="106">
        <v>3000.0</v>
      </c>
      <c r="AU64" s="79">
        <f t="shared" si="83"/>
        <v>10000</v>
      </c>
      <c r="AV64" s="106">
        <v>3000.0</v>
      </c>
      <c r="AW64" s="79">
        <f t="shared" si="111"/>
        <v>7000</v>
      </c>
      <c r="AX64" s="106">
        <v>3000.0</v>
      </c>
      <c r="AY64" s="79">
        <f>AW64-AX64</f>
        <v>4000</v>
      </c>
      <c r="AZ64" s="106">
        <v>3000.0</v>
      </c>
      <c r="BA64" s="79">
        <f t="shared" si="86"/>
        <v>1000</v>
      </c>
      <c r="BB64" s="106">
        <v>1000.0</v>
      </c>
      <c r="BC64" s="79">
        <f t="shared" si="87"/>
        <v>0</v>
      </c>
      <c r="BD64" s="1"/>
      <c r="BE64" s="79">
        <f t="shared" si="88"/>
        <v>0</v>
      </c>
      <c r="BF64" s="1"/>
      <c r="BG64" s="79">
        <f t="shared" si="89"/>
        <v>0</v>
      </c>
      <c r="BH64" s="1"/>
      <c r="BI64" s="79">
        <f>BG64-BH64+10000</f>
        <v>10000</v>
      </c>
      <c r="BJ64" s="106">
        <v>2500.0</v>
      </c>
      <c r="BK64" s="79">
        <f t="shared" si="90"/>
        <v>7500</v>
      </c>
      <c r="BL64" s="106">
        <v>1000.0</v>
      </c>
      <c r="BM64" s="79">
        <f t="shared" si="91"/>
        <v>6500</v>
      </c>
      <c r="BN64" s="106">
        <v>2500.0</v>
      </c>
      <c r="BO64" s="79">
        <f>BM64-BN64</f>
        <v>4000</v>
      </c>
      <c r="BP64" s="106">
        <v>2500.0</v>
      </c>
      <c r="BQ64" s="79">
        <f t="shared" si="93"/>
        <v>1500</v>
      </c>
      <c r="BR64" s="106">
        <v>1500.0</v>
      </c>
      <c r="BS64" s="79">
        <f t="shared" si="34"/>
        <v>0</v>
      </c>
      <c r="BT64" s="1"/>
      <c r="BU64" s="79">
        <f t="shared" si="35"/>
        <v>0</v>
      </c>
      <c r="BV64" s="1"/>
      <c r="BW64" s="79">
        <f>BU64-BV64+10000</f>
        <v>10000</v>
      </c>
      <c r="BX64" s="106">
        <v>2500.0</v>
      </c>
      <c r="BY64" s="79">
        <f t="shared" si="37"/>
        <v>7500</v>
      </c>
      <c r="BZ64" s="106">
        <v>2500.0</v>
      </c>
      <c r="CA64" s="79">
        <f t="shared" si="38"/>
        <v>5000</v>
      </c>
      <c r="CB64" s="106">
        <v>2500.0</v>
      </c>
      <c r="CC64" s="79">
        <f>(CA64-CB64)+15000</f>
        <v>17500</v>
      </c>
      <c r="CD64" s="106">
        <v>6500.0</v>
      </c>
      <c r="CE64" s="79">
        <f t="shared" si="40"/>
        <v>11000</v>
      </c>
      <c r="CF64" s="106">
        <v>4000.0</v>
      </c>
      <c r="CG64" s="79">
        <f t="shared" si="112"/>
        <v>7000</v>
      </c>
      <c r="CH64" s="106">
        <v>3000.0</v>
      </c>
      <c r="CI64" s="79">
        <f t="shared" si="42"/>
        <v>4000</v>
      </c>
      <c r="CJ64" s="106">
        <v>4000.0</v>
      </c>
      <c r="CK64" s="24">
        <v>10000.0</v>
      </c>
      <c r="CL64" s="106">
        <v>5000.0</v>
      </c>
      <c r="CM64" s="79">
        <f>CK64-CL64</f>
        <v>5000</v>
      </c>
      <c r="CN64" s="106">
        <v>5000.0</v>
      </c>
      <c r="CO64" s="79">
        <f t="shared" si="105"/>
        <v>0</v>
      </c>
      <c r="CP64" s="106"/>
      <c r="CQ64" s="79">
        <f t="shared" si="46"/>
        <v>0</v>
      </c>
      <c r="CR64" s="106"/>
      <c r="CS64" s="79">
        <f t="shared" si="47"/>
        <v>0</v>
      </c>
      <c r="CT64" s="79"/>
      <c r="CU64" s="79">
        <f t="shared" ref="CU64:CU72" si="115">CS64-CT64</f>
        <v>0</v>
      </c>
      <c r="CV64" s="79"/>
      <c r="CW64" s="79">
        <f t="shared" si="49"/>
        <v>0</v>
      </c>
      <c r="CX64" s="79"/>
      <c r="CY64" s="91"/>
      <c r="CZ64" s="79">
        <f t="shared" ref="CZ64:CZ76" si="116">CW64-CX64</f>
        <v>0</v>
      </c>
      <c r="DA64" s="93"/>
      <c r="DB64" s="93">
        <f t="shared" si="51"/>
        <v>0</v>
      </c>
      <c r="DC64" s="96"/>
      <c r="DD64" s="93">
        <f t="shared" si="113"/>
        <v>0</v>
      </c>
      <c r="DE64" s="96"/>
      <c r="DF64" s="100">
        <v>25000.0</v>
      </c>
      <c r="DG64" s="178">
        <v>0.0</v>
      </c>
      <c r="DH64" s="93">
        <f t="shared" si="54"/>
        <v>25000</v>
      </c>
      <c r="DI64" s="178"/>
      <c r="DJ64" s="93">
        <f t="shared" ref="DJ64:DJ93" si="117">DH64-DI64</f>
        <v>25000</v>
      </c>
      <c r="DK64" s="93"/>
      <c r="DL64" s="93">
        <f t="shared" si="114"/>
        <v>25000</v>
      </c>
      <c r="DM64" s="100">
        <v>0.0</v>
      </c>
      <c r="DN64" s="93">
        <f>DL64-DM64+1790</f>
        <v>26790</v>
      </c>
      <c r="DO64" s="100">
        <v>500.0</v>
      </c>
      <c r="DP64" s="93">
        <f t="shared" ref="DP64:DP101" si="118">DN64-DO64</f>
        <v>26290</v>
      </c>
      <c r="DQ64" s="100">
        <v>10500.0</v>
      </c>
      <c r="DR64" s="93">
        <f t="shared" ref="DR64:DR65" si="119">DP64-DQ64</f>
        <v>15790</v>
      </c>
      <c r="DS64" s="100">
        <v>5000.0</v>
      </c>
      <c r="DT64" s="93">
        <f t="shared" ref="DT64:DT109" si="120">DR64-DS64</f>
        <v>10790</v>
      </c>
      <c r="DU64" s="100">
        <v>5000.0</v>
      </c>
      <c r="DV64" s="93">
        <f t="shared" si="61"/>
        <v>5790</v>
      </c>
    </row>
    <row r="65">
      <c r="CO65" s="79">
        <f t="shared" si="105"/>
        <v>0</v>
      </c>
      <c r="CQ65" s="79">
        <f t="shared" si="46"/>
        <v>0</v>
      </c>
      <c r="CR65" s="1"/>
      <c r="CS65" s="79">
        <f t="shared" si="47"/>
        <v>0</v>
      </c>
      <c r="CT65" s="79"/>
      <c r="CU65" s="79">
        <f t="shared" si="115"/>
        <v>0</v>
      </c>
      <c r="CV65" s="79"/>
      <c r="CW65" s="79">
        <f t="shared" si="49"/>
        <v>0</v>
      </c>
      <c r="CX65" s="79"/>
      <c r="CY65" s="91"/>
      <c r="CZ65" s="79">
        <f t="shared" si="116"/>
        <v>0</v>
      </c>
      <c r="DA65" s="93"/>
      <c r="DB65" s="93">
        <f t="shared" si="51"/>
        <v>0</v>
      </c>
      <c r="DC65" s="96"/>
      <c r="DD65" s="93">
        <f t="shared" si="113"/>
        <v>0</v>
      </c>
      <c r="DE65" s="96"/>
      <c r="DF65" s="93">
        <f t="shared" ref="DF65:DF93" si="121">DD65-DE65</f>
        <v>0</v>
      </c>
      <c r="DG65" s="96"/>
      <c r="DH65" s="93">
        <f t="shared" si="54"/>
        <v>0</v>
      </c>
      <c r="DI65" s="96"/>
      <c r="DJ65" s="93">
        <f t="shared" si="117"/>
        <v>0</v>
      </c>
      <c r="DK65" s="93"/>
      <c r="DL65" s="93">
        <f t="shared" si="114"/>
        <v>0</v>
      </c>
      <c r="DM65" s="100">
        <v>0.0</v>
      </c>
      <c r="DN65" s="93">
        <f t="shared" ref="DN65:DN95" si="122">DL65-DM65</f>
        <v>0</v>
      </c>
      <c r="DO65" s="100">
        <v>0.0</v>
      </c>
      <c r="DP65" s="93">
        <f t="shared" si="118"/>
        <v>0</v>
      </c>
      <c r="DQ65" s="100">
        <v>0.0</v>
      </c>
      <c r="DR65" s="93">
        <f t="shared" si="119"/>
        <v>0</v>
      </c>
      <c r="DS65" s="100">
        <v>0.0</v>
      </c>
      <c r="DT65" s="93">
        <f t="shared" si="120"/>
        <v>0</v>
      </c>
      <c r="DU65" s="100">
        <v>0.0</v>
      </c>
      <c r="DV65" s="93">
        <f t="shared" si="61"/>
        <v>0</v>
      </c>
    </row>
    <row r="66">
      <c r="A66" s="7" t="s">
        <v>311</v>
      </c>
      <c r="B66" s="7" t="s">
        <v>312</v>
      </c>
      <c r="C66" s="76" t="str">
        <f t="array" ref="C66">_xlfn.XLOOKUP(A66,'Emp Master'!A:A,'Emp Master'!F:F)</f>
        <v>SNP</v>
      </c>
      <c r="D66" s="76" t="str">
        <f t="array" ref="D66">_xlfn.XLOOKUP(A66,'Emp Master'!A:A,'Emp Master'!D:D)</f>
        <v>Cutting</v>
      </c>
      <c r="E66" s="76" t="str">
        <f t="shared" ref="E66:E114" si="123">_xlfn.XLOOKUP(A66,INDIRECT($D$1),INDIRECT($E$1),0)</f>
        <v>#REF!</v>
      </c>
      <c r="F66" s="76">
        <v>2000.0</v>
      </c>
      <c r="G66" s="79">
        <v>7000.0</v>
      </c>
      <c r="H66" s="80">
        <v>2000.0</v>
      </c>
      <c r="I66" s="79">
        <f t="shared" ref="I66:I92" si="124">G66-H66</f>
        <v>5000</v>
      </c>
      <c r="J66" s="80">
        <v>2000.0</v>
      </c>
      <c r="K66" s="79">
        <f t="shared" ref="K66:K72" si="125">I66-J66</f>
        <v>3000</v>
      </c>
      <c r="L66" s="80">
        <v>2000.0</v>
      </c>
      <c r="M66" s="79">
        <f t="shared" ref="M66:M71" si="126">K66-L66</f>
        <v>1000</v>
      </c>
      <c r="N66" s="126">
        <v>1000.0</v>
      </c>
      <c r="O66" s="79">
        <f t="shared" ref="O66:O77" si="127">M66-N66</f>
        <v>0</v>
      </c>
      <c r="P66" s="80"/>
      <c r="Q66" s="79">
        <f t="shared" ref="Q66:Q92" si="128">O66-P66</f>
        <v>0</v>
      </c>
      <c r="R66" s="1"/>
      <c r="S66" s="79">
        <f t="shared" ref="S66:S75" si="129">Q66-R66</f>
        <v>0</v>
      </c>
      <c r="T66" s="1"/>
      <c r="U66" s="79">
        <f t="shared" ref="U66:U76" si="130">S66-T66</f>
        <v>0</v>
      </c>
      <c r="V66" s="1"/>
      <c r="W66" s="79">
        <f t="shared" ref="W66:W92" si="131">U66-V66</f>
        <v>0</v>
      </c>
      <c r="X66" s="1"/>
      <c r="Y66" s="79">
        <f t="shared" ref="Y66:Y92" si="132">W66-X66</f>
        <v>0</v>
      </c>
      <c r="Z66" s="1"/>
      <c r="AA66" s="79">
        <f t="shared" ref="AA66:AA92" si="133">Y66-Z66</f>
        <v>0</v>
      </c>
      <c r="AB66" s="1"/>
      <c r="AC66" s="79">
        <f t="shared" ref="AC66:AC71" si="134">AA66-AB66</f>
        <v>0</v>
      </c>
      <c r="AD66" s="1"/>
      <c r="AE66" s="79">
        <f t="shared" ref="AE66:AE77" si="135">AC66-AD66</f>
        <v>0</v>
      </c>
      <c r="AF66" s="1"/>
      <c r="AG66" s="79">
        <f>AE66-AF66+20000</f>
        <v>20000</v>
      </c>
      <c r="AH66" s="1"/>
      <c r="AI66" s="79">
        <f t="shared" ref="AI66:AI92" si="136">AG66-AH66</f>
        <v>20000</v>
      </c>
      <c r="AJ66" s="106"/>
      <c r="AK66" s="79">
        <f t="shared" ref="AK66:AK72" si="137">AI66-AJ66</f>
        <v>20000</v>
      </c>
      <c r="AL66" s="106">
        <v>2000.0</v>
      </c>
      <c r="AM66" s="79">
        <f t="shared" ref="AM66:AM81" si="138">AK66-AL66</f>
        <v>18000</v>
      </c>
      <c r="AN66" s="106">
        <v>5000.0</v>
      </c>
      <c r="AO66" s="79">
        <f t="shared" ref="AO66:AO80" si="139">AM66-AN66</f>
        <v>13000</v>
      </c>
      <c r="AP66" s="106">
        <v>3000.0</v>
      </c>
      <c r="AQ66" s="79">
        <f t="shared" ref="AQ66:AQ71" si="140">AO66-AP66</f>
        <v>10000</v>
      </c>
      <c r="AR66" s="106">
        <v>3000.0</v>
      </c>
      <c r="AS66" s="79">
        <f t="shared" ref="AS66:AS92" si="141">AQ66-AR66</f>
        <v>7000</v>
      </c>
      <c r="AT66" s="106">
        <v>3000.0</v>
      </c>
      <c r="AU66" s="79">
        <f t="shared" ref="AU66:AU76" si="142">AS66-AT66</f>
        <v>4000</v>
      </c>
      <c r="AV66" s="106">
        <v>3000.0</v>
      </c>
      <c r="AW66" s="79">
        <f t="shared" ref="AW66:AW92" si="143">AU66-AV66</f>
        <v>1000</v>
      </c>
      <c r="AX66" s="106">
        <v>1000.0</v>
      </c>
      <c r="AY66" s="79">
        <f t="shared" ref="AY66:AY72" si="144">AW66-AX66</f>
        <v>0</v>
      </c>
      <c r="AZ66" s="1"/>
      <c r="BA66" s="79">
        <f t="shared" ref="BA66:BA76" si="145">AY66-AZ66</f>
        <v>0</v>
      </c>
      <c r="BB66" s="1"/>
      <c r="BC66" s="79">
        <f t="shared" ref="BC66:BC72" si="146">BA66-BB66</f>
        <v>0</v>
      </c>
      <c r="BD66" s="1"/>
      <c r="BE66" s="79">
        <f>BC66-BD66+25000</f>
        <v>25000</v>
      </c>
      <c r="BF66" s="106">
        <v>8500.0</v>
      </c>
      <c r="BG66" s="79">
        <f t="shared" ref="BG66:BG71" si="147">BE66-BF66</f>
        <v>16500</v>
      </c>
      <c r="BH66" s="106">
        <v>1500.0</v>
      </c>
      <c r="BI66" s="79">
        <f t="shared" ref="BI66:BI92" si="148">BG66-BH66</f>
        <v>15000</v>
      </c>
      <c r="BJ66" s="106">
        <v>5000.0</v>
      </c>
      <c r="BK66" s="79">
        <f t="shared" ref="BK66:BK92" si="149">BI66-BJ66</f>
        <v>10000</v>
      </c>
      <c r="BL66" s="106">
        <v>5000.0</v>
      </c>
      <c r="BM66" s="79">
        <f t="shared" ref="BM66:BM72" si="150">BK66-BL66</f>
        <v>5000</v>
      </c>
      <c r="BN66" s="106">
        <v>5000.0</v>
      </c>
      <c r="BO66" s="79">
        <f>BM66-BN66+20000</f>
        <v>20000</v>
      </c>
      <c r="BP66" s="106">
        <v>5000.0</v>
      </c>
      <c r="BQ66" s="79">
        <f t="shared" ref="BQ66:BQ76" si="151">BO66-BP66</f>
        <v>15000</v>
      </c>
      <c r="BR66" s="106">
        <v>5000.0</v>
      </c>
      <c r="BS66" s="79">
        <f t="shared" ref="BS66:BS71" si="152">BQ66-BR66</f>
        <v>10000</v>
      </c>
      <c r="BT66" s="106">
        <v>5000.0</v>
      </c>
      <c r="BU66" s="79">
        <f t="shared" ref="BU66:BU92" si="153">BS66-BT66</f>
        <v>5000</v>
      </c>
      <c r="BV66" s="106">
        <v>3000.0</v>
      </c>
      <c r="BW66" s="79">
        <f t="shared" ref="BW66:BW92" si="154">BU66-BV66</f>
        <v>2000</v>
      </c>
      <c r="BX66" s="106">
        <v>2000.0</v>
      </c>
      <c r="BY66" s="79">
        <f t="shared" ref="BY66:BY92" si="155">BW66-BX66</f>
        <v>0</v>
      </c>
      <c r="BZ66" s="1"/>
      <c r="CA66" s="79">
        <f t="shared" ref="CA66:CA72" si="156">BY66-BZ66</f>
        <v>0</v>
      </c>
      <c r="CB66" s="1"/>
      <c r="CC66" s="24">
        <v>17000.0</v>
      </c>
      <c r="CD66" s="106">
        <v>4200.0</v>
      </c>
      <c r="CE66" s="79">
        <f t="shared" ref="CE66:CE71" si="157">CC66-CD66</f>
        <v>12800</v>
      </c>
      <c r="CF66" s="106"/>
      <c r="CG66" s="79">
        <f t="shared" ref="CG66:CG76" si="158">CE66-CF66</f>
        <v>12800</v>
      </c>
      <c r="CH66" s="106">
        <v>0.0</v>
      </c>
      <c r="CI66" s="79">
        <f t="shared" ref="CI66:CI92" si="159">CG66-CH66</f>
        <v>12800</v>
      </c>
      <c r="CJ66" s="106">
        <v>4300.0</v>
      </c>
      <c r="CK66" s="79">
        <f t="shared" ref="CK66:CK68" si="160">CI66-CJ66</f>
        <v>8500</v>
      </c>
      <c r="CL66" s="106">
        <v>4250.0</v>
      </c>
      <c r="CM66" s="79">
        <f t="shared" ref="CM66:CM94" si="161">CK66-CL66</f>
        <v>4250</v>
      </c>
      <c r="CN66" s="106">
        <v>4250.0</v>
      </c>
      <c r="CO66" s="79">
        <f t="shared" si="105"/>
        <v>0</v>
      </c>
      <c r="CP66" s="106"/>
      <c r="CQ66" s="79">
        <f t="shared" si="46"/>
        <v>0</v>
      </c>
      <c r="CR66" s="106"/>
      <c r="CS66" s="79">
        <f>CQ66-CR66+20000</f>
        <v>20000</v>
      </c>
      <c r="CT66" s="24">
        <v>10000.0</v>
      </c>
      <c r="CU66" s="79">
        <f t="shared" si="115"/>
        <v>10000</v>
      </c>
      <c r="CV66" s="24">
        <v>10000.0</v>
      </c>
      <c r="CW66" s="79">
        <f t="shared" si="49"/>
        <v>0</v>
      </c>
      <c r="CX66" s="24"/>
      <c r="CY66" s="91"/>
      <c r="CZ66" s="79">
        <f t="shared" si="116"/>
        <v>0</v>
      </c>
      <c r="DA66" s="93"/>
      <c r="DB66" s="93">
        <f t="shared" si="51"/>
        <v>0</v>
      </c>
      <c r="DC66" s="96"/>
      <c r="DD66" s="93">
        <f>DB66-DC66+15000</f>
        <v>15000</v>
      </c>
      <c r="DE66" s="178">
        <v>5000.0</v>
      </c>
      <c r="DF66" s="93">
        <f t="shared" si="121"/>
        <v>10000</v>
      </c>
      <c r="DG66" s="178">
        <v>5000.0</v>
      </c>
      <c r="DH66" s="93">
        <f t="shared" si="54"/>
        <v>5000</v>
      </c>
      <c r="DI66" s="178">
        <v>5000.0</v>
      </c>
      <c r="DJ66" s="93">
        <f t="shared" si="117"/>
        <v>0</v>
      </c>
      <c r="DK66" s="93"/>
      <c r="DL66" s="93">
        <f t="shared" si="114"/>
        <v>0</v>
      </c>
      <c r="DM66" s="100">
        <v>0.0</v>
      </c>
      <c r="DN66" s="93">
        <f t="shared" si="122"/>
        <v>0</v>
      </c>
      <c r="DO66" s="100">
        <v>0.0</v>
      </c>
      <c r="DP66" s="93">
        <f t="shared" si="118"/>
        <v>0</v>
      </c>
      <c r="DQ66" s="100">
        <v>0.0</v>
      </c>
      <c r="DR66" s="93">
        <f>DP66-DQ66+40000</f>
        <v>40000</v>
      </c>
      <c r="DS66" s="100">
        <v>10000.0</v>
      </c>
      <c r="DT66" s="93">
        <f t="shared" si="120"/>
        <v>30000</v>
      </c>
      <c r="DU66" s="100">
        <v>10000.0</v>
      </c>
      <c r="DV66" s="93">
        <f t="shared" si="61"/>
        <v>20000</v>
      </c>
    </row>
    <row r="67">
      <c r="A67" s="7" t="s">
        <v>313</v>
      </c>
      <c r="B67" s="7" t="s">
        <v>314</v>
      </c>
      <c r="C67" s="76" t="str">
        <f t="array" ref="C67">_xlfn.XLOOKUP(A67,'Emp Master'!A:A,'Emp Master'!F:F)</f>
        <v>SNP</v>
      </c>
      <c r="D67" s="76" t="str">
        <f t="array" ref="D67">_xlfn.XLOOKUP(A67,'Emp Master'!A:A,'Emp Master'!D:D)</f>
        <v>Cutting</v>
      </c>
      <c r="E67" s="76" t="str">
        <f t="shared" si="123"/>
        <v>#REF!</v>
      </c>
      <c r="F67" s="76"/>
      <c r="G67" s="79"/>
      <c r="H67" s="80"/>
      <c r="I67" s="79">
        <f t="shared" si="124"/>
        <v>0</v>
      </c>
      <c r="J67" s="80"/>
      <c r="K67" s="79">
        <f t="shared" si="125"/>
        <v>0</v>
      </c>
      <c r="L67" s="80"/>
      <c r="M67" s="79">
        <f t="shared" si="126"/>
        <v>0</v>
      </c>
      <c r="N67" s="80"/>
      <c r="O67" s="79">
        <f t="shared" si="127"/>
        <v>0</v>
      </c>
      <c r="P67" s="80"/>
      <c r="Q67" s="79">
        <f t="shared" si="128"/>
        <v>0</v>
      </c>
      <c r="R67" s="1"/>
      <c r="S67" s="79">
        <f t="shared" si="129"/>
        <v>0</v>
      </c>
      <c r="T67" s="1"/>
      <c r="U67" s="79">
        <f t="shared" si="130"/>
        <v>0</v>
      </c>
      <c r="V67" s="1"/>
      <c r="W67" s="79">
        <f t="shared" si="131"/>
        <v>0</v>
      </c>
      <c r="X67" s="1"/>
      <c r="Y67" s="79">
        <f t="shared" si="132"/>
        <v>0</v>
      </c>
      <c r="Z67" s="1"/>
      <c r="AA67" s="79">
        <f t="shared" si="133"/>
        <v>0</v>
      </c>
      <c r="AB67" s="1"/>
      <c r="AC67" s="79">
        <f t="shared" si="134"/>
        <v>0</v>
      </c>
      <c r="AD67" s="1"/>
      <c r="AE67" s="79">
        <f t="shared" si="135"/>
        <v>0</v>
      </c>
      <c r="AF67" s="1"/>
      <c r="AG67" s="79">
        <f t="shared" ref="AG67:AG92" si="162">AE67-AF67</f>
        <v>0</v>
      </c>
      <c r="AH67" s="1"/>
      <c r="AI67" s="79">
        <f t="shared" si="136"/>
        <v>0</v>
      </c>
      <c r="AJ67" s="1"/>
      <c r="AK67" s="79">
        <f t="shared" si="137"/>
        <v>0</v>
      </c>
      <c r="AL67" s="1"/>
      <c r="AM67" s="79">
        <f t="shared" si="138"/>
        <v>0</v>
      </c>
      <c r="AN67" s="1"/>
      <c r="AO67" s="79">
        <f t="shared" si="139"/>
        <v>0</v>
      </c>
      <c r="AP67" s="1"/>
      <c r="AQ67" s="79">
        <f t="shared" si="140"/>
        <v>0</v>
      </c>
      <c r="AR67" s="1"/>
      <c r="AS67" s="79">
        <f t="shared" si="141"/>
        <v>0</v>
      </c>
      <c r="AT67" s="1"/>
      <c r="AU67" s="79">
        <f t="shared" si="142"/>
        <v>0</v>
      </c>
      <c r="AV67" s="1"/>
      <c r="AW67" s="79">
        <f t="shared" si="143"/>
        <v>0</v>
      </c>
      <c r="AX67" s="1"/>
      <c r="AY67" s="79">
        <f t="shared" si="144"/>
        <v>0</v>
      </c>
      <c r="AZ67" s="1"/>
      <c r="BA67" s="79">
        <f t="shared" si="145"/>
        <v>0</v>
      </c>
      <c r="BB67" s="1"/>
      <c r="BC67" s="79">
        <f t="shared" si="146"/>
        <v>0</v>
      </c>
      <c r="BD67" s="1"/>
      <c r="BE67" s="79">
        <f t="shared" ref="BE67:BE72" si="163">BC67-BD67</f>
        <v>0</v>
      </c>
      <c r="BF67" s="1"/>
      <c r="BG67" s="79">
        <f t="shared" si="147"/>
        <v>0</v>
      </c>
      <c r="BH67" s="1"/>
      <c r="BI67" s="79">
        <f t="shared" si="148"/>
        <v>0</v>
      </c>
      <c r="BJ67" s="1"/>
      <c r="BK67" s="79">
        <f t="shared" si="149"/>
        <v>0</v>
      </c>
      <c r="BL67" s="1"/>
      <c r="BM67" s="79">
        <f t="shared" si="150"/>
        <v>0</v>
      </c>
      <c r="BN67" s="1"/>
      <c r="BO67" s="79">
        <f t="shared" ref="BO67:BO92" si="164">BM67-BN67</f>
        <v>0</v>
      </c>
      <c r="BP67" s="1"/>
      <c r="BQ67" s="79">
        <f t="shared" si="151"/>
        <v>0</v>
      </c>
      <c r="BR67" s="1"/>
      <c r="BS67" s="79">
        <f t="shared" si="152"/>
        <v>0</v>
      </c>
      <c r="BT67" s="1"/>
      <c r="BU67" s="79">
        <f t="shared" si="153"/>
        <v>0</v>
      </c>
      <c r="BV67" s="1"/>
      <c r="BW67" s="79">
        <f t="shared" si="154"/>
        <v>0</v>
      </c>
      <c r="BX67" s="1"/>
      <c r="BY67" s="79">
        <f t="shared" si="155"/>
        <v>0</v>
      </c>
      <c r="BZ67" s="1"/>
      <c r="CA67" s="79">
        <f t="shared" si="156"/>
        <v>0</v>
      </c>
      <c r="CB67" s="1"/>
      <c r="CC67" s="79">
        <f t="shared" ref="CC67:CC92" si="165">CA67-CB67</f>
        <v>0</v>
      </c>
      <c r="CD67" s="1"/>
      <c r="CE67" s="79">
        <f t="shared" si="157"/>
        <v>0</v>
      </c>
      <c r="CF67" s="1"/>
      <c r="CG67" s="79">
        <f t="shared" si="158"/>
        <v>0</v>
      </c>
      <c r="CH67" s="1"/>
      <c r="CI67" s="79">
        <f t="shared" si="159"/>
        <v>0</v>
      </c>
      <c r="CJ67" s="1"/>
      <c r="CK67" s="79">
        <f t="shared" si="160"/>
        <v>0</v>
      </c>
      <c r="CL67" s="1"/>
      <c r="CM67" s="79">
        <f t="shared" si="161"/>
        <v>0</v>
      </c>
      <c r="CN67" s="1"/>
      <c r="CO67" s="79">
        <f t="shared" si="105"/>
        <v>0</v>
      </c>
      <c r="CP67" s="1"/>
      <c r="CQ67" s="79">
        <f t="shared" si="46"/>
        <v>0</v>
      </c>
      <c r="CR67" s="1"/>
      <c r="CS67" s="79">
        <f t="shared" ref="CS67:CS117" si="166">CQ67-CR67</f>
        <v>0</v>
      </c>
      <c r="CT67" s="79"/>
      <c r="CU67" s="79">
        <f t="shared" si="115"/>
        <v>0</v>
      </c>
      <c r="CV67" s="79"/>
      <c r="CW67" s="79">
        <f t="shared" si="49"/>
        <v>0</v>
      </c>
      <c r="CX67" s="79"/>
      <c r="CY67" s="91"/>
      <c r="CZ67" s="79">
        <f t="shared" si="116"/>
        <v>0</v>
      </c>
      <c r="DA67" s="93"/>
      <c r="DB67" s="93">
        <f t="shared" si="51"/>
        <v>0</v>
      </c>
      <c r="DC67" s="96"/>
      <c r="DD67" s="93">
        <f t="shared" ref="DD67:DD93" si="167">DB67-DC67</f>
        <v>0</v>
      </c>
      <c r="DE67" s="96"/>
      <c r="DF67" s="93">
        <f t="shared" si="121"/>
        <v>0</v>
      </c>
      <c r="DG67" s="96"/>
      <c r="DH67" s="93">
        <f t="shared" si="54"/>
        <v>0</v>
      </c>
      <c r="DI67" s="96"/>
      <c r="DJ67" s="93">
        <f t="shared" si="117"/>
        <v>0</v>
      </c>
      <c r="DK67" s="93"/>
      <c r="DL67" s="93">
        <f t="shared" si="114"/>
        <v>0</v>
      </c>
      <c r="DM67" s="100">
        <v>0.0</v>
      </c>
      <c r="DN67" s="93">
        <f t="shared" si="122"/>
        <v>0</v>
      </c>
      <c r="DO67" s="100">
        <v>0.0</v>
      </c>
      <c r="DP67" s="93">
        <f t="shared" si="118"/>
        <v>0</v>
      </c>
      <c r="DQ67" s="100">
        <v>0.0</v>
      </c>
      <c r="DR67" s="93">
        <f t="shared" ref="DR67:DR72" si="168">DP67-DQ67</f>
        <v>0</v>
      </c>
      <c r="DS67" s="100">
        <v>0.0</v>
      </c>
      <c r="DT67" s="93">
        <f t="shared" si="120"/>
        <v>0</v>
      </c>
      <c r="DU67" s="100">
        <v>0.0</v>
      </c>
      <c r="DV67" s="93">
        <f t="shared" si="61"/>
        <v>0</v>
      </c>
    </row>
    <row r="68">
      <c r="A68" s="7" t="s">
        <v>315</v>
      </c>
      <c r="B68" s="7" t="s">
        <v>316</v>
      </c>
      <c r="C68" s="76" t="str">
        <f t="array" ref="C68">_xlfn.XLOOKUP(A68,'Emp Master'!A:A,'Emp Master'!F:F)</f>
        <v>DEL</v>
      </c>
      <c r="D68" s="76" t="str">
        <f t="array" ref="D68">_xlfn.XLOOKUP(A68,'Emp Master'!A:A,'Emp Master'!D:D)</f>
        <v>Sales &amp; Marketing</v>
      </c>
      <c r="E68" s="76" t="str">
        <f t="shared" si="123"/>
        <v>#REF!</v>
      </c>
      <c r="F68" s="76"/>
      <c r="G68" s="79"/>
      <c r="H68" s="80"/>
      <c r="I68" s="79">
        <f t="shared" si="124"/>
        <v>0</v>
      </c>
      <c r="J68" s="80"/>
      <c r="K68" s="79">
        <f t="shared" si="125"/>
        <v>0</v>
      </c>
      <c r="L68" s="80"/>
      <c r="M68" s="79">
        <f t="shared" si="126"/>
        <v>0</v>
      </c>
      <c r="N68" s="80"/>
      <c r="O68" s="79">
        <f t="shared" si="127"/>
        <v>0</v>
      </c>
      <c r="P68" s="80"/>
      <c r="Q68" s="79">
        <f t="shared" si="128"/>
        <v>0</v>
      </c>
      <c r="R68" s="1"/>
      <c r="S68" s="79">
        <f t="shared" si="129"/>
        <v>0</v>
      </c>
      <c r="T68" s="1"/>
      <c r="U68" s="79">
        <f t="shared" si="130"/>
        <v>0</v>
      </c>
      <c r="V68" s="1"/>
      <c r="W68" s="79">
        <f t="shared" si="131"/>
        <v>0</v>
      </c>
      <c r="X68" s="1"/>
      <c r="Y68" s="79">
        <f t="shared" si="132"/>
        <v>0</v>
      </c>
      <c r="Z68" s="1"/>
      <c r="AA68" s="79">
        <f t="shared" si="133"/>
        <v>0</v>
      </c>
      <c r="AB68" s="1"/>
      <c r="AC68" s="79">
        <f t="shared" si="134"/>
        <v>0</v>
      </c>
      <c r="AD68" s="1"/>
      <c r="AE68" s="79">
        <f t="shared" si="135"/>
        <v>0</v>
      </c>
      <c r="AF68" s="1"/>
      <c r="AG68" s="79">
        <f t="shared" si="162"/>
        <v>0</v>
      </c>
      <c r="AH68" s="1"/>
      <c r="AI68" s="79">
        <f t="shared" si="136"/>
        <v>0</v>
      </c>
      <c r="AJ68" s="1"/>
      <c r="AK68" s="79">
        <f t="shared" si="137"/>
        <v>0</v>
      </c>
      <c r="AL68" s="1"/>
      <c r="AM68" s="79">
        <f t="shared" si="138"/>
        <v>0</v>
      </c>
      <c r="AN68" s="1"/>
      <c r="AO68" s="79">
        <f t="shared" si="139"/>
        <v>0</v>
      </c>
      <c r="AP68" s="1"/>
      <c r="AQ68" s="79">
        <f t="shared" si="140"/>
        <v>0</v>
      </c>
      <c r="AR68" s="1"/>
      <c r="AS68" s="79">
        <f t="shared" si="141"/>
        <v>0</v>
      </c>
      <c r="AT68" s="1"/>
      <c r="AU68" s="79">
        <f t="shared" si="142"/>
        <v>0</v>
      </c>
      <c r="AV68" s="1"/>
      <c r="AW68" s="79">
        <f t="shared" si="143"/>
        <v>0</v>
      </c>
      <c r="AX68" s="1"/>
      <c r="AY68" s="79">
        <f t="shared" si="144"/>
        <v>0</v>
      </c>
      <c r="AZ68" s="1"/>
      <c r="BA68" s="79">
        <f t="shared" si="145"/>
        <v>0</v>
      </c>
      <c r="BB68" s="1"/>
      <c r="BC68" s="79">
        <f t="shared" si="146"/>
        <v>0</v>
      </c>
      <c r="BD68" s="1"/>
      <c r="BE68" s="79">
        <f t="shared" si="163"/>
        <v>0</v>
      </c>
      <c r="BF68" s="1"/>
      <c r="BG68" s="79">
        <f t="shared" si="147"/>
        <v>0</v>
      </c>
      <c r="BH68" s="1"/>
      <c r="BI68" s="79">
        <f t="shared" si="148"/>
        <v>0</v>
      </c>
      <c r="BJ68" s="1"/>
      <c r="BK68" s="79">
        <f t="shared" si="149"/>
        <v>0</v>
      </c>
      <c r="BL68" s="1"/>
      <c r="BM68" s="79">
        <f t="shared" si="150"/>
        <v>0</v>
      </c>
      <c r="BN68" s="1"/>
      <c r="BO68" s="79">
        <f t="shared" si="164"/>
        <v>0</v>
      </c>
      <c r="BP68" s="1"/>
      <c r="BQ68" s="79">
        <f t="shared" si="151"/>
        <v>0</v>
      </c>
      <c r="BR68" s="1"/>
      <c r="BS68" s="79">
        <f t="shared" si="152"/>
        <v>0</v>
      </c>
      <c r="BT68" s="1"/>
      <c r="BU68" s="79">
        <f t="shared" si="153"/>
        <v>0</v>
      </c>
      <c r="BV68" s="1"/>
      <c r="BW68" s="79">
        <f t="shared" si="154"/>
        <v>0</v>
      </c>
      <c r="BX68" s="1"/>
      <c r="BY68" s="79">
        <f t="shared" si="155"/>
        <v>0</v>
      </c>
      <c r="BZ68" s="1"/>
      <c r="CA68" s="79">
        <f t="shared" si="156"/>
        <v>0</v>
      </c>
      <c r="CB68" s="1"/>
      <c r="CC68" s="79">
        <f t="shared" si="165"/>
        <v>0</v>
      </c>
      <c r="CD68" s="1"/>
      <c r="CE68" s="79">
        <f t="shared" si="157"/>
        <v>0</v>
      </c>
      <c r="CF68" s="1"/>
      <c r="CG68" s="79">
        <f t="shared" si="158"/>
        <v>0</v>
      </c>
      <c r="CH68" s="1"/>
      <c r="CI68" s="79">
        <f t="shared" si="159"/>
        <v>0</v>
      </c>
      <c r="CJ68" s="1"/>
      <c r="CK68" s="79">
        <f t="shared" si="160"/>
        <v>0</v>
      </c>
      <c r="CL68" s="1"/>
      <c r="CM68" s="79">
        <f t="shared" si="161"/>
        <v>0</v>
      </c>
      <c r="CN68" s="1"/>
      <c r="CO68" s="79">
        <f t="shared" si="105"/>
        <v>0</v>
      </c>
      <c r="CP68" s="1"/>
      <c r="CQ68" s="79">
        <f t="shared" si="46"/>
        <v>0</v>
      </c>
      <c r="CR68" s="1"/>
      <c r="CS68" s="79">
        <f t="shared" si="166"/>
        <v>0</v>
      </c>
      <c r="CT68" s="79"/>
      <c r="CU68" s="79">
        <f t="shared" si="115"/>
        <v>0</v>
      </c>
      <c r="CV68" s="79"/>
      <c r="CW68" s="79">
        <f t="shared" si="49"/>
        <v>0</v>
      </c>
      <c r="CX68" s="79"/>
      <c r="CY68" s="91"/>
      <c r="CZ68" s="79">
        <f t="shared" si="116"/>
        <v>0</v>
      </c>
      <c r="DA68" s="93"/>
      <c r="DB68" s="93">
        <f t="shared" si="51"/>
        <v>0</v>
      </c>
      <c r="DC68" s="96"/>
      <c r="DD68" s="93">
        <f t="shared" si="167"/>
        <v>0</v>
      </c>
      <c r="DE68" s="96"/>
      <c r="DF68" s="93">
        <f t="shared" si="121"/>
        <v>0</v>
      </c>
      <c r="DG68" s="96"/>
      <c r="DH68" s="93">
        <f t="shared" si="54"/>
        <v>0</v>
      </c>
      <c r="DI68" s="96"/>
      <c r="DJ68" s="93">
        <f t="shared" si="117"/>
        <v>0</v>
      </c>
      <c r="DK68" s="93"/>
      <c r="DL68" s="93">
        <f t="shared" si="114"/>
        <v>0</v>
      </c>
      <c r="DM68" s="100">
        <v>0.0</v>
      </c>
      <c r="DN68" s="93">
        <f t="shared" si="122"/>
        <v>0</v>
      </c>
      <c r="DO68" s="100">
        <v>0.0</v>
      </c>
      <c r="DP68" s="93">
        <f t="shared" si="118"/>
        <v>0</v>
      </c>
      <c r="DQ68" s="100">
        <v>0.0</v>
      </c>
      <c r="DR68" s="93">
        <f t="shared" si="168"/>
        <v>0</v>
      </c>
      <c r="DS68" s="100">
        <v>0.0</v>
      </c>
      <c r="DT68" s="93">
        <f t="shared" si="120"/>
        <v>0</v>
      </c>
      <c r="DU68" s="100">
        <v>0.0</v>
      </c>
      <c r="DV68" s="93">
        <f t="shared" si="61"/>
        <v>0</v>
      </c>
    </row>
    <row r="69">
      <c r="A69" s="7" t="s">
        <v>319</v>
      </c>
      <c r="B69" s="7" t="s">
        <v>320</v>
      </c>
      <c r="C69" s="76" t="str">
        <f t="array" ref="C69">_xlfn.XLOOKUP(A69,'Emp Master'!A:A,'Emp Master'!F:F)</f>
        <v>DEL</v>
      </c>
      <c r="D69" s="76" t="str">
        <f t="array" ref="D69">_xlfn.XLOOKUP(A69,'Emp Master'!A:A,'Emp Master'!D:D)</f>
        <v>Management</v>
      </c>
      <c r="E69" s="76" t="str">
        <f t="shared" si="123"/>
        <v>#REF!</v>
      </c>
      <c r="F69" s="76"/>
      <c r="G69" s="79"/>
      <c r="H69" s="80"/>
      <c r="I69" s="79">
        <f t="shared" si="124"/>
        <v>0</v>
      </c>
      <c r="J69" s="80"/>
      <c r="K69" s="79">
        <f t="shared" si="125"/>
        <v>0</v>
      </c>
      <c r="L69" s="80"/>
      <c r="M69" s="79">
        <f t="shared" si="126"/>
        <v>0</v>
      </c>
      <c r="N69" s="80"/>
      <c r="O69" s="79">
        <f t="shared" si="127"/>
        <v>0</v>
      </c>
      <c r="P69" s="80"/>
      <c r="Q69" s="79">
        <f t="shared" si="128"/>
        <v>0</v>
      </c>
      <c r="R69" s="1"/>
      <c r="S69" s="79">
        <f t="shared" si="129"/>
        <v>0</v>
      </c>
      <c r="T69" s="1"/>
      <c r="U69" s="79">
        <f t="shared" si="130"/>
        <v>0</v>
      </c>
      <c r="V69" s="1"/>
      <c r="W69" s="79">
        <f t="shared" si="131"/>
        <v>0</v>
      </c>
      <c r="X69" s="1"/>
      <c r="Y69" s="79">
        <f t="shared" si="132"/>
        <v>0</v>
      </c>
      <c r="Z69" s="1"/>
      <c r="AA69" s="79">
        <f t="shared" si="133"/>
        <v>0</v>
      </c>
      <c r="AB69" s="1"/>
      <c r="AC69" s="79">
        <f t="shared" si="134"/>
        <v>0</v>
      </c>
      <c r="AD69" s="1"/>
      <c r="AE69" s="79">
        <f t="shared" si="135"/>
        <v>0</v>
      </c>
      <c r="AF69" s="1"/>
      <c r="AG69" s="79">
        <f t="shared" si="162"/>
        <v>0</v>
      </c>
      <c r="AH69" s="1"/>
      <c r="AI69" s="79">
        <f t="shared" si="136"/>
        <v>0</v>
      </c>
      <c r="AJ69" s="1"/>
      <c r="AK69" s="79">
        <f t="shared" si="137"/>
        <v>0</v>
      </c>
      <c r="AL69" s="1"/>
      <c r="AM69" s="79">
        <f t="shared" si="138"/>
        <v>0</v>
      </c>
      <c r="AN69" s="1"/>
      <c r="AO69" s="79">
        <f t="shared" si="139"/>
        <v>0</v>
      </c>
      <c r="AP69" s="1"/>
      <c r="AQ69" s="79">
        <f t="shared" si="140"/>
        <v>0</v>
      </c>
      <c r="AR69" s="1"/>
      <c r="AS69" s="79">
        <f t="shared" si="141"/>
        <v>0</v>
      </c>
      <c r="AT69" s="1"/>
      <c r="AU69" s="79">
        <f t="shared" si="142"/>
        <v>0</v>
      </c>
      <c r="AV69" s="1"/>
      <c r="AW69" s="79">
        <f t="shared" si="143"/>
        <v>0</v>
      </c>
      <c r="AX69" s="1"/>
      <c r="AY69" s="79">
        <f t="shared" si="144"/>
        <v>0</v>
      </c>
      <c r="AZ69" s="1"/>
      <c r="BA69" s="79">
        <f t="shared" si="145"/>
        <v>0</v>
      </c>
      <c r="BB69" s="1"/>
      <c r="BC69" s="79">
        <f t="shared" si="146"/>
        <v>0</v>
      </c>
      <c r="BD69" s="1"/>
      <c r="BE69" s="79">
        <f t="shared" si="163"/>
        <v>0</v>
      </c>
      <c r="BF69" s="1"/>
      <c r="BG69" s="79">
        <f t="shared" si="147"/>
        <v>0</v>
      </c>
      <c r="BH69" s="1"/>
      <c r="BI69" s="79">
        <f t="shared" si="148"/>
        <v>0</v>
      </c>
      <c r="BJ69" s="1"/>
      <c r="BK69" s="79">
        <f t="shared" si="149"/>
        <v>0</v>
      </c>
      <c r="BL69" s="1"/>
      <c r="BM69" s="79">
        <f t="shared" si="150"/>
        <v>0</v>
      </c>
      <c r="BN69" s="1"/>
      <c r="BO69" s="79">
        <f t="shared" si="164"/>
        <v>0</v>
      </c>
      <c r="BP69" s="1"/>
      <c r="BQ69" s="79">
        <f t="shared" si="151"/>
        <v>0</v>
      </c>
      <c r="BR69" s="1"/>
      <c r="BS69" s="79">
        <f t="shared" si="152"/>
        <v>0</v>
      </c>
      <c r="BT69" s="1"/>
      <c r="BU69" s="79">
        <f t="shared" si="153"/>
        <v>0</v>
      </c>
      <c r="BV69" s="1"/>
      <c r="BW69" s="79">
        <f t="shared" si="154"/>
        <v>0</v>
      </c>
      <c r="BX69" s="1"/>
      <c r="BY69" s="79">
        <f t="shared" si="155"/>
        <v>0</v>
      </c>
      <c r="BZ69" s="1"/>
      <c r="CA69" s="79">
        <f t="shared" si="156"/>
        <v>0</v>
      </c>
      <c r="CB69" s="1"/>
      <c r="CC69" s="79">
        <f t="shared" si="165"/>
        <v>0</v>
      </c>
      <c r="CD69" s="1"/>
      <c r="CE69" s="79">
        <f t="shared" si="157"/>
        <v>0</v>
      </c>
      <c r="CF69" s="1"/>
      <c r="CG69" s="79">
        <f t="shared" si="158"/>
        <v>0</v>
      </c>
      <c r="CH69" s="1"/>
      <c r="CI69" s="79">
        <f t="shared" si="159"/>
        <v>0</v>
      </c>
      <c r="CJ69" s="1"/>
      <c r="CK69" s="79">
        <f>2600+(CI69-CJ69)</f>
        <v>2600</v>
      </c>
      <c r="CL69" s="106">
        <v>2600.0</v>
      </c>
      <c r="CM69" s="79">
        <f t="shared" si="161"/>
        <v>0</v>
      </c>
      <c r="CN69" s="106"/>
      <c r="CO69" s="79">
        <f t="shared" si="105"/>
        <v>0</v>
      </c>
      <c r="CP69" s="106"/>
      <c r="CQ69" s="79">
        <f t="shared" si="46"/>
        <v>0</v>
      </c>
      <c r="CR69" s="106"/>
      <c r="CS69" s="79">
        <f t="shared" si="166"/>
        <v>0</v>
      </c>
      <c r="CT69" s="79"/>
      <c r="CU69" s="79">
        <f t="shared" si="115"/>
        <v>0</v>
      </c>
      <c r="CV69" s="79"/>
      <c r="CW69" s="79">
        <f t="shared" si="49"/>
        <v>0</v>
      </c>
      <c r="CX69" s="79"/>
      <c r="CY69" s="91"/>
      <c r="CZ69" s="79">
        <f t="shared" si="116"/>
        <v>0</v>
      </c>
      <c r="DA69" s="93"/>
      <c r="DB69" s="93">
        <f t="shared" si="51"/>
        <v>0</v>
      </c>
      <c r="DC69" s="96"/>
      <c r="DD69" s="93">
        <f t="shared" si="167"/>
        <v>0</v>
      </c>
      <c r="DE69" s="96"/>
      <c r="DF69" s="93">
        <f t="shared" si="121"/>
        <v>0</v>
      </c>
      <c r="DG69" s="96"/>
      <c r="DH69" s="93">
        <f t="shared" si="54"/>
        <v>0</v>
      </c>
      <c r="DI69" s="96"/>
      <c r="DJ69" s="93">
        <f t="shared" si="117"/>
        <v>0</v>
      </c>
      <c r="DK69" s="93"/>
      <c r="DL69" s="93">
        <f t="shared" si="114"/>
        <v>0</v>
      </c>
      <c r="DM69" s="100">
        <v>0.0</v>
      </c>
      <c r="DN69" s="93">
        <f t="shared" si="122"/>
        <v>0</v>
      </c>
      <c r="DO69" s="100">
        <v>0.0</v>
      </c>
      <c r="DP69" s="93">
        <f t="shared" si="118"/>
        <v>0</v>
      </c>
      <c r="DQ69" s="100">
        <v>0.0</v>
      </c>
      <c r="DR69" s="93">
        <f t="shared" si="168"/>
        <v>0</v>
      </c>
      <c r="DS69" s="100">
        <v>0.0</v>
      </c>
      <c r="DT69" s="93">
        <f t="shared" si="120"/>
        <v>0</v>
      </c>
      <c r="DU69" s="100">
        <v>0.0</v>
      </c>
      <c r="DV69" s="93">
        <f t="shared" si="61"/>
        <v>0</v>
      </c>
    </row>
    <row r="70">
      <c r="A70" s="7" t="s">
        <v>322</v>
      </c>
      <c r="B70" s="7" t="s">
        <v>323</v>
      </c>
      <c r="C70" s="76" t="str">
        <f t="array" ref="C70">_xlfn.XLOOKUP(A70,'Emp Master'!A:A,'Emp Master'!F:F)</f>
        <v>DEL</v>
      </c>
      <c r="D70" s="76" t="str">
        <f t="array" ref="D70">_xlfn.XLOOKUP(A70,'Emp Master'!A:A,'Emp Master'!D:D)</f>
        <v>Office</v>
      </c>
      <c r="E70" s="76" t="str">
        <f t="shared" si="123"/>
        <v>#REF!</v>
      </c>
      <c r="F70" s="76"/>
      <c r="G70" s="79"/>
      <c r="H70" s="80"/>
      <c r="I70" s="79">
        <f t="shared" si="124"/>
        <v>0</v>
      </c>
      <c r="J70" s="80"/>
      <c r="K70" s="79">
        <f t="shared" si="125"/>
        <v>0</v>
      </c>
      <c r="L70" s="80"/>
      <c r="M70" s="79">
        <f t="shared" si="126"/>
        <v>0</v>
      </c>
      <c r="N70" s="80"/>
      <c r="O70" s="79">
        <f t="shared" si="127"/>
        <v>0</v>
      </c>
      <c r="P70" s="80"/>
      <c r="Q70" s="79">
        <f t="shared" si="128"/>
        <v>0</v>
      </c>
      <c r="R70" s="1"/>
      <c r="S70" s="79">
        <f t="shared" si="129"/>
        <v>0</v>
      </c>
      <c r="T70" s="1"/>
      <c r="U70" s="79">
        <f t="shared" si="130"/>
        <v>0</v>
      </c>
      <c r="V70" s="1"/>
      <c r="W70" s="79">
        <f t="shared" si="131"/>
        <v>0</v>
      </c>
      <c r="X70" s="1"/>
      <c r="Y70" s="79">
        <f t="shared" si="132"/>
        <v>0</v>
      </c>
      <c r="Z70" s="1"/>
      <c r="AA70" s="79">
        <f t="shared" si="133"/>
        <v>0</v>
      </c>
      <c r="AB70" s="1"/>
      <c r="AC70" s="79">
        <f t="shared" si="134"/>
        <v>0</v>
      </c>
      <c r="AD70" s="1"/>
      <c r="AE70" s="79">
        <f t="shared" si="135"/>
        <v>0</v>
      </c>
      <c r="AF70" s="1"/>
      <c r="AG70" s="79">
        <f t="shared" si="162"/>
        <v>0</v>
      </c>
      <c r="AH70" s="1"/>
      <c r="AI70" s="79">
        <f t="shared" si="136"/>
        <v>0</v>
      </c>
      <c r="AJ70" s="1"/>
      <c r="AK70" s="79">
        <f t="shared" si="137"/>
        <v>0</v>
      </c>
      <c r="AL70" s="1"/>
      <c r="AM70" s="79">
        <f t="shared" si="138"/>
        <v>0</v>
      </c>
      <c r="AN70" s="1"/>
      <c r="AO70" s="79">
        <f t="shared" si="139"/>
        <v>0</v>
      </c>
      <c r="AP70" s="1"/>
      <c r="AQ70" s="79">
        <f t="shared" si="140"/>
        <v>0</v>
      </c>
      <c r="AR70" s="1"/>
      <c r="AS70" s="79">
        <f t="shared" si="141"/>
        <v>0</v>
      </c>
      <c r="AT70" s="1"/>
      <c r="AU70" s="79">
        <f t="shared" si="142"/>
        <v>0</v>
      </c>
      <c r="AV70" s="1"/>
      <c r="AW70" s="79">
        <f t="shared" si="143"/>
        <v>0</v>
      </c>
      <c r="AX70" s="1"/>
      <c r="AY70" s="79">
        <f t="shared" si="144"/>
        <v>0</v>
      </c>
      <c r="AZ70" s="1"/>
      <c r="BA70" s="79">
        <f t="shared" si="145"/>
        <v>0</v>
      </c>
      <c r="BB70" s="1"/>
      <c r="BC70" s="79">
        <f t="shared" si="146"/>
        <v>0</v>
      </c>
      <c r="BD70" s="1"/>
      <c r="BE70" s="79">
        <f t="shared" si="163"/>
        <v>0</v>
      </c>
      <c r="BF70" s="1"/>
      <c r="BG70" s="79">
        <f t="shared" si="147"/>
        <v>0</v>
      </c>
      <c r="BH70" s="1"/>
      <c r="BI70" s="79">
        <f t="shared" si="148"/>
        <v>0</v>
      </c>
      <c r="BJ70" s="1"/>
      <c r="BK70" s="79">
        <f t="shared" si="149"/>
        <v>0</v>
      </c>
      <c r="BL70" s="1"/>
      <c r="BM70" s="79">
        <f t="shared" si="150"/>
        <v>0</v>
      </c>
      <c r="BN70" s="1"/>
      <c r="BO70" s="79">
        <f t="shared" si="164"/>
        <v>0</v>
      </c>
      <c r="BP70" s="1"/>
      <c r="BQ70" s="79">
        <f t="shared" si="151"/>
        <v>0</v>
      </c>
      <c r="BR70" s="1"/>
      <c r="BS70" s="79">
        <f t="shared" si="152"/>
        <v>0</v>
      </c>
      <c r="BT70" s="1"/>
      <c r="BU70" s="79">
        <f t="shared" si="153"/>
        <v>0</v>
      </c>
      <c r="BV70" s="1"/>
      <c r="BW70" s="79">
        <f t="shared" si="154"/>
        <v>0</v>
      </c>
      <c r="BX70" s="1"/>
      <c r="BY70" s="79">
        <f t="shared" si="155"/>
        <v>0</v>
      </c>
      <c r="BZ70" s="1"/>
      <c r="CA70" s="79">
        <f t="shared" si="156"/>
        <v>0</v>
      </c>
      <c r="CB70" s="1"/>
      <c r="CC70" s="79">
        <f t="shared" si="165"/>
        <v>0</v>
      </c>
      <c r="CD70" s="1"/>
      <c r="CE70" s="79">
        <f t="shared" si="157"/>
        <v>0</v>
      </c>
      <c r="CF70" s="1"/>
      <c r="CG70" s="79">
        <f t="shared" si="158"/>
        <v>0</v>
      </c>
      <c r="CH70" s="1"/>
      <c r="CI70" s="79">
        <f t="shared" si="159"/>
        <v>0</v>
      </c>
      <c r="CJ70" s="1"/>
      <c r="CK70" s="79">
        <f t="shared" ref="CK70:CK114" si="169">CI70-CJ70</f>
        <v>0</v>
      </c>
      <c r="CL70" s="1"/>
      <c r="CM70" s="79">
        <f t="shared" si="161"/>
        <v>0</v>
      </c>
      <c r="CN70" s="1"/>
      <c r="CO70" s="79">
        <f t="shared" si="105"/>
        <v>0</v>
      </c>
      <c r="CP70" s="1"/>
      <c r="CQ70" s="79">
        <f t="shared" si="46"/>
        <v>0</v>
      </c>
      <c r="CR70" s="1"/>
      <c r="CS70" s="79">
        <f t="shared" si="166"/>
        <v>0</v>
      </c>
      <c r="CT70" s="79"/>
      <c r="CU70" s="79">
        <f t="shared" si="115"/>
        <v>0</v>
      </c>
      <c r="CV70" s="79"/>
      <c r="CW70" s="79">
        <f t="shared" si="49"/>
        <v>0</v>
      </c>
      <c r="CX70" s="79"/>
      <c r="CY70" s="91"/>
      <c r="CZ70" s="79">
        <f t="shared" si="116"/>
        <v>0</v>
      </c>
      <c r="DA70" s="93"/>
      <c r="DB70" s="93">
        <f t="shared" si="51"/>
        <v>0</v>
      </c>
      <c r="DC70" s="96"/>
      <c r="DD70" s="93">
        <f t="shared" si="167"/>
        <v>0</v>
      </c>
      <c r="DE70" s="96"/>
      <c r="DF70" s="93">
        <f t="shared" si="121"/>
        <v>0</v>
      </c>
      <c r="DG70" s="96"/>
      <c r="DH70" s="93">
        <f t="shared" si="54"/>
        <v>0</v>
      </c>
      <c r="DI70" s="96"/>
      <c r="DJ70" s="93">
        <f t="shared" si="117"/>
        <v>0</v>
      </c>
      <c r="DK70" s="93"/>
      <c r="DL70" s="93">
        <f t="shared" si="114"/>
        <v>0</v>
      </c>
      <c r="DM70" s="100">
        <v>0.0</v>
      </c>
      <c r="DN70" s="93">
        <f t="shared" si="122"/>
        <v>0</v>
      </c>
      <c r="DO70" s="100">
        <v>0.0</v>
      </c>
      <c r="DP70" s="93">
        <f t="shared" si="118"/>
        <v>0</v>
      </c>
      <c r="DQ70" s="100">
        <v>0.0</v>
      </c>
      <c r="DR70" s="93">
        <f t="shared" si="168"/>
        <v>0</v>
      </c>
      <c r="DS70" s="100">
        <v>0.0</v>
      </c>
      <c r="DT70" s="93">
        <f t="shared" si="120"/>
        <v>0</v>
      </c>
      <c r="DU70" s="100">
        <v>0.0</v>
      </c>
      <c r="DV70" s="93">
        <f t="shared" si="61"/>
        <v>0</v>
      </c>
    </row>
    <row r="71">
      <c r="A71" s="7" t="s">
        <v>325</v>
      </c>
      <c r="B71" s="7" t="s">
        <v>326</v>
      </c>
      <c r="C71" s="76" t="str">
        <f t="array" ref="C71">_xlfn.XLOOKUP(A71,'Emp Master'!A:A,'Emp Master'!F:F)</f>
        <v>DEL</v>
      </c>
      <c r="D71" s="76" t="str">
        <f t="array" ref="D71">_xlfn.XLOOKUP(A71,'Emp Master'!A:A,'Emp Master'!D:D)</f>
        <v>Office</v>
      </c>
      <c r="E71" s="76" t="str">
        <f t="shared" si="123"/>
        <v>#REF!</v>
      </c>
      <c r="F71" s="76"/>
      <c r="G71" s="79"/>
      <c r="H71" s="80"/>
      <c r="I71" s="79">
        <f t="shared" si="124"/>
        <v>0</v>
      </c>
      <c r="J71" s="80"/>
      <c r="K71" s="79">
        <f t="shared" si="125"/>
        <v>0</v>
      </c>
      <c r="L71" s="80"/>
      <c r="M71" s="79">
        <f t="shared" si="126"/>
        <v>0</v>
      </c>
      <c r="N71" s="80"/>
      <c r="O71" s="79">
        <f t="shared" si="127"/>
        <v>0</v>
      </c>
      <c r="P71" s="80"/>
      <c r="Q71" s="79">
        <f t="shared" si="128"/>
        <v>0</v>
      </c>
      <c r="R71" s="1"/>
      <c r="S71" s="79">
        <f t="shared" si="129"/>
        <v>0</v>
      </c>
      <c r="T71" s="1"/>
      <c r="U71" s="79">
        <f t="shared" si="130"/>
        <v>0</v>
      </c>
      <c r="V71" s="1"/>
      <c r="W71" s="79">
        <f t="shared" si="131"/>
        <v>0</v>
      </c>
      <c r="X71" s="1"/>
      <c r="Y71" s="79">
        <f t="shared" si="132"/>
        <v>0</v>
      </c>
      <c r="Z71" s="1"/>
      <c r="AA71" s="79">
        <f t="shared" si="133"/>
        <v>0</v>
      </c>
      <c r="AB71" s="1"/>
      <c r="AC71" s="79">
        <f t="shared" si="134"/>
        <v>0</v>
      </c>
      <c r="AD71" s="1"/>
      <c r="AE71" s="79">
        <f t="shared" si="135"/>
        <v>0</v>
      </c>
      <c r="AF71" s="1"/>
      <c r="AG71" s="79">
        <f t="shared" si="162"/>
        <v>0</v>
      </c>
      <c r="AH71" s="1"/>
      <c r="AI71" s="79">
        <f t="shared" si="136"/>
        <v>0</v>
      </c>
      <c r="AJ71" s="1"/>
      <c r="AK71" s="79">
        <f t="shared" si="137"/>
        <v>0</v>
      </c>
      <c r="AL71" s="1"/>
      <c r="AM71" s="79">
        <f t="shared" si="138"/>
        <v>0</v>
      </c>
      <c r="AN71" s="1"/>
      <c r="AO71" s="79">
        <f t="shared" si="139"/>
        <v>0</v>
      </c>
      <c r="AP71" s="1"/>
      <c r="AQ71" s="79">
        <f t="shared" si="140"/>
        <v>0</v>
      </c>
      <c r="AR71" s="1"/>
      <c r="AS71" s="79">
        <f t="shared" si="141"/>
        <v>0</v>
      </c>
      <c r="AT71" s="1"/>
      <c r="AU71" s="79">
        <f t="shared" si="142"/>
        <v>0</v>
      </c>
      <c r="AV71" s="1"/>
      <c r="AW71" s="79">
        <f t="shared" si="143"/>
        <v>0</v>
      </c>
      <c r="AX71" s="1"/>
      <c r="AY71" s="79">
        <f t="shared" si="144"/>
        <v>0</v>
      </c>
      <c r="AZ71" s="1"/>
      <c r="BA71" s="79">
        <f t="shared" si="145"/>
        <v>0</v>
      </c>
      <c r="BB71" s="1"/>
      <c r="BC71" s="79">
        <f t="shared" si="146"/>
        <v>0</v>
      </c>
      <c r="BD71" s="1"/>
      <c r="BE71" s="79">
        <f t="shared" si="163"/>
        <v>0</v>
      </c>
      <c r="BF71" s="1"/>
      <c r="BG71" s="79">
        <f t="shared" si="147"/>
        <v>0</v>
      </c>
      <c r="BH71" s="1"/>
      <c r="BI71" s="79">
        <f t="shared" si="148"/>
        <v>0</v>
      </c>
      <c r="BJ71" s="1"/>
      <c r="BK71" s="79">
        <f t="shared" si="149"/>
        <v>0</v>
      </c>
      <c r="BL71" s="1"/>
      <c r="BM71" s="79">
        <f t="shared" si="150"/>
        <v>0</v>
      </c>
      <c r="BN71" s="1"/>
      <c r="BO71" s="79">
        <f t="shared" si="164"/>
        <v>0</v>
      </c>
      <c r="BP71" s="1"/>
      <c r="BQ71" s="79">
        <f t="shared" si="151"/>
        <v>0</v>
      </c>
      <c r="BR71" s="1"/>
      <c r="BS71" s="79">
        <f t="shared" si="152"/>
        <v>0</v>
      </c>
      <c r="BT71" s="1"/>
      <c r="BU71" s="79">
        <f t="shared" si="153"/>
        <v>0</v>
      </c>
      <c r="BV71" s="1"/>
      <c r="BW71" s="79">
        <f t="shared" si="154"/>
        <v>0</v>
      </c>
      <c r="BX71" s="1"/>
      <c r="BY71" s="79">
        <f t="shared" si="155"/>
        <v>0</v>
      </c>
      <c r="BZ71" s="1"/>
      <c r="CA71" s="79">
        <f t="shared" si="156"/>
        <v>0</v>
      </c>
      <c r="CB71" s="1"/>
      <c r="CC71" s="79">
        <f t="shared" si="165"/>
        <v>0</v>
      </c>
      <c r="CD71" s="1"/>
      <c r="CE71" s="79">
        <f t="shared" si="157"/>
        <v>0</v>
      </c>
      <c r="CF71" s="1"/>
      <c r="CG71" s="79">
        <f t="shared" si="158"/>
        <v>0</v>
      </c>
      <c r="CH71" s="1"/>
      <c r="CI71" s="79">
        <f t="shared" si="159"/>
        <v>0</v>
      </c>
      <c r="CJ71" s="1"/>
      <c r="CK71" s="79">
        <f t="shared" si="169"/>
        <v>0</v>
      </c>
      <c r="CL71" s="1"/>
      <c r="CM71" s="79">
        <f t="shared" si="161"/>
        <v>0</v>
      </c>
      <c r="CN71" s="1"/>
      <c r="CO71" s="79">
        <f t="shared" si="105"/>
        <v>0</v>
      </c>
      <c r="CP71" s="1"/>
      <c r="CQ71" s="79">
        <f t="shared" si="46"/>
        <v>0</v>
      </c>
      <c r="CR71" s="1"/>
      <c r="CS71" s="79">
        <f t="shared" si="166"/>
        <v>0</v>
      </c>
      <c r="CT71" s="79"/>
      <c r="CU71" s="79">
        <f t="shared" si="115"/>
        <v>0</v>
      </c>
      <c r="CV71" s="79"/>
      <c r="CW71" s="79">
        <f t="shared" si="49"/>
        <v>0</v>
      </c>
      <c r="CX71" s="79"/>
      <c r="CY71" s="91"/>
      <c r="CZ71" s="79">
        <f t="shared" si="116"/>
        <v>0</v>
      </c>
      <c r="DA71" s="93"/>
      <c r="DB71" s="93">
        <f t="shared" si="51"/>
        <v>0</v>
      </c>
      <c r="DC71" s="96"/>
      <c r="DD71" s="93">
        <f t="shared" si="167"/>
        <v>0</v>
      </c>
      <c r="DE71" s="96"/>
      <c r="DF71" s="93">
        <f t="shared" si="121"/>
        <v>0</v>
      </c>
      <c r="DG71" s="96"/>
      <c r="DH71" s="93">
        <f t="shared" si="54"/>
        <v>0</v>
      </c>
      <c r="DI71" s="96"/>
      <c r="DJ71" s="93">
        <f t="shared" si="117"/>
        <v>0</v>
      </c>
      <c r="DK71" s="93"/>
      <c r="DL71" s="93">
        <f t="shared" si="114"/>
        <v>0</v>
      </c>
      <c r="DM71" s="100">
        <v>0.0</v>
      </c>
      <c r="DN71" s="93">
        <f t="shared" si="122"/>
        <v>0</v>
      </c>
      <c r="DO71" s="100">
        <v>0.0</v>
      </c>
      <c r="DP71" s="93">
        <f t="shared" si="118"/>
        <v>0</v>
      </c>
      <c r="DQ71" s="100">
        <v>0.0</v>
      </c>
      <c r="DR71" s="93">
        <f t="shared" si="168"/>
        <v>0</v>
      </c>
      <c r="DS71" s="100">
        <v>0.0</v>
      </c>
      <c r="DT71" s="93">
        <f t="shared" si="120"/>
        <v>0</v>
      </c>
      <c r="DU71" s="100">
        <v>0.0</v>
      </c>
      <c r="DV71" s="93">
        <f t="shared" si="61"/>
        <v>0</v>
      </c>
    </row>
    <row r="72">
      <c r="A72" s="7" t="s">
        <v>329</v>
      </c>
      <c r="B72" s="7" t="s">
        <v>330</v>
      </c>
      <c r="C72" s="76" t="str">
        <f t="array" ref="C72">_xlfn.XLOOKUP(A72,'Emp Master'!A:A,'Emp Master'!F:F)</f>
        <v>SNP</v>
      </c>
      <c r="D72" s="76" t="str">
        <f t="array" ref="D72">_xlfn.XLOOKUP(A72,'Emp Master'!A:A,'Emp Master'!D:D)</f>
        <v>Driver</v>
      </c>
      <c r="E72" s="76" t="str">
        <f t="shared" si="123"/>
        <v>#REF!</v>
      </c>
      <c r="F72" s="76">
        <v>1000.0</v>
      </c>
      <c r="G72" s="79">
        <v>5000.0</v>
      </c>
      <c r="H72" s="80">
        <v>1000.0</v>
      </c>
      <c r="I72" s="79">
        <f t="shared" si="124"/>
        <v>4000</v>
      </c>
      <c r="J72" s="80">
        <v>1000.0</v>
      </c>
      <c r="K72" s="79">
        <f t="shared" si="125"/>
        <v>3000</v>
      </c>
      <c r="L72" s="80">
        <v>1000.0</v>
      </c>
      <c r="M72" s="79">
        <f>K72-L72+18000</f>
        <v>20000</v>
      </c>
      <c r="N72" s="126">
        <v>3000.0</v>
      </c>
      <c r="O72" s="79">
        <f t="shared" si="127"/>
        <v>17000</v>
      </c>
      <c r="P72" s="126">
        <v>3000.0</v>
      </c>
      <c r="Q72" s="79">
        <f t="shared" si="128"/>
        <v>14000</v>
      </c>
      <c r="R72" s="106">
        <v>3000.0</v>
      </c>
      <c r="S72" s="79">
        <f t="shared" si="129"/>
        <v>11000</v>
      </c>
      <c r="T72" s="106">
        <v>3000.0</v>
      </c>
      <c r="U72" s="79">
        <f t="shared" si="130"/>
        <v>8000</v>
      </c>
      <c r="V72" s="106">
        <v>3000.0</v>
      </c>
      <c r="W72" s="79">
        <f t="shared" si="131"/>
        <v>5000</v>
      </c>
      <c r="X72" s="106">
        <v>2000.0</v>
      </c>
      <c r="Y72" s="79">
        <f t="shared" si="132"/>
        <v>3000</v>
      </c>
      <c r="Z72" s="106">
        <v>2000.0</v>
      </c>
      <c r="AA72" s="79">
        <f t="shared" si="133"/>
        <v>1000</v>
      </c>
      <c r="AB72" s="106">
        <v>1000.0</v>
      </c>
      <c r="AC72" s="79">
        <f>AA72-AB72+20000</f>
        <v>20000</v>
      </c>
      <c r="AD72" s="106">
        <v>3000.0</v>
      </c>
      <c r="AE72" s="79">
        <f t="shared" si="135"/>
        <v>17000</v>
      </c>
      <c r="AF72" s="106">
        <v>3000.0</v>
      </c>
      <c r="AG72" s="79">
        <f t="shared" si="162"/>
        <v>14000</v>
      </c>
      <c r="AH72" s="106">
        <v>3000.0</v>
      </c>
      <c r="AI72" s="79">
        <f t="shared" si="136"/>
        <v>11000</v>
      </c>
      <c r="AJ72" s="106">
        <v>3000.0</v>
      </c>
      <c r="AK72" s="79">
        <f t="shared" si="137"/>
        <v>8000</v>
      </c>
      <c r="AL72" s="106">
        <v>3000.0</v>
      </c>
      <c r="AM72" s="79">
        <f t="shared" si="138"/>
        <v>5000</v>
      </c>
      <c r="AN72" s="106">
        <v>3000.0</v>
      </c>
      <c r="AO72" s="79">
        <f t="shared" si="139"/>
        <v>2000</v>
      </c>
      <c r="AP72" s="106">
        <v>2000.0</v>
      </c>
      <c r="AQ72" s="79">
        <f>AO72-AP72+20000</f>
        <v>20000</v>
      </c>
      <c r="AR72" s="106">
        <v>3000.0</v>
      </c>
      <c r="AS72" s="79">
        <f t="shared" si="141"/>
        <v>17000</v>
      </c>
      <c r="AT72" s="106">
        <v>4000.0</v>
      </c>
      <c r="AU72" s="79">
        <f t="shared" si="142"/>
        <v>13000</v>
      </c>
      <c r="AV72" s="106">
        <v>3000.0</v>
      </c>
      <c r="AW72" s="79">
        <f t="shared" si="143"/>
        <v>10000</v>
      </c>
      <c r="AX72" s="106">
        <v>4000.0</v>
      </c>
      <c r="AY72" s="79">
        <f t="shared" si="144"/>
        <v>6000</v>
      </c>
      <c r="AZ72" s="106">
        <v>3000.0</v>
      </c>
      <c r="BA72" s="79">
        <f t="shared" si="145"/>
        <v>3000</v>
      </c>
      <c r="BB72" s="106">
        <v>3000.0</v>
      </c>
      <c r="BC72" s="79">
        <f t="shared" si="146"/>
        <v>0</v>
      </c>
      <c r="BD72" s="1"/>
      <c r="BE72" s="79">
        <f t="shared" si="163"/>
        <v>0</v>
      </c>
      <c r="BF72" s="106">
        <v>0.0</v>
      </c>
      <c r="BG72" s="79">
        <f>BE72-BF72+22500</f>
        <v>22500</v>
      </c>
      <c r="BH72" s="1"/>
      <c r="BI72" s="79">
        <f t="shared" si="148"/>
        <v>22500</v>
      </c>
      <c r="BJ72" s="106">
        <v>5000.0</v>
      </c>
      <c r="BK72" s="79">
        <f t="shared" si="149"/>
        <v>17500</v>
      </c>
      <c r="BL72" s="106">
        <v>5000.0</v>
      </c>
      <c r="BM72" s="79">
        <f t="shared" si="150"/>
        <v>12500</v>
      </c>
      <c r="BN72" s="106">
        <v>5000.0</v>
      </c>
      <c r="BO72" s="79">
        <f t="shared" si="164"/>
        <v>7500</v>
      </c>
      <c r="BP72" s="106">
        <v>5000.0</v>
      </c>
      <c r="BQ72" s="79">
        <f t="shared" si="151"/>
        <v>2500</v>
      </c>
      <c r="BR72" s="106">
        <v>2500.0</v>
      </c>
      <c r="BS72" s="79">
        <f>BQ72-BR72+25000</f>
        <v>25000</v>
      </c>
      <c r="BT72" s="1"/>
      <c r="BU72" s="79">
        <f t="shared" si="153"/>
        <v>25000</v>
      </c>
      <c r="BV72" s="106">
        <v>5000.0</v>
      </c>
      <c r="BW72" s="79">
        <f t="shared" si="154"/>
        <v>20000</v>
      </c>
      <c r="BX72" s="106">
        <v>5000.0</v>
      </c>
      <c r="BY72" s="79">
        <f t="shared" si="155"/>
        <v>15000</v>
      </c>
      <c r="BZ72" s="106">
        <v>5000.0</v>
      </c>
      <c r="CA72" s="79">
        <f t="shared" si="156"/>
        <v>10000</v>
      </c>
      <c r="CB72" s="106">
        <v>5000.0</v>
      </c>
      <c r="CC72" s="79">
        <f t="shared" si="165"/>
        <v>5000</v>
      </c>
      <c r="CD72" s="106">
        <v>5000.0</v>
      </c>
      <c r="CE72" s="24">
        <v>20000.0</v>
      </c>
      <c r="CF72" s="1"/>
      <c r="CG72" s="79">
        <f t="shared" si="158"/>
        <v>20000</v>
      </c>
      <c r="CH72" s="106">
        <v>5000.0</v>
      </c>
      <c r="CI72" s="79">
        <f t="shared" si="159"/>
        <v>15000</v>
      </c>
      <c r="CJ72" s="106">
        <v>5000.0</v>
      </c>
      <c r="CK72" s="79">
        <f t="shared" si="169"/>
        <v>10000</v>
      </c>
      <c r="CL72" s="106">
        <v>5000.0</v>
      </c>
      <c r="CM72" s="79">
        <f t="shared" si="161"/>
        <v>5000</v>
      </c>
      <c r="CN72" s="106">
        <v>5000.0</v>
      </c>
      <c r="CO72" s="79">
        <f>25000+CM72-CN72</f>
        <v>25000</v>
      </c>
      <c r="CP72" s="106">
        <v>6250.0</v>
      </c>
      <c r="CQ72" s="79">
        <f t="shared" si="46"/>
        <v>18750</v>
      </c>
      <c r="CR72" s="106">
        <v>6250.0</v>
      </c>
      <c r="CS72" s="79">
        <f t="shared" si="166"/>
        <v>12500</v>
      </c>
      <c r="CT72" s="24">
        <v>6250.0</v>
      </c>
      <c r="CU72" s="79">
        <f t="shared" si="115"/>
        <v>6250</v>
      </c>
      <c r="CV72" s="24">
        <v>6250.0</v>
      </c>
      <c r="CW72" s="79">
        <f t="shared" si="49"/>
        <v>0</v>
      </c>
      <c r="CX72" s="24"/>
      <c r="CY72" s="91"/>
      <c r="CZ72" s="79">
        <f t="shared" si="116"/>
        <v>0</v>
      </c>
      <c r="DA72" s="93"/>
      <c r="DB72" s="93">
        <f t="shared" si="51"/>
        <v>0</v>
      </c>
      <c r="DC72" s="96"/>
      <c r="DD72" s="93">
        <f t="shared" si="167"/>
        <v>0</v>
      </c>
      <c r="DE72" s="96"/>
      <c r="DF72" s="93">
        <f t="shared" si="121"/>
        <v>0</v>
      </c>
      <c r="DG72" s="96"/>
      <c r="DH72" s="100">
        <v>20000.0</v>
      </c>
      <c r="DI72" s="178">
        <v>10000.0</v>
      </c>
      <c r="DJ72" s="93">
        <f t="shared" si="117"/>
        <v>10000</v>
      </c>
      <c r="DK72" s="100">
        <v>10000.0</v>
      </c>
      <c r="DL72" s="100">
        <v>1572.0</v>
      </c>
      <c r="DM72" s="100">
        <v>500.0</v>
      </c>
      <c r="DN72" s="93">
        <f t="shared" si="122"/>
        <v>1072</v>
      </c>
      <c r="DO72" s="100">
        <v>500.0</v>
      </c>
      <c r="DP72" s="93">
        <f t="shared" si="118"/>
        <v>572</v>
      </c>
      <c r="DQ72" s="100">
        <v>572.0</v>
      </c>
      <c r="DR72" s="93">
        <f t="shared" si="168"/>
        <v>0</v>
      </c>
      <c r="DS72" s="100">
        <v>0.0</v>
      </c>
      <c r="DT72" s="93">
        <f t="shared" si="120"/>
        <v>0</v>
      </c>
      <c r="DU72" s="100">
        <v>0.0</v>
      </c>
      <c r="DV72" s="93">
        <f t="shared" si="61"/>
        <v>0</v>
      </c>
    </row>
    <row r="73">
      <c r="A73" s="7" t="s">
        <v>332</v>
      </c>
      <c r="B73" s="7" t="s">
        <v>333</v>
      </c>
      <c r="C73" s="76" t="str">
        <f t="array" ref="C73">_xlfn.XLOOKUP(A73,'Emp Master'!A:A,'Emp Master'!F:F)</f>
        <v>SNP</v>
      </c>
      <c r="D73" s="76" t="str">
        <f t="array" ref="D73">_xlfn.XLOOKUP(A73,'Emp Master'!A:A,'Emp Master'!D:D)</f>
        <v>Accounts &amp; Finance</v>
      </c>
      <c r="E73" s="76" t="str">
        <f t="shared" si="123"/>
        <v>#REF!</v>
      </c>
      <c r="F73" s="76">
        <v>1000.0</v>
      </c>
      <c r="G73" s="79">
        <v>21000.0</v>
      </c>
      <c r="H73" s="80">
        <v>1000.0</v>
      </c>
      <c r="I73" s="79">
        <f t="shared" si="124"/>
        <v>20000</v>
      </c>
      <c r="J73" s="80">
        <v>1000.0</v>
      </c>
      <c r="K73" s="79">
        <f>I73-J73+5000</f>
        <v>24000</v>
      </c>
      <c r="L73" s="80">
        <f>1000+5000</f>
        <v>6000</v>
      </c>
      <c r="M73" s="79">
        <f t="shared" ref="M73:M75" si="170">K73-L73</f>
        <v>18000</v>
      </c>
      <c r="N73" s="80">
        <v>1000.0</v>
      </c>
      <c r="O73" s="79">
        <f t="shared" si="127"/>
        <v>17000</v>
      </c>
      <c r="P73" s="80">
        <v>1000.0</v>
      </c>
      <c r="Q73" s="79">
        <f t="shared" si="128"/>
        <v>16000</v>
      </c>
      <c r="R73" s="106">
        <v>1000.0</v>
      </c>
      <c r="S73" s="79">
        <f t="shared" si="129"/>
        <v>15000</v>
      </c>
      <c r="T73" s="106">
        <v>1000.0</v>
      </c>
      <c r="U73" s="79">
        <f t="shared" si="130"/>
        <v>14000</v>
      </c>
      <c r="V73" s="106">
        <v>1000.0</v>
      </c>
      <c r="W73" s="79">
        <f t="shared" si="131"/>
        <v>13000</v>
      </c>
      <c r="X73" s="106">
        <v>1000.0</v>
      </c>
      <c r="Y73" s="79">
        <f t="shared" si="132"/>
        <v>12000</v>
      </c>
      <c r="Z73" s="106">
        <v>1000.0</v>
      </c>
      <c r="AA73" s="79">
        <f t="shared" si="133"/>
        <v>11000</v>
      </c>
      <c r="AB73" s="106">
        <v>1000.0</v>
      </c>
      <c r="AC73" s="79">
        <f t="shared" ref="AC73:AC92" si="171">AA73-AB73</f>
        <v>10000</v>
      </c>
      <c r="AD73" s="106">
        <v>1000.0</v>
      </c>
      <c r="AE73" s="79">
        <f t="shared" si="135"/>
        <v>9000</v>
      </c>
      <c r="AF73" s="106">
        <v>1000.0</v>
      </c>
      <c r="AG73" s="79">
        <f t="shared" si="162"/>
        <v>8000</v>
      </c>
      <c r="AH73" s="106">
        <v>2000.0</v>
      </c>
      <c r="AI73" s="79">
        <f t="shared" si="136"/>
        <v>6000</v>
      </c>
      <c r="AJ73" s="106">
        <v>2000.0</v>
      </c>
      <c r="AK73" s="79">
        <f>AI73-AJ73+18000</f>
        <v>22000</v>
      </c>
      <c r="AL73" s="106">
        <v>20000.0</v>
      </c>
      <c r="AM73" s="79">
        <f t="shared" si="138"/>
        <v>2000</v>
      </c>
      <c r="AN73" s="106">
        <v>2000.0</v>
      </c>
      <c r="AO73" s="79">
        <f t="shared" si="139"/>
        <v>0</v>
      </c>
      <c r="AP73" s="106">
        <v>0.0</v>
      </c>
      <c r="AQ73" s="79">
        <f t="shared" ref="AQ73:AQ75" si="172">AO73-AP73</f>
        <v>0</v>
      </c>
      <c r="AR73" s="1"/>
      <c r="AS73" s="79">
        <f t="shared" si="141"/>
        <v>0</v>
      </c>
      <c r="AT73" s="1"/>
      <c r="AU73" s="79">
        <f t="shared" si="142"/>
        <v>0</v>
      </c>
      <c r="AV73" s="1"/>
      <c r="AW73" s="79">
        <f t="shared" si="143"/>
        <v>0</v>
      </c>
      <c r="AX73" s="1"/>
      <c r="AY73" s="79">
        <f>AW73-AX73+15000</f>
        <v>15000</v>
      </c>
      <c r="AZ73" s="106">
        <v>3000.0</v>
      </c>
      <c r="BA73" s="79">
        <f t="shared" si="145"/>
        <v>12000</v>
      </c>
      <c r="BB73" s="106">
        <v>3000.0</v>
      </c>
      <c r="BC73" s="79">
        <f>BA73-BB73+18000</f>
        <v>27000</v>
      </c>
      <c r="BD73" s="106">
        <v>0.0</v>
      </c>
      <c r="BE73" s="79">
        <f>BC73-BD73-18000</f>
        <v>9000</v>
      </c>
      <c r="BF73" s="106">
        <v>1000.0</v>
      </c>
      <c r="BG73" s="79">
        <f t="shared" ref="BG73:BG77" si="173">BE73-BF73</f>
        <v>8000</v>
      </c>
      <c r="BH73" s="106">
        <v>2000.0</v>
      </c>
      <c r="BI73" s="79">
        <f t="shared" si="148"/>
        <v>6000</v>
      </c>
      <c r="BJ73" s="106">
        <v>1000.0</v>
      </c>
      <c r="BK73" s="79">
        <f t="shared" si="149"/>
        <v>5000</v>
      </c>
      <c r="BL73" s="106">
        <v>1000.0</v>
      </c>
      <c r="BM73" s="79">
        <f>BK73-BL73+50000</f>
        <v>54000</v>
      </c>
      <c r="BN73" s="106">
        <v>1000.0</v>
      </c>
      <c r="BO73" s="79">
        <f t="shared" si="164"/>
        <v>53000</v>
      </c>
      <c r="BP73" s="106">
        <v>1000.0</v>
      </c>
      <c r="BQ73" s="79">
        <f t="shared" si="151"/>
        <v>52000</v>
      </c>
      <c r="BR73" s="106">
        <v>1000.0</v>
      </c>
      <c r="BS73" s="79">
        <f t="shared" ref="BS73:BS92" si="174">BQ73-BR73</f>
        <v>51000</v>
      </c>
      <c r="BT73" s="106">
        <v>1000.0</v>
      </c>
      <c r="BU73" s="79">
        <f t="shared" si="153"/>
        <v>50000</v>
      </c>
      <c r="BV73" s="1"/>
      <c r="BW73" s="79">
        <f t="shared" si="154"/>
        <v>50000</v>
      </c>
      <c r="BX73" s="1"/>
      <c r="BY73" s="79">
        <f t="shared" si="155"/>
        <v>50000</v>
      </c>
      <c r="BZ73" s="1"/>
      <c r="CA73" s="80">
        <f>BY73-BZ73+20000-10000</f>
        <v>60000</v>
      </c>
      <c r="CB73" s="106">
        <v>2500.0</v>
      </c>
      <c r="CC73" s="79">
        <f t="shared" si="165"/>
        <v>57500</v>
      </c>
      <c r="CD73" s="1"/>
      <c r="CE73" s="79">
        <f>(CC73-CD73)+5000</f>
        <v>62500</v>
      </c>
      <c r="CF73" s="106">
        <v>2500.0</v>
      </c>
      <c r="CG73" s="79">
        <f t="shared" si="158"/>
        <v>60000</v>
      </c>
      <c r="CH73" s="106">
        <v>2500.0</v>
      </c>
      <c r="CI73" s="79">
        <f t="shared" si="159"/>
        <v>57500</v>
      </c>
      <c r="CJ73" s="106">
        <v>2500.0</v>
      </c>
      <c r="CK73" s="79">
        <f t="shared" si="169"/>
        <v>55000</v>
      </c>
      <c r="CL73" s="106">
        <v>10000.0</v>
      </c>
      <c r="CM73" s="79">
        <f t="shared" si="161"/>
        <v>45000</v>
      </c>
      <c r="CN73" s="106">
        <v>10000.0</v>
      </c>
      <c r="CO73" s="79">
        <f>12000+CM73-CN73</f>
        <v>47000</v>
      </c>
      <c r="CP73" s="106">
        <v>14500.0</v>
      </c>
      <c r="CQ73" s="79">
        <f t="shared" si="46"/>
        <v>32500</v>
      </c>
      <c r="CR73" s="106">
        <v>2500.0</v>
      </c>
      <c r="CS73" s="79">
        <f t="shared" si="166"/>
        <v>30000</v>
      </c>
      <c r="CT73" s="24">
        <v>2500.0</v>
      </c>
      <c r="CU73" s="79">
        <f>CS73-CT73+5000</f>
        <v>32500</v>
      </c>
      <c r="CV73" s="24">
        <v>2500.0</v>
      </c>
      <c r="CW73" s="79">
        <f t="shared" si="49"/>
        <v>30000</v>
      </c>
      <c r="CX73" s="24"/>
      <c r="CY73" s="91"/>
      <c r="CZ73" s="79">
        <f t="shared" si="116"/>
        <v>30000</v>
      </c>
      <c r="DA73" s="100">
        <v>2500.0</v>
      </c>
      <c r="DB73" s="93">
        <f>CZ73-DA73+3000</f>
        <v>30500</v>
      </c>
      <c r="DC73" s="207">
        <f>2500+3000</f>
        <v>5500</v>
      </c>
      <c r="DD73" s="93">
        <f t="shared" si="167"/>
        <v>25000</v>
      </c>
      <c r="DE73" s="208">
        <v>2500.0</v>
      </c>
      <c r="DF73" s="93">
        <f t="shared" si="121"/>
        <v>22500</v>
      </c>
      <c r="DG73" s="178">
        <v>2500.0</v>
      </c>
      <c r="DH73" s="93">
        <f t="shared" ref="DH73:DH101" si="175">DF73-DG73</f>
        <v>20000</v>
      </c>
      <c r="DI73" s="178">
        <v>0.0</v>
      </c>
      <c r="DJ73" s="93">
        <f t="shared" si="117"/>
        <v>20000</v>
      </c>
      <c r="DK73" s="100">
        <v>2500.0</v>
      </c>
      <c r="DL73" s="93">
        <f>DJ73-DK73+7500</f>
        <v>25000</v>
      </c>
      <c r="DM73" s="100">
        <v>2500.0</v>
      </c>
      <c r="DN73" s="93">
        <f t="shared" si="122"/>
        <v>22500</v>
      </c>
      <c r="DO73" s="100">
        <v>0.0</v>
      </c>
      <c r="DP73" s="93">
        <f t="shared" si="118"/>
        <v>22500</v>
      </c>
      <c r="DQ73" s="100">
        <v>2500.0</v>
      </c>
      <c r="DR73" s="93">
        <f>DP73-DQ73+5000</f>
        <v>25000</v>
      </c>
      <c r="DS73" s="100">
        <v>2500.0</v>
      </c>
      <c r="DT73" s="93">
        <f t="shared" si="120"/>
        <v>22500</v>
      </c>
      <c r="DU73" s="100">
        <v>0.0</v>
      </c>
      <c r="DV73" s="93">
        <f t="shared" si="61"/>
        <v>22500</v>
      </c>
    </row>
    <row r="74">
      <c r="A74" s="7" t="s">
        <v>336</v>
      </c>
      <c r="B74" s="7" t="s">
        <v>337</v>
      </c>
      <c r="C74" s="76" t="str">
        <f t="array" ref="C74">_xlfn.XLOOKUP(A74,'Emp Master'!A:A,'Emp Master'!F:F)</f>
        <v>MUM</v>
      </c>
      <c r="D74" s="76" t="str">
        <f t="array" ref="D74">_xlfn.XLOOKUP(A74,'Emp Master'!A:A,'Emp Master'!D:D)</f>
        <v>Cutting</v>
      </c>
      <c r="E74" s="76" t="str">
        <f t="shared" si="123"/>
        <v>#REF!</v>
      </c>
      <c r="F74" s="76"/>
      <c r="G74" s="79"/>
      <c r="H74" s="80"/>
      <c r="I74" s="79">
        <f t="shared" si="124"/>
        <v>0</v>
      </c>
      <c r="J74" s="80"/>
      <c r="K74" s="79">
        <f t="shared" ref="K74:K92" si="176">I74-J74</f>
        <v>0</v>
      </c>
      <c r="L74" s="80"/>
      <c r="M74" s="79">
        <f t="shared" si="170"/>
        <v>0</v>
      </c>
      <c r="N74" s="80"/>
      <c r="O74" s="79">
        <f t="shared" si="127"/>
        <v>0</v>
      </c>
      <c r="P74" s="80"/>
      <c r="Q74" s="79">
        <f t="shared" si="128"/>
        <v>0</v>
      </c>
      <c r="R74" s="1"/>
      <c r="S74" s="79">
        <f t="shared" si="129"/>
        <v>0</v>
      </c>
      <c r="T74" s="1"/>
      <c r="U74" s="79">
        <f t="shared" si="130"/>
        <v>0</v>
      </c>
      <c r="V74" s="1"/>
      <c r="W74" s="79">
        <f t="shared" si="131"/>
        <v>0</v>
      </c>
      <c r="X74" s="1"/>
      <c r="Y74" s="79">
        <f t="shared" si="132"/>
        <v>0</v>
      </c>
      <c r="Z74" s="1"/>
      <c r="AA74" s="79">
        <f t="shared" si="133"/>
        <v>0</v>
      </c>
      <c r="AB74" s="1"/>
      <c r="AC74" s="79">
        <f t="shared" si="171"/>
        <v>0</v>
      </c>
      <c r="AD74" s="1"/>
      <c r="AE74" s="79">
        <f t="shared" si="135"/>
        <v>0</v>
      </c>
      <c r="AF74" s="1"/>
      <c r="AG74" s="79">
        <f t="shared" si="162"/>
        <v>0</v>
      </c>
      <c r="AH74" s="1"/>
      <c r="AI74" s="79">
        <f t="shared" si="136"/>
        <v>0</v>
      </c>
      <c r="AJ74" s="1"/>
      <c r="AK74" s="79">
        <f t="shared" ref="AK74:AK81" si="177">AI74-AJ74</f>
        <v>0</v>
      </c>
      <c r="AL74" s="1"/>
      <c r="AM74" s="79">
        <f t="shared" si="138"/>
        <v>0</v>
      </c>
      <c r="AN74" s="1"/>
      <c r="AO74" s="79">
        <f t="shared" si="139"/>
        <v>0</v>
      </c>
      <c r="AP74" s="1"/>
      <c r="AQ74" s="79">
        <f t="shared" si="172"/>
        <v>0</v>
      </c>
      <c r="AR74" s="1"/>
      <c r="AS74" s="79">
        <f t="shared" si="141"/>
        <v>0</v>
      </c>
      <c r="AT74" s="1"/>
      <c r="AU74" s="79">
        <f t="shared" si="142"/>
        <v>0</v>
      </c>
      <c r="AV74" s="1"/>
      <c r="AW74" s="79">
        <f t="shared" si="143"/>
        <v>0</v>
      </c>
      <c r="AX74" s="1"/>
      <c r="AY74" s="79">
        <f t="shared" ref="AY74:AY92" si="178">AW74-AX74</f>
        <v>0</v>
      </c>
      <c r="AZ74" s="1"/>
      <c r="BA74" s="79">
        <f t="shared" si="145"/>
        <v>0</v>
      </c>
      <c r="BB74" s="1"/>
      <c r="BC74" s="79">
        <f t="shared" ref="BC74:BC80" si="179">BA74-BB74</f>
        <v>0</v>
      </c>
      <c r="BD74" s="1"/>
      <c r="BE74" s="79">
        <f t="shared" ref="BE74:BE76" si="180">BC74-BD74</f>
        <v>0</v>
      </c>
      <c r="BF74" s="1"/>
      <c r="BG74" s="79">
        <f t="shared" si="173"/>
        <v>0</v>
      </c>
      <c r="BH74" s="1"/>
      <c r="BI74" s="79">
        <f t="shared" si="148"/>
        <v>0</v>
      </c>
      <c r="BJ74" s="1"/>
      <c r="BK74" s="79">
        <f t="shared" si="149"/>
        <v>0</v>
      </c>
      <c r="BL74" s="1"/>
      <c r="BM74" s="79">
        <f t="shared" ref="BM74:BM92" si="181">BK74-BL74</f>
        <v>0</v>
      </c>
      <c r="BN74" s="1"/>
      <c r="BO74" s="79">
        <f t="shared" si="164"/>
        <v>0</v>
      </c>
      <c r="BP74" s="1"/>
      <c r="BQ74" s="79">
        <f t="shared" si="151"/>
        <v>0</v>
      </c>
      <c r="BR74" s="1"/>
      <c r="BS74" s="79">
        <f t="shared" si="174"/>
        <v>0</v>
      </c>
      <c r="BT74" s="1"/>
      <c r="BU74" s="79">
        <f t="shared" si="153"/>
        <v>0</v>
      </c>
      <c r="BV74" s="1"/>
      <c r="BW74" s="79">
        <f t="shared" si="154"/>
        <v>0</v>
      </c>
      <c r="BX74" s="1"/>
      <c r="BY74" s="79">
        <f t="shared" si="155"/>
        <v>0</v>
      </c>
      <c r="BZ74" s="1"/>
      <c r="CA74" s="79">
        <f t="shared" ref="CA74:CA81" si="182">BY74-BZ74</f>
        <v>0</v>
      </c>
      <c r="CB74" s="1"/>
      <c r="CC74" s="79">
        <f t="shared" si="165"/>
        <v>0</v>
      </c>
      <c r="CD74" s="1"/>
      <c r="CE74" s="79">
        <f t="shared" ref="CE74:CE92" si="183">CC74-CD74</f>
        <v>0</v>
      </c>
      <c r="CF74" s="1"/>
      <c r="CG74" s="79">
        <f t="shared" si="158"/>
        <v>0</v>
      </c>
      <c r="CH74" s="1"/>
      <c r="CI74" s="79">
        <f t="shared" si="159"/>
        <v>0</v>
      </c>
      <c r="CJ74" s="1"/>
      <c r="CK74" s="79">
        <f t="shared" si="169"/>
        <v>0</v>
      </c>
      <c r="CL74" s="1"/>
      <c r="CM74" s="79">
        <f t="shared" si="161"/>
        <v>0</v>
      </c>
      <c r="CN74" s="1"/>
      <c r="CO74" s="79">
        <f t="shared" ref="CO74:CO107" si="184">CM74-CN74</f>
        <v>0</v>
      </c>
      <c r="CP74" s="1"/>
      <c r="CQ74" s="79">
        <f t="shared" si="46"/>
        <v>0</v>
      </c>
      <c r="CR74" s="1"/>
      <c r="CS74" s="79">
        <f t="shared" si="166"/>
        <v>0</v>
      </c>
      <c r="CT74" s="79"/>
      <c r="CU74" s="79">
        <f t="shared" ref="CU74:CU93" si="185">CS74-CT74</f>
        <v>0</v>
      </c>
      <c r="CV74" s="79"/>
      <c r="CW74" s="79">
        <f t="shared" si="49"/>
        <v>0</v>
      </c>
      <c r="CX74" s="79"/>
      <c r="CY74" s="91"/>
      <c r="CZ74" s="79">
        <f t="shared" si="116"/>
        <v>0</v>
      </c>
      <c r="DA74" s="93"/>
      <c r="DB74" s="93">
        <f t="shared" ref="DB74:DB76" si="186">CZ74-DA74</f>
        <v>0</v>
      </c>
      <c r="DC74" s="96"/>
      <c r="DD74" s="93">
        <f t="shared" si="167"/>
        <v>0</v>
      </c>
      <c r="DE74" s="96"/>
      <c r="DF74" s="93">
        <f t="shared" si="121"/>
        <v>0</v>
      </c>
      <c r="DG74" s="96"/>
      <c r="DH74" s="93">
        <f t="shared" si="175"/>
        <v>0</v>
      </c>
      <c r="DI74" s="96"/>
      <c r="DJ74" s="93">
        <f t="shared" si="117"/>
        <v>0</v>
      </c>
      <c r="DK74" s="93"/>
      <c r="DL74" s="93">
        <f t="shared" ref="DL74:DL94" si="187">DJ74-DK74</f>
        <v>0</v>
      </c>
      <c r="DM74" s="100">
        <v>0.0</v>
      </c>
      <c r="DN74" s="93">
        <f t="shared" si="122"/>
        <v>0</v>
      </c>
      <c r="DO74" s="100">
        <v>0.0</v>
      </c>
      <c r="DP74" s="93">
        <f t="shared" si="118"/>
        <v>0</v>
      </c>
      <c r="DQ74" s="100">
        <v>0.0</v>
      </c>
      <c r="DR74" s="93">
        <f t="shared" ref="DR74:DR117" si="188">DP74-DQ74</f>
        <v>0</v>
      </c>
      <c r="DS74" s="100">
        <v>0.0</v>
      </c>
      <c r="DT74" s="93">
        <f t="shared" si="120"/>
        <v>0</v>
      </c>
      <c r="DU74" s="100">
        <v>0.0</v>
      </c>
      <c r="DV74" s="93">
        <f t="shared" si="61"/>
        <v>0</v>
      </c>
    </row>
    <row r="75">
      <c r="A75" s="7" t="s">
        <v>338</v>
      </c>
      <c r="B75" s="7" t="s">
        <v>339</v>
      </c>
      <c r="C75" s="76" t="str">
        <f t="array" ref="C75">_xlfn.XLOOKUP(A75,'Emp Master'!A:A,'Emp Master'!F:F)</f>
        <v>DEL</v>
      </c>
      <c r="D75" s="76" t="str">
        <f t="array" ref="D75">_xlfn.XLOOKUP(A75,'Emp Master'!A:A,'Emp Master'!D:D)</f>
        <v>Backend Ops</v>
      </c>
      <c r="E75" s="76" t="str">
        <f t="shared" si="123"/>
        <v>#REF!</v>
      </c>
      <c r="F75" s="76"/>
      <c r="G75" s="79"/>
      <c r="H75" s="80"/>
      <c r="I75" s="79">
        <f t="shared" si="124"/>
        <v>0</v>
      </c>
      <c r="J75" s="80"/>
      <c r="K75" s="79">
        <f t="shared" si="176"/>
        <v>0</v>
      </c>
      <c r="L75" s="80"/>
      <c r="M75" s="79">
        <f t="shared" si="170"/>
        <v>0</v>
      </c>
      <c r="N75" s="80"/>
      <c r="O75" s="79">
        <f t="shared" si="127"/>
        <v>0</v>
      </c>
      <c r="P75" s="80"/>
      <c r="Q75" s="79">
        <f t="shared" si="128"/>
        <v>0</v>
      </c>
      <c r="R75" s="1"/>
      <c r="S75" s="79">
        <f t="shared" si="129"/>
        <v>0</v>
      </c>
      <c r="T75" s="1"/>
      <c r="U75" s="79">
        <f t="shared" si="130"/>
        <v>0</v>
      </c>
      <c r="V75" s="1"/>
      <c r="W75" s="79">
        <f t="shared" si="131"/>
        <v>0</v>
      </c>
      <c r="X75" s="1"/>
      <c r="Y75" s="79">
        <f t="shared" si="132"/>
        <v>0</v>
      </c>
      <c r="Z75" s="1"/>
      <c r="AA75" s="79">
        <f t="shared" si="133"/>
        <v>0</v>
      </c>
      <c r="AB75" s="1"/>
      <c r="AC75" s="79">
        <f t="shared" si="171"/>
        <v>0</v>
      </c>
      <c r="AD75" s="1"/>
      <c r="AE75" s="79">
        <f t="shared" si="135"/>
        <v>0</v>
      </c>
      <c r="AF75" s="1"/>
      <c r="AG75" s="79">
        <f t="shared" si="162"/>
        <v>0</v>
      </c>
      <c r="AH75" s="1"/>
      <c r="AI75" s="79">
        <f t="shared" si="136"/>
        <v>0</v>
      </c>
      <c r="AJ75" s="1"/>
      <c r="AK75" s="79">
        <f t="shared" si="177"/>
        <v>0</v>
      </c>
      <c r="AL75" s="1"/>
      <c r="AM75" s="79">
        <f t="shared" si="138"/>
        <v>0</v>
      </c>
      <c r="AN75" s="1"/>
      <c r="AO75" s="79">
        <f t="shared" si="139"/>
        <v>0</v>
      </c>
      <c r="AP75" s="1"/>
      <c r="AQ75" s="79">
        <f t="shared" si="172"/>
        <v>0</v>
      </c>
      <c r="AR75" s="1"/>
      <c r="AS75" s="79">
        <f t="shared" si="141"/>
        <v>0</v>
      </c>
      <c r="AT75" s="1"/>
      <c r="AU75" s="79">
        <f t="shared" si="142"/>
        <v>0</v>
      </c>
      <c r="AV75" s="1"/>
      <c r="AW75" s="79">
        <f t="shared" si="143"/>
        <v>0</v>
      </c>
      <c r="AX75" s="1"/>
      <c r="AY75" s="79">
        <f t="shared" si="178"/>
        <v>0</v>
      </c>
      <c r="AZ75" s="1"/>
      <c r="BA75" s="79">
        <f t="shared" si="145"/>
        <v>0</v>
      </c>
      <c r="BB75" s="1"/>
      <c r="BC75" s="79">
        <f t="shared" si="179"/>
        <v>0</v>
      </c>
      <c r="BD75" s="1"/>
      <c r="BE75" s="79">
        <f t="shared" si="180"/>
        <v>0</v>
      </c>
      <c r="BF75" s="1"/>
      <c r="BG75" s="79">
        <f t="shared" si="173"/>
        <v>0</v>
      </c>
      <c r="BH75" s="1"/>
      <c r="BI75" s="79">
        <f t="shared" si="148"/>
        <v>0</v>
      </c>
      <c r="BJ75" s="1"/>
      <c r="BK75" s="79">
        <f t="shared" si="149"/>
        <v>0</v>
      </c>
      <c r="BL75" s="1"/>
      <c r="BM75" s="79">
        <f t="shared" si="181"/>
        <v>0</v>
      </c>
      <c r="BN75" s="1"/>
      <c r="BO75" s="79">
        <f t="shared" si="164"/>
        <v>0</v>
      </c>
      <c r="BP75" s="1"/>
      <c r="BQ75" s="79">
        <f t="shared" si="151"/>
        <v>0</v>
      </c>
      <c r="BR75" s="1"/>
      <c r="BS75" s="79">
        <f t="shared" si="174"/>
        <v>0</v>
      </c>
      <c r="BT75" s="1"/>
      <c r="BU75" s="79">
        <f t="shared" si="153"/>
        <v>0</v>
      </c>
      <c r="BV75" s="1"/>
      <c r="BW75" s="79">
        <f t="shared" si="154"/>
        <v>0</v>
      </c>
      <c r="BX75" s="1"/>
      <c r="BY75" s="79">
        <f t="shared" si="155"/>
        <v>0</v>
      </c>
      <c r="BZ75" s="1"/>
      <c r="CA75" s="79">
        <f t="shared" si="182"/>
        <v>0</v>
      </c>
      <c r="CB75" s="1"/>
      <c r="CC75" s="79">
        <f t="shared" si="165"/>
        <v>0</v>
      </c>
      <c r="CD75" s="1"/>
      <c r="CE75" s="79">
        <f t="shared" si="183"/>
        <v>0</v>
      </c>
      <c r="CF75" s="1"/>
      <c r="CG75" s="79">
        <f t="shared" si="158"/>
        <v>0</v>
      </c>
      <c r="CH75" s="1"/>
      <c r="CI75" s="79">
        <f t="shared" si="159"/>
        <v>0</v>
      </c>
      <c r="CJ75" s="1"/>
      <c r="CK75" s="79">
        <f t="shared" si="169"/>
        <v>0</v>
      </c>
      <c r="CL75" s="1"/>
      <c r="CM75" s="79">
        <f t="shared" si="161"/>
        <v>0</v>
      </c>
      <c r="CN75" s="1"/>
      <c r="CO75" s="79">
        <f t="shared" si="184"/>
        <v>0</v>
      </c>
      <c r="CP75" s="1"/>
      <c r="CQ75" s="79">
        <f t="shared" si="46"/>
        <v>0</v>
      </c>
      <c r="CR75" s="1"/>
      <c r="CS75" s="79">
        <f t="shared" si="166"/>
        <v>0</v>
      </c>
      <c r="CT75" s="79"/>
      <c r="CU75" s="79">
        <f t="shared" si="185"/>
        <v>0</v>
      </c>
      <c r="CV75" s="79"/>
      <c r="CW75" s="79">
        <f t="shared" si="49"/>
        <v>0</v>
      </c>
      <c r="CX75" s="79"/>
      <c r="CY75" s="91"/>
      <c r="CZ75" s="79">
        <f t="shared" si="116"/>
        <v>0</v>
      </c>
      <c r="DA75" s="93"/>
      <c r="DB75" s="93">
        <f t="shared" si="186"/>
        <v>0</v>
      </c>
      <c r="DC75" s="96"/>
      <c r="DD75" s="93">
        <f t="shared" si="167"/>
        <v>0</v>
      </c>
      <c r="DE75" s="96"/>
      <c r="DF75" s="93">
        <f t="shared" si="121"/>
        <v>0</v>
      </c>
      <c r="DG75" s="96"/>
      <c r="DH75" s="93">
        <f t="shared" si="175"/>
        <v>0</v>
      </c>
      <c r="DI75" s="96"/>
      <c r="DJ75" s="93">
        <f t="shared" si="117"/>
        <v>0</v>
      </c>
      <c r="DK75" s="93"/>
      <c r="DL75" s="93">
        <f t="shared" si="187"/>
        <v>0</v>
      </c>
      <c r="DM75" s="100">
        <v>0.0</v>
      </c>
      <c r="DN75" s="93">
        <f t="shared" si="122"/>
        <v>0</v>
      </c>
      <c r="DO75" s="100">
        <v>0.0</v>
      </c>
      <c r="DP75" s="93">
        <f t="shared" si="118"/>
        <v>0</v>
      </c>
      <c r="DQ75" s="100">
        <v>0.0</v>
      </c>
      <c r="DR75" s="93">
        <f t="shared" si="188"/>
        <v>0</v>
      </c>
      <c r="DS75" s="100">
        <v>0.0</v>
      </c>
      <c r="DT75" s="93">
        <f t="shared" si="120"/>
        <v>0</v>
      </c>
      <c r="DU75" s="100">
        <v>0.0</v>
      </c>
      <c r="DV75" s="93">
        <f t="shared" si="61"/>
        <v>0</v>
      </c>
    </row>
    <row r="76">
      <c r="A76" s="7" t="s">
        <v>340</v>
      </c>
      <c r="B76" s="7" t="s">
        <v>341</v>
      </c>
      <c r="C76" s="76" t="str">
        <f t="array" ref="C76">_xlfn.XLOOKUP(A76,'Emp Master'!A:A,'Emp Master'!F:F)</f>
        <v>DEL</v>
      </c>
      <c r="D76" s="76" t="str">
        <f t="array" ref="D76">_xlfn.XLOOKUP(A76,'Emp Master'!A:A,'Emp Master'!D:D)</f>
        <v>Backend Ops</v>
      </c>
      <c r="E76" s="76" t="str">
        <f t="shared" si="123"/>
        <v>#REF!</v>
      </c>
      <c r="F76" s="76"/>
      <c r="G76" s="79"/>
      <c r="H76" s="80"/>
      <c r="I76" s="79">
        <f t="shared" si="124"/>
        <v>0</v>
      </c>
      <c r="J76" s="80"/>
      <c r="K76" s="79">
        <f t="shared" si="176"/>
        <v>0</v>
      </c>
      <c r="L76" s="80"/>
      <c r="M76" s="79">
        <f>K76-L76+15000</f>
        <v>15000</v>
      </c>
      <c r="N76" s="80"/>
      <c r="O76" s="79">
        <f t="shared" si="127"/>
        <v>15000</v>
      </c>
      <c r="P76" s="126">
        <v>5000.0</v>
      </c>
      <c r="Q76" s="79">
        <f t="shared" si="128"/>
        <v>10000</v>
      </c>
      <c r="R76" s="106">
        <v>5000.0</v>
      </c>
      <c r="S76" s="79">
        <f>Q76-R76+15000</f>
        <v>20000</v>
      </c>
      <c r="T76" s="106">
        <v>5000.0</v>
      </c>
      <c r="U76" s="79">
        <f t="shared" si="130"/>
        <v>15000</v>
      </c>
      <c r="V76" s="106">
        <v>5000.0</v>
      </c>
      <c r="W76" s="79">
        <f t="shared" si="131"/>
        <v>10000</v>
      </c>
      <c r="X76" s="106">
        <v>0.0</v>
      </c>
      <c r="Y76" s="79">
        <f t="shared" si="132"/>
        <v>10000</v>
      </c>
      <c r="Z76" s="106">
        <v>0.0</v>
      </c>
      <c r="AA76" s="79">
        <f t="shared" si="133"/>
        <v>10000</v>
      </c>
      <c r="AB76" s="106">
        <v>5000.0</v>
      </c>
      <c r="AC76" s="79">
        <f t="shared" si="171"/>
        <v>5000</v>
      </c>
      <c r="AD76" s="106">
        <v>5000.0</v>
      </c>
      <c r="AE76" s="79">
        <f t="shared" si="135"/>
        <v>0</v>
      </c>
      <c r="AF76" s="1"/>
      <c r="AG76" s="79">
        <f t="shared" si="162"/>
        <v>0</v>
      </c>
      <c r="AH76" s="1"/>
      <c r="AI76" s="79">
        <f t="shared" si="136"/>
        <v>0</v>
      </c>
      <c r="AJ76" s="1"/>
      <c r="AK76" s="79">
        <f t="shared" si="177"/>
        <v>0</v>
      </c>
      <c r="AL76" s="1"/>
      <c r="AM76" s="79">
        <f t="shared" si="138"/>
        <v>0</v>
      </c>
      <c r="AN76" s="1"/>
      <c r="AO76" s="79">
        <f t="shared" si="139"/>
        <v>0</v>
      </c>
      <c r="AP76" s="1"/>
      <c r="AQ76" s="79">
        <f>AO76-AP76+25000+20202</f>
        <v>45202</v>
      </c>
      <c r="AR76" s="1">
        <f>20202</f>
        <v>20202</v>
      </c>
      <c r="AS76" s="79">
        <f t="shared" si="141"/>
        <v>25000</v>
      </c>
      <c r="AT76" s="1"/>
      <c r="AU76" s="79">
        <f t="shared" si="142"/>
        <v>25000</v>
      </c>
      <c r="AV76" s="106">
        <v>5000.0</v>
      </c>
      <c r="AW76" s="79">
        <f t="shared" si="143"/>
        <v>20000</v>
      </c>
      <c r="AX76" s="106">
        <v>5000.0</v>
      </c>
      <c r="AY76" s="79">
        <f t="shared" si="178"/>
        <v>15000</v>
      </c>
      <c r="AZ76" s="106">
        <v>5000.0</v>
      </c>
      <c r="BA76" s="79">
        <f t="shared" si="145"/>
        <v>10000</v>
      </c>
      <c r="BB76" s="106">
        <v>5000.0</v>
      </c>
      <c r="BC76" s="79">
        <f t="shared" si="179"/>
        <v>5000</v>
      </c>
      <c r="BD76" s="106">
        <v>5000.0</v>
      </c>
      <c r="BE76" s="79">
        <f t="shared" si="180"/>
        <v>0</v>
      </c>
      <c r="BF76" s="1"/>
      <c r="BG76" s="79">
        <f t="shared" si="173"/>
        <v>0</v>
      </c>
      <c r="BH76" s="1"/>
      <c r="BI76" s="79">
        <f t="shared" si="148"/>
        <v>0</v>
      </c>
      <c r="BJ76" s="1"/>
      <c r="BK76" s="79">
        <f t="shared" si="149"/>
        <v>0</v>
      </c>
      <c r="BL76" s="1"/>
      <c r="BM76" s="79">
        <f t="shared" si="181"/>
        <v>0</v>
      </c>
      <c r="BN76" s="1"/>
      <c r="BO76" s="79">
        <f t="shared" si="164"/>
        <v>0</v>
      </c>
      <c r="BP76" s="1"/>
      <c r="BQ76" s="79">
        <f t="shared" si="151"/>
        <v>0</v>
      </c>
      <c r="BR76" s="1"/>
      <c r="BS76" s="79">
        <f t="shared" si="174"/>
        <v>0</v>
      </c>
      <c r="BT76" s="1"/>
      <c r="BU76" s="79">
        <f t="shared" si="153"/>
        <v>0</v>
      </c>
      <c r="BV76" s="1"/>
      <c r="BW76" s="79">
        <f t="shared" si="154"/>
        <v>0</v>
      </c>
      <c r="BX76" s="1"/>
      <c r="BY76" s="79">
        <f t="shared" si="155"/>
        <v>0</v>
      </c>
      <c r="BZ76" s="1"/>
      <c r="CA76" s="79">
        <f t="shared" si="182"/>
        <v>0</v>
      </c>
      <c r="CB76" s="1"/>
      <c r="CC76" s="79">
        <f t="shared" si="165"/>
        <v>0</v>
      </c>
      <c r="CD76" s="1"/>
      <c r="CE76" s="79">
        <f t="shared" si="183"/>
        <v>0</v>
      </c>
      <c r="CF76" s="1"/>
      <c r="CG76" s="79">
        <f t="shared" si="158"/>
        <v>0</v>
      </c>
      <c r="CH76" s="1"/>
      <c r="CI76" s="79">
        <f t="shared" si="159"/>
        <v>0</v>
      </c>
      <c r="CJ76" s="1"/>
      <c r="CK76" s="79">
        <f t="shared" si="169"/>
        <v>0</v>
      </c>
      <c r="CL76" s="1"/>
      <c r="CM76" s="79">
        <f t="shared" si="161"/>
        <v>0</v>
      </c>
      <c r="CN76" s="1"/>
      <c r="CO76" s="79">
        <f t="shared" si="184"/>
        <v>0</v>
      </c>
      <c r="CP76" s="1"/>
      <c r="CQ76" s="79">
        <f t="shared" si="46"/>
        <v>0</v>
      </c>
      <c r="CR76" s="1"/>
      <c r="CS76" s="79">
        <f t="shared" si="166"/>
        <v>0</v>
      </c>
      <c r="CT76" s="79"/>
      <c r="CU76" s="79">
        <f t="shared" si="185"/>
        <v>0</v>
      </c>
      <c r="CV76" s="79"/>
      <c r="CW76" s="79">
        <f t="shared" si="49"/>
        <v>0</v>
      </c>
      <c r="CX76" s="79"/>
      <c r="CY76" s="91"/>
      <c r="CZ76" s="79">
        <f t="shared" si="116"/>
        <v>0</v>
      </c>
      <c r="DA76" s="93"/>
      <c r="DB76" s="93">
        <f t="shared" si="186"/>
        <v>0</v>
      </c>
      <c r="DC76" s="96"/>
      <c r="DD76" s="93">
        <f t="shared" si="167"/>
        <v>0</v>
      </c>
      <c r="DE76" s="96"/>
      <c r="DF76" s="93">
        <f t="shared" si="121"/>
        <v>0</v>
      </c>
      <c r="DG76" s="96"/>
      <c r="DH76" s="93">
        <f t="shared" si="175"/>
        <v>0</v>
      </c>
      <c r="DI76" s="96"/>
      <c r="DJ76" s="93">
        <f t="shared" si="117"/>
        <v>0</v>
      </c>
      <c r="DK76" s="93"/>
      <c r="DL76" s="93">
        <f t="shared" si="187"/>
        <v>0</v>
      </c>
      <c r="DM76" s="100">
        <v>0.0</v>
      </c>
      <c r="DN76" s="93">
        <f t="shared" si="122"/>
        <v>0</v>
      </c>
      <c r="DO76" s="100">
        <v>0.0</v>
      </c>
      <c r="DP76" s="93">
        <f t="shared" si="118"/>
        <v>0</v>
      </c>
      <c r="DQ76" s="100">
        <v>0.0</v>
      </c>
      <c r="DR76" s="93">
        <f t="shared" si="188"/>
        <v>0</v>
      </c>
      <c r="DS76" s="100">
        <v>0.0</v>
      </c>
      <c r="DT76" s="93">
        <f t="shared" si="120"/>
        <v>0</v>
      </c>
      <c r="DU76" s="100">
        <v>0.0</v>
      </c>
      <c r="DV76" s="93">
        <f t="shared" si="61"/>
        <v>0</v>
      </c>
    </row>
    <row r="77">
      <c r="A77" s="7" t="s">
        <v>345</v>
      </c>
      <c r="B77" s="7" t="s">
        <v>346</v>
      </c>
      <c r="C77" s="76" t="str">
        <f t="array" ref="C77">_xlfn.XLOOKUP(A77,'Emp Master'!A:A,'Emp Master'!F:F)</f>
        <v>SNP</v>
      </c>
      <c r="D77" s="76" t="str">
        <f t="array" ref="D77">_xlfn.XLOOKUP(A77,'Emp Master'!A:A,'Emp Master'!D:D)</f>
        <v>Backend Sales &amp; Ops</v>
      </c>
      <c r="E77" s="76" t="str">
        <f t="shared" si="123"/>
        <v>#REF!</v>
      </c>
      <c r="F77" s="76"/>
      <c r="G77" s="79"/>
      <c r="H77" s="80"/>
      <c r="I77" s="79">
        <f t="shared" si="124"/>
        <v>0</v>
      </c>
      <c r="J77" s="80"/>
      <c r="K77" s="79">
        <f t="shared" si="176"/>
        <v>0</v>
      </c>
      <c r="L77" s="80"/>
      <c r="M77" s="79">
        <f t="shared" ref="M77:M92" si="189">K77-L77</f>
        <v>0</v>
      </c>
      <c r="N77" s="80"/>
      <c r="O77" s="79">
        <f t="shared" si="127"/>
        <v>0</v>
      </c>
      <c r="P77" s="80"/>
      <c r="Q77" s="79">
        <f t="shared" si="128"/>
        <v>0</v>
      </c>
      <c r="R77" s="1"/>
      <c r="S77" s="79">
        <f t="shared" ref="S77:S80" si="190">Q77-R77</f>
        <v>0</v>
      </c>
      <c r="T77" s="1"/>
      <c r="U77" s="79">
        <f>S77-T77+10000</f>
        <v>10000</v>
      </c>
      <c r="V77" s="106">
        <v>10000.0</v>
      </c>
      <c r="W77" s="79">
        <f t="shared" si="131"/>
        <v>0</v>
      </c>
      <c r="X77" s="1"/>
      <c r="Y77" s="79">
        <f t="shared" si="132"/>
        <v>0</v>
      </c>
      <c r="Z77" s="1"/>
      <c r="AA77" s="79">
        <f t="shared" si="133"/>
        <v>0</v>
      </c>
      <c r="AB77" s="1"/>
      <c r="AC77" s="79">
        <f t="shared" si="171"/>
        <v>0</v>
      </c>
      <c r="AD77" s="1"/>
      <c r="AE77" s="79">
        <f t="shared" si="135"/>
        <v>0</v>
      </c>
      <c r="AF77" s="1"/>
      <c r="AG77" s="79">
        <f t="shared" si="162"/>
        <v>0</v>
      </c>
      <c r="AH77" s="1"/>
      <c r="AI77" s="79">
        <f t="shared" si="136"/>
        <v>0</v>
      </c>
      <c r="AJ77" s="1"/>
      <c r="AK77" s="79">
        <f t="shared" si="177"/>
        <v>0</v>
      </c>
      <c r="AL77" s="1"/>
      <c r="AM77" s="79">
        <f t="shared" si="138"/>
        <v>0</v>
      </c>
      <c r="AN77" s="1"/>
      <c r="AO77" s="79">
        <f t="shared" si="139"/>
        <v>0</v>
      </c>
      <c r="AP77" s="1"/>
      <c r="AQ77" s="79">
        <f t="shared" ref="AQ77:AQ79" si="191">AO77-AP77</f>
        <v>0</v>
      </c>
      <c r="AR77" s="1"/>
      <c r="AS77" s="79">
        <f t="shared" si="141"/>
        <v>0</v>
      </c>
      <c r="AT77" s="1"/>
      <c r="AU77" s="79">
        <f>AS77-AT77+15000</f>
        <v>15000</v>
      </c>
      <c r="AV77" s="106">
        <v>15000.0</v>
      </c>
      <c r="AW77" s="79">
        <f t="shared" si="143"/>
        <v>0</v>
      </c>
      <c r="AX77" s="1"/>
      <c r="AY77" s="79">
        <f t="shared" si="178"/>
        <v>0</v>
      </c>
      <c r="AZ77" s="1"/>
      <c r="BA77" s="79">
        <f>AY77-AZ77+18000</f>
        <v>18000</v>
      </c>
      <c r="BB77" s="106">
        <v>15000.0</v>
      </c>
      <c r="BC77" s="79">
        <f t="shared" si="179"/>
        <v>3000</v>
      </c>
      <c r="BD77" s="106">
        <v>3000.0</v>
      </c>
      <c r="BE77" s="79">
        <f>BC77-BD77+20000</f>
        <v>20000</v>
      </c>
      <c r="BF77" s="106">
        <v>10000.0</v>
      </c>
      <c r="BG77" s="79">
        <f t="shared" si="173"/>
        <v>10000</v>
      </c>
      <c r="BH77" s="106">
        <v>10000.0</v>
      </c>
      <c r="BI77" s="79">
        <f t="shared" si="148"/>
        <v>0</v>
      </c>
      <c r="BJ77" s="1"/>
      <c r="BK77" s="79">
        <f t="shared" si="149"/>
        <v>0</v>
      </c>
      <c r="BL77" s="1"/>
      <c r="BM77" s="79">
        <f t="shared" si="181"/>
        <v>0</v>
      </c>
      <c r="BN77" s="1"/>
      <c r="BO77" s="79">
        <f t="shared" si="164"/>
        <v>0</v>
      </c>
      <c r="BP77" s="1"/>
      <c r="BQ77" s="79">
        <f>BO77-BP77+12000</f>
        <v>12000</v>
      </c>
      <c r="BR77" s="106">
        <v>3000.0</v>
      </c>
      <c r="BS77" s="79">
        <f t="shared" si="174"/>
        <v>9000</v>
      </c>
      <c r="BT77" s="106">
        <v>3000.0</v>
      </c>
      <c r="BU77" s="79">
        <f t="shared" si="153"/>
        <v>6000</v>
      </c>
      <c r="BV77" s="106">
        <v>0.0</v>
      </c>
      <c r="BW77" s="79">
        <f t="shared" si="154"/>
        <v>6000</v>
      </c>
      <c r="BX77" s="106">
        <v>0.0</v>
      </c>
      <c r="BY77" s="79">
        <f t="shared" si="155"/>
        <v>6000</v>
      </c>
      <c r="BZ77" s="1"/>
      <c r="CA77" s="79">
        <f t="shared" si="182"/>
        <v>6000</v>
      </c>
      <c r="CB77" s="106">
        <v>6000.0</v>
      </c>
      <c r="CC77" s="79">
        <f t="shared" si="165"/>
        <v>0</v>
      </c>
      <c r="CD77" s="1"/>
      <c r="CE77" s="79">
        <f t="shared" si="183"/>
        <v>0</v>
      </c>
      <c r="CF77" s="1"/>
      <c r="CG77" s="79">
        <f>25000+(CE77-CF77)</f>
        <v>25000</v>
      </c>
      <c r="CH77" s="106">
        <v>0.0</v>
      </c>
      <c r="CI77" s="79">
        <f t="shared" si="159"/>
        <v>25000</v>
      </c>
      <c r="CJ77" s="106">
        <v>3000.0</v>
      </c>
      <c r="CK77" s="79">
        <f t="shared" si="169"/>
        <v>22000</v>
      </c>
      <c r="CL77" s="106">
        <v>6250.0</v>
      </c>
      <c r="CM77" s="79">
        <f t="shared" si="161"/>
        <v>15750</v>
      </c>
      <c r="CN77" s="106">
        <v>6250.0</v>
      </c>
      <c r="CO77" s="79">
        <f t="shared" si="184"/>
        <v>9500</v>
      </c>
      <c r="CP77" s="106">
        <v>0.0</v>
      </c>
      <c r="CQ77" s="79">
        <f>CO77-CP77+30000</f>
        <v>39500</v>
      </c>
      <c r="CR77" s="106">
        <v>3000.0</v>
      </c>
      <c r="CS77" s="79">
        <f t="shared" si="166"/>
        <v>36500</v>
      </c>
      <c r="CT77" s="24">
        <v>3000.0</v>
      </c>
      <c r="CU77" s="79">
        <f t="shared" si="185"/>
        <v>33500</v>
      </c>
      <c r="CV77" s="24">
        <v>3000.0</v>
      </c>
      <c r="CW77" s="79">
        <f t="shared" si="49"/>
        <v>30500</v>
      </c>
      <c r="CX77" s="24">
        <v>3000.0</v>
      </c>
      <c r="CY77" s="91">
        <v>27500.0</v>
      </c>
      <c r="CZ77" s="79">
        <f>CW77-CX77-CY77</f>
        <v>0</v>
      </c>
      <c r="DA77" s="93"/>
      <c r="DB77" s="93">
        <f>CZ77-DA77+20000</f>
        <v>20000</v>
      </c>
      <c r="DC77" s="178"/>
      <c r="DD77" s="93">
        <f t="shared" si="167"/>
        <v>20000</v>
      </c>
      <c r="DE77" s="178"/>
      <c r="DF77" s="93">
        <f t="shared" si="121"/>
        <v>20000</v>
      </c>
      <c r="DG77" s="178">
        <v>4000.0</v>
      </c>
      <c r="DH77" s="93">
        <f t="shared" si="175"/>
        <v>16000</v>
      </c>
      <c r="DI77" s="178">
        <v>4000.0</v>
      </c>
      <c r="DJ77" s="93">
        <f t="shared" si="117"/>
        <v>12000</v>
      </c>
      <c r="DK77" s="100">
        <v>4000.0</v>
      </c>
      <c r="DL77" s="93">
        <f t="shared" si="187"/>
        <v>8000</v>
      </c>
      <c r="DM77" s="100">
        <v>4000.0</v>
      </c>
      <c r="DN77" s="93">
        <f t="shared" si="122"/>
        <v>4000</v>
      </c>
      <c r="DO77" s="100">
        <v>4000.0</v>
      </c>
      <c r="DP77" s="93">
        <f t="shared" si="118"/>
        <v>0</v>
      </c>
      <c r="DQ77" s="100">
        <v>0.0</v>
      </c>
      <c r="DR77" s="93">
        <f t="shared" si="188"/>
        <v>0</v>
      </c>
      <c r="DS77" s="100">
        <v>0.0</v>
      </c>
      <c r="DT77" s="93">
        <f t="shared" si="120"/>
        <v>0</v>
      </c>
      <c r="DU77" s="100">
        <v>0.0</v>
      </c>
      <c r="DV77" s="93">
        <f t="shared" si="61"/>
        <v>0</v>
      </c>
    </row>
    <row r="78">
      <c r="A78" s="7" t="s">
        <v>866</v>
      </c>
      <c r="B78" s="7" t="s">
        <v>849</v>
      </c>
      <c r="C78" s="76" t="str">
        <f t="array" ref="C78">_xlfn.XLOOKUP(A78,'Emp Master'!A:A,'Emp Master'!F:F)</f>
        <v>#N/A</v>
      </c>
      <c r="D78" s="76" t="str">
        <f t="array" ref="D78">_xlfn.XLOOKUP(A78,'Emp Master'!A:A,'Emp Master'!D:D)</f>
        <v>#N/A</v>
      </c>
      <c r="E78" s="76" t="str">
        <f t="shared" si="123"/>
        <v>#REF!</v>
      </c>
      <c r="F78" s="76">
        <v>2000.0</v>
      </c>
      <c r="G78" s="79">
        <v>31000.0</v>
      </c>
      <c r="H78" s="80">
        <v>2000.0</v>
      </c>
      <c r="I78" s="79">
        <f t="shared" si="124"/>
        <v>29000</v>
      </c>
      <c r="J78" s="126">
        <v>3000.0</v>
      </c>
      <c r="K78" s="79">
        <f t="shared" si="176"/>
        <v>26000</v>
      </c>
      <c r="L78" s="126">
        <v>0.0</v>
      </c>
      <c r="M78" s="79">
        <f t="shared" si="189"/>
        <v>26000</v>
      </c>
      <c r="N78" s="126">
        <v>0.0</v>
      </c>
      <c r="O78" s="79">
        <f>M78-N78+20000+30000-3226</f>
        <v>72774</v>
      </c>
      <c r="P78" s="126">
        <v>11429.0</v>
      </c>
      <c r="Q78" s="79">
        <f t="shared" si="128"/>
        <v>61345</v>
      </c>
      <c r="R78" s="106">
        <v>5000.0</v>
      </c>
      <c r="S78" s="79">
        <f t="shared" si="190"/>
        <v>56345</v>
      </c>
      <c r="T78" s="106">
        <v>5000.0</v>
      </c>
      <c r="U78" s="79">
        <f t="shared" ref="U78:U79" si="192">S78-T78</f>
        <v>51345</v>
      </c>
      <c r="V78" s="106">
        <v>5000.0</v>
      </c>
      <c r="W78" s="79">
        <f t="shared" si="131"/>
        <v>46345</v>
      </c>
      <c r="X78" s="106">
        <v>5000.0</v>
      </c>
      <c r="Y78" s="79">
        <f t="shared" si="132"/>
        <v>41345</v>
      </c>
      <c r="Z78" s="106">
        <v>5000.0</v>
      </c>
      <c r="AA78" s="79">
        <f t="shared" si="133"/>
        <v>36345</v>
      </c>
      <c r="AB78" s="106">
        <v>5000.0</v>
      </c>
      <c r="AC78" s="79">
        <f t="shared" si="171"/>
        <v>31345</v>
      </c>
      <c r="AD78" s="106">
        <v>5000.0</v>
      </c>
      <c r="AE78" s="79">
        <f>AC78-AD78+16000</f>
        <v>42345</v>
      </c>
      <c r="AF78" s="106">
        <v>16000.0</v>
      </c>
      <c r="AG78" s="79">
        <f t="shared" si="162"/>
        <v>26345</v>
      </c>
      <c r="AH78" s="106">
        <v>0.0</v>
      </c>
      <c r="AI78" s="79">
        <f t="shared" si="136"/>
        <v>26345</v>
      </c>
      <c r="AJ78" s="106">
        <v>0.0</v>
      </c>
      <c r="AK78" s="79">
        <f t="shared" si="177"/>
        <v>26345</v>
      </c>
      <c r="AL78" s="1"/>
      <c r="AM78" s="79">
        <f t="shared" si="138"/>
        <v>26345</v>
      </c>
      <c r="AN78" s="1"/>
      <c r="AO78" s="79">
        <f t="shared" si="139"/>
        <v>26345</v>
      </c>
      <c r="AP78" s="1"/>
      <c r="AQ78" s="79">
        <f t="shared" si="191"/>
        <v>26345</v>
      </c>
      <c r="AR78" s="1"/>
      <c r="AS78" s="79">
        <f t="shared" si="141"/>
        <v>26345</v>
      </c>
      <c r="AT78" s="1"/>
      <c r="AU78" s="79">
        <f t="shared" ref="AU78:AU92" si="193">AS78-AT78</f>
        <v>26345</v>
      </c>
      <c r="AV78" s="1"/>
      <c r="AW78" s="79">
        <f t="shared" si="143"/>
        <v>26345</v>
      </c>
      <c r="AX78" s="1"/>
      <c r="AY78" s="79">
        <f t="shared" si="178"/>
        <v>26345</v>
      </c>
      <c r="AZ78" s="1"/>
      <c r="BA78" s="79">
        <f t="shared" ref="BA78:BA92" si="194">AY78-AZ78</f>
        <v>26345</v>
      </c>
      <c r="BB78" s="1"/>
      <c r="BC78" s="79">
        <f t="shared" si="179"/>
        <v>26345</v>
      </c>
      <c r="BD78" s="1"/>
      <c r="BE78" s="79">
        <f>BC78-BD78+50000</f>
        <v>76345</v>
      </c>
      <c r="BF78" s="1"/>
      <c r="BG78" s="79">
        <f>BE78-BF78+50000</f>
        <v>126345</v>
      </c>
      <c r="BH78" s="1"/>
      <c r="BI78" s="79">
        <f t="shared" si="148"/>
        <v>126345</v>
      </c>
      <c r="BJ78" s="1"/>
      <c r="BK78" s="79">
        <f t="shared" si="149"/>
        <v>126345</v>
      </c>
      <c r="BL78" s="1"/>
      <c r="BM78" s="79">
        <f t="shared" si="181"/>
        <v>126345</v>
      </c>
      <c r="BN78" s="1"/>
      <c r="BO78" s="79">
        <f t="shared" si="164"/>
        <v>126345</v>
      </c>
      <c r="BP78" s="1"/>
      <c r="BQ78" s="79">
        <f t="shared" ref="BQ78:BQ80" si="195">BO78-BP78</f>
        <v>126345</v>
      </c>
      <c r="BR78" s="1"/>
      <c r="BS78" s="79">
        <f t="shared" si="174"/>
        <v>126345</v>
      </c>
      <c r="BT78" s="1"/>
      <c r="BU78" s="79">
        <f t="shared" si="153"/>
        <v>126345</v>
      </c>
      <c r="BV78" s="1"/>
      <c r="BW78" s="79">
        <f t="shared" si="154"/>
        <v>126345</v>
      </c>
      <c r="BX78" s="1"/>
      <c r="BY78" s="79">
        <f t="shared" si="155"/>
        <v>126345</v>
      </c>
      <c r="BZ78" s="1"/>
      <c r="CA78" s="79">
        <f t="shared" si="182"/>
        <v>126345</v>
      </c>
      <c r="CB78" s="1"/>
      <c r="CC78" s="79">
        <f t="shared" si="165"/>
        <v>126345</v>
      </c>
      <c r="CD78" s="1"/>
      <c r="CE78" s="79">
        <f t="shared" si="183"/>
        <v>126345</v>
      </c>
      <c r="CF78" s="1"/>
      <c r="CG78" s="79">
        <f t="shared" ref="CG78:CG92" si="196">CE78-CF78</f>
        <v>126345</v>
      </c>
      <c r="CH78" s="1"/>
      <c r="CI78" s="79">
        <f t="shared" si="159"/>
        <v>126345</v>
      </c>
      <c r="CJ78" s="1"/>
      <c r="CK78" s="79">
        <f t="shared" si="169"/>
        <v>126345</v>
      </c>
      <c r="CL78" s="1"/>
      <c r="CM78" s="79">
        <f t="shared" si="161"/>
        <v>126345</v>
      </c>
      <c r="CN78" s="1"/>
      <c r="CO78" s="79">
        <f t="shared" si="184"/>
        <v>126345</v>
      </c>
      <c r="CP78" s="1"/>
      <c r="CQ78" s="79">
        <f t="shared" ref="CQ78:CQ93" si="197">CO78-CP78</f>
        <v>126345</v>
      </c>
      <c r="CR78" s="1"/>
      <c r="CS78" s="79">
        <f t="shared" si="166"/>
        <v>126345</v>
      </c>
      <c r="CT78" s="79"/>
      <c r="CU78" s="79">
        <f t="shared" si="185"/>
        <v>126345</v>
      </c>
      <c r="CV78" s="79"/>
      <c r="CW78" s="79">
        <f t="shared" si="49"/>
        <v>126345</v>
      </c>
      <c r="CX78" s="79"/>
      <c r="CY78" s="91"/>
      <c r="CZ78" s="79">
        <f t="shared" ref="CZ78:CZ81" si="198">CW78-CX78</f>
        <v>126345</v>
      </c>
      <c r="DA78" s="93"/>
      <c r="DB78" s="93">
        <f t="shared" ref="DB78:DB93" si="199">CZ78-DA78</f>
        <v>126345</v>
      </c>
      <c r="DC78" s="96"/>
      <c r="DD78" s="93">
        <f t="shared" si="167"/>
        <v>126345</v>
      </c>
      <c r="DE78" s="96"/>
      <c r="DF78" s="93">
        <f t="shared" si="121"/>
        <v>126345</v>
      </c>
      <c r="DG78" s="96"/>
      <c r="DH78" s="93">
        <f t="shared" si="175"/>
        <v>126345</v>
      </c>
      <c r="DI78" s="96"/>
      <c r="DJ78" s="93">
        <f t="shared" si="117"/>
        <v>126345</v>
      </c>
      <c r="DK78" s="93"/>
      <c r="DL78" s="93">
        <f t="shared" si="187"/>
        <v>126345</v>
      </c>
      <c r="DM78" s="100">
        <v>0.0</v>
      </c>
      <c r="DN78" s="93">
        <f t="shared" si="122"/>
        <v>126345</v>
      </c>
      <c r="DO78" s="100">
        <v>0.0</v>
      </c>
      <c r="DP78" s="93">
        <f t="shared" si="118"/>
        <v>126345</v>
      </c>
      <c r="DQ78" s="100">
        <v>0.0</v>
      </c>
      <c r="DR78" s="93">
        <f t="shared" si="188"/>
        <v>126345</v>
      </c>
      <c r="DS78" s="100">
        <v>0.0</v>
      </c>
      <c r="DT78" s="93">
        <f t="shared" si="120"/>
        <v>126345</v>
      </c>
      <c r="DU78" s="100">
        <v>0.0</v>
      </c>
      <c r="DV78" s="93">
        <f t="shared" si="61"/>
        <v>126345</v>
      </c>
    </row>
    <row r="79">
      <c r="A79" s="7" t="s">
        <v>349</v>
      </c>
      <c r="B79" s="7" t="s">
        <v>350</v>
      </c>
      <c r="C79" s="76" t="str">
        <f t="array" ref="C79">_xlfn.XLOOKUP(A79,'Emp Master'!A:A,'Emp Master'!F:F)</f>
        <v>SNP</v>
      </c>
      <c r="D79" s="76" t="str">
        <f t="array" ref="D79">_xlfn.XLOOKUP(A79,'Emp Master'!A:A,'Emp Master'!D:D)</f>
        <v>Cutting</v>
      </c>
      <c r="E79" s="76" t="str">
        <f t="shared" si="123"/>
        <v>#REF!</v>
      </c>
      <c r="F79" s="76"/>
      <c r="G79" s="79"/>
      <c r="H79" s="80"/>
      <c r="I79" s="79">
        <f t="shared" si="124"/>
        <v>0</v>
      </c>
      <c r="J79" s="80"/>
      <c r="K79" s="79">
        <f t="shared" si="176"/>
        <v>0</v>
      </c>
      <c r="L79" s="80"/>
      <c r="M79" s="79">
        <f t="shared" si="189"/>
        <v>0</v>
      </c>
      <c r="N79" s="80"/>
      <c r="O79" s="79">
        <f t="shared" ref="O79:O92" si="200">M79-N79</f>
        <v>0</v>
      </c>
      <c r="P79" s="80"/>
      <c r="Q79" s="79">
        <f t="shared" si="128"/>
        <v>0</v>
      </c>
      <c r="R79" s="1"/>
      <c r="S79" s="79">
        <f t="shared" si="190"/>
        <v>0</v>
      </c>
      <c r="T79" s="1"/>
      <c r="U79" s="79">
        <f t="shared" si="192"/>
        <v>0</v>
      </c>
      <c r="V79" s="1"/>
      <c r="W79" s="79">
        <f t="shared" si="131"/>
        <v>0</v>
      </c>
      <c r="X79" s="1"/>
      <c r="Y79" s="79">
        <f t="shared" si="132"/>
        <v>0</v>
      </c>
      <c r="Z79" s="1"/>
      <c r="AA79" s="79">
        <f t="shared" si="133"/>
        <v>0</v>
      </c>
      <c r="AB79" s="1"/>
      <c r="AC79" s="79">
        <f t="shared" si="171"/>
        <v>0</v>
      </c>
      <c r="AD79" s="1"/>
      <c r="AE79" s="79">
        <f t="shared" ref="AE79:AE92" si="201">AC79-AD79</f>
        <v>0</v>
      </c>
      <c r="AF79" s="1"/>
      <c r="AG79" s="79">
        <f t="shared" si="162"/>
        <v>0</v>
      </c>
      <c r="AH79" s="1"/>
      <c r="AI79" s="79">
        <f t="shared" si="136"/>
        <v>0</v>
      </c>
      <c r="AJ79" s="1"/>
      <c r="AK79" s="79">
        <f t="shared" si="177"/>
        <v>0</v>
      </c>
      <c r="AL79" s="1"/>
      <c r="AM79" s="79">
        <f t="shared" si="138"/>
        <v>0</v>
      </c>
      <c r="AN79" s="1"/>
      <c r="AO79" s="79">
        <f t="shared" si="139"/>
        <v>0</v>
      </c>
      <c r="AP79" s="1"/>
      <c r="AQ79" s="79">
        <f t="shared" si="191"/>
        <v>0</v>
      </c>
      <c r="AR79" s="1"/>
      <c r="AS79" s="79">
        <f t="shared" si="141"/>
        <v>0</v>
      </c>
      <c r="AT79" s="1"/>
      <c r="AU79" s="79">
        <f t="shared" si="193"/>
        <v>0</v>
      </c>
      <c r="AV79" s="1"/>
      <c r="AW79" s="79">
        <f t="shared" si="143"/>
        <v>0</v>
      </c>
      <c r="AX79" s="1"/>
      <c r="AY79" s="79">
        <f t="shared" si="178"/>
        <v>0</v>
      </c>
      <c r="AZ79" s="1"/>
      <c r="BA79" s="79">
        <f t="shared" si="194"/>
        <v>0</v>
      </c>
      <c r="BB79" s="1"/>
      <c r="BC79" s="79">
        <f t="shared" si="179"/>
        <v>0</v>
      </c>
      <c r="BD79" s="1"/>
      <c r="BE79" s="79">
        <f t="shared" ref="BE79:BE92" si="202">BC79-BD79</f>
        <v>0</v>
      </c>
      <c r="BF79" s="1"/>
      <c r="BG79" s="79">
        <f t="shared" ref="BG79:BG92" si="203">BE79-BF79</f>
        <v>0</v>
      </c>
      <c r="BH79" s="1"/>
      <c r="BI79" s="79">
        <f t="shared" si="148"/>
        <v>0</v>
      </c>
      <c r="BJ79" s="1"/>
      <c r="BK79" s="79">
        <f t="shared" si="149"/>
        <v>0</v>
      </c>
      <c r="BL79" s="1"/>
      <c r="BM79" s="79">
        <f t="shared" si="181"/>
        <v>0</v>
      </c>
      <c r="BN79" s="1"/>
      <c r="BO79" s="79">
        <f t="shared" si="164"/>
        <v>0</v>
      </c>
      <c r="BP79" s="1"/>
      <c r="BQ79" s="79">
        <f t="shared" si="195"/>
        <v>0</v>
      </c>
      <c r="BR79" s="1"/>
      <c r="BS79" s="79">
        <f t="shared" si="174"/>
        <v>0</v>
      </c>
      <c r="BT79" s="1"/>
      <c r="BU79" s="79">
        <f t="shared" si="153"/>
        <v>0</v>
      </c>
      <c r="BV79" s="1"/>
      <c r="BW79" s="79">
        <f t="shared" si="154"/>
        <v>0</v>
      </c>
      <c r="BX79" s="1"/>
      <c r="BY79" s="79">
        <f t="shared" si="155"/>
        <v>0</v>
      </c>
      <c r="BZ79" s="1"/>
      <c r="CA79" s="79">
        <f t="shared" si="182"/>
        <v>0</v>
      </c>
      <c r="CB79" s="1"/>
      <c r="CC79" s="79">
        <f t="shared" si="165"/>
        <v>0</v>
      </c>
      <c r="CD79" s="1"/>
      <c r="CE79" s="79">
        <f t="shared" si="183"/>
        <v>0</v>
      </c>
      <c r="CF79" s="1"/>
      <c r="CG79" s="79">
        <f t="shared" si="196"/>
        <v>0</v>
      </c>
      <c r="CH79" s="1"/>
      <c r="CI79" s="79">
        <f t="shared" si="159"/>
        <v>0</v>
      </c>
      <c r="CJ79" s="1"/>
      <c r="CK79" s="79">
        <f t="shared" si="169"/>
        <v>0</v>
      </c>
      <c r="CL79" s="1"/>
      <c r="CM79" s="79">
        <f t="shared" si="161"/>
        <v>0</v>
      </c>
      <c r="CN79" s="1"/>
      <c r="CO79" s="79">
        <f t="shared" si="184"/>
        <v>0</v>
      </c>
      <c r="CP79" s="1"/>
      <c r="CQ79" s="79">
        <f t="shared" si="197"/>
        <v>0</v>
      </c>
      <c r="CR79" s="1"/>
      <c r="CS79" s="79">
        <f t="shared" si="166"/>
        <v>0</v>
      </c>
      <c r="CT79" s="79"/>
      <c r="CU79" s="79">
        <f t="shared" si="185"/>
        <v>0</v>
      </c>
      <c r="CV79" s="79"/>
      <c r="CW79" s="79">
        <f t="shared" si="49"/>
        <v>0</v>
      </c>
      <c r="CX79" s="79"/>
      <c r="CY79" s="91"/>
      <c r="CZ79" s="79">
        <f t="shared" si="198"/>
        <v>0</v>
      </c>
      <c r="DA79" s="93"/>
      <c r="DB79" s="93">
        <f t="shared" si="199"/>
        <v>0</v>
      </c>
      <c r="DC79" s="96"/>
      <c r="DD79" s="93">
        <f t="shared" si="167"/>
        <v>0</v>
      </c>
      <c r="DE79" s="96"/>
      <c r="DF79" s="93">
        <f t="shared" si="121"/>
        <v>0</v>
      </c>
      <c r="DG79" s="96"/>
      <c r="DH79" s="93">
        <f t="shared" si="175"/>
        <v>0</v>
      </c>
      <c r="DI79" s="96"/>
      <c r="DJ79" s="93">
        <f t="shared" si="117"/>
        <v>0</v>
      </c>
      <c r="DK79" s="93"/>
      <c r="DL79" s="93">
        <f t="shared" si="187"/>
        <v>0</v>
      </c>
      <c r="DM79" s="100">
        <v>0.0</v>
      </c>
      <c r="DN79" s="93">
        <f t="shared" si="122"/>
        <v>0</v>
      </c>
      <c r="DO79" s="100">
        <v>0.0</v>
      </c>
      <c r="DP79" s="93">
        <f t="shared" si="118"/>
        <v>0</v>
      </c>
      <c r="DQ79" s="100">
        <v>0.0</v>
      </c>
      <c r="DR79" s="93">
        <f t="shared" si="188"/>
        <v>0</v>
      </c>
      <c r="DS79" s="100">
        <v>0.0</v>
      </c>
      <c r="DT79" s="93">
        <f t="shared" si="120"/>
        <v>0</v>
      </c>
      <c r="DU79" s="100">
        <v>0.0</v>
      </c>
      <c r="DV79" s="93">
        <f t="shared" si="61"/>
        <v>0</v>
      </c>
    </row>
    <row r="80">
      <c r="A80" s="7" t="s">
        <v>878</v>
      </c>
      <c r="B80" s="7" t="s">
        <v>879</v>
      </c>
      <c r="C80" s="76" t="str">
        <f t="array" ref="C80">_xlfn.XLOOKUP(A80,'Emp Master'!A:A,'Emp Master'!F:F)</f>
        <v>#N/A</v>
      </c>
      <c r="D80" s="76" t="str">
        <f t="array" ref="D80">_xlfn.XLOOKUP(A80,'Emp Master'!A:A,'Emp Master'!D:D)</f>
        <v>#N/A</v>
      </c>
      <c r="E80" s="76" t="str">
        <f t="shared" si="123"/>
        <v>#REF!</v>
      </c>
      <c r="F80" s="76"/>
      <c r="G80" s="79"/>
      <c r="H80" s="80"/>
      <c r="I80" s="79">
        <f t="shared" si="124"/>
        <v>0</v>
      </c>
      <c r="J80" s="80"/>
      <c r="K80" s="79">
        <f t="shared" si="176"/>
        <v>0</v>
      </c>
      <c r="L80" s="80"/>
      <c r="M80" s="79">
        <f t="shared" si="189"/>
        <v>0</v>
      </c>
      <c r="N80" s="80"/>
      <c r="O80" s="79">
        <f t="shared" si="200"/>
        <v>0</v>
      </c>
      <c r="P80" s="80"/>
      <c r="Q80" s="79">
        <f t="shared" si="128"/>
        <v>0</v>
      </c>
      <c r="R80" s="1"/>
      <c r="S80" s="79">
        <f t="shared" si="190"/>
        <v>0</v>
      </c>
      <c r="T80" s="1"/>
      <c r="U80" s="79">
        <f>S80-T80+20000</f>
        <v>20000</v>
      </c>
      <c r="V80" s="106">
        <v>5000.0</v>
      </c>
      <c r="W80" s="79">
        <f t="shared" si="131"/>
        <v>15000</v>
      </c>
      <c r="X80" s="106">
        <v>0.0</v>
      </c>
      <c r="Y80" s="79">
        <f t="shared" si="132"/>
        <v>15000</v>
      </c>
      <c r="Z80" s="106">
        <v>5000.0</v>
      </c>
      <c r="AA80" s="79">
        <f t="shared" si="133"/>
        <v>10000</v>
      </c>
      <c r="AB80" s="106">
        <v>5000.0</v>
      </c>
      <c r="AC80" s="79">
        <f t="shared" si="171"/>
        <v>5000</v>
      </c>
      <c r="AD80" s="1"/>
      <c r="AE80" s="79">
        <f t="shared" si="201"/>
        <v>5000</v>
      </c>
      <c r="AF80" s="106">
        <v>5000.0</v>
      </c>
      <c r="AG80" s="79">
        <f t="shared" si="162"/>
        <v>0</v>
      </c>
      <c r="AH80" s="1"/>
      <c r="AI80" s="79">
        <f t="shared" si="136"/>
        <v>0</v>
      </c>
      <c r="AJ80" s="1"/>
      <c r="AK80" s="79">
        <f t="shared" si="177"/>
        <v>0</v>
      </c>
      <c r="AL80" s="1"/>
      <c r="AM80" s="79">
        <f t="shared" si="138"/>
        <v>0</v>
      </c>
      <c r="AN80" s="1"/>
      <c r="AO80" s="79">
        <f t="shared" si="139"/>
        <v>0</v>
      </c>
      <c r="AP80" s="1"/>
      <c r="AQ80" s="79">
        <f>AO80-AP80+10000</f>
        <v>10000</v>
      </c>
      <c r="AR80" s="106">
        <v>3000.0</v>
      </c>
      <c r="AS80" s="79">
        <f t="shared" si="141"/>
        <v>7000</v>
      </c>
      <c r="AT80" s="106">
        <v>3000.0</v>
      </c>
      <c r="AU80" s="79">
        <f t="shared" si="193"/>
        <v>4000</v>
      </c>
      <c r="AV80" s="106">
        <v>4000.0</v>
      </c>
      <c r="AW80" s="79">
        <f t="shared" si="143"/>
        <v>0</v>
      </c>
      <c r="AX80" s="106">
        <v>0.0</v>
      </c>
      <c r="AY80" s="79">
        <f t="shared" si="178"/>
        <v>0</v>
      </c>
      <c r="AZ80" s="1"/>
      <c r="BA80" s="79">
        <f t="shared" si="194"/>
        <v>0</v>
      </c>
      <c r="BB80" s="1"/>
      <c r="BC80" s="79">
        <f t="shared" si="179"/>
        <v>0</v>
      </c>
      <c r="BD80" s="1"/>
      <c r="BE80" s="79">
        <f t="shared" si="202"/>
        <v>0</v>
      </c>
      <c r="BF80" s="1"/>
      <c r="BG80" s="79">
        <f t="shared" si="203"/>
        <v>0</v>
      </c>
      <c r="BH80" s="1"/>
      <c r="BI80" s="79">
        <f t="shared" si="148"/>
        <v>0</v>
      </c>
      <c r="BJ80" s="1"/>
      <c r="BK80" s="79">
        <f t="shared" si="149"/>
        <v>0</v>
      </c>
      <c r="BL80" s="1"/>
      <c r="BM80" s="79">
        <f t="shared" si="181"/>
        <v>0</v>
      </c>
      <c r="BN80" s="1"/>
      <c r="BO80" s="79">
        <f t="shared" si="164"/>
        <v>0</v>
      </c>
      <c r="BP80" s="1"/>
      <c r="BQ80" s="79">
        <f t="shared" si="195"/>
        <v>0</v>
      </c>
      <c r="BR80" s="1"/>
      <c r="BS80" s="79">
        <f t="shared" si="174"/>
        <v>0</v>
      </c>
      <c r="BT80" s="1"/>
      <c r="BU80" s="79">
        <f t="shared" si="153"/>
        <v>0</v>
      </c>
      <c r="BV80" s="1"/>
      <c r="BW80" s="79">
        <f t="shared" si="154"/>
        <v>0</v>
      </c>
      <c r="BX80" s="1"/>
      <c r="BY80" s="79">
        <f t="shared" si="155"/>
        <v>0</v>
      </c>
      <c r="BZ80" s="1"/>
      <c r="CA80" s="79">
        <f t="shared" si="182"/>
        <v>0</v>
      </c>
      <c r="CB80" s="1"/>
      <c r="CC80" s="79">
        <f t="shared" si="165"/>
        <v>0</v>
      </c>
      <c r="CD80" s="1"/>
      <c r="CE80" s="79">
        <f t="shared" si="183"/>
        <v>0</v>
      </c>
      <c r="CF80" s="1"/>
      <c r="CG80" s="79">
        <f t="shared" si="196"/>
        <v>0</v>
      </c>
      <c r="CH80" s="1"/>
      <c r="CI80" s="79">
        <f t="shared" si="159"/>
        <v>0</v>
      </c>
      <c r="CJ80" s="1"/>
      <c r="CK80" s="79">
        <f t="shared" si="169"/>
        <v>0</v>
      </c>
      <c r="CL80" s="1"/>
      <c r="CM80" s="79">
        <f t="shared" si="161"/>
        <v>0</v>
      </c>
      <c r="CN80" s="1"/>
      <c r="CO80" s="79">
        <f t="shared" si="184"/>
        <v>0</v>
      </c>
      <c r="CP80" s="1"/>
      <c r="CQ80" s="79">
        <f t="shared" si="197"/>
        <v>0</v>
      </c>
      <c r="CR80" s="1"/>
      <c r="CS80" s="79">
        <f t="shared" si="166"/>
        <v>0</v>
      </c>
      <c r="CT80" s="79"/>
      <c r="CU80" s="79">
        <f t="shared" si="185"/>
        <v>0</v>
      </c>
      <c r="CV80" s="79"/>
      <c r="CW80" s="79">
        <f t="shared" si="49"/>
        <v>0</v>
      </c>
      <c r="CX80" s="79"/>
      <c r="CY80" s="91"/>
      <c r="CZ80" s="79">
        <f t="shared" si="198"/>
        <v>0</v>
      </c>
      <c r="DA80" s="93"/>
      <c r="DB80" s="93">
        <f t="shared" si="199"/>
        <v>0</v>
      </c>
      <c r="DC80" s="96"/>
      <c r="DD80" s="93">
        <f t="shared" si="167"/>
        <v>0</v>
      </c>
      <c r="DE80" s="96"/>
      <c r="DF80" s="93">
        <f t="shared" si="121"/>
        <v>0</v>
      </c>
      <c r="DG80" s="96"/>
      <c r="DH80" s="93">
        <f t="shared" si="175"/>
        <v>0</v>
      </c>
      <c r="DI80" s="96"/>
      <c r="DJ80" s="93">
        <f t="shared" si="117"/>
        <v>0</v>
      </c>
      <c r="DK80" s="93"/>
      <c r="DL80" s="93">
        <f t="shared" si="187"/>
        <v>0</v>
      </c>
      <c r="DM80" s="100">
        <v>0.0</v>
      </c>
      <c r="DN80" s="93">
        <f t="shared" si="122"/>
        <v>0</v>
      </c>
      <c r="DO80" s="100">
        <v>0.0</v>
      </c>
      <c r="DP80" s="93">
        <f t="shared" si="118"/>
        <v>0</v>
      </c>
      <c r="DQ80" s="100">
        <v>0.0</v>
      </c>
      <c r="DR80" s="93">
        <f t="shared" si="188"/>
        <v>0</v>
      </c>
      <c r="DS80" s="100">
        <v>0.0</v>
      </c>
      <c r="DT80" s="93">
        <f t="shared" si="120"/>
        <v>0</v>
      </c>
      <c r="DU80" s="100">
        <v>0.0</v>
      </c>
      <c r="DV80" s="93">
        <f t="shared" si="61"/>
        <v>0</v>
      </c>
    </row>
    <row r="81">
      <c r="A81" s="7" t="s">
        <v>351</v>
      </c>
      <c r="B81" s="7" t="s">
        <v>352</v>
      </c>
      <c r="C81" s="76" t="str">
        <f t="array" ref="C81">_xlfn.XLOOKUP(A81,'Emp Master'!A:A,'Emp Master'!F:F)</f>
        <v>DEL</v>
      </c>
      <c r="D81" s="76" t="str">
        <f t="array" ref="D81">_xlfn.XLOOKUP(A81,'Emp Master'!A:A,'Emp Master'!D:D)</f>
        <v>Accounts &amp; Finance</v>
      </c>
      <c r="E81" s="76" t="str">
        <f t="shared" si="123"/>
        <v>#REF!</v>
      </c>
      <c r="F81" s="76">
        <v>5000.0</v>
      </c>
      <c r="G81" s="79">
        <v>15000.0</v>
      </c>
      <c r="H81" s="80">
        <v>5000.0</v>
      </c>
      <c r="I81" s="79">
        <f t="shared" si="124"/>
        <v>10000</v>
      </c>
      <c r="J81" s="126">
        <v>0.0</v>
      </c>
      <c r="K81" s="79">
        <f t="shared" si="176"/>
        <v>10000</v>
      </c>
      <c r="L81" s="80">
        <v>5000.0</v>
      </c>
      <c r="M81" s="79">
        <f t="shared" si="189"/>
        <v>5000</v>
      </c>
      <c r="N81" s="126">
        <v>0.0</v>
      </c>
      <c r="O81" s="79">
        <f t="shared" si="200"/>
        <v>5000</v>
      </c>
      <c r="P81" s="80">
        <v>5000.0</v>
      </c>
      <c r="Q81" s="79">
        <f t="shared" si="128"/>
        <v>0</v>
      </c>
      <c r="R81" s="1"/>
      <c r="S81" s="79">
        <f>Q81-R81+15000</f>
        <v>15000</v>
      </c>
      <c r="T81" s="1"/>
      <c r="U81" s="79">
        <f>S81-T81</f>
        <v>15000</v>
      </c>
      <c r="V81" s="106">
        <v>5000.0</v>
      </c>
      <c r="W81" s="79">
        <f t="shared" si="131"/>
        <v>10000</v>
      </c>
      <c r="X81" s="106">
        <v>5000.0</v>
      </c>
      <c r="Y81" s="79">
        <f t="shared" si="132"/>
        <v>5000</v>
      </c>
      <c r="Z81" s="106">
        <v>0.0</v>
      </c>
      <c r="AA81" s="79">
        <f t="shared" si="133"/>
        <v>5000</v>
      </c>
      <c r="AB81" s="106">
        <v>2000.0</v>
      </c>
      <c r="AC81" s="79">
        <f t="shared" si="171"/>
        <v>3000</v>
      </c>
      <c r="AD81" s="106">
        <v>3000.0</v>
      </c>
      <c r="AE81" s="79">
        <f t="shared" si="201"/>
        <v>0</v>
      </c>
      <c r="AF81" s="1"/>
      <c r="AG81" s="79">
        <f t="shared" si="162"/>
        <v>0</v>
      </c>
      <c r="AH81" s="1"/>
      <c r="AI81" s="79">
        <f t="shared" si="136"/>
        <v>0</v>
      </c>
      <c r="AJ81" s="1"/>
      <c r="AK81" s="79">
        <f t="shared" si="177"/>
        <v>0</v>
      </c>
      <c r="AL81" s="1"/>
      <c r="AM81" s="79">
        <f t="shared" si="138"/>
        <v>0</v>
      </c>
      <c r="AN81" s="1"/>
      <c r="AO81" s="79">
        <f>AM81-AN81+20000</f>
        <v>20000</v>
      </c>
      <c r="AP81" s="1"/>
      <c r="AQ81" s="79">
        <f t="shared" ref="AQ81:AQ92" si="204">AO81-AP81</f>
        <v>20000</v>
      </c>
      <c r="AR81" s="106">
        <v>4000.0</v>
      </c>
      <c r="AS81" s="79">
        <f t="shared" si="141"/>
        <v>16000</v>
      </c>
      <c r="AT81" s="106">
        <v>3000.0</v>
      </c>
      <c r="AU81" s="79">
        <f t="shared" si="193"/>
        <v>13000</v>
      </c>
      <c r="AV81" s="106">
        <v>3000.0</v>
      </c>
      <c r="AW81" s="79">
        <f t="shared" si="143"/>
        <v>10000</v>
      </c>
      <c r="AX81" s="106">
        <v>3000.0</v>
      </c>
      <c r="AY81" s="79">
        <f t="shared" si="178"/>
        <v>7000</v>
      </c>
      <c r="AZ81" s="106">
        <v>3000.0</v>
      </c>
      <c r="BA81" s="79">
        <f t="shared" si="194"/>
        <v>4000</v>
      </c>
      <c r="BB81" s="106">
        <v>3000.0</v>
      </c>
      <c r="BC81" s="79">
        <f>BA81-BB81+25000</f>
        <v>26000</v>
      </c>
      <c r="BD81" s="106">
        <v>1000.0</v>
      </c>
      <c r="BE81" s="79">
        <f t="shared" si="202"/>
        <v>25000</v>
      </c>
      <c r="BF81" s="106">
        <v>3000.0</v>
      </c>
      <c r="BG81" s="79">
        <f t="shared" si="203"/>
        <v>22000</v>
      </c>
      <c r="BH81" s="106">
        <v>3000.0</v>
      </c>
      <c r="BI81" s="79">
        <f t="shared" si="148"/>
        <v>19000</v>
      </c>
      <c r="BJ81" s="106">
        <v>3000.0</v>
      </c>
      <c r="BK81" s="79">
        <f t="shared" si="149"/>
        <v>16000</v>
      </c>
      <c r="BL81" s="106">
        <v>3000.0</v>
      </c>
      <c r="BM81" s="79">
        <f t="shared" si="181"/>
        <v>13000</v>
      </c>
      <c r="BN81" s="106">
        <v>3000.0</v>
      </c>
      <c r="BO81" s="79">
        <f t="shared" si="164"/>
        <v>10000</v>
      </c>
      <c r="BP81" s="106">
        <v>3000.0</v>
      </c>
      <c r="BQ81" s="79">
        <f>BO81-BP81+30000</f>
        <v>37000</v>
      </c>
      <c r="BR81" s="106">
        <v>3000.0</v>
      </c>
      <c r="BS81" s="79">
        <f t="shared" si="174"/>
        <v>34000</v>
      </c>
      <c r="BT81" s="106">
        <v>3000.0</v>
      </c>
      <c r="BU81" s="79">
        <f t="shared" si="153"/>
        <v>31000</v>
      </c>
      <c r="BV81" s="106">
        <v>3000.0</v>
      </c>
      <c r="BW81" s="79">
        <f t="shared" si="154"/>
        <v>28000</v>
      </c>
      <c r="BX81" s="106">
        <v>3000.0</v>
      </c>
      <c r="BY81" s="79">
        <f t="shared" si="155"/>
        <v>25000</v>
      </c>
      <c r="BZ81" s="106">
        <v>3000.0</v>
      </c>
      <c r="CA81" s="79">
        <f t="shared" si="182"/>
        <v>22000</v>
      </c>
      <c r="CB81" s="106">
        <v>3000.0</v>
      </c>
      <c r="CC81" s="79">
        <f t="shared" si="165"/>
        <v>19000</v>
      </c>
      <c r="CD81" s="106">
        <v>3000.0</v>
      </c>
      <c r="CE81" s="79">
        <f t="shared" si="183"/>
        <v>16000</v>
      </c>
      <c r="CF81" s="106">
        <v>3000.0</v>
      </c>
      <c r="CG81" s="79">
        <f t="shared" si="196"/>
        <v>13000</v>
      </c>
      <c r="CH81" s="106"/>
      <c r="CI81" s="79">
        <f t="shared" si="159"/>
        <v>13000</v>
      </c>
      <c r="CJ81" s="106"/>
      <c r="CK81" s="79">
        <f t="shared" si="169"/>
        <v>13000</v>
      </c>
      <c r="CL81" s="106"/>
      <c r="CM81" s="79">
        <f t="shared" si="161"/>
        <v>13000</v>
      </c>
      <c r="CN81" s="106"/>
      <c r="CO81" s="79">
        <f t="shared" si="184"/>
        <v>13000</v>
      </c>
      <c r="CP81" s="106">
        <v>5000.0</v>
      </c>
      <c r="CQ81" s="79">
        <f t="shared" si="197"/>
        <v>8000</v>
      </c>
      <c r="CR81" s="106">
        <v>3000.0</v>
      </c>
      <c r="CS81" s="79">
        <f t="shared" si="166"/>
        <v>5000</v>
      </c>
      <c r="CT81" s="24">
        <v>3000.0</v>
      </c>
      <c r="CU81" s="79">
        <f t="shared" si="185"/>
        <v>2000</v>
      </c>
      <c r="CV81" s="24">
        <v>2000.0</v>
      </c>
      <c r="CW81" s="79">
        <f t="shared" si="49"/>
        <v>0</v>
      </c>
      <c r="CX81" s="24"/>
      <c r="CY81" s="91"/>
      <c r="CZ81" s="79">
        <f t="shared" si="198"/>
        <v>0</v>
      </c>
      <c r="DA81" s="93"/>
      <c r="DB81" s="93">
        <f t="shared" si="199"/>
        <v>0</v>
      </c>
      <c r="DC81" s="96"/>
      <c r="DD81" s="93">
        <f t="shared" si="167"/>
        <v>0</v>
      </c>
      <c r="DE81" s="96"/>
      <c r="DF81" s="93">
        <f t="shared" si="121"/>
        <v>0</v>
      </c>
      <c r="DG81" s="96"/>
      <c r="DH81" s="93">
        <f t="shared" si="175"/>
        <v>0</v>
      </c>
      <c r="DI81" s="96"/>
      <c r="DJ81" s="93">
        <f t="shared" si="117"/>
        <v>0</v>
      </c>
      <c r="DK81" s="93"/>
      <c r="DL81" s="93">
        <f t="shared" si="187"/>
        <v>0</v>
      </c>
      <c r="DM81" s="100">
        <v>0.0</v>
      </c>
      <c r="DN81" s="93">
        <f t="shared" si="122"/>
        <v>0</v>
      </c>
      <c r="DO81" s="100">
        <v>0.0</v>
      </c>
      <c r="DP81" s="93">
        <f t="shared" si="118"/>
        <v>0</v>
      </c>
      <c r="DQ81" s="100">
        <v>0.0</v>
      </c>
      <c r="DR81" s="93">
        <f t="shared" si="188"/>
        <v>0</v>
      </c>
      <c r="DS81" s="100">
        <v>0.0</v>
      </c>
      <c r="DT81" s="93">
        <f t="shared" si="120"/>
        <v>0</v>
      </c>
      <c r="DU81" s="100">
        <v>0.0</v>
      </c>
      <c r="DV81" s="93">
        <f t="shared" si="61"/>
        <v>0</v>
      </c>
    </row>
    <row r="82">
      <c r="A82" s="7" t="s">
        <v>354</v>
      </c>
      <c r="B82" s="7" t="s">
        <v>355</v>
      </c>
      <c r="C82" s="76" t="str">
        <f t="array" ref="C82">_xlfn.XLOOKUP(A82,'Emp Master'!A:A,'Emp Master'!F:F)</f>
        <v>SNP</v>
      </c>
      <c r="D82" s="76" t="str">
        <f t="array" ref="D82">_xlfn.XLOOKUP(A82,'Emp Master'!A:A,'Emp Master'!D:D)</f>
        <v>Cutting</v>
      </c>
      <c r="E82" s="76" t="str">
        <f t="shared" si="123"/>
        <v>#REF!</v>
      </c>
      <c r="F82" s="76">
        <v>5000.0</v>
      </c>
      <c r="G82" s="79">
        <v>30000.0</v>
      </c>
      <c r="H82" s="80">
        <v>5000.0</v>
      </c>
      <c r="I82" s="79">
        <f t="shared" si="124"/>
        <v>25000</v>
      </c>
      <c r="J82" s="80">
        <v>5000.0</v>
      </c>
      <c r="K82" s="79">
        <f t="shared" si="176"/>
        <v>20000</v>
      </c>
      <c r="L82" s="80">
        <v>5000.0</v>
      </c>
      <c r="M82" s="79">
        <f t="shared" si="189"/>
        <v>15000</v>
      </c>
      <c r="N82" s="80">
        <v>5000.0</v>
      </c>
      <c r="O82" s="79">
        <f t="shared" si="200"/>
        <v>10000</v>
      </c>
      <c r="P82" s="80">
        <v>5000.0</v>
      </c>
      <c r="Q82" s="79">
        <f t="shared" si="128"/>
        <v>5000</v>
      </c>
      <c r="R82" s="106">
        <v>5000.0</v>
      </c>
      <c r="S82" s="79">
        <f t="shared" ref="S82:S92" si="205">Q82-R82</f>
        <v>0</v>
      </c>
      <c r="T82" s="1"/>
      <c r="U82" s="79">
        <f>S82-T82+50000</f>
        <v>50000</v>
      </c>
      <c r="V82" s="106">
        <v>5000.0</v>
      </c>
      <c r="W82" s="79">
        <f t="shared" si="131"/>
        <v>45000</v>
      </c>
      <c r="X82" s="106">
        <v>5000.0</v>
      </c>
      <c r="Y82" s="79">
        <f t="shared" si="132"/>
        <v>40000</v>
      </c>
      <c r="Z82" s="106">
        <v>5000.0</v>
      </c>
      <c r="AA82" s="79">
        <f t="shared" si="133"/>
        <v>35000</v>
      </c>
      <c r="AB82" s="106">
        <v>5000.0</v>
      </c>
      <c r="AC82" s="79">
        <f t="shared" si="171"/>
        <v>30000</v>
      </c>
      <c r="AD82" s="106"/>
      <c r="AE82" s="79">
        <f t="shared" si="201"/>
        <v>30000</v>
      </c>
      <c r="AF82" s="106">
        <v>5000.0</v>
      </c>
      <c r="AG82" s="79">
        <f t="shared" si="162"/>
        <v>25000</v>
      </c>
      <c r="AH82" s="106">
        <v>5000.0</v>
      </c>
      <c r="AI82" s="79">
        <f t="shared" si="136"/>
        <v>20000</v>
      </c>
      <c r="AJ82" s="106"/>
      <c r="AK82" s="79">
        <f>AI82-AJ82+50000</f>
        <v>70000</v>
      </c>
      <c r="AL82" s="106">
        <v>5000.0</v>
      </c>
      <c r="AM82" s="79">
        <f>AK82-AL82+1320</f>
        <v>66320</v>
      </c>
      <c r="AN82" s="106">
        <v>5000.0</v>
      </c>
      <c r="AO82" s="79">
        <f t="shared" ref="AO82:AO92" si="206">AM82-AN82</f>
        <v>61320</v>
      </c>
      <c r="AP82" s="106">
        <v>5000.0</v>
      </c>
      <c r="AQ82" s="79">
        <f t="shared" si="204"/>
        <v>56320</v>
      </c>
      <c r="AR82" s="106">
        <v>6320.0</v>
      </c>
      <c r="AS82" s="79">
        <f t="shared" si="141"/>
        <v>50000</v>
      </c>
      <c r="AT82" s="106">
        <v>5000.0</v>
      </c>
      <c r="AU82" s="79">
        <f t="shared" si="193"/>
        <v>45000</v>
      </c>
      <c r="AV82" s="106">
        <v>5000.0</v>
      </c>
      <c r="AW82" s="79">
        <f t="shared" si="143"/>
        <v>40000</v>
      </c>
      <c r="AX82" s="106">
        <v>5000.0</v>
      </c>
      <c r="AY82" s="79">
        <f t="shared" si="178"/>
        <v>35000</v>
      </c>
      <c r="AZ82" s="106">
        <v>5000.0</v>
      </c>
      <c r="BA82" s="79">
        <f t="shared" si="194"/>
        <v>30000</v>
      </c>
      <c r="BB82" s="106">
        <v>5000.0</v>
      </c>
      <c r="BC82" s="79">
        <f t="shared" ref="BC82:BC92" si="207">BA82-BB82</f>
        <v>25000</v>
      </c>
      <c r="BD82" s="106">
        <v>5000.0</v>
      </c>
      <c r="BE82" s="79">
        <f t="shared" si="202"/>
        <v>20000</v>
      </c>
      <c r="BF82" s="106">
        <v>5000.0</v>
      </c>
      <c r="BG82" s="79">
        <f t="shared" si="203"/>
        <v>15000</v>
      </c>
      <c r="BH82" s="106">
        <v>5000.0</v>
      </c>
      <c r="BI82" s="79">
        <f t="shared" si="148"/>
        <v>10000</v>
      </c>
      <c r="BJ82" s="106">
        <v>5000.0</v>
      </c>
      <c r="BK82" s="79">
        <f t="shared" si="149"/>
        <v>5000</v>
      </c>
      <c r="BL82" s="106">
        <v>5000.0</v>
      </c>
      <c r="BM82" s="79">
        <f t="shared" si="181"/>
        <v>0</v>
      </c>
      <c r="BN82" s="1"/>
      <c r="BO82" s="79">
        <f t="shared" si="164"/>
        <v>0</v>
      </c>
      <c r="BP82" s="1"/>
      <c r="BQ82" s="79">
        <f t="shared" ref="BQ82:BQ92" si="208">BO82-BP82</f>
        <v>0</v>
      </c>
      <c r="BR82" s="1"/>
      <c r="BS82" s="79">
        <f t="shared" si="174"/>
        <v>0</v>
      </c>
      <c r="BT82" s="1"/>
      <c r="BU82" s="79">
        <f t="shared" si="153"/>
        <v>0</v>
      </c>
      <c r="BV82" s="1"/>
      <c r="BW82" s="79">
        <f t="shared" si="154"/>
        <v>0</v>
      </c>
      <c r="BX82" s="1"/>
      <c r="BY82" s="79">
        <f t="shared" si="155"/>
        <v>0</v>
      </c>
      <c r="BZ82" s="1"/>
      <c r="CA82" s="80">
        <f>BY82-BZ82+70000</f>
        <v>70000</v>
      </c>
      <c r="CB82" s="106">
        <v>10000.0</v>
      </c>
      <c r="CC82" s="79">
        <f t="shared" si="165"/>
        <v>60000</v>
      </c>
      <c r="CD82" s="106">
        <v>10000.0</v>
      </c>
      <c r="CE82" s="79">
        <f t="shared" si="183"/>
        <v>50000</v>
      </c>
      <c r="CF82" s="106">
        <v>10000.0</v>
      </c>
      <c r="CG82" s="79">
        <f t="shared" si="196"/>
        <v>40000</v>
      </c>
      <c r="CH82" s="106"/>
      <c r="CI82" s="79">
        <f t="shared" si="159"/>
        <v>40000</v>
      </c>
      <c r="CJ82" s="106">
        <v>5000.0</v>
      </c>
      <c r="CK82" s="79">
        <f t="shared" si="169"/>
        <v>35000</v>
      </c>
      <c r="CL82" s="106">
        <v>5000.0</v>
      </c>
      <c r="CM82" s="79">
        <f t="shared" si="161"/>
        <v>30000</v>
      </c>
      <c r="CN82" s="106">
        <v>5000.0</v>
      </c>
      <c r="CO82" s="79">
        <f t="shared" si="184"/>
        <v>25000</v>
      </c>
      <c r="CP82" s="106">
        <v>5000.0</v>
      </c>
      <c r="CQ82" s="79">
        <f t="shared" si="197"/>
        <v>20000</v>
      </c>
      <c r="CR82" s="106">
        <v>0.0</v>
      </c>
      <c r="CS82" s="79">
        <f t="shared" si="166"/>
        <v>20000</v>
      </c>
      <c r="CT82" s="24">
        <v>0.0</v>
      </c>
      <c r="CU82" s="79">
        <f t="shared" si="185"/>
        <v>20000</v>
      </c>
      <c r="CV82" s="24">
        <v>5000.0</v>
      </c>
      <c r="CW82" s="79">
        <f t="shared" si="49"/>
        <v>15000</v>
      </c>
      <c r="CX82" s="24"/>
      <c r="CY82" s="91">
        <v>15000.0</v>
      </c>
      <c r="CZ82" s="79">
        <f>CW82-CX82-CY82</f>
        <v>0</v>
      </c>
      <c r="DA82" s="93"/>
      <c r="DB82" s="93">
        <f t="shared" si="199"/>
        <v>0</v>
      </c>
      <c r="DC82" s="96"/>
      <c r="DD82" s="93">
        <f t="shared" si="167"/>
        <v>0</v>
      </c>
      <c r="DE82" s="96"/>
      <c r="DF82" s="93">
        <f t="shared" si="121"/>
        <v>0</v>
      </c>
      <c r="DG82" s="96"/>
      <c r="DH82" s="93">
        <f t="shared" si="175"/>
        <v>0</v>
      </c>
      <c r="DI82" s="96"/>
      <c r="DJ82" s="93">
        <f t="shared" si="117"/>
        <v>0</v>
      </c>
      <c r="DK82" s="93"/>
      <c r="DL82" s="93">
        <f t="shared" si="187"/>
        <v>0</v>
      </c>
      <c r="DM82" s="100">
        <v>0.0</v>
      </c>
      <c r="DN82" s="93">
        <f t="shared" si="122"/>
        <v>0</v>
      </c>
      <c r="DO82" s="100">
        <v>0.0</v>
      </c>
      <c r="DP82" s="93">
        <f t="shared" si="118"/>
        <v>0</v>
      </c>
      <c r="DQ82" s="100">
        <v>0.0</v>
      </c>
      <c r="DR82" s="93">
        <f t="shared" si="188"/>
        <v>0</v>
      </c>
      <c r="DS82" s="100">
        <v>0.0</v>
      </c>
      <c r="DT82" s="93">
        <f t="shared" si="120"/>
        <v>0</v>
      </c>
      <c r="DU82" s="100">
        <v>0.0</v>
      </c>
      <c r="DV82" s="93">
        <f t="shared" si="61"/>
        <v>0</v>
      </c>
    </row>
    <row r="83">
      <c r="A83" s="7" t="s">
        <v>880</v>
      </c>
      <c r="B83" s="7" t="s">
        <v>881</v>
      </c>
      <c r="C83" s="76" t="str">
        <f t="array" ref="C83">_xlfn.XLOOKUP(A83,'Emp Master'!A:A,'Emp Master'!F:F)</f>
        <v>#N/A</v>
      </c>
      <c r="D83" s="76" t="str">
        <f t="array" ref="D83">_xlfn.XLOOKUP(A83,'Emp Master'!A:A,'Emp Master'!D:D)</f>
        <v>#N/A</v>
      </c>
      <c r="E83" s="76" t="str">
        <f t="shared" si="123"/>
        <v>#REF!</v>
      </c>
      <c r="F83" s="76"/>
      <c r="G83" s="79"/>
      <c r="H83" s="80"/>
      <c r="I83" s="79">
        <f t="shared" si="124"/>
        <v>0</v>
      </c>
      <c r="J83" s="80"/>
      <c r="K83" s="79">
        <f t="shared" si="176"/>
        <v>0</v>
      </c>
      <c r="L83" s="80"/>
      <c r="M83" s="79">
        <f t="shared" si="189"/>
        <v>0</v>
      </c>
      <c r="N83" s="80"/>
      <c r="O83" s="79">
        <f t="shared" si="200"/>
        <v>0</v>
      </c>
      <c r="P83" s="80"/>
      <c r="Q83" s="79">
        <f t="shared" si="128"/>
        <v>0</v>
      </c>
      <c r="R83" s="1"/>
      <c r="S83" s="79">
        <f t="shared" si="205"/>
        <v>0</v>
      </c>
      <c r="T83" s="1"/>
      <c r="U83" s="79">
        <f t="shared" ref="U83:U92" si="209">S83-T83</f>
        <v>0</v>
      </c>
      <c r="V83" s="1"/>
      <c r="W83" s="79">
        <f t="shared" si="131"/>
        <v>0</v>
      </c>
      <c r="X83" s="1"/>
      <c r="Y83" s="79">
        <f t="shared" si="132"/>
        <v>0</v>
      </c>
      <c r="Z83" s="1"/>
      <c r="AA83" s="79">
        <f t="shared" si="133"/>
        <v>0</v>
      </c>
      <c r="AB83" s="1"/>
      <c r="AC83" s="79">
        <f t="shared" si="171"/>
        <v>0</v>
      </c>
      <c r="AD83" s="1"/>
      <c r="AE83" s="79">
        <f t="shared" si="201"/>
        <v>0</v>
      </c>
      <c r="AF83" s="1"/>
      <c r="AG83" s="79">
        <f t="shared" si="162"/>
        <v>0</v>
      </c>
      <c r="AH83" s="1"/>
      <c r="AI83" s="79">
        <f t="shared" si="136"/>
        <v>0</v>
      </c>
      <c r="AJ83" s="1"/>
      <c r="AK83" s="79">
        <f t="shared" ref="AK83:AK92" si="210">AI83-AJ83</f>
        <v>0</v>
      </c>
      <c r="AL83" s="1"/>
      <c r="AM83" s="79">
        <f t="shared" ref="AM83:AM92" si="211">AK83-AL83</f>
        <v>0</v>
      </c>
      <c r="AN83" s="1"/>
      <c r="AO83" s="79">
        <f t="shared" si="206"/>
        <v>0</v>
      </c>
      <c r="AP83" s="1"/>
      <c r="AQ83" s="79">
        <f t="shared" si="204"/>
        <v>0</v>
      </c>
      <c r="AR83" s="1"/>
      <c r="AS83" s="79">
        <f t="shared" si="141"/>
        <v>0</v>
      </c>
      <c r="AT83" s="1"/>
      <c r="AU83" s="79">
        <f t="shared" si="193"/>
        <v>0</v>
      </c>
      <c r="AV83" s="1"/>
      <c r="AW83" s="79">
        <f t="shared" si="143"/>
        <v>0</v>
      </c>
      <c r="AX83" s="1"/>
      <c r="AY83" s="79">
        <f t="shared" si="178"/>
        <v>0</v>
      </c>
      <c r="AZ83" s="1"/>
      <c r="BA83" s="79">
        <f t="shared" si="194"/>
        <v>0</v>
      </c>
      <c r="BB83" s="1"/>
      <c r="BC83" s="79">
        <f t="shared" si="207"/>
        <v>0</v>
      </c>
      <c r="BD83" s="1"/>
      <c r="BE83" s="79">
        <f t="shared" si="202"/>
        <v>0</v>
      </c>
      <c r="BF83" s="1"/>
      <c r="BG83" s="79">
        <f t="shared" si="203"/>
        <v>0</v>
      </c>
      <c r="BH83" s="1"/>
      <c r="BI83" s="79">
        <f t="shared" si="148"/>
        <v>0</v>
      </c>
      <c r="BJ83" s="1"/>
      <c r="BK83" s="79">
        <f t="shared" si="149"/>
        <v>0</v>
      </c>
      <c r="BL83" s="1"/>
      <c r="BM83" s="79">
        <f t="shared" si="181"/>
        <v>0</v>
      </c>
      <c r="BN83" s="1"/>
      <c r="BO83" s="79">
        <f t="shared" si="164"/>
        <v>0</v>
      </c>
      <c r="BP83" s="1"/>
      <c r="BQ83" s="79">
        <f t="shared" si="208"/>
        <v>0</v>
      </c>
      <c r="BR83" s="1"/>
      <c r="BS83" s="79">
        <f t="shared" si="174"/>
        <v>0</v>
      </c>
      <c r="BT83" s="1"/>
      <c r="BU83" s="79">
        <f t="shared" si="153"/>
        <v>0</v>
      </c>
      <c r="BV83" s="1"/>
      <c r="BW83" s="79">
        <f t="shared" si="154"/>
        <v>0</v>
      </c>
      <c r="BX83" s="1"/>
      <c r="BY83" s="79">
        <f t="shared" si="155"/>
        <v>0</v>
      </c>
      <c r="BZ83" s="1"/>
      <c r="CA83" s="79">
        <f t="shared" ref="CA83:CA92" si="212">BY83-BZ83</f>
        <v>0</v>
      </c>
      <c r="CB83" s="1"/>
      <c r="CC83" s="79">
        <f t="shared" si="165"/>
        <v>0</v>
      </c>
      <c r="CD83" s="1"/>
      <c r="CE83" s="79">
        <f t="shared" si="183"/>
        <v>0</v>
      </c>
      <c r="CF83" s="1"/>
      <c r="CG83" s="79">
        <f t="shared" si="196"/>
        <v>0</v>
      </c>
      <c r="CH83" s="1"/>
      <c r="CI83" s="79">
        <f t="shared" si="159"/>
        <v>0</v>
      </c>
      <c r="CJ83" s="1"/>
      <c r="CK83" s="79">
        <f t="shared" si="169"/>
        <v>0</v>
      </c>
      <c r="CL83" s="1"/>
      <c r="CM83" s="79">
        <f t="shared" si="161"/>
        <v>0</v>
      </c>
      <c r="CN83" s="1"/>
      <c r="CO83" s="79">
        <f t="shared" si="184"/>
        <v>0</v>
      </c>
      <c r="CP83" s="1"/>
      <c r="CQ83" s="79">
        <f t="shared" si="197"/>
        <v>0</v>
      </c>
      <c r="CR83" s="1"/>
      <c r="CS83" s="79">
        <f t="shared" si="166"/>
        <v>0</v>
      </c>
      <c r="CT83" s="79"/>
      <c r="CU83" s="79">
        <f t="shared" si="185"/>
        <v>0</v>
      </c>
      <c r="CV83" s="79"/>
      <c r="CW83" s="79">
        <f t="shared" si="49"/>
        <v>0</v>
      </c>
      <c r="CX83" s="79"/>
      <c r="CY83" s="91"/>
      <c r="CZ83" s="79">
        <f t="shared" ref="CZ83:CZ92" si="213">CW83-CX83</f>
        <v>0</v>
      </c>
      <c r="DA83" s="93"/>
      <c r="DB83" s="93">
        <f t="shared" si="199"/>
        <v>0</v>
      </c>
      <c r="DC83" s="96"/>
      <c r="DD83" s="93">
        <f t="shared" si="167"/>
        <v>0</v>
      </c>
      <c r="DE83" s="96"/>
      <c r="DF83" s="93">
        <f t="shared" si="121"/>
        <v>0</v>
      </c>
      <c r="DG83" s="96"/>
      <c r="DH83" s="93">
        <f t="shared" si="175"/>
        <v>0</v>
      </c>
      <c r="DI83" s="96"/>
      <c r="DJ83" s="93">
        <f t="shared" si="117"/>
        <v>0</v>
      </c>
      <c r="DK83" s="93"/>
      <c r="DL83" s="93">
        <f t="shared" si="187"/>
        <v>0</v>
      </c>
      <c r="DM83" s="100">
        <v>0.0</v>
      </c>
      <c r="DN83" s="93">
        <f t="shared" si="122"/>
        <v>0</v>
      </c>
      <c r="DO83" s="100">
        <v>0.0</v>
      </c>
      <c r="DP83" s="93">
        <f t="shared" si="118"/>
        <v>0</v>
      </c>
      <c r="DQ83" s="100">
        <v>0.0</v>
      </c>
      <c r="DR83" s="93">
        <f t="shared" si="188"/>
        <v>0</v>
      </c>
      <c r="DS83" s="100">
        <v>0.0</v>
      </c>
      <c r="DT83" s="93">
        <f t="shared" si="120"/>
        <v>0</v>
      </c>
      <c r="DU83" s="100">
        <v>0.0</v>
      </c>
      <c r="DV83" s="93">
        <f t="shared" si="61"/>
        <v>0</v>
      </c>
    </row>
    <row r="84">
      <c r="A84" s="7" t="s">
        <v>357</v>
      </c>
      <c r="B84" s="7" t="s">
        <v>358</v>
      </c>
      <c r="C84" s="76" t="str">
        <f t="array" ref="C84">_xlfn.XLOOKUP(A84,'Emp Master'!A:A,'Emp Master'!F:F)</f>
        <v>DEL</v>
      </c>
      <c r="D84" s="76" t="str">
        <f t="array" ref="D84">_xlfn.XLOOKUP(A84,'Emp Master'!A:A,'Emp Master'!D:D)</f>
        <v>Management</v>
      </c>
      <c r="E84" s="76" t="str">
        <f t="shared" si="123"/>
        <v>#REF!</v>
      </c>
      <c r="F84" s="76"/>
      <c r="G84" s="79"/>
      <c r="H84" s="80"/>
      <c r="I84" s="79">
        <f t="shared" si="124"/>
        <v>0</v>
      </c>
      <c r="J84" s="80"/>
      <c r="K84" s="79">
        <f t="shared" si="176"/>
        <v>0</v>
      </c>
      <c r="L84" s="80"/>
      <c r="M84" s="79">
        <f t="shared" si="189"/>
        <v>0</v>
      </c>
      <c r="N84" s="80"/>
      <c r="O84" s="79">
        <f t="shared" si="200"/>
        <v>0</v>
      </c>
      <c r="P84" s="80"/>
      <c r="Q84" s="79">
        <f t="shared" si="128"/>
        <v>0</v>
      </c>
      <c r="R84" s="1"/>
      <c r="S84" s="79">
        <f t="shared" si="205"/>
        <v>0</v>
      </c>
      <c r="T84" s="1"/>
      <c r="U84" s="79">
        <f t="shared" si="209"/>
        <v>0</v>
      </c>
      <c r="V84" s="1"/>
      <c r="W84" s="79">
        <f t="shared" si="131"/>
        <v>0</v>
      </c>
      <c r="X84" s="1"/>
      <c r="Y84" s="79">
        <f t="shared" si="132"/>
        <v>0</v>
      </c>
      <c r="Z84" s="1"/>
      <c r="AA84" s="79">
        <f t="shared" si="133"/>
        <v>0</v>
      </c>
      <c r="AB84" s="1"/>
      <c r="AC84" s="79">
        <f t="shared" si="171"/>
        <v>0</v>
      </c>
      <c r="AD84" s="1"/>
      <c r="AE84" s="79">
        <f t="shared" si="201"/>
        <v>0</v>
      </c>
      <c r="AF84" s="1"/>
      <c r="AG84" s="79">
        <f t="shared" si="162"/>
        <v>0</v>
      </c>
      <c r="AH84" s="1"/>
      <c r="AI84" s="79">
        <f t="shared" si="136"/>
        <v>0</v>
      </c>
      <c r="AJ84" s="1"/>
      <c r="AK84" s="79">
        <f t="shared" si="210"/>
        <v>0</v>
      </c>
      <c r="AL84" s="1"/>
      <c r="AM84" s="79">
        <f t="shared" si="211"/>
        <v>0</v>
      </c>
      <c r="AN84" s="1"/>
      <c r="AO84" s="79">
        <f t="shared" si="206"/>
        <v>0</v>
      </c>
      <c r="AP84" s="1"/>
      <c r="AQ84" s="79">
        <f t="shared" si="204"/>
        <v>0</v>
      </c>
      <c r="AR84" s="1"/>
      <c r="AS84" s="79">
        <f t="shared" si="141"/>
        <v>0</v>
      </c>
      <c r="AT84" s="1"/>
      <c r="AU84" s="79">
        <f t="shared" si="193"/>
        <v>0</v>
      </c>
      <c r="AV84" s="1"/>
      <c r="AW84" s="79">
        <f t="shared" si="143"/>
        <v>0</v>
      </c>
      <c r="AX84" s="1"/>
      <c r="AY84" s="79">
        <f t="shared" si="178"/>
        <v>0</v>
      </c>
      <c r="AZ84" s="1"/>
      <c r="BA84" s="79">
        <f t="shared" si="194"/>
        <v>0</v>
      </c>
      <c r="BB84" s="1"/>
      <c r="BC84" s="79">
        <f t="shared" si="207"/>
        <v>0</v>
      </c>
      <c r="BD84" s="1"/>
      <c r="BE84" s="79">
        <f t="shared" si="202"/>
        <v>0</v>
      </c>
      <c r="BF84" s="1"/>
      <c r="BG84" s="79">
        <f t="shared" si="203"/>
        <v>0</v>
      </c>
      <c r="BH84" s="1"/>
      <c r="BI84" s="79">
        <f t="shared" si="148"/>
        <v>0</v>
      </c>
      <c r="BJ84" s="1"/>
      <c r="BK84" s="79">
        <f t="shared" si="149"/>
        <v>0</v>
      </c>
      <c r="BL84" s="1"/>
      <c r="BM84" s="79">
        <f t="shared" si="181"/>
        <v>0</v>
      </c>
      <c r="BN84" s="1"/>
      <c r="BO84" s="79">
        <f t="shared" si="164"/>
        <v>0</v>
      </c>
      <c r="BP84" s="1"/>
      <c r="BQ84" s="79">
        <f t="shared" si="208"/>
        <v>0</v>
      </c>
      <c r="BR84" s="1"/>
      <c r="BS84" s="79">
        <f t="shared" si="174"/>
        <v>0</v>
      </c>
      <c r="BT84" s="1"/>
      <c r="BU84" s="79">
        <f t="shared" si="153"/>
        <v>0</v>
      </c>
      <c r="BV84" s="1"/>
      <c r="BW84" s="79">
        <f t="shared" si="154"/>
        <v>0</v>
      </c>
      <c r="BX84" s="1"/>
      <c r="BY84" s="79">
        <f t="shared" si="155"/>
        <v>0</v>
      </c>
      <c r="BZ84" s="1"/>
      <c r="CA84" s="79">
        <f t="shared" si="212"/>
        <v>0</v>
      </c>
      <c r="CB84" s="1"/>
      <c r="CC84" s="79">
        <f t="shared" si="165"/>
        <v>0</v>
      </c>
      <c r="CD84" s="1"/>
      <c r="CE84" s="79">
        <f t="shared" si="183"/>
        <v>0</v>
      </c>
      <c r="CF84" s="1"/>
      <c r="CG84" s="79">
        <f t="shared" si="196"/>
        <v>0</v>
      </c>
      <c r="CH84" s="1"/>
      <c r="CI84" s="79">
        <f t="shared" si="159"/>
        <v>0</v>
      </c>
      <c r="CJ84" s="1"/>
      <c r="CK84" s="79">
        <f t="shared" si="169"/>
        <v>0</v>
      </c>
      <c r="CL84" s="1"/>
      <c r="CM84" s="79">
        <f t="shared" si="161"/>
        <v>0</v>
      </c>
      <c r="CN84" s="1"/>
      <c r="CO84" s="79">
        <f t="shared" si="184"/>
        <v>0</v>
      </c>
      <c r="CP84" s="1"/>
      <c r="CQ84" s="79">
        <f t="shared" si="197"/>
        <v>0</v>
      </c>
      <c r="CR84" s="1"/>
      <c r="CS84" s="79">
        <f t="shared" si="166"/>
        <v>0</v>
      </c>
      <c r="CT84" s="79"/>
      <c r="CU84" s="79">
        <f t="shared" si="185"/>
        <v>0</v>
      </c>
      <c r="CV84" s="79"/>
      <c r="CW84" s="79">
        <f t="shared" si="49"/>
        <v>0</v>
      </c>
      <c r="CX84" s="79"/>
      <c r="CY84" s="91"/>
      <c r="CZ84" s="79">
        <f t="shared" si="213"/>
        <v>0</v>
      </c>
      <c r="DA84" s="93"/>
      <c r="DB84" s="93">
        <f t="shared" si="199"/>
        <v>0</v>
      </c>
      <c r="DC84" s="96"/>
      <c r="DD84" s="93">
        <f t="shared" si="167"/>
        <v>0</v>
      </c>
      <c r="DE84" s="96"/>
      <c r="DF84" s="93">
        <f t="shared" si="121"/>
        <v>0</v>
      </c>
      <c r="DG84" s="96"/>
      <c r="DH84" s="93">
        <f t="shared" si="175"/>
        <v>0</v>
      </c>
      <c r="DI84" s="96"/>
      <c r="DJ84" s="93">
        <f t="shared" si="117"/>
        <v>0</v>
      </c>
      <c r="DK84" s="93"/>
      <c r="DL84" s="93">
        <f t="shared" si="187"/>
        <v>0</v>
      </c>
      <c r="DM84" s="100">
        <v>0.0</v>
      </c>
      <c r="DN84" s="93">
        <f t="shared" si="122"/>
        <v>0</v>
      </c>
      <c r="DO84" s="100">
        <v>0.0</v>
      </c>
      <c r="DP84" s="93">
        <f t="shared" si="118"/>
        <v>0</v>
      </c>
      <c r="DQ84" s="100">
        <v>0.0</v>
      </c>
      <c r="DR84" s="93">
        <f t="shared" si="188"/>
        <v>0</v>
      </c>
      <c r="DS84" s="100">
        <v>0.0</v>
      </c>
      <c r="DT84" s="93">
        <f t="shared" si="120"/>
        <v>0</v>
      </c>
      <c r="DU84" s="100">
        <v>0.0</v>
      </c>
      <c r="DV84" s="93">
        <f t="shared" si="61"/>
        <v>0</v>
      </c>
    </row>
    <row r="85">
      <c r="A85" s="7" t="s">
        <v>882</v>
      </c>
      <c r="B85" s="7" t="s">
        <v>204</v>
      </c>
      <c r="C85" s="76" t="str">
        <f t="array" ref="C85">_xlfn.XLOOKUP(A85,'Emp Master'!A:A,'Emp Master'!F:F)</f>
        <v>#N/A</v>
      </c>
      <c r="D85" s="76" t="str">
        <f t="array" ref="D85">_xlfn.XLOOKUP(A85,'Emp Master'!A:A,'Emp Master'!D:D)</f>
        <v>#N/A</v>
      </c>
      <c r="E85" s="76" t="str">
        <f t="shared" si="123"/>
        <v>#REF!</v>
      </c>
      <c r="F85" s="76"/>
      <c r="G85" s="79"/>
      <c r="H85" s="80"/>
      <c r="I85" s="79">
        <f t="shared" si="124"/>
        <v>0</v>
      </c>
      <c r="J85" s="80"/>
      <c r="K85" s="79">
        <f t="shared" si="176"/>
        <v>0</v>
      </c>
      <c r="L85" s="80"/>
      <c r="M85" s="79">
        <f t="shared" si="189"/>
        <v>0</v>
      </c>
      <c r="N85" s="80"/>
      <c r="O85" s="79">
        <f t="shared" si="200"/>
        <v>0</v>
      </c>
      <c r="P85" s="80"/>
      <c r="Q85" s="79">
        <f t="shared" si="128"/>
        <v>0</v>
      </c>
      <c r="R85" s="1"/>
      <c r="S85" s="79">
        <f t="shared" si="205"/>
        <v>0</v>
      </c>
      <c r="T85" s="1"/>
      <c r="U85" s="79">
        <f t="shared" si="209"/>
        <v>0</v>
      </c>
      <c r="V85" s="1"/>
      <c r="W85" s="79">
        <f t="shared" si="131"/>
        <v>0</v>
      </c>
      <c r="X85" s="1"/>
      <c r="Y85" s="79">
        <f t="shared" si="132"/>
        <v>0</v>
      </c>
      <c r="Z85" s="1"/>
      <c r="AA85" s="79">
        <f t="shared" si="133"/>
        <v>0</v>
      </c>
      <c r="AB85" s="1"/>
      <c r="AC85" s="79">
        <f t="shared" si="171"/>
        <v>0</v>
      </c>
      <c r="AD85" s="1"/>
      <c r="AE85" s="79">
        <f t="shared" si="201"/>
        <v>0</v>
      </c>
      <c r="AF85" s="1"/>
      <c r="AG85" s="79">
        <f t="shared" si="162"/>
        <v>0</v>
      </c>
      <c r="AH85" s="1"/>
      <c r="AI85" s="79">
        <f t="shared" si="136"/>
        <v>0</v>
      </c>
      <c r="AJ85" s="1"/>
      <c r="AK85" s="79">
        <f t="shared" si="210"/>
        <v>0</v>
      </c>
      <c r="AL85" s="1"/>
      <c r="AM85" s="79">
        <f t="shared" si="211"/>
        <v>0</v>
      </c>
      <c r="AN85" s="1"/>
      <c r="AO85" s="79">
        <f t="shared" si="206"/>
        <v>0</v>
      </c>
      <c r="AP85" s="1"/>
      <c r="AQ85" s="79">
        <f t="shared" si="204"/>
        <v>0</v>
      </c>
      <c r="AR85" s="1"/>
      <c r="AS85" s="79">
        <f t="shared" si="141"/>
        <v>0</v>
      </c>
      <c r="AT85" s="1"/>
      <c r="AU85" s="79">
        <f t="shared" si="193"/>
        <v>0</v>
      </c>
      <c r="AV85" s="1"/>
      <c r="AW85" s="79">
        <f t="shared" si="143"/>
        <v>0</v>
      </c>
      <c r="AX85" s="1"/>
      <c r="AY85" s="79">
        <f t="shared" si="178"/>
        <v>0</v>
      </c>
      <c r="AZ85" s="1"/>
      <c r="BA85" s="79">
        <f t="shared" si="194"/>
        <v>0</v>
      </c>
      <c r="BB85" s="1"/>
      <c r="BC85" s="79">
        <f t="shared" si="207"/>
        <v>0</v>
      </c>
      <c r="BD85" s="1"/>
      <c r="BE85" s="79">
        <f t="shared" si="202"/>
        <v>0</v>
      </c>
      <c r="BF85" s="1"/>
      <c r="BG85" s="79">
        <f t="shared" si="203"/>
        <v>0</v>
      </c>
      <c r="BH85" s="1"/>
      <c r="BI85" s="79">
        <f t="shared" si="148"/>
        <v>0</v>
      </c>
      <c r="BJ85" s="1"/>
      <c r="BK85" s="79">
        <f t="shared" si="149"/>
        <v>0</v>
      </c>
      <c r="BL85" s="1"/>
      <c r="BM85" s="79">
        <f t="shared" si="181"/>
        <v>0</v>
      </c>
      <c r="BN85" s="1"/>
      <c r="BO85" s="79">
        <f t="shared" si="164"/>
        <v>0</v>
      </c>
      <c r="BP85" s="1"/>
      <c r="BQ85" s="79">
        <f t="shared" si="208"/>
        <v>0</v>
      </c>
      <c r="BR85" s="1"/>
      <c r="BS85" s="79">
        <f t="shared" si="174"/>
        <v>0</v>
      </c>
      <c r="BT85" s="1"/>
      <c r="BU85" s="79">
        <f t="shared" si="153"/>
        <v>0</v>
      </c>
      <c r="BV85" s="1"/>
      <c r="BW85" s="79">
        <f t="shared" si="154"/>
        <v>0</v>
      </c>
      <c r="BX85" s="1"/>
      <c r="BY85" s="79">
        <f t="shared" si="155"/>
        <v>0</v>
      </c>
      <c r="BZ85" s="1"/>
      <c r="CA85" s="79">
        <f t="shared" si="212"/>
        <v>0</v>
      </c>
      <c r="CB85" s="1"/>
      <c r="CC85" s="79">
        <f t="shared" si="165"/>
        <v>0</v>
      </c>
      <c r="CD85" s="1"/>
      <c r="CE85" s="79">
        <f t="shared" si="183"/>
        <v>0</v>
      </c>
      <c r="CF85" s="1"/>
      <c r="CG85" s="79">
        <f t="shared" si="196"/>
        <v>0</v>
      </c>
      <c r="CH85" s="1"/>
      <c r="CI85" s="79">
        <f t="shared" si="159"/>
        <v>0</v>
      </c>
      <c r="CJ85" s="1"/>
      <c r="CK85" s="79">
        <f t="shared" si="169"/>
        <v>0</v>
      </c>
      <c r="CL85" s="1"/>
      <c r="CM85" s="79">
        <f t="shared" si="161"/>
        <v>0</v>
      </c>
      <c r="CN85" s="1"/>
      <c r="CO85" s="79">
        <f t="shared" si="184"/>
        <v>0</v>
      </c>
      <c r="CP85" s="1"/>
      <c r="CQ85" s="79">
        <f t="shared" si="197"/>
        <v>0</v>
      </c>
      <c r="CR85" s="1"/>
      <c r="CS85" s="79">
        <f t="shared" si="166"/>
        <v>0</v>
      </c>
      <c r="CT85" s="79"/>
      <c r="CU85" s="79">
        <f t="shared" si="185"/>
        <v>0</v>
      </c>
      <c r="CV85" s="79"/>
      <c r="CW85" s="79">
        <f t="shared" si="49"/>
        <v>0</v>
      </c>
      <c r="CX85" s="79"/>
      <c r="CY85" s="91"/>
      <c r="CZ85" s="79">
        <f t="shared" si="213"/>
        <v>0</v>
      </c>
      <c r="DA85" s="93"/>
      <c r="DB85" s="93">
        <f t="shared" si="199"/>
        <v>0</v>
      </c>
      <c r="DC85" s="96"/>
      <c r="DD85" s="93">
        <f t="shared" si="167"/>
        <v>0</v>
      </c>
      <c r="DE85" s="96"/>
      <c r="DF85" s="93">
        <f t="shared" si="121"/>
        <v>0</v>
      </c>
      <c r="DG85" s="96"/>
      <c r="DH85" s="93">
        <f t="shared" si="175"/>
        <v>0</v>
      </c>
      <c r="DI85" s="96"/>
      <c r="DJ85" s="93">
        <f t="shared" si="117"/>
        <v>0</v>
      </c>
      <c r="DK85" s="93"/>
      <c r="DL85" s="93">
        <f t="shared" si="187"/>
        <v>0</v>
      </c>
      <c r="DM85" s="100">
        <v>0.0</v>
      </c>
      <c r="DN85" s="93">
        <f t="shared" si="122"/>
        <v>0</v>
      </c>
      <c r="DO85" s="100">
        <v>0.0</v>
      </c>
      <c r="DP85" s="93">
        <f t="shared" si="118"/>
        <v>0</v>
      </c>
      <c r="DQ85" s="100">
        <v>0.0</v>
      </c>
      <c r="DR85" s="93">
        <f t="shared" si="188"/>
        <v>0</v>
      </c>
      <c r="DS85" s="100">
        <v>0.0</v>
      </c>
      <c r="DT85" s="93">
        <f t="shared" si="120"/>
        <v>0</v>
      </c>
      <c r="DU85" s="100">
        <v>0.0</v>
      </c>
      <c r="DV85" s="93">
        <f t="shared" si="61"/>
        <v>0</v>
      </c>
    </row>
    <row r="86">
      <c r="A86" s="7" t="s">
        <v>883</v>
      </c>
      <c r="B86" s="7" t="s">
        <v>884</v>
      </c>
      <c r="C86" s="76" t="str">
        <f t="array" ref="C86">_xlfn.XLOOKUP(A86,'Emp Master'!A:A,'Emp Master'!F:F)</f>
        <v>#N/A</v>
      </c>
      <c r="D86" s="76" t="str">
        <f t="array" ref="D86">_xlfn.XLOOKUP(A86,'Emp Master'!A:A,'Emp Master'!D:D)</f>
        <v>#N/A</v>
      </c>
      <c r="E86" s="76" t="str">
        <f t="shared" si="123"/>
        <v>#REF!</v>
      </c>
      <c r="F86" s="76"/>
      <c r="G86" s="79"/>
      <c r="H86" s="80"/>
      <c r="I86" s="79">
        <f t="shared" si="124"/>
        <v>0</v>
      </c>
      <c r="J86" s="80"/>
      <c r="K86" s="79">
        <f t="shared" si="176"/>
        <v>0</v>
      </c>
      <c r="L86" s="80"/>
      <c r="M86" s="79">
        <f t="shared" si="189"/>
        <v>0</v>
      </c>
      <c r="N86" s="80"/>
      <c r="O86" s="79">
        <f t="shared" si="200"/>
        <v>0</v>
      </c>
      <c r="P86" s="80"/>
      <c r="Q86" s="79">
        <f t="shared" si="128"/>
        <v>0</v>
      </c>
      <c r="R86" s="1"/>
      <c r="S86" s="79">
        <f t="shared" si="205"/>
        <v>0</v>
      </c>
      <c r="T86" s="1"/>
      <c r="U86" s="79">
        <f t="shared" si="209"/>
        <v>0</v>
      </c>
      <c r="V86" s="1"/>
      <c r="W86" s="79">
        <f t="shared" si="131"/>
        <v>0</v>
      </c>
      <c r="X86" s="1"/>
      <c r="Y86" s="79">
        <f t="shared" si="132"/>
        <v>0</v>
      </c>
      <c r="Z86" s="1"/>
      <c r="AA86" s="79">
        <f t="shared" si="133"/>
        <v>0</v>
      </c>
      <c r="AB86" s="1"/>
      <c r="AC86" s="79">
        <f t="shared" si="171"/>
        <v>0</v>
      </c>
      <c r="AD86" s="1"/>
      <c r="AE86" s="79">
        <f t="shared" si="201"/>
        <v>0</v>
      </c>
      <c r="AF86" s="1"/>
      <c r="AG86" s="79">
        <f t="shared" si="162"/>
        <v>0</v>
      </c>
      <c r="AH86" s="1"/>
      <c r="AI86" s="79">
        <f t="shared" si="136"/>
        <v>0</v>
      </c>
      <c r="AJ86" s="1"/>
      <c r="AK86" s="79">
        <f t="shared" si="210"/>
        <v>0</v>
      </c>
      <c r="AL86" s="1"/>
      <c r="AM86" s="79">
        <f t="shared" si="211"/>
        <v>0</v>
      </c>
      <c r="AN86" s="1"/>
      <c r="AO86" s="79">
        <f t="shared" si="206"/>
        <v>0</v>
      </c>
      <c r="AP86" s="1"/>
      <c r="AQ86" s="79">
        <f t="shared" si="204"/>
        <v>0</v>
      </c>
      <c r="AR86" s="1"/>
      <c r="AS86" s="79">
        <f t="shared" si="141"/>
        <v>0</v>
      </c>
      <c r="AT86" s="1"/>
      <c r="AU86" s="79">
        <f t="shared" si="193"/>
        <v>0</v>
      </c>
      <c r="AV86" s="1"/>
      <c r="AW86" s="79">
        <f t="shared" si="143"/>
        <v>0</v>
      </c>
      <c r="AX86" s="1"/>
      <c r="AY86" s="79">
        <f t="shared" si="178"/>
        <v>0</v>
      </c>
      <c r="AZ86" s="1"/>
      <c r="BA86" s="79">
        <f t="shared" si="194"/>
        <v>0</v>
      </c>
      <c r="BB86" s="1"/>
      <c r="BC86" s="79">
        <f t="shared" si="207"/>
        <v>0</v>
      </c>
      <c r="BD86" s="1"/>
      <c r="BE86" s="79">
        <f t="shared" si="202"/>
        <v>0</v>
      </c>
      <c r="BF86" s="1"/>
      <c r="BG86" s="79">
        <f t="shared" si="203"/>
        <v>0</v>
      </c>
      <c r="BH86" s="1"/>
      <c r="BI86" s="79">
        <f t="shared" si="148"/>
        <v>0</v>
      </c>
      <c r="BJ86" s="1"/>
      <c r="BK86" s="79">
        <f t="shared" si="149"/>
        <v>0</v>
      </c>
      <c r="BL86" s="1"/>
      <c r="BM86" s="79">
        <f t="shared" si="181"/>
        <v>0</v>
      </c>
      <c r="BN86" s="1"/>
      <c r="BO86" s="79">
        <f t="shared" si="164"/>
        <v>0</v>
      </c>
      <c r="BP86" s="1"/>
      <c r="BQ86" s="79">
        <f t="shared" si="208"/>
        <v>0</v>
      </c>
      <c r="BR86" s="1"/>
      <c r="BS86" s="79">
        <f t="shared" si="174"/>
        <v>0</v>
      </c>
      <c r="BT86" s="1"/>
      <c r="BU86" s="79">
        <f t="shared" si="153"/>
        <v>0</v>
      </c>
      <c r="BV86" s="1"/>
      <c r="BW86" s="79">
        <f t="shared" si="154"/>
        <v>0</v>
      </c>
      <c r="BX86" s="1"/>
      <c r="BY86" s="79">
        <f t="shared" si="155"/>
        <v>0</v>
      </c>
      <c r="BZ86" s="1"/>
      <c r="CA86" s="79">
        <f t="shared" si="212"/>
        <v>0</v>
      </c>
      <c r="CB86" s="1"/>
      <c r="CC86" s="79">
        <f t="shared" si="165"/>
        <v>0</v>
      </c>
      <c r="CD86" s="1"/>
      <c r="CE86" s="79">
        <f t="shared" si="183"/>
        <v>0</v>
      </c>
      <c r="CF86" s="1"/>
      <c r="CG86" s="79">
        <f t="shared" si="196"/>
        <v>0</v>
      </c>
      <c r="CH86" s="1"/>
      <c r="CI86" s="79">
        <f t="shared" si="159"/>
        <v>0</v>
      </c>
      <c r="CJ86" s="1"/>
      <c r="CK86" s="79">
        <f t="shared" si="169"/>
        <v>0</v>
      </c>
      <c r="CL86" s="1"/>
      <c r="CM86" s="79">
        <f t="shared" si="161"/>
        <v>0</v>
      </c>
      <c r="CN86" s="1"/>
      <c r="CO86" s="79">
        <f t="shared" si="184"/>
        <v>0</v>
      </c>
      <c r="CP86" s="1"/>
      <c r="CQ86" s="79">
        <f t="shared" si="197"/>
        <v>0</v>
      </c>
      <c r="CR86" s="1"/>
      <c r="CS86" s="79">
        <f t="shared" si="166"/>
        <v>0</v>
      </c>
      <c r="CT86" s="79"/>
      <c r="CU86" s="79">
        <f t="shared" si="185"/>
        <v>0</v>
      </c>
      <c r="CV86" s="79"/>
      <c r="CW86" s="79">
        <f t="shared" si="49"/>
        <v>0</v>
      </c>
      <c r="CX86" s="79"/>
      <c r="CY86" s="91"/>
      <c r="CZ86" s="79">
        <f t="shared" si="213"/>
        <v>0</v>
      </c>
      <c r="DA86" s="93"/>
      <c r="DB86" s="93">
        <f t="shared" si="199"/>
        <v>0</v>
      </c>
      <c r="DC86" s="96"/>
      <c r="DD86" s="93">
        <f t="shared" si="167"/>
        <v>0</v>
      </c>
      <c r="DE86" s="96"/>
      <c r="DF86" s="93">
        <f t="shared" si="121"/>
        <v>0</v>
      </c>
      <c r="DG86" s="96"/>
      <c r="DH86" s="93">
        <f t="shared" si="175"/>
        <v>0</v>
      </c>
      <c r="DI86" s="96"/>
      <c r="DJ86" s="93">
        <f t="shared" si="117"/>
        <v>0</v>
      </c>
      <c r="DK86" s="93"/>
      <c r="DL86" s="93">
        <f t="shared" si="187"/>
        <v>0</v>
      </c>
      <c r="DM86" s="100">
        <v>0.0</v>
      </c>
      <c r="DN86" s="93">
        <f t="shared" si="122"/>
        <v>0</v>
      </c>
      <c r="DO86" s="100">
        <v>0.0</v>
      </c>
      <c r="DP86" s="93">
        <f t="shared" si="118"/>
        <v>0</v>
      </c>
      <c r="DQ86" s="100">
        <v>0.0</v>
      </c>
      <c r="DR86" s="93">
        <f t="shared" si="188"/>
        <v>0</v>
      </c>
      <c r="DS86" s="100">
        <v>0.0</v>
      </c>
      <c r="DT86" s="93">
        <f t="shared" si="120"/>
        <v>0</v>
      </c>
      <c r="DU86" s="100">
        <v>0.0</v>
      </c>
      <c r="DV86" s="93">
        <f t="shared" si="61"/>
        <v>0</v>
      </c>
    </row>
    <row r="87">
      <c r="A87" s="7" t="s">
        <v>885</v>
      </c>
      <c r="B87" s="7" t="s">
        <v>886</v>
      </c>
      <c r="C87" s="76" t="str">
        <f t="array" ref="C87">_xlfn.XLOOKUP(A87,'Emp Master'!A:A,'Emp Master'!F:F)</f>
        <v>#N/A</v>
      </c>
      <c r="D87" s="76" t="str">
        <f t="array" ref="D87">_xlfn.XLOOKUP(A87,'Emp Master'!A:A,'Emp Master'!D:D)</f>
        <v>#N/A</v>
      </c>
      <c r="E87" s="76" t="str">
        <f t="shared" si="123"/>
        <v>#REF!</v>
      </c>
      <c r="F87" s="76"/>
      <c r="G87" s="79"/>
      <c r="H87" s="80"/>
      <c r="I87" s="79">
        <f t="shared" si="124"/>
        <v>0</v>
      </c>
      <c r="J87" s="80"/>
      <c r="K87" s="79">
        <f t="shared" si="176"/>
        <v>0</v>
      </c>
      <c r="L87" s="80"/>
      <c r="M87" s="79">
        <f t="shared" si="189"/>
        <v>0</v>
      </c>
      <c r="N87" s="80"/>
      <c r="O87" s="79">
        <f t="shared" si="200"/>
        <v>0</v>
      </c>
      <c r="P87" s="80"/>
      <c r="Q87" s="79">
        <f t="shared" si="128"/>
        <v>0</v>
      </c>
      <c r="R87" s="1"/>
      <c r="S87" s="79">
        <f t="shared" si="205"/>
        <v>0</v>
      </c>
      <c r="T87" s="1"/>
      <c r="U87" s="79">
        <f t="shared" si="209"/>
        <v>0</v>
      </c>
      <c r="V87" s="1"/>
      <c r="W87" s="79">
        <f t="shared" si="131"/>
        <v>0</v>
      </c>
      <c r="X87" s="1"/>
      <c r="Y87" s="79">
        <f t="shared" si="132"/>
        <v>0</v>
      </c>
      <c r="Z87" s="1"/>
      <c r="AA87" s="79">
        <f t="shared" si="133"/>
        <v>0</v>
      </c>
      <c r="AB87" s="1"/>
      <c r="AC87" s="79">
        <f t="shared" si="171"/>
        <v>0</v>
      </c>
      <c r="AD87" s="1"/>
      <c r="AE87" s="79">
        <f t="shared" si="201"/>
        <v>0</v>
      </c>
      <c r="AF87" s="1"/>
      <c r="AG87" s="79">
        <f t="shared" si="162"/>
        <v>0</v>
      </c>
      <c r="AH87" s="1"/>
      <c r="AI87" s="79">
        <f t="shared" si="136"/>
        <v>0</v>
      </c>
      <c r="AJ87" s="1"/>
      <c r="AK87" s="79">
        <f t="shared" si="210"/>
        <v>0</v>
      </c>
      <c r="AL87" s="1"/>
      <c r="AM87" s="79">
        <f t="shared" si="211"/>
        <v>0</v>
      </c>
      <c r="AN87" s="1"/>
      <c r="AO87" s="79">
        <f t="shared" si="206"/>
        <v>0</v>
      </c>
      <c r="AP87" s="1"/>
      <c r="AQ87" s="79">
        <f t="shared" si="204"/>
        <v>0</v>
      </c>
      <c r="AR87" s="1"/>
      <c r="AS87" s="79">
        <f t="shared" si="141"/>
        <v>0</v>
      </c>
      <c r="AT87" s="1"/>
      <c r="AU87" s="79">
        <f t="shared" si="193"/>
        <v>0</v>
      </c>
      <c r="AV87" s="1"/>
      <c r="AW87" s="79">
        <f t="shared" si="143"/>
        <v>0</v>
      </c>
      <c r="AX87" s="1"/>
      <c r="AY87" s="79">
        <f t="shared" si="178"/>
        <v>0</v>
      </c>
      <c r="AZ87" s="1"/>
      <c r="BA87" s="79">
        <f t="shared" si="194"/>
        <v>0</v>
      </c>
      <c r="BB87" s="1"/>
      <c r="BC87" s="79">
        <f t="shared" si="207"/>
        <v>0</v>
      </c>
      <c r="BD87" s="1"/>
      <c r="BE87" s="79">
        <f t="shared" si="202"/>
        <v>0</v>
      </c>
      <c r="BF87" s="1"/>
      <c r="BG87" s="79">
        <f t="shared" si="203"/>
        <v>0</v>
      </c>
      <c r="BH87" s="1"/>
      <c r="BI87" s="79">
        <f t="shared" si="148"/>
        <v>0</v>
      </c>
      <c r="BJ87" s="1"/>
      <c r="BK87" s="79">
        <f t="shared" si="149"/>
        <v>0</v>
      </c>
      <c r="BL87" s="1"/>
      <c r="BM87" s="79">
        <f t="shared" si="181"/>
        <v>0</v>
      </c>
      <c r="BN87" s="1"/>
      <c r="BO87" s="79">
        <f t="shared" si="164"/>
        <v>0</v>
      </c>
      <c r="BP87" s="1"/>
      <c r="BQ87" s="79">
        <f t="shared" si="208"/>
        <v>0</v>
      </c>
      <c r="BR87" s="1"/>
      <c r="BS87" s="79">
        <f t="shared" si="174"/>
        <v>0</v>
      </c>
      <c r="BT87" s="1"/>
      <c r="BU87" s="79">
        <f t="shared" si="153"/>
        <v>0</v>
      </c>
      <c r="BV87" s="1"/>
      <c r="BW87" s="79">
        <f t="shared" si="154"/>
        <v>0</v>
      </c>
      <c r="BX87" s="1"/>
      <c r="BY87" s="79">
        <f t="shared" si="155"/>
        <v>0</v>
      </c>
      <c r="BZ87" s="1"/>
      <c r="CA87" s="79">
        <f t="shared" si="212"/>
        <v>0</v>
      </c>
      <c r="CB87" s="1"/>
      <c r="CC87" s="79">
        <f t="shared" si="165"/>
        <v>0</v>
      </c>
      <c r="CD87" s="1"/>
      <c r="CE87" s="79">
        <f t="shared" si="183"/>
        <v>0</v>
      </c>
      <c r="CF87" s="1"/>
      <c r="CG87" s="79">
        <f t="shared" si="196"/>
        <v>0</v>
      </c>
      <c r="CH87" s="1"/>
      <c r="CI87" s="79">
        <f t="shared" si="159"/>
        <v>0</v>
      </c>
      <c r="CJ87" s="1"/>
      <c r="CK87" s="79">
        <f t="shared" si="169"/>
        <v>0</v>
      </c>
      <c r="CL87" s="1"/>
      <c r="CM87" s="79">
        <f t="shared" si="161"/>
        <v>0</v>
      </c>
      <c r="CN87" s="1"/>
      <c r="CO87" s="79">
        <f t="shared" si="184"/>
        <v>0</v>
      </c>
      <c r="CP87" s="1"/>
      <c r="CQ87" s="79">
        <f t="shared" si="197"/>
        <v>0</v>
      </c>
      <c r="CR87" s="1"/>
      <c r="CS87" s="79">
        <f t="shared" si="166"/>
        <v>0</v>
      </c>
      <c r="CT87" s="79"/>
      <c r="CU87" s="79">
        <f t="shared" si="185"/>
        <v>0</v>
      </c>
      <c r="CV87" s="79"/>
      <c r="CW87" s="79">
        <f t="shared" si="49"/>
        <v>0</v>
      </c>
      <c r="CX87" s="79"/>
      <c r="CY87" s="91"/>
      <c r="CZ87" s="79">
        <f t="shared" si="213"/>
        <v>0</v>
      </c>
      <c r="DA87" s="93"/>
      <c r="DB87" s="93">
        <f t="shared" si="199"/>
        <v>0</v>
      </c>
      <c r="DC87" s="96"/>
      <c r="DD87" s="93">
        <f t="shared" si="167"/>
        <v>0</v>
      </c>
      <c r="DE87" s="96"/>
      <c r="DF87" s="93">
        <f t="shared" si="121"/>
        <v>0</v>
      </c>
      <c r="DG87" s="96"/>
      <c r="DH87" s="93">
        <f t="shared" si="175"/>
        <v>0</v>
      </c>
      <c r="DI87" s="96"/>
      <c r="DJ87" s="93">
        <f t="shared" si="117"/>
        <v>0</v>
      </c>
      <c r="DK87" s="93"/>
      <c r="DL87" s="93">
        <f t="shared" si="187"/>
        <v>0</v>
      </c>
      <c r="DM87" s="100">
        <v>0.0</v>
      </c>
      <c r="DN87" s="93">
        <f t="shared" si="122"/>
        <v>0</v>
      </c>
      <c r="DO87" s="100">
        <v>0.0</v>
      </c>
      <c r="DP87" s="93">
        <f t="shared" si="118"/>
        <v>0</v>
      </c>
      <c r="DQ87" s="100">
        <v>0.0</v>
      </c>
      <c r="DR87" s="93">
        <f t="shared" si="188"/>
        <v>0</v>
      </c>
      <c r="DS87" s="100">
        <v>0.0</v>
      </c>
      <c r="DT87" s="93">
        <f t="shared" si="120"/>
        <v>0</v>
      </c>
      <c r="DU87" s="100">
        <v>0.0</v>
      </c>
      <c r="DV87" s="93">
        <f t="shared" si="61"/>
        <v>0</v>
      </c>
    </row>
    <row r="88">
      <c r="A88" s="7" t="s">
        <v>887</v>
      </c>
      <c r="B88" s="7" t="s">
        <v>869</v>
      </c>
      <c r="C88" s="76" t="str">
        <f t="array" ref="C88">_xlfn.XLOOKUP(A88,'Emp Master'!A:A,'Emp Master'!F:F)</f>
        <v>#N/A</v>
      </c>
      <c r="D88" s="76" t="str">
        <f t="array" ref="D88">_xlfn.XLOOKUP(A88,'Emp Master'!A:A,'Emp Master'!D:D)</f>
        <v>#N/A</v>
      </c>
      <c r="E88" s="76" t="str">
        <f t="shared" si="123"/>
        <v>#REF!</v>
      </c>
      <c r="F88" s="76"/>
      <c r="G88" s="79"/>
      <c r="H88" s="80"/>
      <c r="I88" s="79">
        <f t="shared" si="124"/>
        <v>0</v>
      </c>
      <c r="J88" s="80"/>
      <c r="K88" s="79">
        <f t="shared" si="176"/>
        <v>0</v>
      </c>
      <c r="L88" s="80"/>
      <c r="M88" s="79">
        <f t="shared" si="189"/>
        <v>0</v>
      </c>
      <c r="N88" s="80"/>
      <c r="O88" s="79">
        <f t="shared" si="200"/>
        <v>0</v>
      </c>
      <c r="P88" s="80"/>
      <c r="Q88" s="79">
        <f t="shared" si="128"/>
        <v>0</v>
      </c>
      <c r="R88" s="1"/>
      <c r="S88" s="79">
        <f t="shared" si="205"/>
        <v>0</v>
      </c>
      <c r="T88" s="1"/>
      <c r="U88" s="79">
        <f t="shared" si="209"/>
        <v>0</v>
      </c>
      <c r="V88" s="1"/>
      <c r="W88" s="79">
        <f t="shared" si="131"/>
        <v>0</v>
      </c>
      <c r="X88" s="1"/>
      <c r="Y88" s="79">
        <f t="shared" si="132"/>
        <v>0</v>
      </c>
      <c r="Z88" s="1"/>
      <c r="AA88" s="79">
        <f t="shared" si="133"/>
        <v>0</v>
      </c>
      <c r="AB88" s="1"/>
      <c r="AC88" s="79">
        <f t="shared" si="171"/>
        <v>0</v>
      </c>
      <c r="AD88" s="1"/>
      <c r="AE88" s="79">
        <f t="shared" si="201"/>
        <v>0</v>
      </c>
      <c r="AF88" s="1"/>
      <c r="AG88" s="79">
        <f t="shared" si="162"/>
        <v>0</v>
      </c>
      <c r="AH88" s="1"/>
      <c r="AI88" s="79">
        <f t="shared" si="136"/>
        <v>0</v>
      </c>
      <c r="AJ88" s="1"/>
      <c r="AK88" s="79">
        <f t="shared" si="210"/>
        <v>0</v>
      </c>
      <c r="AL88" s="1"/>
      <c r="AM88" s="79">
        <f t="shared" si="211"/>
        <v>0</v>
      </c>
      <c r="AN88" s="1"/>
      <c r="AO88" s="79">
        <f t="shared" si="206"/>
        <v>0</v>
      </c>
      <c r="AP88" s="1"/>
      <c r="AQ88" s="79">
        <f t="shared" si="204"/>
        <v>0</v>
      </c>
      <c r="AR88" s="1"/>
      <c r="AS88" s="79">
        <f t="shared" si="141"/>
        <v>0</v>
      </c>
      <c r="AT88" s="1"/>
      <c r="AU88" s="79">
        <f t="shared" si="193"/>
        <v>0</v>
      </c>
      <c r="AV88" s="1"/>
      <c r="AW88" s="79">
        <f t="shared" si="143"/>
        <v>0</v>
      </c>
      <c r="AX88" s="1"/>
      <c r="AY88" s="79">
        <f t="shared" si="178"/>
        <v>0</v>
      </c>
      <c r="AZ88" s="1"/>
      <c r="BA88" s="79">
        <f t="shared" si="194"/>
        <v>0</v>
      </c>
      <c r="BB88" s="1"/>
      <c r="BC88" s="79">
        <f t="shared" si="207"/>
        <v>0</v>
      </c>
      <c r="BD88" s="1"/>
      <c r="BE88" s="79">
        <f t="shared" si="202"/>
        <v>0</v>
      </c>
      <c r="BF88" s="1"/>
      <c r="BG88" s="79">
        <f t="shared" si="203"/>
        <v>0</v>
      </c>
      <c r="BH88" s="1"/>
      <c r="BI88" s="79">
        <f t="shared" si="148"/>
        <v>0</v>
      </c>
      <c r="BJ88" s="1"/>
      <c r="BK88" s="79">
        <f t="shared" si="149"/>
        <v>0</v>
      </c>
      <c r="BL88" s="1"/>
      <c r="BM88" s="79">
        <f t="shared" si="181"/>
        <v>0</v>
      </c>
      <c r="BN88" s="1"/>
      <c r="BO88" s="79">
        <f t="shared" si="164"/>
        <v>0</v>
      </c>
      <c r="BP88" s="1"/>
      <c r="BQ88" s="79">
        <f t="shared" si="208"/>
        <v>0</v>
      </c>
      <c r="BR88" s="1"/>
      <c r="BS88" s="79">
        <f t="shared" si="174"/>
        <v>0</v>
      </c>
      <c r="BT88" s="1"/>
      <c r="BU88" s="79">
        <f t="shared" si="153"/>
        <v>0</v>
      </c>
      <c r="BV88" s="1"/>
      <c r="BW88" s="79">
        <f t="shared" si="154"/>
        <v>0</v>
      </c>
      <c r="BX88" s="1"/>
      <c r="BY88" s="79">
        <f t="shared" si="155"/>
        <v>0</v>
      </c>
      <c r="BZ88" s="1"/>
      <c r="CA88" s="79">
        <f t="shared" si="212"/>
        <v>0</v>
      </c>
      <c r="CB88" s="1"/>
      <c r="CC88" s="79">
        <f t="shared" si="165"/>
        <v>0</v>
      </c>
      <c r="CD88" s="1"/>
      <c r="CE88" s="79">
        <f t="shared" si="183"/>
        <v>0</v>
      </c>
      <c r="CF88" s="1"/>
      <c r="CG88" s="79">
        <f t="shared" si="196"/>
        <v>0</v>
      </c>
      <c r="CH88" s="1"/>
      <c r="CI88" s="79">
        <f t="shared" si="159"/>
        <v>0</v>
      </c>
      <c r="CJ88" s="1"/>
      <c r="CK88" s="79">
        <f t="shared" si="169"/>
        <v>0</v>
      </c>
      <c r="CL88" s="1"/>
      <c r="CM88" s="79">
        <f t="shared" si="161"/>
        <v>0</v>
      </c>
      <c r="CN88" s="1"/>
      <c r="CO88" s="79">
        <f t="shared" si="184"/>
        <v>0</v>
      </c>
      <c r="CP88" s="1"/>
      <c r="CQ88" s="79">
        <f t="shared" si="197"/>
        <v>0</v>
      </c>
      <c r="CR88" s="1"/>
      <c r="CS88" s="79">
        <f t="shared" si="166"/>
        <v>0</v>
      </c>
      <c r="CT88" s="79"/>
      <c r="CU88" s="79">
        <f t="shared" si="185"/>
        <v>0</v>
      </c>
      <c r="CV88" s="79"/>
      <c r="CW88" s="79">
        <f t="shared" si="49"/>
        <v>0</v>
      </c>
      <c r="CX88" s="79"/>
      <c r="CY88" s="91"/>
      <c r="CZ88" s="79">
        <f t="shared" si="213"/>
        <v>0</v>
      </c>
      <c r="DA88" s="93"/>
      <c r="DB88" s="93">
        <f t="shared" si="199"/>
        <v>0</v>
      </c>
      <c r="DC88" s="96"/>
      <c r="DD88" s="93">
        <f t="shared" si="167"/>
        <v>0</v>
      </c>
      <c r="DE88" s="96"/>
      <c r="DF88" s="93">
        <f t="shared" si="121"/>
        <v>0</v>
      </c>
      <c r="DG88" s="96"/>
      <c r="DH88" s="93">
        <f t="shared" si="175"/>
        <v>0</v>
      </c>
      <c r="DI88" s="96"/>
      <c r="DJ88" s="93">
        <f t="shared" si="117"/>
        <v>0</v>
      </c>
      <c r="DK88" s="93"/>
      <c r="DL88" s="93">
        <f t="shared" si="187"/>
        <v>0</v>
      </c>
      <c r="DM88" s="100">
        <v>0.0</v>
      </c>
      <c r="DN88" s="93">
        <f t="shared" si="122"/>
        <v>0</v>
      </c>
      <c r="DO88" s="100">
        <v>0.0</v>
      </c>
      <c r="DP88" s="93">
        <f t="shared" si="118"/>
        <v>0</v>
      </c>
      <c r="DQ88" s="100">
        <v>0.0</v>
      </c>
      <c r="DR88" s="93">
        <f t="shared" si="188"/>
        <v>0</v>
      </c>
      <c r="DS88" s="100">
        <v>0.0</v>
      </c>
      <c r="DT88" s="93">
        <f t="shared" si="120"/>
        <v>0</v>
      </c>
      <c r="DU88" s="100">
        <v>0.0</v>
      </c>
      <c r="DV88" s="93">
        <f t="shared" si="61"/>
        <v>0</v>
      </c>
    </row>
    <row r="89">
      <c r="A89" s="7" t="s">
        <v>362</v>
      </c>
      <c r="B89" s="7" t="s">
        <v>363</v>
      </c>
      <c r="C89" s="76" t="str">
        <f t="array" ref="C89">_xlfn.XLOOKUP(A89,'Emp Master'!A:A,'Emp Master'!F:F)</f>
        <v>DEL</v>
      </c>
      <c r="D89" s="76" t="str">
        <f t="array" ref="D89">_xlfn.XLOOKUP(A89,'Emp Master'!A:A,'Emp Master'!D:D)</f>
        <v>Office</v>
      </c>
      <c r="E89" s="76" t="str">
        <f t="shared" si="123"/>
        <v>#REF!</v>
      </c>
      <c r="F89" s="76"/>
      <c r="G89" s="79"/>
      <c r="H89" s="80"/>
      <c r="I89" s="79">
        <f t="shared" si="124"/>
        <v>0</v>
      </c>
      <c r="J89" s="80"/>
      <c r="K89" s="79">
        <f t="shared" si="176"/>
        <v>0</v>
      </c>
      <c r="L89" s="80"/>
      <c r="M89" s="79">
        <f t="shared" si="189"/>
        <v>0</v>
      </c>
      <c r="N89" s="80"/>
      <c r="O89" s="79">
        <f t="shared" si="200"/>
        <v>0</v>
      </c>
      <c r="P89" s="80"/>
      <c r="Q89" s="79">
        <f t="shared" si="128"/>
        <v>0</v>
      </c>
      <c r="R89" s="1"/>
      <c r="S89" s="79">
        <f t="shared" si="205"/>
        <v>0</v>
      </c>
      <c r="T89" s="1"/>
      <c r="U89" s="79">
        <f t="shared" si="209"/>
        <v>0</v>
      </c>
      <c r="V89" s="1"/>
      <c r="W89" s="79">
        <f t="shared" si="131"/>
        <v>0</v>
      </c>
      <c r="X89" s="1"/>
      <c r="Y89" s="79">
        <f t="shared" si="132"/>
        <v>0</v>
      </c>
      <c r="Z89" s="1"/>
      <c r="AA89" s="79">
        <f t="shared" si="133"/>
        <v>0</v>
      </c>
      <c r="AB89" s="1"/>
      <c r="AC89" s="79">
        <f t="shared" si="171"/>
        <v>0</v>
      </c>
      <c r="AD89" s="1"/>
      <c r="AE89" s="79">
        <f t="shared" si="201"/>
        <v>0</v>
      </c>
      <c r="AF89" s="1"/>
      <c r="AG89" s="79">
        <f t="shared" si="162"/>
        <v>0</v>
      </c>
      <c r="AH89" s="1"/>
      <c r="AI89" s="79">
        <f t="shared" si="136"/>
        <v>0</v>
      </c>
      <c r="AJ89" s="1"/>
      <c r="AK89" s="79">
        <f t="shared" si="210"/>
        <v>0</v>
      </c>
      <c r="AL89" s="1"/>
      <c r="AM89" s="79">
        <f t="shared" si="211"/>
        <v>0</v>
      </c>
      <c r="AN89" s="1"/>
      <c r="AO89" s="79">
        <f t="shared" si="206"/>
        <v>0</v>
      </c>
      <c r="AP89" s="1"/>
      <c r="AQ89" s="79">
        <f t="shared" si="204"/>
        <v>0</v>
      </c>
      <c r="AR89" s="1"/>
      <c r="AS89" s="79">
        <f t="shared" si="141"/>
        <v>0</v>
      </c>
      <c r="AT89" s="1"/>
      <c r="AU89" s="79">
        <f t="shared" si="193"/>
        <v>0</v>
      </c>
      <c r="AV89" s="1"/>
      <c r="AW89" s="79">
        <f t="shared" si="143"/>
        <v>0</v>
      </c>
      <c r="AX89" s="1"/>
      <c r="AY89" s="79">
        <f t="shared" si="178"/>
        <v>0</v>
      </c>
      <c r="AZ89" s="1"/>
      <c r="BA89" s="79">
        <f t="shared" si="194"/>
        <v>0</v>
      </c>
      <c r="BB89" s="1"/>
      <c r="BC89" s="79">
        <f t="shared" si="207"/>
        <v>0</v>
      </c>
      <c r="BD89" s="1"/>
      <c r="BE89" s="79">
        <f t="shared" si="202"/>
        <v>0</v>
      </c>
      <c r="BF89" s="1"/>
      <c r="BG89" s="79">
        <f t="shared" si="203"/>
        <v>0</v>
      </c>
      <c r="BH89" s="1"/>
      <c r="BI89" s="79">
        <f t="shared" si="148"/>
        <v>0</v>
      </c>
      <c r="BJ89" s="1"/>
      <c r="BK89" s="79">
        <f t="shared" si="149"/>
        <v>0</v>
      </c>
      <c r="BL89" s="1"/>
      <c r="BM89" s="79">
        <f t="shared" si="181"/>
        <v>0</v>
      </c>
      <c r="BN89" s="1"/>
      <c r="BO89" s="79">
        <f t="shared" si="164"/>
        <v>0</v>
      </c>
      <c r="BP89" s="1"/>
      <c r="BQ89" s="79">
        <f t="shared" si="208"/>
        <v>0</v>
      </c>
      <c r="BR89" s="1"/>
      <c r="BS89" s="79">
        <f t="shared" si="174"/>
        <v>0</v>
      </c>
      <c r="BT89" s="1"/>
      <c r="BU89" s="79">
        <f t="shared" si="153"/>
        <v>0</v>
      </c>
      <c r="BV89" s="1"/>
      <c r="BW89" s="79">
        <f t="shared" si="154"/>
        <v>0</v>
      </c>
      <c r="BX89" s="1"/>
      <c r="BY89" s="79">
        <f t="shared" si="155"/>
        <v>0</v>
      </c>
      <c r="BZ89" s="1"/>
      <c r="CA89" s="79">
        <f t="shared" si="212"/>
        <v>0</v>
      </c>
      <c r="CB89" s="1"/>
      <c r="CC89" s="79">
        <f t="shared" si="165"/>
        <v>0</v>
      </c>
      <c r="CD89" s="1"/>
      <c r="CE89" s="79">
        <f t="shared" si="183"/>
        <v>0</v>
      </c>
      <c r="CF89" s="1"/>
      <c r="CG89" s="79">
        <f t="shared" si="196"/>
        <v>0</v>
      </c>
      <c r="CH89" s="1"/>
      <c r="CI89" s="79">
        <f t="shared" si="159"/>
        <v>0</v>
      </c>
      <c r="CJ89" s="1"/>
      <c r="CK89" s="79">
        <f t="shared" si="169"/>
        <v>0</v>
      </c>
      <c r="CL89" s="1"/>
      <c r="CM89" s="79">
        <f t="shared" si="161"/>
        <v>0</v>
      </c>
      <c r="CN89" s="1"/>
      <c r="CO89" s="79">
        <f t="shared" si="184"/>
        <v>0</v>
      </c>
      <c r="CP89" s="1"/>
      <c r="CQ89" s="79">
        <f t="shared" si="197"/>
        <v>0</v>
      </c>
      <c r="CR89" s="1"/>
      <c r="CS89" s="79">
        <f t="shared" si="166"/>
        <v>0</v>
      </c>
      <c r="CT89" s="79"/>
      <c r="CU89" s="79">
        <f t="shared" si="185"/>
        <v>0</v>
      </c>
      <c r="CV89" s="79"/>
      <c r="CW89" s="79">
        <f t="shared" si="49"/>
        <v>0</v>
      </c>
      <c r="CX89" s="79"/>
      <c r="CY89" s="91"/>
      <c r="CZ89" s="79">
        <f t="shared" si="213"/>
        <v>0</v>
      </c>
      <c r="DA89" s="93"/>
      <c r="DB89" s="93">
        <f t="shared" si="199"/>
        <v>0</v>
      </c>
      <c r="DC89" s="96"/>
      <c r="DD89" s="93">
        <f t="shared" si="167"/>
        <v>0</v>
      </c>
      <c r="DE89" s="96"/>
      <c r="DF89" s="93">
        <f t="shared" si="121"/>
        <v>0</v>
      </c>
      <c r="DG89" s="96"/>
      <c r="DH89" s="93">
        <f t="shared" si="175"/>
        <v>0</v>
      </c>
      <c r="DI89" s="96"/>
      <c r="DJ89" s="93">
        <f t="shared" si="117"/>
        <v>0</v>
      </c>
      <c r="DK89" s="93"/>
      <c r="DL89" s="93">
        <f t="shared" si="187"/>
        <v>0</v>
      </c>
      <c r="DM89" s="100">
        <v>0.0</v>
      </c>
      <c r="DN89" s="93">
        <f t="shared" si="122"/>
        <v>0</v>
      </c>
      <c r="DO89" s="100">
        <v>0.0</v>
      </c>
      <c r="DP89" s="93">
        <f t="shared" si="118"/>
        <v>0</v>
      </c>
      <c r="DQ89" s="100">
        <v>0.0</v>
      </c>
      <c r="DR89" s="93">
        <f t="shared" si="188"/>
        <v>0</v>
      </c>
      <c r="DS89" s="100">
        <v>0.0</v>
      </c>
      <c r="DT89" s="93">
        <f t="shared" si="120"/>
        <v>0</v>
      </c>
      <c r="DU89" s="100">
        <v>0.0</v>
      </c>
      <c r="DV89" s="93">
        <f t="shared" si="61"/>
        <v>0</v>
      </c>
    </row>
    <row r="90">
      <c r="A90" s="7" t="s">
        <v>364</v>
      </c>
      <c r="B90" s="7" t="s">
        <v>365</v>
      </c>
      <c r="C90" s="76" t="str">
        <f t="array" ref="C90">_xlfn.XLOOKUP(A90,'Emp Master'!A:A,'Emp Master'!F:F)</f>
        <v>DEL</v>
      </c>
      <c r="D90" s="76" t="str">
        <f t="array" ref="D90">_xlfn.XLOOKUP(A90,'Emp Master'!A:A,'Emp Master'!D:D)</f>
        <v>Backend Sales &amp; Ops</v>
      </c>
      <c r="E90" s="76" t="str">
        <f t="shared" si="123"/>
        <v>#REF!</v>
      </c>
      <c r="F90" s="76"/>
      <c r="G90" s="79"/>
      <c r="H90" s="80"/>
      <c r="I90" s="79">
        <f t="shared" si="124"/>
        <v>0</v>
      </c>
      <c r="J90" s="80"/>
      <c r="K90" s="79">
        <f t="shared" si="176"/>
        <v>0</v>
      </c>
      <c r="L90" s="80"/>
      <c r="M90" s="79">
        <f t="shared" si="189"/>
        <v>0</v>
      </c>
      <c r="N90" s="80"/>
      <c r="O90" s="79">
        <f t="shared" si="200"/>
        <v>0</v>
      </c>
      <c r="P90" s="80"/>
      <c r="Q90" s="79">
        <f t="shared" si="128"/>
        <v>0</v>
      </c>
      <c r="R90" s="1"/>
      <c r="S90" s="79">
        <f t="shared" si="205"/>
        <v>0</v>
      </c>
      <c r="T90" s="1"/>
      <c r="U90" s="79">
        <f t="shared" si="209"/>
        <v>0</v>
      </c>
      <c r="V90" s="1"/>
      <c r="W90" s="79">
        <f t="shared" si="131"/>
        <v>0</v>
      </c>
      <c r="X90" s="1"/>
      <c r="Y90" s="79">
        <f t="shared" si="132"/>
        <v>0</v>
      </c>
      <c r="Z90" s="1"/>
      <c r="AA90" s="79">
        <f t="shared" si="133"/>
        <v>0</v>
      </c>
      <c r="AB90" s="1"/>
      <c r="AC90" s="79">
        <f t="shared" si="171"/>
        <v>0</v>
      </c>
      <c r="AD90" s="1"/>
      <c r="AE90" s="79">
        <f t="shared" si="201"/>
        <v>0</v>
      </c>
      <c r="AF90" s="1"/>
      <c r="AG90" s="79">
        <f t="shared" si="162"/>
        <v>0</v>
      </c>
      <c r="AH90" s="1"/>
      <c r="AI90" s="79">
        <f t="shared" si="136"/>
        <v>0</v>
      </c>
      <c r="AJ90" s="1"/>
      <c r="AK90" s="79">
        <f t="shared" si="210"/>
        <v>0</v>
      </c>
      <c r="AL90" s="1"/>
      <c r="AM90" s="79">
        <f t="shared" si="211"/>
        <v>0</v>
      </c>
      <c r="AN90" s="1"/>
      <c r="AO90" s="79">
        <f t="shared" si="206"/>
        <v>0</v>
      </c>
      <c r="AP90" s="1"/>
      <c r="AQ90" s="79">
        <f t="shared" si="204"/>
        <v>0</v>
      </c>
      <c r="AR90" s="1"/>
      <c r="AS90" s="79">
        <f t="shared" si="141"/>
        <v>0</v>
      </c>
      <c r="AT90" s="1"/>
      <c r="AU90" s="79">
        <f t="shared" si="193"/>
        <v>0</v>
      </c>
      <c r="AV90" s="1"/>
      <c r="AW90" s="79">
        <f t="shared" si="143"/>
        <v>0</v>
      </c>
      <c r="AX90" s="1"/>
      <c r="AY90" s="79">
        <f t="shared" si="178"/>
        <v>0</v>
      </c>
      <c r="AZ90" s="1"/>
      <c r="BA90" s="79">
        <f t="shared" si="194"/>
        <v>0</v>
      </c>
      <c r="BB90" s="1"/>
      <c r="BC90" s="79">
        <f t="shared" si="207"/>
        <v>0</v>
      </c>
      <c r="BD90" s="1"/>
      <c r="BE90" s="79">
        <f t="shared" si="202"/>
        <v>0</v>
      </c>
      <c r="BF90" s="1"/>
      <c r="BG90" s="79">
        <f t="shared" si="203"/>
        <v>0</v>
      </c>
      <c r="BH90" s="1"/>
      <c r="BI90" s="79">
        <f t="shared" si="148"/>
        <v>0</v>
      </c>
      <c r="BJ90" s="1"/>
      <c r="BK90" s="79">
        <f t="shared" si="149"/>
        <v>0</v>
      </c>
      <c r="BL90" s="1"/>
      <c r="BM90" s="79">
        <f t="shared" si="181"/>
        <v>0</v>
      </c>
      <c r="BN90" s="1"/>
      <c r="BO90" s="79">
        <f t="shared" si="164"/>
        <v>0</v>
      </c>
      <c r="BP90" s="1"/>
      <c r="BQ90" s="79">
        <f t="shared" si="208"/>
        <v>0</v>
      </c>
      <c r="BR90" s="1"/>
      <c r="BS90" s="79">
        <f t="shared" si="174"/>
        <v>0</v>
      </c>
      <c r="BT90" s="1"/>
      <c r="BU90" s="79">
        <f t="shared" si="153"/>
        <v>0</v>
      </c>
      <c r="BV90" s="1"/>
      <c r="BW90" s="79">
        <f t="shared" si="154"/>
        <v>0</v>
      </c>
      <c r="BX90" s="1"/>
      <c r="BY90" s="79">
        <f t="shared" si="155"/>
        <v>0</v>
      </c>
      <c r="BZ90" s="1"/>
      <c r="CA90" s="79">
        <f t="shared" si="212"/>
        <v>0</v>
      </c>
      <c r="CB90" s="1"/>
      <c r="CC90" s="79">
        <f t="shared" si="165"/>
        <v>0</v>
      </c>
      <c r="CD90" s="1"/>
      <c r="CE90" s="79">
        <f t="shared" si="183"/>
        <v>0</v>
      </c>
      <c r="CF90" s="1"/>
      <c r="CG90" s="79">
        <f t="shared" si="196"/>
        <v>0</v>
      </c>
      <c r="CH90" s="1"/>
      <c r="CI90" s="79">
        <f t="shared" si="159"/>
        <v>0</v>
      </c>
      <c r="CJ90" s="1"/>
      <c r="CK90" s="79">
        <f t="shared" si="169"/>
        <v>0</v>
      </c>
      <c r="CL90" s="1"/>
      <c r="CM90" s="79">
        <f t="shared" si="161"/>
        <v>0</v>
      </c>
      <c r="CN90" s="1"/>
      <c r="CO90" s="79">
        <f t="shared" si="184"/>
        <v>0</v>
      </c>
      <c r="CP90" s="1"/>
      <c r="CQ90" s="79">
        <f t="shared" si="197"/>
        <v>0</v>
      </c>
      <c r="CR90" s="1"/>
      <c r="CS90" s="79">
        <f t="shared" si="166"/>
        <v>0</v>
      </c>
      <c r="CT90" s="79"/>
      <c r="CU90" s="79">
        <f t="shared" si="185"/>
        <v>0</v>
      </c>
      <c r="CV90" s="79"/>
      <c r="CW90" s="79">
        <f t="shared" si="49"/>
        <v>0</v>
      </c>
      <c r="CX90" s="79"/>
      <c r="CY90" s="91"/>
      <c r="CZ90" s="79">
        <f t="shared" si="213"/>
        <v>0</v>
      </c>
      <c r="DA90" s="93"/>
      <c r="DB90" s="93">
        <f t="shared" si="199"/>
        <v>0</v>
      </c>
      <c r="DC90" s="96"/>
      <c r="DD90" s="93">
        <f t="shared" si="167"/>
        <v>0</v>
      </c>
      <c r="DE90" s="96"/>
      <c r="DF90" s="93">
        <f t="shared" si="121"/>
        <v>0</v>
      </c>
      <c r="DG90" s="96"/>
      <c r="DH90" s="93">
        <f t="shared" si="175"/>
        <v>0</v>
      </c>
      <c r="DI90" s="96"/>
      <c r="DJ90" s="93">
        <f t="shared" si="117"/>
        <v>0</v>
      </c>
      <c r="DK90" s="93"/>
      <c r="DL90" s="93">
        <f t="shared" si="187"/>
        <v>0</v>
      </c>
      <c r="DM90" s="100">
        <v>0.0</v>
      </c>
      <c r="DN90" s="93">
        <f t="shared" si="122"/>
        <v>0</v>
      </c>
      <c r="DO90" s="100">
        <v>0.0</v>
      </c>
      <c r="DP90" s="93">
        <f t="shared" si="118"/>
        <v>0</v>
      </c>
      <c r="DQ90" s="100">
        <v>0.0</v>
      </c>
      <c r="DR90" s="93">
        <f t="shared" si="188"/>
        <v>0</v>
      </c>
      <c r="DS90" s="100">
        <v>0.0</v>
      </c>
      <c r="DT90" s="93">
        <f t="shared" si="120"/>
        <v>0</v>
      </c>
      <c r="DU90" s="100">
        <v>0.0</v>
      </c>
      <c r="DV90" s="93">
        <f t="shared" si="61"/>
        <v>0</v>
      </c>
    </row>
    <row r="91">
      <c r="A91" s="7" t="s">
        <v>888</v>
      </c>
      <c r="B91" s="7" t="s">
        <v>889</v>
      </c>
      <c r="C91" s="76" t="str">
        <f t="array" ref="C91">_xlfn.XLOOKUP(A91,'Emp Master'!A:A,'Emp Master'!F:F)</f>
        <v>#N/A</v>
      </c>
      <c r="D91" s="76" t="str">
        <f t="array" ref="D91">_xlfn.XLOOKUP(A91,'Emp Master'!A:A,'Emp Master'!D:D)</f>
        <v>#N/A</v>
      </c>
      <c r="E91" s="76" t="str">
        <f t="shared" si="123"/>
        <v>#REF!</v>
      </c>
      <c r="F91" s="76"/>
      <c r="G91" s="79"/>
      <c r="H91" s="80"/>
      <c r="I91" s="79">
        <f t="shared" si="124"/>
        <v>0</v>
      </c>
      <c r="J91" s="80"/>
      <c r="K91" s="79">
        <f t="shared" si="176"/>
        <v>0</v>
      </c>
      <c r="L91" s="80"/>
      <c r="M91" s="79">
        <f t="shared" si="189"/>
        <v>0</v>
      </c>
      <c r="N91" s="80"/>
      <c r="O91" s="79">
        <f t="shared" si="200"/>
        <v>0</v>
      </c>
      <c r="P91" s="80"/>
      <c r="Q91" s="79">
        <f t="shared" si="128"/>
        <v>0</v>
      </c>
      <c r="R91" s="1"/>
      <c r="S91" s="79">
        <f t="shared" si="205"/>
        <v>0</v>
      </c>
      <c r="T91" s="1"/>
      <c r="U91" s="79">
        <f t="shared" si="209"/>
        <v>0</v>
      </c>
      <c r="V91" s="1"/>
      <c r="W91" s="79">
        <f t="shared" si="131"/>
        <v>0</v>
      </c>
      <c r="X91" s="1"/>
      <c r="Y91" s="79">
        <f t="shared" si="132"/>
        <v>0</v>
      </c>
      <c r="Z91" s="1"/>
      <c r="AA91" s="79">
        <f t="shared" si="133"/>
        <v>0</v>
      </c>
      <c r="AB91" s="1"/>
      <c r="AC91" s="79">
        <f t="shared" si="171"/>
        <v>0</v>
      </c>
      <c r="AD91" s="1"/>
      <c r="AE91" s="79">
        <f t="shared" si="201"/>
        <v>0</v>
      </c>
      <c r="AF91" s="1"/>
      <c r="AG91" s="79">
        <f t="shared" si="162"/>
        <v>0</v>
      </c>
      <c r="AH91" s="1"/>
      <c r="AI91" s="79">
        <f t="shared" si="136"/>
        <v>0</v>
      </c>
      <c r="AJ91" s="1"/>
      <c r="AK91" s="79">
        <f t="shared" si="210"/>
        <v>0</v>
      </c>
      <c r="AL91" s="1"/>
      <c r="AM91" s="79">
        <f t="shared" si="211"/>
        <v>0</v>
      </c>
      <c r="AN91" s="1"/>
      <c r="AO91" s="79">
        <f t="shared" si="206"/>
        <v>0</v>
      </c>
      <c r="AP91" s="1"/>
      <c r="AQ91" s="79">
        <f t="shared" si="204"/>
        <v>0</v>
      </c>
      <c r="AR91" s="1"/>
      <c r="AS91" s="79">
        <f t="shared" si="141"/>
        <v>0</v>
      </c>
      <c r="AT91" s="1"/>
      <c r="AU91" s="79">
        <f t="shared" si="193"/>
        <v>0</v>
      </c>
      <c r="AV91" s="1"/>
      <c r="AW91" s="79">
        <f t="shared" si="143"/>
        <v>0</v>
      </c>
      <c r="AX91" s="1"/>
      <c r="AY91" s="79">
        <f t="shared" si="178"/>
        <v>0</v>
      </c>
      <c r="AZ91" s="1"/>
      <c r="BA91" s="79">
        <f t="shared" si="194"/>
        <v>0</v>
      </c>
      <c r="BB91" s="1"/>
      <c r="BC91" s="79">
        <f t="shared" si="207"/>
        <v>0</v>
      </c>
      <c r="BD91" s="1"/>
      <c r="BE91" s="79">
        <f t="shared" si="202"/>
        <v>0</v>
      </c>
      <c r="BF91" s="1"/>
      <c r="BG91" s="79">
        <f t="shared" si="203"/>
        <v>0</v>
      </c>
      <c r="BH91" s="1"/>
      <c r="BI91" s="79">
        <f t="shared" si="148"/>
        <v>0</v>
      </c>
      <c r="BJ91" s="1"/>
      <c r="BK91" s="79">
        <f t="shared" si="149"/>
        <v>0</v>
      </c>
      <c r="BL91" s="1"/>
      <c r="BM91" s="79">
        <f t="shared" si="181"/>
        <v>0</v>
      </c>
      <c r="BN91" s="1"/>
      <c r="BO91" s="79">
        <f t="shared" si="164"/>
        <v>0</v>
      </c>
      <c r="BP91" s="1"/>
      <c r="BQ91" s="79">
        <f t="shared" si="208"/>
        <v>0</v>
      </c>
      <c r="BR91" s="1"/>
      <c r="BS91" s="79">
        <f t="shared" si="174"/>
        <v>0</v>
      </c>
      <c r="BT91" s="1"/>
      <c r="BU91" s="79">
        <f t="shared" si="153"/>
        <v>0</v>
      </c>
      <c r="BV91" s="1"/>
      <c r="BW91" s="79">
        <f t="shared" si="154"/>
        <v>0</v>
      </c>
      <c r="BX91" s="1"/>
      <c r="BY91" s="79">
        <f t="shared" si="155"/>
        <v>0</v>
      </c>
      <c r="BZ91" s="1"/>
      <c r="CA91" s="79">
        <f t="shared" si="212"/>
        <v>0</v>
      </c>
      <c r="CB91" s="1"/>
      <c r="CC91" s="79">
        <f t="shared" si="165"/>
        <v>0</v>
      </c>
      <c r="CD91" s="1"/>
      <c r="CE91" s="79">
        <f t="shared" si="183"/>
        <v>0</v>
      </c>
      <c r="CF91" s="1"/>
      <c r="CG91" s="79">
        <f t="shared" si="196"/>
        <v>0</v>
      </c>
      <c r="CH91" s="1"/>
      <c r="CI91" s="79">
        <f t="shared" si="159"/>
        <v>0</v>
      </c>
      <c r="CJ91" s="1"/>
      <c r="CK91" s="79">
        <f t="shared" si="169"/>
        <v>0</v>
      </c>
      <c r="CL91" s="1"/>
      <c r="CM91" s="79">
        <f t="shared" si="161"/>
        <v>0</v>
      </c>
      <c r="CN91" s="1"/>
      <c r="CO91" s="79">
        <f t="shared" si="184"/>
        <v>0</v>
      </c>
      <c r="CP91" s="1"/>
      <c r="CQ91" s="79">
        <f t="shared" si="197"/>
        <v>0</v>
      </c>
      <c r="CR91" s="1"/>
      <c r="CS91" s="79">
        <f t="shared" si="166"/>
        <v>0</v>
      </c>
      <c r="CT91" s="79"/>
      <c r="CU91" s="79">
        <f t="shared" si="185"/>
        <v>0</v>
      </c>
      <c r="CV91" s="79"/>
      <c r="CW91" s="79">
        <f t="shared" si="49"/>
        <v>0</v>
      </c>
      <c r="CX91" s="79"/>
      <c r="CY91" s="91"/>
      <c r="CZ91" s="79">
        <f t="shared" si="213"/>
        <v>0</v>
      </c>
      <c r="DA91" s="93"/>
      <c r="DB91" s="93">
        <f t="shared" si="199"/>
        <v>0</v>
      </c>
      <c r="DC91" s="96"/>
      <c r="DD91" s="93">
        <f t="shared" si="167"/>
        <v>0</v>
      </c>
      <c r="DE91" s="96"/>
      <c r="DF91" s="93">
        <f t="shared" si="121"/>
        <v>0</v>
      </c>
      <c r="DG91" s="96"/>
      <c r="DH91" s="93">
        <f t="shared" si="175"/>
        <v>0</v>
      </c>
      <c r="DI91" s="96"/>
      <c r="DJ91" s="93">
        <f t="shared" si="117"/>
        <v>0</v>
      </c>
      <c r="DK91" s="93"/>
      <c r="DL91" s="93">
        <f t="shared" si="187"/>
        <v>0</v>
      </c>
      <c r="DM91" s="100">
        <v>0.0</v>
      </c>
      <c r="DN91" s="93">
        <f t="shared" si="122"/>
        <v>0</v>
      </c>
      <c r="DO91" s="100">
        <v>0.0</v>
      </c>
      <c r="DP91" s="93">
        <f t="shared" si="118"/>
        <v>0</v>
      </c>
      <c r="DQ91" s="100">
        <v>0.0</v>
      </c>
      <c r="DR91" s="93">
        <f t="shared" si="188"/>
        <v>0</v>
      </c>
      <c r="DS91" s="100">
        <v>0.0</v>
      </c>
      <c r="DT91" s="93">
        <f t="shared" si="120"/>
        <v>0</v>
      </c>
      <c r="DU91" s="100">
        <v>0.0</v>
      </c>
      <c r="DV91" s="93">
        <f t="shared" si="61"/>
        <v>0</v>
      </c>
    </row>
    <row r="92">
      <c r="A92" s="7" t="s">
        <v>368</v>
      </c>
      <c r="B92" s="7" t="s">
        <v>369</v>
      </c>
      <c r="C92" s="76" t="str">
        <f t="array" ref="C92">_xlfn.XLOOKUP(A92,'Emp Master'!A:A,'Emp Master'!F:F)</f>
        <v>DEL</v>
      </c>
      <c r="D92" s="76" t="str">
        <f t="array" ref="D92">_xlfn.XLOOKUP(A92,'Emp Master'!A:A,'Emp Master'!D:D)</f>
        <v>Office</v>
      </c>
      <c r="E92" s="76" t="str">
        <f t="shared" si="123"/>
        <v>#REF!</v>
      </c>
      <c r="F92" s="76"/>
      <c r="G92" s="79"/>
      <c r="H92" s="80"/>
      <c r="I92" s="79">
        <f t="shared" si="124"/>
        <v>0</v>
      </c>
      <c r="J92" s="80"/>
      <c r="K92" s="79">
        <f t="shared" si="176"/>
        <v>0</v>
      </c>
      <c r="L92" s="142"/>
      <c r="M92" s="79">
        <f t="shared" si="189"/>
        <v>0</v>
      </c>
      <c r="N92" s="142"/>
      <c r="O92" s="79">
        <f t="shared" si="200"/>
        <v>0</v>
      </c>
      <c r="P92" s="142"/>
      <c r="Q92" s="79">
        <f t="shared" si="128"/>
        <v>0</v>
      </c>
      <c r="R92" s="1"/>
      <c r="S92" s="79">
        <f t="shared" si="205"/>
        <v>0</v>
      </c>
      <c r="T92" s="1"/>
      <c r="U92" s="79">
        <f t="shared" si="209"/>
        <v>0</v>
      </c>
      <c r="V92" s="1"/>
      <c r="W92" s="79">
        <f t="shared" si="131"/>
        <v>0</v>
      </c>
      <c r="X92" s="1"/>
      <c r="Y92" s="79">
        <f t="shared" si="132"/>
        <v>0</v>
      </c>
      <c r="Z92" s="1"/>
      <c r="AA92" s="79">
        <f t="shared" si="133"/>
        <v>0</v>
      </c>
      <c r="AB92" s="1"/>
      <c r="AC92" s="79">
        <f t="shared" si="171"/>
        <v>0</v>
      </c>
      <c r="AD92" s="1"/>
      <c r="AE92" s="79">
        <f t="shared" si="201"/>
        <v>0</v>
      </c>
      <c r="AF92" s="1"/>
      <c r="AG92" s="79">
        <f t="shared" si="162"/>
        <v>0</v>
      </c>
      <c r="AH92" s="1"/>
      <c r="AI92" s="79">
        <f t="shared" si="136"/>
        <v>0</v>
      </c>
      <c r="AJ92" s="1"/>
      <c r="AK92" s="79">
        <f t="shared" si="210"/>
        <v>0</v>
      </c>
      <c r="AL92" s="1"/>
      <c r="AM92" s="79">
        <f t="shared" si="211"/>
        <v>0</v>
      </c>
      <c r="AN92" s="1"/>
      <c r="AO92" s="79">
        <f t="shared" si="206"/>
        <v>0</v>
      </c>
      <c r="AP92" s="1"/>
      <c r="AQ92" s="79">
        <f t="shared" si="204"/>
        <v>0</v>
      </c>
      <c r="AR92" s="1"/>
      <c r="AS92" s="79">
        <f t="shared" si="141"/>
        <v>0</v>
      </c>
      <c r="AT92" s="1"/>
      <c r="AU92" s="79">
        <f t="shared" si="193"/>
        <v>0</v>
      </c>
      <c r="AV92" s="1"/>
      <c r="AW92" s="79">
        <f t="shared" si="143"/>
        <v>0</v>
      </c>
      <c r="AX92" s="1"/>
      <c r="AY92" s="79">
        <f t="shared" si="178"/>
        <v>0</v>
      </c>
      <c r="AZ92" s="1"/>
      <c r="BA92" s="79">
        <f t="shared" si="194"/>
        <v>0</v>
      </c>
      <c r="BB92" s="1"/>
      <c r="BC92" s="79">
        <f t="shared" si="207"/>
        <v>0</v>
      </c>
      <c r="BD92" s="1"/>
      <c r="BE92" s="79">
        <f t="shared" si="202"/>
        <v>0</v>
      </c>
      <c r="BF92" s="1"/>
      <c r="BG92" s="79">
        <f t="shared" si="203"/>
        <v>0</v>
      </c>
      <c r="BH92" s="1"/>
      <c r="BI92" s="79">
        <f t="shared" si="148"/>
        <v>0</v>
      </c>
      <c r="BJ92" s="1"/>
      <c r="BK92" s="79">
        <f t="shared" si="149"/>
        <v>0</v>
      </c>
      <c r="BL92" s="1"/>
      <c r="BM92" s="79">
        <f t="shared" si="181"/>
        <v>0</v>
      </c>
      <c r="BN92" s="1"/>
      <c r="BO92" s="79">
        <f t="shared" si="164"/>
        <v>0</v>
      </c>
      <c r="BP92" s="1"/>
      <c r="BQ92" s="79">
        <f t="shared" si="208"/>
        <v>0</v>
      </c>
      <c r="BR92" s="1"/>
      <c r="BS92" s="79">
        <f t="shared" si="174"/>
        <v>0</v>
      </c>
      <c r="BT92" s="1"/>
      <c r="BU92" s="79">
        <f t="shared" si="153"/>
        <v>0</v>
      </c>
      <c r="BV92" s="1"/>
      <c r="BW92" s="79">
        <f t="shared" si="154"/>
        <v>0</v>
      </c>
      <c r="BX92" s="1"/>
      <c r="BY92" s="79">
        <f t="shared" si="155"/>
        <v>0</v>
      </c>
      <c r="BZ92" s="1"/>
      <c r="CA92" s="79">
        <f t="shared" si="212"/>
        <v>0</v>
      </c>
      <c r="CB92" s="1"/>
      <c r="CC92" s="79">
        <f t="shared" si="165"/>
        <v>0</v>
      </c>
      <c r="CD92" s="1"/>
      <c r="CE92" s="79">
        <f t="shared" si="183"/>
        <v>0</v>
      </c>
      <c r="CF92" s="1"/>
      <c r="CG92" s="79">
        <f t="shared" si="196"/>
        <v>0</v>
      </c>
      <c r="CH92" s="1"/>
      <c r="CI92" s="79">
        <f t="shared" si="159"/>
        <v>0</v>
      </c>
      <c r="CJ92" s="1"/>
      <c r="CK92" s="79">
        <f t="shared" si="169"/>
        <v>0</v>
      </c>
      <c r="CL92" s="1"/>
      <c r="CM92" s="79">
        <f t="shared" si="161"/>
        <v>0</v>
      </c>
      <c r="CN92" s="1"/>
      <c r="CO92" s="79">
        <f t="shared" si="184"/>
        <v>0</v>
      </c>
      <c r="CP92" s="1"/>
      <c r="CQ92" s="79">
        <f t="shared" si="197"/>
        <v>0</v>
      </c>
      <c r="CR92" s="1"/>
      <c r="CS92" s="79">
        <f t="shared" si="166"/>
        <v>0</v>
      </c>
      <c r="CT92" s="79"/>
      <c r="CU92" s="79">
        <f t="shared" si="185"/>
        <v>0</v>
      </c>
      <c r="CV92" s="79"/>
      <c r="CW92" s="79">
        <f t="shared" si="49"/>
        <v>0</v>
      </c>
      <c r="CX92" s="79"/>
      <c r="CY92" s="91"/>
      <c r="CZ92" s="79">
        <f t="shared" si="213"/>
        <v>0</v>
      </c>
      <c r="DA92" s="93"/>
      <c r="DB92" s="93">
        <f t="shared" si="199"/>
        <v>0</v>
      </c>
      <c r="DC92" s="96"/>
      <c r="DD92" s="93">
        <f t="shared" si="167"/>
        <v>0</v>
      </c>
      <c r="DE92" s="96"/>
      <c r="DF92" s="93">
        <f t="shared" si="121"/>
        <v>0</v>
      </c>
      <c r="DG92" s="96"/>
      <c r="DH92" s="93">
        <f t="shared" si="175"/>
        <v>0</v>
      </c>
      <c r="DI92" s="96"/>
      <c r="DJ92" s="93">
        <f t="shared" si="117"/>
        <v>0</v>
      </c>
      <c r="DK92" s="93"/>
      <c r="DL92" s="93">
        <f t="shared" si="187"/>
        <v>0</v>
      </c>
      <c r="DM92" s="100">
        <v>0.0</v>
      </c>
      <c r="DN92" s="93">
        <f t="shared" si="122"/>
        <v>0</v>
      </c>
      <c r="DO92" s="100">
        <v>0.0</v>
      </c>
      <c r="DP92" s="93">
        <f t="shared" si="118"/>
        <v>0</v>
      </c>
      <c r="DQ92" s="100">
        <v>0.0</v>
      </c>
      <c r="DR92" s="93">
        <f t="shared" si="188"/>
        <v>0</v>
      </c>
      <c r="DS92" s="100">
        <v>0.0</v>
      </c>
      <c r="DT92" s="93">
        <f t="shared" si="120"/>
        <v>0</v>
      </c>
      <c r="DU92" s="100">
        <v>0.0</v>
      </c>
      <c r="DV92" s="93">
        <f t="shared" si="61"/>
        <v>0</v>
      </c>
    </row>
    <row r="93">
      <c r="A93" s="221" t="s">
        <v>370</v>
      </c>
      <c r="B93" s="222" t="s">
        <v>371</v>
      </c>
      <c r="C93" s="223" t="s">
        <v>199</v>
      </c>
      <c r="D93" s="223" t="s">
        <v>324</v>
      </c>
      <c r="E93" s="76" t="str">
        <f t="shared" si="123"/>
        <v>#REF!</v>
      </c>
      <c r="F93" s="76"/>
      <c r="G93" s="79"/>
      <c r="H93" s="80"/>
      <c r="I93" s="79"/>
      <c r="J93" s="80"/>
      <c r="K93" s="79"/>
      <c r="L93" s="80"/>
      <c r="M93" s="79"/>
      <c r="N93" s="126"/>
      <c r="O93" s="79"/>
      <c r="P93" s="126"/>
      <c r="Q93" s="79"/>
      <c r="R93" s="106"/>
      <c r="S93" s="79"/>
      <c r="T93" s="106"/>
      <c r="U93" s="79"/>
      <c r="V93" s="106"/>
      <c r="W93" s="79"/>
      <c r="X93" s="106"/>
      <c r="Y93" s="79"/>
      <c r="Z93" s="106"/>
      <c r="AA93" s="79"/>
      <c r="AB93" s="106"/>
      <c r="AC93" s="79"/>
      <c r="AD93" s="106"/>
      <c r="AE93" s="79"/>
      <c r="AF93" s="106"/>
      <c r="AG93" s="79"/>
      <c r="AH93" s="106"/>
      <c r="AI93" s="79"/>
      <c r="AJ93" s="106"/>
      <c r="AK93" s="79"/>
      <c r="AL93" s="106"/>
      <c r="AM93" s="79"/>
      <c r="AN93" s="106"/>
      <c r="AO93" s="79"/>
      <c r="AP93" s="106"/>
      <c r="AQ93" s="79"/>
      <c r="AR93" s="106"/>
      <c r="AS93" s="79"/>
      <c r="AT93" s="106"/>
      <c r="AU93" s="79"/>
      <c r="AV93" s="106"/>
      <c r="AW93" s="79"/>
      <c r="AX93" s="106"/>
      <c r="AY93" s="79"/>
      <c r="AZ93" s="106"/>
      <c r="BA93" s="79"/>
      <c r="BB93" s="106"/>
      <c r="BC93" s="79"/>
      <c r="BD93" s="106"/>
      <c r="BE93" s="79"/>
      <c r="BF93" s="106"/>
      <c r="BG93" s="79"/>
      <c r="BH93" s="106"/>
      <c r="BI93" s="79"/>
      <c r="BJ93" s="1"/>
      <c r="BK93" s="79"/>
      <c r="BL93" s="1"/>
      <c r="BM93" s="79"/>
      <c r="BN93" s="1"/>
      <c r="BO93" s="79"/>
      <c r="BP93" s="106"/>
      <c r="BQ93" s="79"/>
      <c r="BR93" s="106"/>
      <c r="BS93" s="79"/>
      <c r="BT93" s="106"/>
      <c r="BU93" s="79"/>
      <c r="BV93" s="106"/>
      <c r="BW93" s="79"/>
      <c r="BX93" s="106"/>
      <c r="BY93" s="79"/>
      <c r="BZ93" s="106"/>
      <c r="CA93" s="79"/>
      <c r="CB93" s="1"/>
      <c r="CC93" s="79"/>
      <c r="CD93" s="106"/>
      <c r="CE93" s="79"/>
      <c r="CF93" s="106"/>
      <c r="CG93" s="79"/>
      <c r="CH93" s="106"/>
      <c r="CI93" s="79">
        <f>(CG93-CH93)+150000</f>
        <v>150000</v>
      </c>
      <c r="CJ93" s="106">
        <v>0.0</v>
      </c>
      <c r="CK93" s="79">
        <f t="shared" si="169"/>
        <v>150000</v>
      </c>
      <c r="CL93" s="106"/>
      <c r="CM93" s="79">
        <f t="shared" si="161"/>
        <v>150000</v>
      </c>
      <c r="CN93" s="106">
        <v>12500.0</v>
      </c>
      <c r="CO93" s="79">
        <f t="shared" si="184"/>
        <v>137500</v>
      </c>
      <c r="CP93" s="106">
        <v>15000.0</v>
      </c>
      <c r="CQ93" s="79">
        <f t="shared" si="197"/>
        <v>122500</v>
      </c>
      <c r="CR93" s="106">
        <v>15000.0</v>
      </c>
      <c r="CS93" s="79">
        <f t="shared" si="166"/>
        <v>107500</v>
      </c>
      <c r="CT93" s="24">
        <v>15000.0</v>
      </c>
      <c r="CU93" s="79">
        <f t="shared" si="185"/>
        <v>92500</v>
      </c>
      <c r="CV93" s="24">
        <v>0.0</v>
      </c>
      <c r="CW93" s="79">
        <f t="shared" si="49"/>
        <v>92500</v>
      </c>
      <c r="CX93" s="24">
        <v>0.0</v>
      </c>
      <c r="CY93" s="91">
        <v>44000.0</v>
      </c>
      <c r="CZ93" s="79">
        <f>CW93-CX93-CY93</f>
        <v>48500</v>
      </c>
      <c r="DA93" s="100">
        <v>10500.0</v>
      </c>
      <c r="DB93" s="93">
        <f t="shared" si="199"/>
        <v>38000</v>
      </c>
      <c r="DC93" s="207">
        <v>10500.0</v>
      </c>
      <c r="DD93" s="93">
        <f t="shared" si="167"/>
        <v>27500</v>
      </c>
      <c r="DE93" s="208">
        <v>18000.0</v>
      </c>
      <c r="DF93" s="93">
        <f t="shared" si="121"/>
        <v>9500</v>
      </c>
      <c r="DG93" s="178">
        <v>9500.0</v>
      </c>
      <c r="DH93" s="93">
        <f t="shared" si="175"/>
        <v>0</v>
      </c>
      <c r="DI93" s="178"/>
      <c r="DJ93" s="93">
        <f t="shared" si="117"/>
        <v>0</v>
      </c>
      <c r="DK93" s="93"/>
      <c r="DL93" s="93">
        <f t="shared" si="187"/>
        <v>0</v>
      </c>
      <c r="DM93" s="100">
        <v>0.0</v>
      </c>
      <c r="DN93" s="93">
        <f t="shared" si="122"/>
        <v>0</v>
      </c>
      <c r="DO93" s="100">
        <v>0.0</v>
      </c>
      <c r="DP93" s="93">
        <f t="shared" si="118"/>
        <v>0</v>
      </c>
      <c r="DQ93" s="100">
        <v>0.0</v>
      </c>
      <c r="DR93" s="93">
        <f t="shared" si="188"/>
        <v>0</v>
      </c>
      <c r="DS93" s="100">
        <v>0.0</v>
      </c>
      <c r="DT93" s="93">
        <f t="shared" si="120"/>
        <v>0</v>
      </c>
      <c r="DU93" s="100">
        <v>0.0</v>
      </c>
      <c r="DV93" s="93">
        <f t="shared" si="61"/>
        <v>0</v>
      </c>
    </row>
    <row r="94">
      <c r="A94" s="7" t="s">
        <v>374</v>
      </c>
      <c r="B94" s="7" t="s">
        <v>375</v>
      </c>
      <c r="C94" s="76" t="str">
        <f t="array" ref="C94">_xlfn.XLOOKUP(A94,'Emp Master'!A:A,'Emp Master'!F:F)</f>
        <v>SNP</v>
      </c>
      <c r="D94" s="76" t="str">
        <f t="array" ref="D94">_xlfn.XLOOKUP(A94,'Emp Master'!A:A,'Emp Master'!D:D)</f>
        <v>Accounts &amp; Finance</v>
      </c>
      <c r="E94" s="76" t="str">
        <f t="shared" si="123"/>
        <v>#REF!</v>
      </c>
      <c r="F94" s="76">
        <v>5000.0</v>
      </c>
      <c r="G94" s="79">
        <v>10000.0</v>
      </c>
      <c r="H94" s="80">
        <v>5000.0</v>
      </c>
      <c r="I94" s="79">
        <f t="shared" ref="I94:I96" si="214">G94-H94</f>
        <v>5000</v>
      </c>
      <c r="J94" s="80">
        <v>5000.0</v>
      </c>
      <c r="K94" s="79">
        <f t="shared" ref="K94:K101" si="215">I94-J94</f>
        <v>0</v>
      </c>
      <c r="L94" s="80"/>
      <c r="M94" s="79">
        <f>K94-L94+110000</f>
        <v>110000</v>
      </c>
      <c r="N94" s="126">
        <v>40000.0</v>
      </c>
      <c r="O94" s="79">
        <f t="shared" ref="O94:O107" si="216">M94-N94</f>
        <v>70000</v>
      </c>
      <c r="P94" s="126">
        <v>5000.0</v>
      </c>
      <c r="Q94" s="79">
        <f t="shared" ref="Q94:Q101" si="217">O94-P94</f>
        <v>65000</v>
      </c>
      <c r="R94" s="106">
        <v>5000.0</v>
      </c>
      <c r="S94" s="79">
        <f t="shared" ref="S94:S114" si="218">Q94-R94</f>
        <v>60000</v>
      </c>
      <c r="T94" s="106">
        <v>5000.0</v>
      </c>
      <c r="U94" s="79">
        <f t="shared" ref="U94:U114" si="219">S94-T94</f>
        <v>55000</v>
      </c>
      <c r="V94" s="106">
        <v>5000.0</v>
      </c>
      <c r="W94" s="79">
        <f>U94-V94</f>
        <v>50000</v>
      </c>
      <c r="X94" s="106">
        <v>5000.0</v>
      </c>
      <c r="Y94" s="79">
        <f t="shared" ref="Y94:Y95" si="220">W94-X94</f>
        <v>45000</v>
      </c>
      <c r="Z94" s="106">
        <v>5000.0</v>
      </c>
      <c r="AA94" s="79">
        <f>Y94-Z94+40000+36225</f>
        <v>116225</v>
      </c>
      <c r="AB94" s="106">
        <f>5000+36225</f>
        <v>41225</v>
      </c>
      <c r="AC94" s="79">
        <f t="shared" ref="AC94:AC96" si="221">AA94-AB94</f>
        <v>75000</v>
      </c>
      <c r="AD94" s="106">
        <v>5000.0</v>
      </c>
      <c r="AE94" s="79">
        <f t="shared" ref="AE94:AE96" si="222">AC94-AD94</f>
        <v>70000</v>
      </c>
      <c r="AF94" s="106">
        <v>5000.0</v>
      </c>
      <c r="AG94" s="79">
        <f t="shared" ref="AG94:AG106" si="223">AE94-AF94</f>
        <v>65000</v>
      </c>
      <c r="AH94" s="106">
        <v>5000.0</v>
      </c>
      <c r="AI94" s="79">
        <f t="shared" ref="AI94:AI95" si="224">AG94-AH94</f>
        <v>60000</v>
      </c>
      <c r="AJ94" s="106">
        <v>5000.0</v>
      </c>
      <c r="AK94" s="79">
        <f t="shared" ref="AK94:AK96" si="225">AI94-AJ94</f>
        <v>55000</v>
      </c>
      <c r="AL94" s="106">
        <v>15000.0</v>
      </c>
      <c r="AM94" s="79">
        <f>AK94-AL94-40000</f>
        <v>0</v>
      </c>
      <c r="AN94" s="106">
        <v>0.0</v>
      </c>
      <c r="AO94" s="79">
        <f t="shared" ref="AO94:AO101" si="226">AM94-AN94</f>
        <v>0</v>
      </c>
      <c r="AP94" s="106">
        <v>0.0</v>
      </c>
      <c r="AQ94" s="79">
        <f t="shared" ref="AQ94:AQ96" si="227">AO94-AP94</f>
        <v>0</v>
      </c>
      <c r="AR94" s="106">
        <v>0.0</v>
      </c>
      <c r="AS94" s="79">
        <f t="shared" ref="AS94:AS113" si="228">AQ94-AR94</f>
        <v>0</v>
      </c>
      <c r="AT94" s="106">
        <v>0.0</v>
      </c>
      <c r="AU94" s="79">
        <f t="shared" ref="AU94:AU114" si="229">AS94-AT94</f>
        <v>0</v>
      </c>
      <c r="AV94" s="106">
        <v>0.0</v>
      </c>
      <c r="AW94" s="79">
        <f>AU94-AV94</f>
        <v>0</v>
      </c>
      <c r="AX94" s="106">
        <v>0.0</v>
      </c>
      <c r="AY94" s="79">
        <f t="shared" ref="AY94:AY101" si="230">AW94-AX94</f>
        <v>0</v>
      </c>
      <c r="AZ94" s="106">
        <v>0.0</v>
      </c>
      <c r="BA94" s="79">
        <f>AY94-AZ94+30000</f>
        <v>30000</v>
      </c>
      <c r="BB94" s="106">
        <v>30000.0</v>
      </c>
      <c r="BC94" s="79">
        <f>BA94-BB94+55000</f>
        <v>55000</v>
      </c>
      <c r="BD94" s="106">
        <v>30000.0</v>
      </c>
      <c r="BE94" s="79">
        <f>BC94-BD94-25000</f>
        <v>0</v>
      </c>
      <c r="BF94" s="106">
        <v>0.0</v>
      </c>
      <c r="BG94" s="79">
        <f t="shared" ref="BG94:BG96" si="231">BE94-BF94</f>
        <v>0</v>
      </c>
      <c r="BH94" s="106">
        <v>0.0</v>
      </c>
      <c r="BI94" s="79">
        <f>BG94-BH94</f>
        <v>0</v>
      </c>
      <c r="BJ94" s="1"/>
      <c r="BK94" s="79">
        <f t="shared" ref="BK94:BK110" si="232">BI94-BJ94</f>
        <v>0</v>
      </c>
      <c r="BL94" s="1"/>
      <c r="BM94" s="79">
        <f>BK94-BL94+100000</f>
        <v>100000</v>
      </c>
      <c r="BN94" s="1"/>
      <c r="BO94" s="79">
        <f t="shared" ref="BO94:BO114" si="233">BM94-BN94</f>
        <v>100000</v>
      </c>
      <c r="BP94" s="106">
        <v>10000.0</v>
      </c>
      <c r="BQ94" s="79">
        <f t="shared" ref="BQ94:BQ95" si="234">BO94-BP94</f>
        <v>90000</v>
      </c>
      <c r="BR94" s="106">
        <v>10000.0</v>
      </c>
      <c r="BS94" s="79">
        <f t="shared" ref="BS94:BS95" si="235">BQ94-BR94</f>
        <v>80000</v>
      </c>
      <c r="BT94" s="106">
        <v>10000.0</v>
      </c>
      <c r="BU94" s="79">
        <f>BS94-BT94</f>
        <v>70000</v>
      </c>
      <c r="BV94" s="106">
        <v>10000.0</v>
      </c>
      <c r="BW94" s="79">
        <f t="shared" ref="BW94:BW114" si="236">BU94-BV94</f>
        <v>60000</v>
      </c>
      <c r="BX94" s="106">
        <v>10000.0</v>
      </c>
      <c r="BY94" s="79">
        <f t="shared" ref="BY94:BY95" si="237">BW94-BX94</f>
        <v>50000</v>
      </c>
      <c r="BZ94" s="106">
        <v>10000.0</v>
      </c>
      <c r="CA94" s="79">
        <f t="shared" ref="CA94:CA109" si="238">BY94-BZ94</f>
        <v>40000</v>
      </c>
      <c r="CB94" s="1"/>
      <c r="CC94" s="79">
        <f t="shared" ref="CC94:CC107" si="239">CA94-CB94</f>
        <v>40000</v>
      </c>
      <c r="CD94" s="106">
        <v>10000.0</v>
      </c>
      <c r="CE94" s="79">
        <f t="shared" ref="CE94:CE95" si="240">CC94-CD94</f>
        <v>30000</v>
      </c>
      <c r="CF94" s="106">
        <v>10000.0</v>
      </c>
      <c r="CG94" s="79">
        <f t="shared" ref="CG94:CG95" si="241">CE94-CF94</f>
        <v>20000</v>
      </c>
      <c r="CH94" s="106">
        <v>10000.0</v>
      </c>
      <c r="CI94" s="79">
        <f t="shared" ref="CI94:CI105" si="242">CG94-CH94</f>
        <v>10000</v>
      </c>
      <c r="CJ94" s="106">
        <v>10000.0</v>
      </c>
      <c r="CK94" s="79">
        <f t="shared" si="169"/>
        <v>0</v>
      </c>
      <c r="CL94" s="106"/>
      <c r="CM94" s="79">
        <f t="shared" si="161"/>
        <v>0</v>
      </c>
      <c r="CN94" s="106"/>
      <c r="CO94" s="79">
        <f t="shared" si="184"/>
        <v>0</v>
      </c>
      <c r="CP94" s="106"/>
      <c r="CQ94" s="79">
        <f>CO94-CP94+125000</f>
        <v>125000</v>
      </c>
      <c r="CR94" s="106"/>
      <c r="CS94" s="79">
        <f t="shared" si="166"/>
        <v>125000</v>
      </c>
      <c r="CT94" s="24"/>
      <c r="CU94" s="79">
        <f>CS94-CT94-20000</f>
        <v>105000</v>
      </c>
      <c r="CV94" s="79"/>
      <c r="CW94" s="79">
        <f>CU94-CV94-15000</f>
        <v>90000</v>
      </c>
      <c r="CX94" s="79"/>
      <c r="CY94" s="91"/>
      <c r="CZ94" s="79">
        <f>CW94-CX94-15000</f>
        <v>75000</v>
      </c>
      <c r="DA94" s="93"/>
      <c r="DB94" s="93">
        <f>CZ94-DA94-15000</f>
        <v>60000</v>
      </c>
      <c r="DC94" s="96"/>
      <c r="DD94" s="93">
        <f>DB94-DC94-15000</f>
        <v>45000</v>
      </c>
      <c r="DE94" s="96"/>
      <c r="DF94" s="93">
        <f>DD94-DE94-15000</f>
        <v>30000</v>
      </c>
      <c r="DG94" s="96"/>
      <c r="DH94" s="93">
        <f t="shared" si="175"/>
        <v>30000</v>
      </c>
      <c r="DI94" s="96"/>
      <c r="DJ94" s="93">
        <f>DH94-DI94-30000</f>
        <v>0</v>
      </c>
      <c r="DK94" s="93"/>
      <c r="DL94" s="93">
        <f t="shared" si="187"/>
        <v>0</v>
      </c>
      <c r="DM94" s="100">
        <v>0.0</v>
      </c>
      <c r="DN94" s="93">
        <f t="shared" si="122"/>
        <v>0</v>
      </c>
      <c r="DO94" s="100">
        <v>0.0</v>
      </c>
      <c r="DP94" s="93">
        <f t="shared" si="118"/>
        <v>0</v>
      </c>
      <c r="DQ94" s="100">
        <v>0.0</v>
      </c>
      <c r="DR94" s="93">
        <f t="shared" si="188"/>
        <v>0</v>
      </c>
      <c r="DS94" s="100">
        <v>0.0</v>
      </c>
      <c r="DT94" s="93">
        <f t="shared" si="120"/>
        <v>0</v>
      </c>
      <c r="DU94" s="100">
        <v>0.0</v>
      </c>
      <c r="DV94" s="93">
        <f t="shared" si="61"/>
        <v>0</v>
      </c>
    </row>
    <row r="95">
      <c r="A95" s="7" t="s">
        <v>376</v>
      </c>
      <c r="B95" s="7" t="s">
        <v>233</v>
      </c>
      <c r="C95" s="76" t="str">
        <f t="array" ref="C95">_xlfn.XLOOKUP(A95,'Emp Master'!A:A,'Emp Master'!F:F)</f>
        <v>SNP</v>
      </c>
      <c r="D95" s="76" t="str">
        <f t="array" ref="D95">_xlfn.XLOOKUP(A95,'Emp Master'!A:A,'Emp Master'!D:D)</f>
        <v>Cutting</v>
      </c>
      <c r="E95" s="76" t="str">
        <f t="shared" si="123"/>
        <v>#REF!</v>
      </c>
      <c r="F95" s="76">
        <v>1100.0</v>
      </c>
      <c r="G95" s="79">
        <v>11800.0</v>
      </c>
      <c r="H95" s="80">
        <v>1100.0</v>
      </c>
      <c r="I95" s="79">
        <f t="shared" si="214"/>
        <v>10700</v>
      </c>
      <c r="J95" s="80">
        <v>1100.0</v>
      </c>
      <c r="K95" s="79">
        <f t="shared" si="215"/>
        <v>9600</v>
      </c>
      <c r="L95" s="126">
        <v>0.0</v>
      </c>
      <c r="M95" s="79">
        <f t="shared" ref="M95:M114" si="243">K95-L95</f>
        <v>9600</v>
      </c>
      <c r="N95" s="80">
        <v>1100.0</v>
      </c>
      <c r="O95" s="79">
        <f t="shared" si="216"/>
        <v>8500</v>
      </c>
      <c r="P95" s="80">
        <v>1100.0</v>
      </c>
      <c r="Q95" s="79">
        <f t="shared" si="217"/>
        <v>7400</v>
      </c>
      <c r="R95" s="106">
        <v>1100.0</v>
      </c>
      <c r="S95" s="79">
        <f t="shared" si="218"/>
        <v>6300</v>
      </c>
      <c r="T95" s="106">
        <v>1100.0</v>
      </c>
      <c r="U95" s="79">
        <f t="shared" si="219"/>
        <v>5200</v>
      </c>
      <c r="V95" s="106">
        <v>1200.0</v>
      </c>
      <c r="W95" s="79">
        <f>U95-V95+10000</f>
        <v>14000</v>
      </c>
      <c r="X95" s="106">
        <v>1000.0</v>
      </c>
      <c r="Y95" s="79">
        <f t="shared" si="220"/>
        <v>13000</v>
      </c>
      <c r="Z95" s="106">
        <v>1000.0</v>
      </c>
      <c r="AA95" s="79">
        <f t="shared" ref="AA95:AA114" si="244">Y95-Z95</f>
        <v>12000</v>
      </c>
      <c r="AB95" s="106">
        <v>1000.0</v>
      </c>
      <c r="AC95" s="79">
        <f t="shared" si="221"/>
        <v>11000</v>
      </c>
      <c r="AD95" s="106">
        <v>1000.0</v>
      </c>
      <c r="AE95" s="79">
        <f t="shared" si="222"/>
        <v>10000</v>
      </c>
      <c r="AF95" s="106">
        <v>1000.0</v>
      </c>
      <c r="AG95" s="79">
        <f t="shared" si="223"/>
        <v>9000</v>
      </c>
      <c r="AH95" s="106">
        <v>1000.0</v>
      </c>
      <c r="AI95" s="79">
        <f t="shared" si="224"/>
        <v>8000</v>
      </c>
      <c r="AJ95" s="106">
        <v>1000.0</v>
      </c>
      <c r="AK95" s="79">
        <f t="shared" si="225"/>
        <v>7000</v>
      </c>
      <c r="AL95" s="106">
        <v>1000.0</v>
      </c>
      <c r="AM95" s="79">
        <f t="shared" ref="AM95:AM96" si="245">AK95-AL95</f>
        <v>6000</v>
      </c>
      <c r="AN95" s="106">
        <v>1000.0</v>
      </c>
      <c r="AO95" s="79">
        <f t="shared" si="226"/>
        <v>5000</v>
      </c>
      <c r="AP95" s="106">
        <v>1000.0</v>
      </c>
      <c r="AQ95" s="79">
        <f t="shared" si="227"/>
        <v>4000</v>
      </c>
      <c r="AR95" s="106">
        <v>1000.0</v>
      </c>
      <c r="AS95" s="79">
        <f t="shared" si="228"/>
        <v>3000</v>
      </c>
      <c r="AT95" s="106">
        <v>1000.0</v>
      </c>
      <c r="AU95" s="79">
        <f t="shared" si="229"/>
        <v>2000</v>
      </c>
      <c r="AV95" s="106">
        <v>2000.0</v>
      </c>
      <c r="AW95" s="79">
        <f>AU95-AV95+15000</f>
        <v>15000</v>
      </c>
      <c r="AX95" s="106">
        <v>3000.0</v>
      </c>
      <c r="AY95" s="79">
        <f t="shared" si="230"/>
        <v>12000</v>
      </c>
      <c r="AZ95" s="106">
        <v>3000.0</v>
      </c>
      <c r="BA95" s="79">
        <f t="shared" ref="BA95:BA110" si="246">AY95-AZ95</f>
        <v>9000</v>
      </c>
      <c r="BB95" s="106">
        <v>3000.0</v>
      </c>
      <c r="BC95" s="79">
        <f>BA95-BB95</f>
        <v>6000</v>
      </c>
      <c r="BD95" s="106">
        <v>3000.0</v>
      </c>
      <c r="BE95" s="79">
        <f t="shared" ref="BE95:BE114" si="247">BC95-BD95</f>
        <v>3000</v>
      </c>
      <c r="BF95" s="106">
        <v>3000.0</v>
      </c>
      <c r="BG95" s="24">
        <f t="shared" si="231"/>
        <v>0</v>
      </c>
      <c r="BH95" s="106">
        <v>0.0</v>
      </c>
      <c r="BI95" s="79">
        <f>BG95-BH95+15000</f>
        <v>15000</v>
      </c>
      <c r="BJ95" s="106">
        <v>3000.0</v>
      </c>
      <c r="BK95" s="79">
        <f t="shared" si="232"/>
        <v>12000</v>
      </c>
      <c r="BL95" s="106">
        <v>3000.0</v>
      </c>
      <c r="BM95" s="79">
        <f t="shared" ref="BM95:BM101" si="248">BK95-BL95</f>
        <v>9000</v>
      </c>
      <c r="BN95" s="106">
        <v>3000.0</v>
      </c>
      <c r="BO95" s="79">
        <f t="shared" si="233"/>
        <v>6000</v>
      </c>
      <c r="BP95" s="106">
        <v>3000.0</v>
      </c>
      <c r="BQ95" s="79">
        <f t="shared" si="234"/>
        <v>3000</v>
      </c>
      <c r="BR95" s="106">
        <v>3000.0</v>
      </c>
      <c r="BS95" s="79">
        <f t="shared" si="235"/>
        <v>0</v>
      </c>
      <c r="BT95" s="1"/>
      <c r="BU95" s="79">
        <f>BS95-BT95+10000</f>
        <v>10000</v>
      </c>
      <c r="BV95" s="106">
        <v>3000.0</v>
      </c>
      <c r="BW95" s="79">
        <f t="shared" si="236"/>
        <v>7000</v>
      </c>
      <c r="BX95" s="106">
        <v>3000.0</v>
      </c>
      <c r="BY95" s="79">
        <f t="shared" si="237"/>
        <v>4000</v>
      </c>
      <c r="BZ95" s="106">
        <v>3000.0</v>
      </c>
      <c r="CA95" s="79">
        <f t="shared" si="238"/>
        <v>1000</v>
      </c>
      <c r="CB95" s="106">
        <v>1000.0</v>
      </c>
      <c r="CC95" s="79">
        <f t="shared" si="239"/>
        <v>0</v>
      </c>
      <c r="CD95" s="1"/>
      <c r="CE95" s="79">
        <f t="shared" si="240"/>
        <v>0</v>
      </c>
      <c r="CF95" s="1"/>
      <c r="CG95" s="79">
        <f t="shared" si="241"/>
        <v>0</v>
      </c>
      <c r="CH95" s="1"/>
      <c r="CI95" s="79">
        <f t="shared" si="242"/>
        <v>0</v>
      </c>
      <c r="CJ95" s="1"/>
      <c r="CK95" s="79">
        <f t="shared" si="169"/>
        <v>0</v>
      </c>
      <c r="CL95" s="1"/>
      <c r="CM95" s="79">
        <f>20000+CK95-CL95</f>
        <v>20000</v>
      </c>
      <c r="CN95" s="106"/>
      <c r="CO95" s="79">
        <f t="shared" si="184"/>
        <v>20000</v>
      </c>
      <c r="CP95" s="106">
        <v>5000.0</v>
      </c>
      <c r="CQ95" s="79">
        <f t="shared" ref="CQ95:CQ101" si="249">CO95-CP95</f>
        <v>15000</v>
      </c>
      <c r="CR95" s="106">
        <v>5000.0</v>
      </c>
      <c r="CS95" s="79">
        <f t="shared" si="166"/>
        <v>10000</v>
      </c>
      <c r="CT95" s="24">
        <v>5000.0</v>
      </c>
      <c r="CU95" s="79">
        <f t="shared" ref="CU95:CU113" si="250">CS95-CT95</f>
        <v>5000</v>
      </c>
      <c r="CV95" s="24">
        <v>5000.0</v>
      </c>
      <c r="CW95" s="79">
        <f t="shared" ref="CW95:CW135" si="251">CU95-CV95</f>
        <v>0</v>
      </c>
      <c r="CX95" s="24"/>
      <c r="CY95" s="91"/>
      <c r="CZ95" s="79">
        <f t="shared" ref="CZ95:CZ101" si="252">CW95-CX95</f>
        <v>0</v>
      </c>
      <c r="DA95" s="93"/>
      <c r="DB95" s="93">
        <f t="shared" ref="DB95:DB107" si="253">CZ95-DA95</f>
        <v>0</v>
      </c>
      <c r="DC95" s="96"/>
      <c r="DD95" s="93">
        <f t="shared" ref="DD95:DD113" si="254">DB95-DC95</f>
        <v>0</v>
      </c>
      <c r="DE95" s="96"/>
      <c r="DF95" s="93">
        <f t="shared" ref="DF95:DF96" si="255">DD95-DE95</f>
        <v>0</v>
      </c>
      <c r="DG95" s="96"/>
      <c r="DH95" s="93">
        <f t="shared" si="175"/>
        <v>0</v>
      </c>
      <c r="DI95" s="96"/>
      <c r="DJ95" s="93">
        <f t="shared" ref="DJ95:DJ109" si="256">DH95-DI95</f>
        <v>0</v>
      </c>
      <c r="DK95" s="93"/>
      <c r="DL95" s="100">
        <v>6000.0</v>
      </c>
      <c r="DM95" s="100">
        <v>3000.0</v>
      </c>
      <c r="DN95" s="93">
        <f t="shared" si="122"/>
        <v>3000</v>
      </c>
      <c r="DO95" s="100">
        <v>3000.0</v>
      </c>
      <c r="DP95" s="93">
        <f t="shared" si="118"/>
        <v>0</v>
      </c>
      <c r="DQ95" s="100">
        <v>0.0</v>
      </c>
      <c r="DR95" s="93">
        <f t="shared" si="188"/>
        <v>0</v>
      </c>
      <c r="DS95" s="100">
        <v>0.0</v>
      </c>
      <c r="DT95" s="93">
        <f t="shared" si="120"/>
        <v>0</v>
      </c>
      <c r="DU95" s="100">
        <v>0.0</v>
      </c>
      <c r="DV95" s="93">
        <f t="shared" si="61"/>
        <v>0</v>
      </c>
    </row>
    <row r="96">
      <c r="A96" s="7" t="s">
        <v>377</v>
      </c>
      <c r="B96" s="7" t="s">
        <v>378</v>
      </c>
      <c r="C96" s="76" t="str">
        <f t="array" ref="C96">_xlfn.XLOOKUP(A96,'Emp Master'!A:A,'Emp Master'!F:F)</f>
        <v>SNP</v>
      </c>
      <c r="D96" s="76" t="str">
        <f t="array" ref="D96">_xlfn.XLOOKUP(A96,'Emp Master'!A:A,'Emp Master'!D:D)</f>
        <v>Machining</v>
      </c>
      <c r="E96" s="76" t="str">
        <f t="shared" si="123"/>
        <v>#REF!</v>
      </c>
      <c r="F96" s="76"/>
      <c r="G96" s="79"/>
      <c r="H96" s="80"/>
      <c r="I96" s="79">
        <f t="shared" si="214"/>
        <v>0</v>
      </c>
      <c r="J96" s="80"/>
      <c r="K96" s="79">
        <f t="shared" si="215"/>
        <v>0</v>
      </c>
      <c r="L96" s="80"/>
      <c r="M96" s="79">
        <f t="shared" si="243"/>
        <v>0</v>
      </c>
      <c r="N96" s="80"/>
      <c r="O96" s="79">
        <f t="shared" si="216"/>
        <v>0</v>
      </c>
      <c r="P96" s="80"/>
      <c r="Q96" s="79">
        <f t="shared" si="217"/>
        <v>0</v>
      </c>
      <c r="R96" s="1"/>
      <c r="S96" s="79">
        <f t="shared" si="218"/>
        <v>0</v>
      </c>
      <c r="T96" s="1"/>
      <c r="U96" s="79">
        <f t="shared" si="219"/>
        <v>0</v>
      </c>
      <c r="V96" s="1"/>
      <c r="W96" s="79">
        <f t="shared" ref="W96:W99" si="257">U96-V96</f>
        <v>0</v>
      </c>
      <c r="X96" s="1"/>
      <c r="Y96" s="24">
        <v>0.0</v>
      </c>
      <c r="Z96" s="1"/>
      <c r="AA96" s="79">
        <f t="shared" si="244"/>
        <v>0</v>
      </c>
      <c r="AB96" s="1"/>
      <c r="AC96" s="79">
        <f t="shared" si="221"/>
        <v>0</v>
      </c>
      <c r="AD96" s="1"/>
      <c r="AE96" s="79">
        <f t="shared" si="222"/>
        <v>0</v>
      </c>
      <c r="AF96" s="1"/>
      <c r="AG96" s="79">
        <f t="shared" si="223"/>
        <v>0</v>
      </c>
      <c r="AH96" s="1"/>
      <c r="AI96" s="79">
        <f>AG96-AH96+15000</f>
        <v>15000</v>
      </c>
      <c r="AJ96" s="1"/>
      <c r="AK96" s="79">
        <f t="shared" si="225"/>
        <v>15000</v>
      </c>
      <c r="AL96" s="106">
        <v>2000.0</v>
      </c>
      <c r="AM96" s="79">
        <f t="shared" si="245"/>
        <v>13000</v>
      </c>
      <c r="AN96" s="106">
        <v>3000.0</v>
      </c>
      <c r="AO96" s="79">
        <f t="shared" si="226"/>
        <v>10000</v>
      </c>
      <c r="AP96" s="106">
        <v>3000.0</v>
      </c>
      <c r="AQ96" s="79">
        <f t="shared" si="227"/>
        <v>7000</v>
      </c>
      <c r="AR96" s="106">
        <v>3000.0</v>
      </c>
      <c r="AS96" s="79">
        <f t="shared" si="228"/>
        <v>4000</v>
      </c>
      <c r="AT96" s="106">
        <v>2000.0</v>
      </c>
      <c r="AU96" s="79">
        <f t="shared" si="229"/>
        <v>2000</v>
      </c>
      <c r="AV96" s="106">
        <v>2000.0</v>
      </c>
      <c r="AW96" s="79">
        <f t="shared" ref="AW96:AW109" si="258">AU96-AV96</f>
        <v>0</v>
      </c>
      <c r="AX96" s="106">
        <v>0.0</v>
      </c>
      <c r="AY96" s="79">
        <f t="shared" si="230"/>
        <v>0</v>
      </c>
      <c r="AZ96" s="106">
        <v>0.0</v>
      </c>
      <c r="BA96" s="79">
        <f t="shared" si="246"/>
        <v>0</v>
      </c>
      <c r="BB96" s="106">
        <v>0.0</v>
      </c>
      <c r="BC96" s="79">
        <f>BA96-BB96+10000</f>
        <v>10000</v>
      </c>
      <c r="BD96" s="106">
        <v>2000.0</v>
      </c>
      <c r="BE96" s="79">
        <f t="shared" si="247"/>
        <v>8000</v>
      </c>
      <c r="BF96" s="106">
        <v>2000.0</v>
      </c>
      <c r="BG96" s="79">
        <f t="shared" si="231"/>
        <v>6000</v>
      </c>
      <c r="BH96" s="106">
        <v>2000.0</v>
      </c>
      <c r="BI96" s="79">
        <f t="shared" ref="BI96:BI109" si="259">BG96-BH96</f>
        <v>4000</v>
      </c>
      <c r="BJ96" s="106">
        <v>2000.0</v>
      </c>
      <c r="BK96" s="79">
        <f t="shared" si="232"/>
        <v>2000</v>
      </c>
      <c r="BL96" s="106">
        <v>2000.0</v>
      </c>
      <c r="BM96" s="79">
        <f t="shared" si="248"/>
        <v>0</v>
      </c>
      <c r="BN96" s="1"/>
      <c r="BO96" s="79">
        <f t="shared" si="233"/>
        <v>0</v>
      </c>
      <c r="BP96" s="1"/>
      <c r="BQ96" s="79"/>
      <c r="BR96" s="1"/>
      <c r="BS96" s="79">
        <f>BQ96-BR96+10000</f>
        <v>10000</v>
      </c>
      <c r="BT96" s="106">
        <v>2000.0</v>
      </c>
      <c r="BU96" s="79">
        <f t="shared" ref="BU96:BU101" si="260">BS96-BT96</f>
        <v>8000</v>
      </c>
      <c r="BV96" s="106">
        <v>2000.0</v>
      </c>
      <c r="BW96" s="79">
        <f t="shared" si="236"/>
        <v>6000</v>
      </c>
      <c r="BX96" s="106">
        <v>2000.0</v>
      </c>
      <c r="BY96" s="79">
        <f>BW96-BX96+5000</f>
        <v>9000</v>
      </c>
      <c r="BZ96" s="106">
        <v>5000.0</v>
      </c>
      <c r="CA96" s="79">
        <f t="shared" si="238"/>
        <v>4000</v>
      </c>
      <c r="CB96" s="106">
        <v>2000.0</v>
      </c>
      <c r="CC96" s="79">
        <f t="shared" si="239"/>
        <v>2000</v>
      </c>
      <c r="CD96" s="106">
        <v>2000.0</v>
      </c>
      <c r="CE96" s="79">
        <f>(CC96-CD96)</f>
        <v>0</v>
      </c>
      <c r="CF96" s="1"/>
      <c r="CG96" s="79">
        <f>10000+CE96-CF96</f>
        <v>10000</v>
      </c>
      <c r="CH96" s="106">
        <v>10000.0</v>
      </c>
      <c r="CI96" s="79">
        <f t="shared" si="242"/>
        <v>0</v>
      </c>
      <c r="CJ96" s="106"/>
      <c r="CK96" s="79">
        <f t="shared" si="169"/>
        <v>0</v>
      </c>
      <c r="CL96" s="106"/>
      <c r="CM96" s="79">
        <f>CK96-CL96</f>
        <v>0</v>
      </c>
      <c r="CN96" s="106"/>
      <c r="CO96" s="79">
        <f t="shared" si="184"/>
        <v>0</v>
      </c>
      <c r="CP96" s="106"/>
      <c r="CQ96" s="79">
        <f t="shared" si="249"/>
        <v>0</v>
      </c>
      <c r="CR96" s="106"/>
      <c r="CS96" s="79">
        <f t="shared" si="166"/>
        <v>0</v>
      </c>
      <c r="CT96" s="79"/>
      <c r="CU96" s="79">
        <f t="shared" si="250"/>
        <v>0</v>
      </c>
      <c r="CV96" s="79"/>
      <c r="CW96" s="79">
        <f t="shared" si="251"/>
        <v>0</v>
      </c>
      <c r="CX96" s="79"/>
      <c r="CY96" s="91"/>
      <c r="CZ96" s="79">
        <f t="shared" si="252"/>
        <v>0</v>
      </c>
      <c r="DA96" s="93"/>
      <c r="DB96" s="93">
        <f t="shared" si="253"/>
        <v>0</v>
      </c>
      <c r="DC96" s="96"/>
      <c r="DD96" s="93">
        <f t="shared" si="254"/>
        <v>0</v>
      </c>
      <c r="DE96" s="96"/>
      <c r="DF96" s="93">
        <f t="shared" si="255"/>
        <v>0</v>
      </c>
      <c r="DG96" s="96"/>
      <c r="DH96" s="93">
        <f t="shared" si="175"/>
        <v>0</v>
      </c>
      <c r="DI96" s="96"/>
      <c r="DJ96" s="93">
        <f t="shared" si="256"/>
        <v>0</v>
      </c>
      <c r="DK96" s="93"/>
      <c r="DL96" s="93">
        <f t="shared" ref="DL96:DL113" si="261">DJ96-DK96</f>
        <v>0</v>
      </c>
      <c r="DM96" s="100">
        <v>0.0</v>
      </c>
      <c r="DN96" s="93">
        <f>DL96-DM96+15000</f>
        <v>15000</v>
      </c>
      <c r="DO96" s="100">
        <v>5000.0</v>
      </c>
      <c r="DP96" s="93">
        <f t="shared" si="118"/>
        <v>10000</v>
      </c>
      <c r="DQ96" s="100">
        <v>5000.0</v>
      </c>
      <c r="DR96" s="93">
        <f t="shared" si="188"/>
        <v>5000</v>
      </c>
      <c r="DS96" s="100">
        <v>5000.0</v>
      </c>
      <c r="DT96" s="93">
        <f t="shared" si="120"/>
        <v>0</v>
      </c>
      <c r="DU96" s="100">
        <v>0.0</v>
      </c>
      <c r="DV96" s="93">
        <f t="shared" si="61"/>
        <v>0</v>
      </c>
    </row>
    <row r="97">
      <c r="A97" s="7" t="s">
        <v>380</v>
      </c>
      <c r="B97" s="7" t="s">
        <v>381</v>
      </c>
      <c r="C97" s="76" t="str">
        <f t="array" ref="C97">_xlfn.XLOOKUP(A97,'Emp Master'!A:A,'Emp Master'!F:F)</f>
        <v>SNP</v>
      </c>
      <c r="D97" s="76" t="str">
        <f t="array" ref="D97">_xlfn.XLOOKUP(A97,'Emp Master'!A:A,'Emp Master'!D:D)</f>
        <v>STOCK</v>
      </c>
      <c r="E97" s="76" t="str">
        <f t="shared" si="123"/>
        <v>#REF!</v>
      </c>
      <c r="F97" s="76"/>
      <c r="G97" s="79">
        <v>6000.0</v>
      </c>
      <c r="H97" s="80"/>
      <c r="I97" s="79">
        <f>G97-H97+25000</f>
        <v>31000</v>
      </c>
      <c r="J97" s="126">
        <v>5000.0</v>
      </c>
      <c r="K97" s="79">
        <f t="shared" si="215"/>
        <v>26000</v>
      </c>
      <c r="L97" s="126">
        <v>4000.0</v>
      </c>
      <c r="M97" s="79">
        <f t="shared" si="243"/>
        <v>22000</v>
      </c>
      <c r="N97" s="126">
        <v>2000.0</v>
      </c>
      <c r="O97" s="79">
        <f t="shared" si="216"/>
        <v>20000</v>
      </c>
      <c r="P97" s="126">
        <v>5000.0</v>
      </c>
      <c r="Q97" s="79">
        <f t="shared" si="217"/>
        <v>15000</v>
      </c>
      <c r="R97" s="106">
        <v>2500.0</v>
      </c>
      <c r="S97" s="79">
        <f t="shared" si="218"/>
        <v>12500</v>
      </c>
      <c r="T97" s="106">
        <v>2500.0</v>
      </c>
      <c r="U97" s="79">
        <f t="shared" si="219"/>
        <v>10000</v>
      </c>
      <c r="V97" s="106">
        <v>2500.0</v>
      </c>
      <c r="W97" s="79">
        <f t="shared" si="257"/>
        <v>7500</v>
      </c>
      <c r="X97" s="106">
        <v>0.0</v>
      </c>
      <c r="Y97" s="79">
        <f t="shared" ref="Y97:Y114" si="262">W97-X97</f>
        <v>7500</v>
      </c>
      <c r="Z97" s="106">
        <v>1500.0</v>
      </c>
      <c r="AA97" s="79">
        <f t="shared" si="244"/>
        <v>6000</v>
      </c>
      <c r="AB97" s="106">
        <v>2000.0</v>
      </c>
      <c r="AC97" s="79">
        <f>AA97-AB97+25000-4000</f>
        <v>25000</v>
      </c>
      <c r="AD97" s="106">
        <v>0.0</v>
      </c>
      <c r="AE97" s="79">
        <f>AC97-AD97-20000</f>
        <v>5000</v>
      </c>
      <c r="AF97" s="106">
        <v>1500.0</v>
      </c>
      <c r="AG97" s="79">
        <f t="shared" si="223"/>
        <v>3500</v>
      </c>
      <c r="AH97" s="106">
        <v>1000.0</v>
      </c>
      <c r="AI97" s="79">
        <f t="shared" ref="AI97:AI101" si="263">AG97-AH97</f>
        <v>2500</v>
      </c>
      <c r="AJ97" s="106">
        <v>1000.0</v>
      </c>
      <c r="AK97" s="79">
        <f>AI97-AJ97+15000</f>
        <v>16500</v>
      </c>
      <c r="AL97" s="106">
        <v>15000.0</v>
      </c>
      <c r="AM97" s="79">
        <f>AK97-AL97+12000</f>
        <v>13500</v>
      </c>
      <c r="AN97" s="106">
        <v>12500.0</v>
      </c>
      <c r="AO97" s="79">
        <f t="shared" si="226"/>
        <v>1000</v>
      </c>
      <c r="AP97" s="106">
        <v>0.0</v>
      </c>
      <c r="AQ97" s="79">
        <f>AO97-AP97+30000</f>
        <v>31000</v>
      </c>
      <c r="AR97" s="106">
        <v>5000.0</v>
      </c>
      <c r="AS97" s="79">
        <f t="shared" si="228"/>
        <v>26000</v>
      </c>
      <c r="AT97" s="106">
        <v>5000.0</v>
      </c>
      <c r="AU97" s="79">
        <f t="shared" si="229"/>
        <v>21000</v>
      </c>
      <c r="AV97" s="106">
        <v>3000.0</v>
      </c>
      <c r="AW97" s="79">
        <f t="shared" si="258"/>
        <v>18000</v>
      </c>
      <c r="AX97" s="106">
        <v>2000.0</v>
      </c>
      <c r="AY97" s="79">
        <f t="shared" si="230"/>
        <v>16000</v>
      </c>
      <c r="AZ97" s="106">
        <v>1000.0</v>
      </c>
      <c r="BA97" s="79">
        <f t="shared" si="246"/>
        <v>15000</v>
      </c>
      <c r="BB97" s="106">
        <v>3000.0</v>
      </c>
      <c r="BC97" s="79">
        <f t="shared" ref="BC97:BC101" si="264">BA97-BB97</f>
        <v>12000</v>
      </c>
      <c r="BD97" s="106">
        <v>3000.0</v>
      </c>
      <c r="BE97" s="79">
        <f t="shared" si="247"/>
        <v>9000</v>
      </c>
      <c r="BF97" s="106">
        <v>0.0</v>
      </c>
      <c r="BG97" s="79">
        <f>BE97-BF97+5000</f>
        <v>14000</v>
      </c>
      <c r="BH97" s="106">
        <v>6000.0</v>
      </c>
      <c r="BI97" s="79">
        <f t="shared" si="259"/>
        <v>8000</v>
      </c>
      <c r="BJ97" s="106">
        <v>1000.0</v>
      </c>
      <c r="BK97" s="79">
        <f t="shared" si="232"/>
        <v>7000</v>
      </c>
      <c r="BL97" s="106">
        <v>1000.0</v>
      </c>
      <c r="BM97" s="79">
        <f t="shared" si="248"/>
        <v>6000</v>
      </c>
      <c r="BN97" s="106">
        <v>1000.0</v>
      </c>
      <c r="BO97" s="79">
        <f t="shared" si="233"/>
        <v>5000</v>
      </c>
      <c r="BP97" s="106">
        <v>1000.0</v>
      </c>
      <c r="BQ97" s="79">
        <f t="shared" ref="BQ97:BQ109" si="265">BO97-BP97</f>
        <v>4000</v>
      </c>
      <c r="BR97" s="1"/>
      <c r="BS97" s="79">
        <f t="shared" ref="BS97:BS107" si="266">BQ97-BR97</f>
        <v>4000</v>
      </c>
      <c r="BT97" s="106">
        <v>1000.0</v>
      </c>
      <c r="BU97" s="79">
        <f t="shared" si="260"/>
        <v>3000</v>
      </c>
      <c r="BV97" s="106">
        <v>1000.0</v>
      </c>
      <c r="BW97" s="79">
        <f t="shared" si="236"/>
        <v>2000</v>
      </c>
      <c r="BX97" s="106">
        <v>1000.0</v>
      </c>
      <c r="BY97" s="79">
        <f t="shared" ref="BY97:BY114" si="267">BW97-BX97</f>
        <v>1000</v>
      </c>
      <c r="BZ97" s="1"/>
      <c r="CA97" s="79">
        <f t="shared" si="238"/>
        <v>1000</v>
      </c>
      <c r="CB97" s="106">
        <v>1000.0</v>
      </c>
      <c r="CC97" s="79">
        <f t="shared" si="239"/>
        <v>0</v>
      </c>
      <c r="CD97" s="1"/>
      <c r="CE97" s="24">
        <v>15000.0</v>
      </c>
      <c r="CF97" s="106">
        <v>15000.0</v>
      </c>
      <c r="CG97" s="79">
        <f t="shared" ref="CG97:CG101" si="268">CE97-CF97</f>
        <v>0</v>
      </c>
      <c r="CH97" s="106"/>
      <c r="CI97" s="79">
        <f t="shared" si="242"/>
        <v>0</v>
      </c>
      <c r="CJ97" s="106"/>
      <c r="CK97" s="79">
        <f t="shared" si="169"/>
        <v>0</v>
      </c>
      <c r="CL97" s="106"/>
      <c r="CM97" s="79">
        <f>20000+CK97-CL97</f>
        <v>20000</v>
      </c>
      <c r="CN97" s="106">
        <v>20000.0</v>
      </c>
      <c r="CO97" s="79">
        <f t="shared" si="184"/>
        <v>0</v>
      </c>
      <c r="CP97" s="106"/>
      <c r="CQ97" s="79">
        <f t="shared" si="249"/>
        <v>0</v>
      </c>
      <c r="CR97" s="106"/>
      <c r="CS97" s="79">
        <f t="shared" si="166"/>
        <v>0</v>
      </c>
      <c r="CT97" s="79"/>
      <c r="CU97" s="79">
        <f t="shared" si="250"/>
        <v>0</v>
      </c>
      <c r="CV97" s="79"/>
      <c r="CW97" s="79">
        <f t="shared" si="251"/>
        <v>0</v>
      </c>
      <c r="CX97" s="79"/>
      <c r="CY97" s="91"/>
      <c r="CZ97" s="79">
        <f t="shared" si="252"/>
        <v>0</v>
      </c>
      <c r="DA97" s="93"/>
      <c r="DB97" s="93">
        <f t="shared" si="253"/>
        <v>0</v>
      </c>
      <c r="DC97" s="96"/>
      <c r="DD97" s="93">
        <f t="shared" si="254"/>
        <v>0</v>
      </c>
      <c r="DE97" s="96"/>
      <c r="DF97" s="100">
        <v>10000.0</v>
      </c>
      <c r="DG97" s="178">
        <v>10000.0</v>
      </c>
      <c r="DH97" s="93">
        <f t="shared" si="175"/>
        <v>0</v>
      </c>
      <c r="DI97" s="178"/>
      <c r="DJ97" s="93">
        <f t="shared" si="256"/>
        <v>0</v>
      </c>
      <c r="DK97" s="93"/>
      <c r="DL97" s="93">
        <f t="shared" si="261"/>
        <v>0</v>
      </c>
      <c r="DM97" s="100">
        <v>0.0</v>
      </c>
      <c r="DN97" s="93">
        <f t="shared" ref="DN97:DN107" si="269">DL97-DM97</f>
        <v>0</v>
      </c>
      <c r="DO97" s="100">
        <v>0.0</v>
      </c>
      <c r="DP97" s="93">
        <f t="shared" si="118"/>
        <v>0</v>
      </c>
      <c r="DQ97" s="100">
        <v>0.0</v>
      </c>
      <c r="DR97" s="93">
        <f t="shared" si="188"/>
        <v>0</v>
      </c>
      <c r="DS97" s="100">
        <v>0.0</v>
      </c>
      <c r="DT97" s="93">
        <f t="shared" si="120"/>
        <v>0</v>
      </c>
      <c r="DU97" s="100">
        <v>0.0</v>
      </c>
      <c r="DV97" s="93">
        <f t="shared" si="61"/>
        <v>0</v>
      </c>
    </row>
    <row r="98">
      <c r="A98" s="7" t="s">
        <v>890</v>
      </c>
      <c r="B98" s="7" t="s">
        <v>891</v>
      </c>
      <c r="C98" s="76" t="str">
        <f t="array" ref="C98">_xlfn.XLOOKUP(A98,'Emp Master'!A:A,'Emp Master'!F:F)</f>
        <v>#N/A</v>
      </c>
      <c r="D98" s="76" t="str">
        <f t="array" ref="D98">_xlfn.XLOOKUP(A98,'Emp Master'!A:A,'Emp Master'!D:D)</f>
        <v>#N/A</v>
      </c>
      <c r="E98" s="76" t="str">
        <f t="shared" si="123"/>
        <v>#REF!</v>
      </c>
      <c r="F98" s="76">
        <v>2000.0</v>
      </c>
      <c r="G98" s="79">
        <v>17000.0</v>
      </c>
      <c r="H98" s="80">
        <v>2000.0</v>
      </c>
      <c r="I98" s="79">
        <f>G98-H98+30000</f>
        <v>45000</v>
      </c>
      <c r="J98" s="126">
        <v>0.0</v>
      </c>
      <c r="K98" s="79">
        <f t="shared" si="215"/>
        <v>45000</v>
      </c>
      <c r="L98" s="80">
        <v>2000.0</v>
      </c>
      <c r="M98" s="79">
        <f t="shared" si="243"/>
        <v>43000</v>
      </c>
      <c r="N98" s="80">
        <v>2000.0</v>
      </c>
      <c r="O98" s="79">
        <f t="shared" si="216"/>
        <v>41000</v>
      </c>
      <c r="P98" s="126">
        <v>5000.0</v>
      </c>
      <c r="Q98" s="79">
        <f t="shared" si="217"/>
        <v>36000</v>
      </c>
      <c r="R98" s="106">
        <v>36000.0</v>
      </c>
      <c r="S98" s="79">
        <f t="shared" si="218"/>
        <v>0</v>
      </c>
      <c r="T98" s="1"/>
      <c r="U98" s="79">
        <f t="shared" si="219"/>
        <v>0</v>
      </c>
      <c r="V98" s="1"/>
      <c r="W98" s="79">
        <f t="shared" si="257"/>
        <v>0</v>
      </c>
      <c r="X98" s="1"/>
      <c r="Y98" s="79">
        <f t="shared" si="262"/>
        <v>0</v>
      </c>
      <c r="Z98" s="1"/>
      <c r="AA98" s="79">
        <f t="shared" si="244"/>
        <v>0</v>
      </c>
      <c r="AB98" s="1"/>
      <c r="AC98" s="79">
        <f t="shared" ref="AC98:AC114" si="270">AA98-AB98</f>
        <v>0</v>
      </c>
      <c r="AD98" s="1"/>
      <c r="AE98" s="79">
        <f t="shared" ref="AE98:AE114" si="271">AC98-AD98</f>
        <v>0</v>
      </c>
      <c r="AF98" s="1"/>
      <c r="AG98" s="79">
        <f t="shared" si="223"/>
        <v>0</v>
      </c>
      <c r="AH98" s="1"/>
      <c r="AI98" s="79">
        <f t="shared" si="263"/>
        <v>0</v>
      </c>
      <c r="AJ98" s="1"/>
      <c r="AK98" s="79">
        <f t="shared" ref="AK98:AK114" si="272">AI98-AJ98</f>
        <v>0</v>
      </c>
      <c r="AL98" s="1"/>
      <c r="AM98" s="79">
        <f t="shared" ref="AM98:AM107" si="273">AK98-AL98</f>
        <v>0</v>
      </c>
      <c r="AN98" s="1"/>
      <c r="AO98" s="79">
        <f t="shared" si="226"/>
        <v>0</v>
      </c>
      <c r="AP98" s="1"/>
      <c r="AQ98" s="79">
        <f t="shared" ref="AQ98:AQ107" si="274">AO98-AP98</f>
        <v>0</v>
      </c>
      <c r="AR98" s="1"/>
      <c r="AS98" s="79">
        <f t="shared" si="228"/>
        <v>0</v>
      </c>
      <c r="AT98" s="1"/>
      <c r="AU98" s="79">
        <f t="shared" si="229"/>
        <v>0</v>
      </c>
      <c r="AV98" s="1"/>
      <c r="AW98" s="79">
        <f t="shared" si="258"/>
        <v>0</v>
      </c>
      <c r="AX98" s="1"/>
      <c r="AY98" s="79">
        <f t="shared" si="230"/>
        <v>0</v>
      </c>
      <c r="AZ98" s="1"/>
      <c r="BA98" s="79">
        <f t="shared" si="246"/>
        <v>0</v>
      </c>
      <c r="BB98" s="1"/>
      <c r="BC98" s="79">
        <f t="shared" si="264"/>
        <v>0</v>
      </c>
      <c r="BD98" s="1"/>
      <c r="BE98" s="79">
        <f t="shared" si="247"/>
        <v>0</v>
      </c>
      <c r="BF98" s="1"/>
      <c r="BG98" s="79">
        <f t="shared" ref="BG98:BG107" si="275">BE98-BF98</f>
        <v>0</v>
      </c>
      <c r="BH98" s="1"/>
      <c r="BI98" s="79">
        <f t="shared" si="259"/>
        <v>0</v>
      </c>
      <c r="BJ98" s="1"/>
      <c r="BK98" s="79">
        <f t="shared" si="232"/>
        <v>0</v>
      </c>
      <c r="BL98" s="1"/>
      <c r="BM98" s="79">
        <f t="shared" si="248"/>
        <v>0</v>
      </c>
      <c r="BN98" s="1"/>
      <c r="BO98" s="79">
        <f t="shared" si="233"/>
        <v>0</v>
      </c>
      <c r="BP98" s="1"/>
      <c r="BQ98" s="79">
        <f t="shared" si="265"/>
        <v>0</v>
      </c>
      <c r="BR98" s="1"/>
      <c r="BS98" s="79">
        <f t="shared" si="266"/>
        <v>0</v>
      </c>
      <c r="BT98" s="1"/>
      <c r="BU98" s="79">
        <f t="shared" si="260"/>
        <v>0</v>
      </c>
      <c r="BV98" s="1"/>
      <c r="BW98" s="79">
        <f t="shared" si="236"/>
        <v>0</v>
      </c>
      <c r="BX98" s="1"/>
      <c r="BY98" s="79">
        <f t="shared" si="267"/>
        <v>0</v>
      </c>
      <c r="BZ98" s="1"/>
      <c r="CA98" s="79">
        <f t="shared" si="238"/>
        <v>0</v>
      </c>
      <c r="CB98" s="1"/>
      <c r="CC98" s="79">
        <f t="shared" si="239"/>
        <v>0</v>
      </c>
      <c r="CD98" s="1"/>
      <c r="CE98" s="79">
        <f t="shared" ref="CE98:CE110" si="276">CC98-CD98</f>
        <v>0</v>
      </c>
      <c r="CF98" s="1"/>
      <c r="CG98" s="79">
        <f t="shared" si="268"/>
        <v>0</v>
      </c>
      <c r="CH98" s="1"/>
      <c r="CI98" s="79">
        <f t="shared" si="242"/>
        <v>0</v>
      </c>
      <c r="CJ98" s="1"/>
      <c r="CK98" s="79">
        <f t="shared" si="169"/>
        <v>0</v>
      </c>
      <c r="CL98" s="1"/>
      <c r="CM98" s="79">
        <f t="shared" ref="CM98:CM110" si="277">CK98-CL98</f>
        <v>0</v>
      </c>
      <c r="CN98" s="1"/>
      <c r="CO98" s="79">
        <f t="shared" si="184"/>
        <v>0</v>
      </c>
      <c r="CP98" s="1"/>
      <c r="CQ98" s="79">
        <f t="shared" si="249"/>
        <v>0</v>
      </c>
      <c r="CR98" s="1"/>
      <c r="CS98" s="79">
        <f t="shared" si="166"/>
        <v>0</v>
      </c>
      <c r="CT98" s="79"/>
      <c r="CU98" s="79">
        <f t="shared" si="250"/>
        <v>0</v>
      </c>
      <c r="CV98" s="79"/>
      <c r="CW98" s="79">
        <f t="shared" si="251"/>
        <v>0</v>
      </c>
      <c r="CX98" s="79"/>
      <c r="CY98" s="91"/>
      <c r="CZ98" s="79">
        <f t="shared" si="252"/>
        <v>0</v>
      </c>
      <c r="DA98" s="93"/>
      <c r="DB98" s="93">
        <f t="shared" si="253"/>
        <v>0</v>
      </c>
      <c r="DC98" s="96"/>
      <c r="DD98" s="93">
        <f t="shared" si="254"/>
        <v>0</v>
      </c>
      <c r="DE98" s="96"/>
      <c r="DF98" s="93">
        <f t="shared" ref="DF98:DF163" si="278">DD98-DE98</f>
        <v>0</v>
      </c>
      <c r="DG98" s="96"/>
      <c r="DH98" s="93">
        <f t="shared" si="175"/>
        <v>0</v>
      </c>
      <c r="DI98" s="96"/>
      <c r="DJ98" s="93">
        <f t="shared" si="256"/>
        <v>0</v>
      </c>
      <c r="DK98" s="93"/>
      <c r="DL98" s="93">
        <f t="shared" si="261"/>
        <v>0</v>
      </c>
      <c r="DM98" s="100">
        <v>0.0</v>
      </c>
      <c r="DN98" s="93">
        <f t="shared" si="269"/>
        <v>0</v>
      </c>
      <c r="DO98" s="100">
        <v>0.0</v>
      </c>
      <c r="DP98" s="93">
        <f t="shared" si="118"/>
        <v>0</v>
      </c>
      <c r="DQ98" s="100">
        <v>0.0</v>
      </c>
      <c r="DR98" s="93">
        <f t="shared" si="188"/>
        <v>0</v>
      </c>
      <c r="DS98" s="100">
        <v>0.0</v>
      </c>
      <c r="DT98" s="93">
        <f t="shared" si="120"/>
        <v>0</v>
      </c>
      <c r="DU98" s="100">
        <v>0.0</v>
      </c>
      <c r="DV98" s="93">
        <f t="shared" si="61"/>
        <v>0</v>
      </c>
    </row>
    <row r="99">
      <c r="A99" s="7" t="s">
        <v>892</v>
      </c>
      <c r="B99" s="7" t="s">
        <v>893</v>
      </c>
      <c r="C99" s="76" t="str">
        <f t="array" ref="C99">_xlfn.XLOOKUP(A99,'Emp Master'!A:A,'Emp Master'!F:F)</f>
        <v>#N/A</v>
      </c>
      <c r="D99" s="76" t="str">
        <f t="array" ref="D99">_xlfn.XLOOKUP(A99,'Emp Master'!A:A,'Emp Master'!D:D)</f>
        <v>#N/A</v>
      </c>
      <c r="E99" s="76" t="str">
        <f t="shared" si="123"/>
        <v>#REF!</v>
      </c>
      <c r="F99" s="76"/>
      <c r="G99" s="79"/>
      <c r="H99" s="80"/>
      <c r="I99" s="79">
        <f t="shared" ref="I99:I101" si="279">G99-H99</f>
        <v>0</v>
      </c>
      <c r="J99" s="80"/>
      <c r="K99" s="79">
        <f t="shared" si="215"/>
        <v>0</v>
      </c>
      <c r="L99" s="80"/>
      <c r="M99" s="79">
        <f t="shared" si="243"/>
        <v>0</v>
      </c>
      <c r="N99" s="80"/>
      <c r="O99" s="79">
        <f t="shared" si="216"/>
        <v>0</v>
      </c>
      <c r="P99" s="80"/>
      <c r="Q99" s="79">
        <f t="shared" si="217"/>
        <v>0</v>
      </c>
      <c r="R99" s="1"/>
      <c r="S99" s="79">
        <f t="shared" si="218"/>
        <v>0</v>
      </c>
      <c r="T99" s="1"/>
      <c r="U99" s="79">
        <f t="shared" si="219"/>
        <v>0</v>
      </c>
      <c r="V99" s="1"/>
      <c r="W99" s="79">
        <f t="shared" si="257"/>
        <v>0</v>
      </c>
      <c r="X99" s="1"/>
      <c r="Y99" s="79">
        <f t="shared" si="262"/>
        <v>0</v>
      </c>
      <c r="Z99" s="1"/>
      <c r="AA99" s="79">
        <f t="shared" si="244"/>
        <v>0</v>
      </c>
      <c r="AB99" s="1"/>
      <c r="AC99" s="79">
        <f t="shared" si="270"/>
        <v>0</v>
      </c>
      <c r="AD99" s="1"/>
      <c r="AE99" s="79">
        <f t="shared" si="271"/>
        <v>0</v>
      </c>
      <c r="AF99" s="1"/>
      <c r="AG99" s="79">
        <f t="shared" si="223"/>
        <v>0</v>
      </c>
      <c r="AH99" s="1"/>
      <c r="AI99" s="79">
        <f t="shared" si="263"/>
        <v>0</v>
      </c>
      <c r="AJ99" s="1"/>
      <c r="AK99" s="79">
        <f t="shared" si="272"/>
        <v>0</v>
      </c>
      <c r="AL99" s="1"/>
      <c r="AM99" s="79">
        <f t="shared" si="273"/>
        <v>0</v>
      </c>
      <c r="AN99" s="1"/>
      <c r="AO99" s="79">
        <f t="shared" si="226"/>
        <v>0</v>
      </c>
      <c r="AP99" s="1"/>
      <c r="AQ99" s="79">
        <f t="shared" si="274"/>
        <v>0</v>
      </c>
      <c r="AR99" s="1"/>
      <c r="AS99" s="79">
        <f t="shared" si="228"/>
        <v>0</v>
      </c>
      <c r="AT99" s="1"/>
      <c r="AU99" s="79">
        <f t="shared" si="229"/>
        <v>0</v>
      </c>
      <c r="AV99" s="1"/>
      <c r="AW99" s="79">
        <f t="shared" si="258"/>
        <v>0</v>
      </c>
      <c r="AX99" s="1"/>
      <c r="AY99" s="79">
        <f t="shared" si="230"/>
        <v>0</v>
      </c>
      <c r="AZ99" s="1"/>
      <c r="BA99" s="79">
        <f t="shared" si="246"/>
        <v>0</v>
      </c>
      <c r="BB99" s="1"/>
      <c r="BC99" s="79">
        <f t="shared" si="264"/>
        <v>0</v>
      </c>
      <c r="BD99" s="1"/>
      <c r="BE99" s="79">
        <f t="shared" si="247"/>
        <v>0</v>
      </c>
      <c r="BF99" s="1"/>
      <c r="BG99" s="79">
        <f t="shared" si="275"/>
        <v>0</v>
      </c>
      <c r="BH99" s="1"/>
      <c r="BI99" s="79">
        <f t="shared" si="259"/>
        <v>0</v>
      </c>
      <c r="BJ99" s="1"/>
      <c r="BK99" s="79">
        <f t="shared" si="232"/>
        <v>0</v>
      </c>
      <c r="BL99" s="1"/>
      <c r="BM99" s="79">
        <f t="shared" si="248"/>
        <v>0</v>
      </c>
      <c r="BN99" s="1"/>
      <c r="BO99" s="79">
        <f t="shared" si="233"/>
        <v>0</v>
      </c>
      <c r="BP99" s="1"/>
      <c r="BQ99" s="79">
        <f t="shared" si="265"/>
        <v>0</v>
      </c>
      <c r="BR99" s="1"/>
      <c r="BS99" s="79">
        <f t="shared" si="266"/>
        <v>0</v>
      </c>
      <c r="BT99" s="1"/>
      <c r="BU99" s="79">
        <f t="shared" si="260"/>
        <v>0</v>
      </c>
      <c r="BV99" s="1"/>
      <c r="BW99" s="79">
        <f t="shared" si="236"/>
        <v>0</v>
      </c>
      <c r="BX99" s="1"/>
      <c r="BY99" s="79">
        <f t="shared" si="267"/>
        <v>0</v>
      </c>
      <c r="BZ99" s="1"/>
      <c r="CA99" s="79">
        <f t="shared" si="238"/>
        <v>0</v>
      </c>
      <c r="CB99" s="1"/>
      <c r="CC99" s="79">
        <f t="shared" si="239"/>
        <v>0</v>
      </c>
      <c r="CD99" s="1"/>
      <c r="CE99" s="79">
        <f t="shared" si="276"/>
        <v>0</v>
      </c>
      <c r="CF99" s="1"/>
      <c r="CG99" s="79">
        <f t="shared" si="268"/>
        <v>0</v>
      </c>
      <c r="CH99" s="1"/>
      <c r="CI99" s="79">
        <f t="shared" si="242"/>
        <v>0</v>
      </c>
      <c r="CJ99" s="1"/>
      <c r="CK99" s="79">
        <f t="shared" si="169"/>
        <v>0</v>
      </c>
      <c r="CL99" s="1"/>
      <c r="CM99" s="79">
        <f t="shared" si="277"/>
        <v>0</v>
      </c>
      <c r="CN99" s="1"/>
      <c r="CO99" s="79">
        <f t="shared" si="184"/>
        <v>0</v>
      </c>
      <c r="CP99" s="1"/>
      <c r="CQ99" s="79">
        <f t="shared" si="249"/>
        <v>0</v>
      </c>
      <c r="CR99" s="1"/>
      <c r="CS99" s="79">
        <f t="shared" si="166"/>
        <v>0</v>
      </c>
      <c r="CT99" s="79"/>
      <c r="CU99" s="79">
        <f t="shared" si="250"/>
        <v>0</v>
      </c>
      <c r="CV99" s="79"/>
      <c r="CW99" s="79">
        <f t="shared" si="251"/>
        <v>0</v>
      </c>
      <c r="CX99" s="79"/>
      <c r="CY99" s="91"/>
      <c r="CZ99" s="79">
        <f t="shared" si="252"/>
        <v>0</v>
      </c>
      <c r="DA99" s="93"/>
      <c r="DB99" s="93">
        <f t="shared" si="253"/>
        <v>0</v>
      </c>
      <c r="DC99" s="96"/>
      <c r="DD99" s="93">
        <f t="shared" si="254"/>
        <v>0</v>
      </c>
      <c r="DE99" s="96"/>
      <c r="DF99" s="93">
        <f t="shared" si="278"/>
        <v>0</v>
      </c>
      <c r="DG99" s="96"/>
      <c r="DH99" s="93">
        <f t="shared" si="175"/>
        <v>0</v>
      </c>
      <c r="DI99" s="96"/>
      <c r="DJ99" s="93">
        <f t="shared" si="256"/>
        <v>0</v>
      </c>
      <c r="DK99" s="93"/>
      <c r="DL99" s="93">
        <f t="shared" si="261"/>
        <v>0</v>
      </c>
      <c r="DM99" s="100">
        <v>0.0</v>
      </c>
      <c r="DN99" s="93">
        <f t="shared" si="269"/>
        <v>0</v>
      </c>
      <c r="DO99" s="100">
        <v>0.0</v>
      </c>
      <c r="DP99" s="93">
        <f t="shared" si="118"/>
        <v>0</v>
      </c>
      <c r="DQ99" s="100">
        <v>0.0</v>
      </c>
      <c r="DR99" s="93">
        <f t="shared" si="188"/>
        <v>0</v>
      </c>
      <c r="DS99" s="100">
        <v>0.0</v>
      </c>
      <c r="DT99" s="93">
        <f t="shared" si="120"/>
        <v>0</v>
      </c>
      <c r="DU99" s="100">
        <v>0.0</v>
      </c>
      <c r="DV99" s="93">
        <f t="shared" si="61"/>
        <v>0</v>
      </c>
    </row>
    <row r="100">
      <c r="A100" s="7" t="s">
        <v>894</v>
      </c>
      <c r="B100" s="7" t="s">
        <v>895</v>
      </c>
      <c r="C100" s="76" t="str">
        <f t="array" ref="C100">_xlfn.XLOOKUP(A100,'Emp Master'!A:A,'Emp Master'!F:F)</f>
        <v>#N/A</v>
      </c>
      <c r="D100" s="76" t="str">
        <f t="array" ref="D100">_xlfn.XLOOKUP(A100,'Emp Master'!A:A,'Emp Master'!D:D)</f>
        <v>#N/A</v>
      </c>
      <c r="E100" s="76" t="str">
        <f t="shared" si="123"/>
        <v>#REF!</v>
      </c>
      <c r="F100" s="76">
        <v>2000.0</v>
      </c>
      <c r="G100" s="79">
        <v>4000.0</v>
      </c>
      <c r="H100" s="80">
        <v>2000.0</v>
      </c>
      <c r="I100" s="79">
        <f t="shared" si="279"/>
        <v>2000</v>
      </c>
      <c r="J100" s="80">
        <v>2000.0</v>
      </c>
      <c r="K100" s="79">
        <f t="shared" si="215"/>
        <v>0</v>
      </c>
      <c r="L100" s="80"/>
      <c r="M100" s="79">
        <f t="shared" si="243"/>
        <v>0</v>
      </c>
      <c r="N100" s="80"/>
      <c r="O100" s="79">
        <f t="shared" si="216"/>
        <v>0</v>
      </c>
      <c r="P100" s="80"/>
      <c r="Q100" s="79">
        <f t="shared" si="217"/>
        <v>0</v>
      </c>
      <c r="R100" s="1"/>
      <c r="S100" s="79">
        <f t="shared" si="218"/>
        <v>0</v>
      </c>
      <c r="T100" s="1"/>
      <c r="U100" s="79">
        <f t="shared" si="219"/>
        <v>0</v>
      </c>
      <c r="V100" s="1"/>
      <c r="W100" s="79">
        <f>U100-V100+20000</f>
        <v>20000</v>
      </c>
      <c r="X100" s="106">
        <v>2000.0</v>
      </c>
      <c r="Y100" s="79">
        <f t="shared" si="262"/>
        <v>18000</v>
      </c>
      <c r="Z100" s="106">
        <v>2000.0</v>
      </c>
      <c r="AA100" s="79">
        <f t="shared" si="244"/>
        <v>16000</v>
      </c>
      <c r="AB100" s="106">
        <v>2000.0</v>
      </c>
      <c r="AC100" s="79">
        <f t="shared" si="270"/>
        <v>14000</v>
      </c>
      <c r="AD100" s="106">
        <v>2000.0</v>
      </c>
      <c r="AE100" s="79">
        <f t="shared" si="271"/>
        <v>12000</v>
      </c>
      <c r="AF100" s="106">
        <v>2000.0</v>
      </c>
      <c r="AG100" s="79">
        <f t="shared" si="223"/>
        <v>10000</v>
      </c>
      <c r="AH100" s="106">
        <v>2000.0</v>
      </c>
      <c r="AI100" s="79">
        <f t="shared" si="263"/>
        <v>8000</v>
      </c>
      <c r="AJ100" s="106">
        <v>2000.0</v>
      </c>
      <c r="AK100" s="79">
        <f t="shared" si="272"/>
        <v>6000</v>
      </c>
      <c r="AL100" s="106">
        <v>2000.0</v>
      </c>
      <c r="AM100" s="79">
        <f t="shared" si="273"/>
        <v>4000</v>
      </c>
      <c r="AN100" s="106">
        <v>2000.0</v>
      </c>
      <c r="AO100" s="79">
        <f t="shared" si="226"/>
        <v>2000</v>
      </c>
      <c r="AP100" s="106">
        <v>2000.0</v>
      </c>
      <c r="AQ100" s="79">
        <f t="shared" si="274"/>
        <v>0</v>
      </c>
      <c r="AR100" s="106">
        <v>0.0</v>
      </c>
      <c r="AS100" s="79">
        <f t="shared" si="228"/>
        <v>0</v>
      </c>
      <c r="AT100" s="106">
        <v>0.0</v>
      </c>
      <c r="AU100" s="79">
        <f t="shared" si="229"/>
        <v>0</v>
      </c>
      <c r="AV100" s="106">
        <v>0.0</v>
      </c>
      <c r="AW100" s="79">
        <f t="shared" si="258"/>
        <v>0</v>
      </c>
      <c r="AX100" s="106">
        <v>0.0</v>
      </c>
      <c r="AY100" s="79">
        <f t="shared" si="230"/>
        <v>0</v>
      </c>
      <c r="AZ100" s="106">
        <v>0.0</v>
      </c>
      <c r="BA100" s="79">
        <f t="shared" si="246"/>
        <v>0</v>
      </c>
      <c r="BB100" s="106">
        <v>0.0</v>
      </c>
      <c r="BC100" s="79">
        <f t="shared" si="264"/>
        <v>0</v>
      </c>
      <c r="BD100" s="106">
        <v>0.0</v>
      </c>
      <c r="BE100" s="79">
        <f t="shared" si="247"/>
        <v>0</v>
      </c>
      <c r="BF100" s="106">
        <v>0.0</v>
      </c>
      <c r="BG100" s="79">
        <f t="shared" si="275"/>
        <v>0</v>
      </c>
      <c r="BH100" s="106">
        <v>0.0</v>
      </c>
      <c r="BI100" s="79">
        <f t="shared" si="259"/>
        <v>0</v>
      </c>
      <c r="BJ100" s="1"/>
      <c r="BK100" s="79">
        <f t="shared" si="232"/>
        <v>0</v>
      </c>
      <c r="BL100" s="1"/>
      <c r="BM100" s="79">
        <f t="shared" si="248"/>
        <v>0</v>
      </c>
      <c r="BN100" s="1"/>
      <c r="BO100" s="79">
        <f t="shared" si="233"/>
        <v>0</v>
      </c>
      <c r="BP100" s="1"/>
      <c r="BQ100" s="79">
        <f t="shared" si="265"/>
        <v>0</v>
      </c>
      <c r="BR100" s="1"/>
      <c r="BS100" s="79">
        <f t="shared" si="266"/>
        <v>0</v>
      </c>
      <c r="BT100" s="1"/>
      <c r="BU100" s="79">
        <f t="shared" si="260"/>
        <v>0</v>
      </c>
      <c r="BV100" s="1"/>
      <c r="BW100" s="79">
        <f t="shared" si="236"/>
        <v>0</v>
      </c>
      <c r="BX100" s="1"/>
      <c r="BY100" s="79">
        <f t="shared" si="267"/>
        <v>0</v>
      </c>
      <c r="BZ100" s="1"/>
      <c r="CA100" s="79">
        <f t="shared" si="238"/>
        <v>0</v>
      </c>
      <c r="CB100" s="1"/>
      <c r="CC100" s="79">
        <f t="shared" si="239"/>
        <v>0</v>
      </c>
      <c r="CD100" s="1"/>
      <c r="CE100" s="79">
        <f t="shared" si="276"/>
        <v>0</v>
      </c>
      <c r="CF100" s="1"/>
      <c r="CG100" s="79">
        <f t="shared" si="268"/>
        <v>0</v>
      </c>
      <c r="CH100" s="1"/>
      <c r="CI100" s="79">
        <f t="shared" si="242"/>
        <v>0</v>
      </c>
      <c r="CJ100" s="1"/>
      <c r="CK100" s="79">
        <f t="shared" si="169"/>
        <v>0</v>
      </c>
      <c r="CL100" s="1"/>
      <c r="CM100" s="79">
        <f t="shared" si="277"/>
        <v>0</v>
      </c>
      <c r="CN100" s="1"/>
      <c r="CO100" s="79">
        <f t="shared" si="184"/>
        <v>0</v>
      </c>
      <c r="CP100" s="1"/>
      <c r="CQ100" s="79">
        <f t="shared" si="249"/>
        <v>0</v>
      </c>
      <c r="CR100" s="1"/>
      <c r="CS100" s="79">
        <f t="shared" si="166"/>
        <v>0</v>
      </c>
      <c r="CT100" s="79"/>
      <c r="CU100" s="79">
        <f t="shared" si="250"/>
        <v>0</v>
      </c>
      <c r="CV100" s="79"/>
      <c r="CW100" s="79">
        <f t="shared" si="251"/>
        <v>0</v>
      </c>
      <c r="CX100" s="79"/>
      <c r="CY100" s="91"/>
      <c r="CZ100" s="79">
        <f t="shared" si="252"/>
        <v>0</v>
      </c>
      <c r="DA100" s="93"/>
      <c r="DB100" s="93">
        <f t="shared" si="253"/>
        <v>0</v>
      </c>
      <c r="DC100" s="96"/>
      <c r="DD100" s="93">
        <f t="shared" si="254"/>
        <v>0</v>
      </c>
      <c r="DE100" s="96"/>
      <c r="DF100" s="93">
        <f t="shared" si="278"/>
        <v>0</v>
      </c>
      <c r="DG100" s="96"/>
      <c r="DH100" s="93">
        <f t="shared" si="175"/>
        <v>0</v>
      </c>
      <c r="DI100" s="96"/>
      <c r="DJ100" s="93">
        <f t="shared" si="256"/>
        <v>0</v>
      </c>
      <c r="DK100" s="93"/>
      <c r="DL100" s="93">
        <f t="shared" si="261"/>
        <v>0</v>
      </c>
      <c r="DM100" s="100">
        <v>0.0</v>
      </c>
      <c r="DN100" s="93">
        <f t="shared" si="269"/>
        <v>0</v>
      </c>
      <c r="DO100" s="100">
        <v>0.0</v>
      </c>
      <c r="DP100" s="93">
        <f t="shared" si="118"/>
        <v>0</v>
      </c>
      <c r="DQ100" s="100">
        <v>0.0</v>
      </c>
      <c r="DR100" s="93">
        <f t="shared" si="188"/>
        <v>0</v>
      </c>
      <c r="DS100" s="100">
        <v>0.0</v>
      </c>
      <c r="DT100" s="93">
        <f t="shared" si="120"/>
        <v>0</v>
      </c>
      <c r="DU100" s="100">
        <v>0.0</v>
      </c>
      <c r="DV100" s="93">
        <f t="shared" si="61"/>
        <v>0</v>
      </c>
    </row>
    <row r="101">
      <c r="A101" s="7" t="s">
        <v>896</v>
      </c>
      <c r="B101" s="7" t="s">
        <v>897</v>
      </c>
      <c r="C101" s="76" t="str">
        <f t="array" ref="C101">_xlfn.XLOOKUP(A101,'Emp Master'!A:A,'Emp Master'!F:F)</f>
        <v>#N/A</v>
      </c>
      <c r="D101" s="76" t="str">
        <f t="array" ref="D101">_xlfn.XLOOKUP(A101,'Emp Master'!A:A,'Emp Master'!D:D)</f>
        <v>#N/A</v>
      </c>
      <c r="E101" s="76" t="str">
        <f t="shared" si="123"/>
        <v>#REF!</v>
      </c>
      <c r="F101" s="76"/>
      <c r="G101" s="79"/>
      <c r="H101" s="80"/>
      <c r="I101" s="79">
        <f t="shared" si="279"/>
        <v>0</v>
      </c>
      <c r="J101" s="80"/>
      <c r="K101" s="79">
        <f t="shared" si="215"/>
        <v>0</v>
      </c>
      <c r="L101" s="80"/>
      <c r="M101" s="79">
        <f t="shared" si="243"/>
        <v>0</v>
      </c>
      <c r="N101" s="80"/>
      <c r="O101" s="79">
        <f t="shared" si="216"/>
        <v>0</v>
      </c>
      <c r="P101" s="80"/>
      <c r="Q101" s="79">
        <f t="shared" si="217"/>
        <v>0</v>
      </c>
      <c r="R101" s="1"/>
      <c r="S101" s="79">
        <f t="shared" si="218"/>
        <v>0</v>
      </c>
      <c r="T101" s="1"/>
      <c r="U101" s="79">
        <f t="shared" si="219"/>
        <v>0</v>
      </c>
      <c r="V101" s="1"/>
      <c r="W101" s="79">
        <f t="shared" ref="W101:W107" si="280">U101-V101</f>
        <v>0</v>
      </c>
      <c r="X101" s="1"/>
      <c r="Y101" s="79">
        <f t="shared" si="262"/>
        <v>0</v>
      </c>
      <c r="Z101" s="1"/>
      <c r="AA101" s="79">
        <f t="shared" si="244"/>
        <v>0</v>
      </c>
      <c r="AB101" s="1"/>
      <c r="AC101" s="79">
        <f t="shared" si="270"/>
        <v>0</v>
      </c>
      <c r="AD101" s="1"/>
      <c r="AE101" s="79">
        <f t="shared" si="271"/>
        <v>0</v>
      </c>
      <c r="AF101" s="1"/>
      <c r="AG101" s="79">
        <f t="shared" si="223"/>
        <v>0</v>
      </c>
      <c r="AH101" s="1"/>
      <c r="AI101" s="79">
        <f t="shared" si="263"/>
        <v>0</v>
      </c>
      <c r="AJ101" s="1"/>
      <c r="AK101" s="79">
        <f t="shared" si="272"/>
        <v>0</v>
      </c>
      <c r="AL101" s="1"/>
      <c r="AM101" s="79">
        <f t="shared" si="273"/>
        <v>0</v>
      </c>
      <c r="AN101" s="1"/>
      <c r="AO101" s="79">
        <f t="shared" si="226"/>
        <v>0</v>
      </c>
      <c r="AP101" s="1"/>
      <c r="AQ101" s="79">
        <f t="shared" si="274"/>
        <v>0</v>
      </c>
      <c r="AR101" s="1"/>
      <c r="AS101" s="79">
        <f t="shared" si="228"/>
        <v>0</v>
      </c>
      <c r="AT101" s="1"/>
      <c r="AU101" s="79">
        <f t="shared" si="229"/>
        <v>0</v>
      </c>
      <c r="AV101" s="1"/>
      <c r="AW101" s="79">
        <f t="shared" si="258"/>
        <v>0</v>
      </c>
      <c r="AX101" s="1"/>
      <c r="AY101" s="79">
        <f t="shared" si="230"/>
        <v>0</v>
      </c>
      <c r="AZ101" s="1"/>
      <c r="BA101" s="79">
        <f t="shared" si="246"/>
        <v>0</v>
      </c>
      <c r="BB101" s="1"/>
      <c r="BC101" s="79">
        <f t="shared" si="264"/>
        <v>0</v>
      </c>
      <c r="BD101" s="1"/>
      <c r="BE101" s="79">
        <f t="shared" si="247"/>
        <v>0</v>
      </c>
      <c r="BF101" s="1"/>
      <c r="BG101" s="79">
        <f t="shared" si="275"/>
        <v>0</v>
      </c>
      <c r="BH101" s="1"/>
      <c r="BI101" s="79">
        <f t="shared" si="259"/>
        <v>0</v>
      </c>
      <c r="BJ101" s="1"/>
      <c r="BK101" s="79">
        <f t="shared" si="232"/>
        <v>0</v>
      </c>
      <c r="BL101" s="1"/>
      <c r="BM101" s="79">
        <f t="shared" si="248"/>
        <v>0</v>
      </c>
      <c r="BN101" s="1"/>
      <c r="BO101" s="79">
        <f t="shared" si="233"/>
        <v>0</v>
      </c>
      <c r="BP101" s="1"/>
      <c r="BQ101" s="79">
        <f t="shared" si="265"/>
        <v>0</v>
      </c>
      <c r="BR101" s="1"/>
      <c r="BS101" s="79">
        <f t="shared" si="266"/>
        <v>0</v>
      </c>
      <c r="BT101" s="1"/>
      <c r="BU101" s="79">
        <f t="shared" si="260"/>
        <v>0</v>
      </c>
      <c r="BV101" s="1"/>
      <c r="BW101" s="79">
        <f t="shared" si="236"/>
        <v>0</v>
      </c>
      <c r="BX101" s="1"/>
      <c r="BY101" s="79">
        <f t="shared" si="267"/>
        <v>0</v>
      </c>
      <c r="BZ101" s="1"/>
      <c r="CA101" s="79">
        <f t="shared" si="238"/>
        <v>0</v>
      </c>
      <c r="CB101" s="1"/>
      <c r="CC101" s="79">
        <f t="shared" si="239"/>
        <v>0</v>
      </c>
      <c r="CD101" s="1"/>
      <c r="CE101" s="79">
        <f t="shared" si="276"/>
        <v>0</v>
      </c>
      <c r="CF101" s="1"/>
      <c r="CG101" s="79">
        <f t="shared" si="268"/>
        <v>0</v>
      </c>
      <c r="CH101" s="1"/>
      <c r="CI101" s="79">
        <f t="shared" si="242"/>
        <v>0</v>
      </c>
      <c r="CJ101" s="1"/>
      <c r="CK101" s="79">
        <f t="shared" si="169"/>
        <v>0</v>
      </c>
      <c r="CL101" s="1"/>
      <c r="CM101" s="79">
        <f t="shared" si="277"/>
        <v>0</v>
      </c>
      <c r="CN101" s="1"/>
      <c r="CO101" s="79">
        <f t="shared" si="184"/>
        <v>0</v>
      </c>
      <c r="CP101" s="1"/>
      <c r="CQ101" s="79">
        <f t="shared" si="249"/>
        <v>0</v>
      </c>
      <c r="CR101" s="1"/>
      <c r="CS101" s="79">
        <f t="shared" si="166"/>
        <v>0</v>
      </c>
      <c r="CT101" s="79"/>
      <c r="CU101" s="79">
        <f t="shared" si="250"/>
        <v>0</v>
      </c>
      <c r="CV101" s="79"/>
      <c r="CW101" s="79">
        <f t="shared" si="251"/>
        <v>0</v>
      </c>
      <c r="CX101" s="79"/>
      <c r="CY101" s="91"/>
      <c r="CZ101" s="79">
        <f t="shared" si="252"/>
        <v>0</v>
      </c>
      <c r="DA101" s="93"/>
      <c r="DB101" s="93">
        <f t="shared" si="253"/>
        <v>0</v>
      </c>
      <c r="DC101" s="96"/>
      <c r="DD101" s="93">
        <f t="shared" si="254"/>
        <v>0</v>
      </c>
      <c r="DE101" s="96"/>
      <c r="DF101" s="93">
        <f t="shared" si="278"/>
        <v>0</v>
      </c>
      <c r="DG101" s="96"/>
      <c r="DH101" s="93">
        <f t="shared" si="175"/>
        <v>0</v>
      </c>
      <c r="DI101" s="96"/>
      <c r="DJ101" s="93">
        <f t="shared" si="256"/>
        <v>0</v>
      </c>
      <c r="DK101" s="93"/>
      <c r="DL101" s="93">
        <f t="shared" si="261"/>
        <v>0</v>
      </c>
      <c r="DM101" s="100">
        <v>0.0</v>
      </c>
      <c r="DN101" s="93">
        <f t="shared" si="269"/>
        <v>0</v>
      </c>
      <c r="DO101" s="100">
        <v>0.0</v>
      </c>
      <c r="DP101" s="93">
        <f t="shared" si="118"/>
        <v>0</v>
      </c>
      <c r="DQ101" s="100">
        <v>0.0</v>
      </c>
      <c r="DR101" s="93">
        <f t="shared" si="188"/>
        <v>0</v>
      </c>
      <c r="DS101" s="100">
        <v>0.0</v>
      </c>
      <c r="DT101" s="93">
        <f t="shared" si="120"/>
        <v>0</v>
      </c>
      <c r="DU101" s="100">
        <v>0.0</v>
      </c>
      <c r="DV101" s="93">
        <f t="shared" si="61"/>
        <v>0</v>
      </c>
    </row>
    <row r="102">
      <c r="A102" s="7" t="s">
        <v>384</v>
      </c>
      <c r="B102" s="7" t="s">
        <v>385</v>
      </c>
      <c r="C102" s="76" t="str">
        <f t="array" ref="C102">_xlfn.XLOOKUP(A102,'Emp Master'!A:A,'Emp Master'!F:F)</f>
        <v>SNP</v>
      </c>
      <c r="D102" s="76" t="str">
        <f t="array" ref="D102">_xlfn.XLOOKUP(A102,'Emp Master'!A:A,'Emp Master'!D:D)</f>
        <v>Cutting</v>
      </c>
      <c r="E102" s="76" t="str">
        <f t="shared" si="123"/>
        <v>#REF!</v>
      </c>
      <c r="F102" s="76">
        <v>1000.0</v>
      </c>
      <c r="G102" s="79">
        <v>9000.0</v>
      </c>
      <c r="H102" s="80">
        <v>1000.0</v>
      </c>
      <c r="I102" s="79">
        <f>G102-H102+8000</f>
        <v>16000</v>
      </c>
      <c r="J102" s="80">
        <f>1000+8000</f>
        <v>9000</v>
      </c>
      <c r="K102" s="79">
        <f>I102-J102+8000</f>
        <v>15000</v>
      </c>
      <c r="L102" s="80">
        <f>1000+8000</f>
        <v>9000</v>
      </c>
      <c r="M102" s="79">
        <f t="shared" si="243"/>
        <v>6000</v>
      </c>
      <c r="N102" s="80">
        <v>1000.0</v>
      </c>
      <c r="O102" s="79">
        <f t="shared" si="216"/>
        <v>5000</v>
      </c>
      <c r="P102" s="80">
        <v>1000.0</v>
      </c>
      <c r="Q102" s="79">
        <f>O102-P102+15000</f>
        <v>19000</v>
      </c>
      <c r="R102" s="106">
        <v>2000.0</v>
      </c>
      <c r="S102" s="79">
        <f t="shared" si="218"/>
        <v>17000</v>
      </c>
      <c r="T102" s="106"/>
      <c r="U102" s="79">
        <f t="shared" si="219"/>
        <v>17000</v>
      </c>
      <c r="V102" s="106">
        <v>2000.0</v>
      </c>
      <c r="W102" s="79">
        <f t="shared" si="280"/>
        <v>15000</v>
      </c>
      <c r="X102" s="106">
        <v>0.0</v>
      </c>
      <c r="Y102" s="79">
        <f t="shared" si="262"/>
        <v>15000</v>
      </c>
      <c r="Z102" s="106">
        <v>2000.0</v>
      </c>
      <c r="AA102" s="79">
        <f t="shared" si="244"/>
        <v>13000</v>
      </c>
      <c r="AB102" s="106">
        <v>0.0</v>
      </c>
      <c r="AC102" s="79">
        <f t="shared" si="270"/>
        <v>13000</v>
      </c>
      <c r="AD102" s="106">
        <v>2000.0</v>
      </c>
      <c r="AE102" s="79">
        <f t="shared" si="271"/>
        <v>11000</v>
      </c>
      <c r="AF102" s="106">
        <v>1000.0</v>
      </c>
      <c r="AG102" s="79">
        <f t="shared" si="223"/>
        <v>10000</v>
      </c>
      <c r="AH102" s="106">
        <v>2000.0</v>
      </c>
      <c r="AI102" s="79">
        <f>AG102-AH102+15000</f>
        <v>23000</v>
      </c>
      <c r="AJ102" s="106">
        <v>13500.0</v>
      </c>
      <c r="AK102" s="79">
        <f t="shared" si="272"/>
        <v>9500</v>
      </c>
      <c r="AL102" s="106">
        <v>1500.0</v>
      </c>
      <c r="AM102" s="79">
        <f t="shared" si="273"/>
        <v>8000</v>
      </c>
      <c r="AN102" s="106">
        <v>8000.0</v>
      </c>
      <c r="AO102" s="79">
        <f>AM102-AN102+20000</f>
        <v>20000</v>
      </c>
      <c r="AP102" s="106">
        <v>1000.0</v>
      </c>
      <c r="AQ102" s="79">
        <f t="shared" si="274"/>
        <v>19000</v>
      </c>
      <c r="AR102" s="106">
        <v>1000.0</v>
      </c>
      <c r="AS102" s="79">
        <f t="shared" si="228"/>
        <v>18000</v>
      </c>
      <c r="AT102" s="106">
        <v>1000.0</v>
      </c>
      <c r="AU102" s="79">
        <f t="shared" si="229"/>
        <v>17000</v>
      </c>
      <c r="AV102" s="106">
        <v>1000.0</v>
      </c>
      <c r="AW102" s="79">
        <f t="shared" si="258"/>
        <v>16000</v>
      </c>
      <c r="AX102" s="106">
        <v>2000.0</v>
      </c>
      <c r="AY102" s="79">
        <f>AW102-AX102+4000</f>
        <v>18000</v>
      </c>
      <c r="AZ102" s="106">
        <v>6000.0</v>
      </c>
      <c r="BA102" s="79">
        <f t="shared" si="246"/>
        <v>12000</v>
      </c>
      <c r="BB102" s="106">
        <v>2000.0</v>
      </c>
      <c r="BC102" s="79">
        <f>BA102-BB102+5000</f>
        <v>15000</v>
      </c>
      <c r="BD102" s="106">
        <v>7000.0</v>
      </c>
      <c r="BE102" s="79">
        <f t="shared" si="247"/>
        <v>8000</v>
      </c>
      <c r="BF102" s="106">
        <v>0.0</v>
      </c>
      <c r="BG102" s="79">
        <f t="shared" si="275"/>
        <v>8000</v>
      </c>
      <c r="BH102" s="106">
        <v>2000.0</v>
      </c>
      <c r="BI102" s="79">
        <f t="shared" si="259"/>
        <v>6000</v>
      </c>
      <c r="BJ102" s="106">
        <v>2000.0</v>
      </c>
      <c r="BK102" s="79">
        <f t="shared" si="232"/>
        <v>4000</v>
      </c>
      <c r="BL102" s="106">
        <v>4000.0</v>
      </c>
      <c r="BM102" s="79">
        <f>BK102-BL102+20000</f>
        <v>20000</v>
      </c>
      <c r="BN102" s="106">
        <v>3500.0</v>
      </c>
      <c r="BO102" s="79">
        <f t="shared" si="233"/>
        <v>16500</v>
      </c>
      <c r="BP102" s="106">
        <v>3500.0</v>
      </c>
      <c r="BQ102" s="79">
        <f t="shared" si="265"/>
        <v>13000</v>
      </c>
      <c r="BR102" s="106">
        <v>2000.0</v>
      </c>
      <c r="BS102" s="79">
        <f t="shared" si="266"/>
        <v>11000</v>
      </c>
      <c r="BT102" s="106">
        <v>2000.0</v>
      </c>
      <c r="BU102" s="79">
        <f>BS102-BT102+10000</f>
        <v>19000</v>
      </c>
      <c r="BV102" s="106">
        <v>12000.0</v>
      </c>
      <c r="BW102" s="79">
        <f t="shared" si="236"/>
        <v>7000</v>
      </c>
      <c r="BX102" s="1"/>
      <c r="BY102" s="79">
        <f t="shared" si="267"/>
        <v>7000</v>
      </c>
      <c r="BZ102" s="106">
        <v>2000.0</v>
      </c>
      <c r="CA102" s="79">
        <f t="shared" si="238"/>
        <v>5000</v>
      </c>
      <c r="CB102" s="106">
        <v>2000.0</v>
      </c>
      <c r="CC102" s="79">
        <f t="shared" si="239"/>
        <v>3000</v>
      </c>
      <c r="CD102" s="106">
        <v>2000.0</v>
      </c>
      <c r="CE102" s="79">
        <f t="shared" si="276"/>
        <v>1000</v>
      </c>
      <c r="CF102" s="106">
        <v>1000.0</v>
      </c>
      <c r="CG102" s="79">
        <f>20000+(CE102-CF102)</f>
        <v>20000</v>
      </c>
      <c r="CH102" s="106">
        <v>5000.0</v>
      </c>
      <c r="CI102" s="79">
        <f t="shared" si="242"/>
        <v>15000</v>
      </c>
      <c r="CJ102" s="106">
        <v>5000.0</v>
      </c>
      <c r="CK102" s="79">
        <f t="shared" si="169"/>
        <v>10000</v>
      </c>
      <c r="CL102" s="106">
        <v>5000.0</v>
      </c>
      <c r="CM102" s="79">
        <f t="shared" si="277"/>
        <v>5000</v>
      </c>
      <c r="CN102" s="106">
        <v>5000.0</v>
      </c>
      <c r="CO102" s="79">
        <f t="shared" si="184"/>
        <v>0</v>
      </c>
      <c r="CP102" s="106"/>
      <c r="CQ102" s="79">
        <f>CO102-CP102+22000</f>
        <v>22000</v>
      </c>
      <c r="CR102" s="106">
        <v>5000.0</v>
      </c>
      <c r="CS102" s="79">
        <f t="shared" si="166"/>
        <v>17000</v>
      </c>
      <c r="CT102" s="24">
        <v>2000.0</v>
      </c>
      <c r="CU102" s="79">
        <f t="shared" si="250"/>
        <v>15000</v>
      </c>
      <c r="CV102" s="24">
        <v>5000.0</v>
      </c>
      <c r="CW102" s="79">
        <f t="shared" si="251"/>
        <v>10000</v>
      </c>
      <c r="CX102" s="24"/>
      <c r="CY102" s="91">
        <v>2500.0</v>
      </c>
      <c r="CZ102" s="79">
        <f>CW102-CX102-CY102</f>
        <v>7500</v>
      </c>
      <c r="DA102" s="100">
        <v>2500.0</v>
      </c>
      <c r="DB102" s="93">
        <f t="shared" si="253"/>
        <v>5000</v>
      </c>
      <c r="DC102" s="207">
        <v>2500.0</v>
      </c>
      <c r="DD102" s="93">
        <f t="shared" si="254"/>
        <v>2500</v>
      </c>
      <c r="DE102" s="207">
        <v>2500.0</v>
      </c>
      <c r="DF102" s="93">
        <f t="shared" si="278"/>
        <v>0</v>
      </c>
      <c r="DG102" s="96"/>
      <c r="DH102" s="100">
        <v>5000.0</v>
      </c>
      <c r="DI102" s="178">
        <v>5000.0</v>
      </c>
      <c r="DJ102" s="93">
        <f t="shared" si="256"/>
        <v>0</v>
      </c>
      <c r="DK102" s="93"/>
      <c r="DL102" s="93">
        <f t="shared" si="261"/>
        <v>0</v>
      </c>
      <c r="DM102" s="100">
        <v>0.0</v>
      </c>
      <c r="DN102" s="93">
        <f t="shared" si="269"/>
        <v>0</v>
      </c>
      <c r="DO102" s="100">
        <v>0.0</v>
      </c>
      <c r="DP102" s="93">
        <f>DN102-DO102+15000</f>
        <v>15000</v>
      </c>
      <c r="DQ102" s="100">
        <v>3000.0</v>
      </c>
      <c r="DR102" s="93">
        <f t="shared" si="188"/>
        <v>12000</v>
      </c>
      <c r="DS102" s="100">
        <v>3000.0</v>
      </c>
      <c r="DT102" s="93">
        <f t="shared" si="120"/>
        <v>9000</v>
      </c>
      <c r="DU102" s="100">
        <v>3000.0</v>
      </c>
      <c r="DV102" s="93">
        <f t="shared" si="61"/>
        <v>6000</v>
      </c>
    </row>
    <row r="103">
      <c r="A103" s="7" t="s">
        <v>898</v>
      </c>
      <c r="B103" s="7" t="s">
        <v>899</v>
      </c>
      <c r="C103" s="76" t="str">
        <f t="array" ref="C103">_xlfn.XLOOKUP(A103,'Emp Master'!A:A,'Emp Master'!F:F)</f>
        <v>#N/A</v>
      </c>
      <c r="D103" s="76" t="str">
        <f t="array" ref="D103">_xlfn.XLOOKUP(A103,'Emp Master'!A:A,'Emp Master'!D:D)</f>
        <v>#N/A</v>
      </c>
      <c r="E103" s="76" t="str">
        <f t="shared" si="123"/>
        <v>#REF!</v>
      </c>
      <c r="F103" s="76"/>
      <c r="G103" s="79"/>
      <c r="H103" s="80"/>
      <c r="I103" s="79">
        <f t="shared" ref="I103:I114" si="281">G103-H103</f>
        <v>0</v>
      </c>
      <c r="J103" s="80"/>
      <c r="K103" s="79">
        <f t="shared" ref="K103:K114" si="282">I103-J103</f>
        <v>0</v>
      </c>
      <c r="L103" s="80"/>
      <c r="M103" s="79">
        <f t="shared" si="243"/>
        <v>0</v>
      </c>
      <c r="N103" s="80"/>
      <c r="O103" s="79">
        <f t="shared" si="216"/>
        <v>0</v>
      </c>
      <c r="P103" s="80"/>
      <c r="Q103" s="79">
        <f t="shared" ref="Q103:Q114" si="283">O103-P103</f>
        <v>0</v>
      </c>
      <c r="R103" s="1"/>
      <c r="S103" s="79">
        <f t="shared" si="218"/>
        <v>0</v>
      </c>
      <c r="T103" s="1"/>
      <c r="U103" s="79">
        <f t="shared" si="219"/>
        <v>0</v>
      </c>
      <c r="V103" s="1"/>
      <c r="W103" s="79">
        <f t="shared" si="280"/>
        <v>0</v>
      </c>
      <c r="X103" s="1"/>
      <c r="Y103" s="79">
        <f t="shared" si="262"/>
        <v>0</v>
      </c>
      <c r="Z103" s="1"/>
      <c r="AA103" s="79">
        <f t="shared" si="244"/>
        <v>0</v>
      </c>
      <c r="AB103" s="1"/>
      <c r="AC103" s="79">
        <f t="shared" si="270"/>
        <v>0</v>
      </c>
      <c r="AD103" s="1"/>
      <c r="AE103" s="79">
        <f t="shared" si="271"/>
        <v>0</v>
      </c>
      <c r="AF103" s="1"/>
      <c r="AG103" s="79">
        <f t="shared" si="223"/>
        <v>0</v>
      </c>
      <c r="AH103" s="1"/>
      <c r="AI103" s="79">
        <f t="shared" ref="AI103:AI114" si="284">AG103-AH103</f>
        <v>0</v>
      </c>
      <c r="AJ103" s="1"/>
      <c r="AK103" s="79">
        <f t="shared" si="272"/>
        <v>0</v>
      </c>
      <c r="AL103" s="1"/>
      <c r="AM103" s="79">
        <f t="shared" si="273"/>
        <v>0</v>
      </c>
      <c r="AN103" s="1"/>
      <c r="AO103" s="79">
        <f t="shared" ref="AO103:AO114" si="285">AM103-AN103</f>
        <v>0</v>
      </c>
      <c r="AP103" s="1"/>
      <c r="AQ103" s="79">
        <f t="shared" si="274"/>
        <v>0</v>
      </c>
      <c r="AR103" s="1"/>
      <c r="AS103" s="79">
        <f t="shared" si="228"/>
        <v>0</v>
      </c>
      <c r="AT103" s="1"/>
      <c r="AU103" s="79">
        <f t="shared" si="229"/>
        <v>0</v>
      </c>
      <c r="AV103" s="1"/>
      <c r="AW103" s="79">
        <f t="shared" si="258"/>
        <v>0</v>
      </c>
      <c r="AX103" s="1"/>
      <c r="AY103" s="79">
        <f t="shared" ref="AY103:AY109" si="286">AW103-AX103</f>
        <v>0</v>
      </c>
      <c r="AZ103" s="1"/>
      <c r="BA103" s="79">
        <f t="shared" si="246"/>
        <v>0</v>
      </c>
      <c r="BB103" s="1"/>
      <c r="BC103" s="79">
        <f t="shared" ref="BC103:BC114" si="287">BA103-BB103</f>
        <v>0</v>
      </c>
      <c r="BD103" s="1"/>
      <c r="BE103" s="79">
        <f t="shared" si="247"/>
        <v>0</v>
      </c>
      <c r="BF103" s="1"/>
      <c r="BG103" s="79">
        <f t="shared" si="275"/>
        <v>0</v>
      </c>
      <c r="BH103" s="1"/>
      <c r="BI103" s="79">
        <f t="shared" si="259"/>
        <v>0</v>
      </c>
      <c r="BJ103" s="1"/>
      <c r="BK103" s="79">
        <f t="shared" si="232"/>
        <v>0</v>
      </c>
      <c r="BL103" s="1"/>
      <c r="BM103" s="79">
        <f t="shared" ref="BM103:BM114" si="288">BK103-BL103</f>
        <v>0</v>
      </c>
      <c r="BN103" s="1"/>
      <c r="BO103" s="79">
        <f t="shared" si="233"/>
        <v>0</v>
      </c>
      <c r="BP103" s="1"/>
      <c r="BQ103" s="79">
        <f t="shared" si="265"/>
        <v>0</v>
      </c>
      <c r="BR103" s="1"/>
      <c r="BS103" s="79">
        <f t="shared" si="266"/>
        <v>0</v>
      </c>
      <c r="BT103" s="1"/>
      <c r="BU103" s="79">
        <f t="shared" ref="BU103:BU113" si="289">BS103-BT103</f>
        <v>0</v>
      </c>
      <c r="BV103" s="1"/>
      <c r="BW103" s="79">
        <f t="shared" si="236"/>
        <v>0</v>
      </c>
      <c r="BX103" s="1"/>
      <c r="BY103" s="79">
        <f t="shared" si="267"/>
        <v>0</v>
      </c>
      <c r="BZ103" s="1"/>
      <c r="CA103" s="79">
        <f t="shared" si="238"/>
        <v>0</v>
      </c>
      <c r="CB103" s="1"/>
      <c r="CC103" s="79">
        <f t="shared" si="239"/>
        <v>0</v>
      </c>
      <c r="CD103" s="1"/>
      <c r="CE103" s="79">
        <f t="shared" si="276"/>
        <v>0</v>
      </c>
      <c r="CF103" s="1"/>
      <c r="CG103" s="79">
        <f t="shared" ref="CG103:CG107" si="290">CE103-CF103</f>
        <v>0</v>
      </c>
      <c r="CH103" s="1"/>
      <c r="CI103" s="79">
        <f t="shared" si="242"/>
        <v>0</v>
      </c>
      <c r="CJ103" s="1"/>
      <c r="CK103" s="79">
        <f t="shared" si="169"/>
        <v>0</v>
      </c>
      <c r="CL103" s="1"/>
      <c r="CM103" s="79">
        <f t="shared" si="277"/>
        <v>0</v>
      </c>
      <c r="CN103" s="1"/>
      <c r="CO103" s="79">
        <f t="shared" si="184"/>
        <v>0</v>
      </c>
      <c r="CP103" s="1"/>
      <c r="CQ103" s="79">
        <f t="shared" ref="CQ103:CQ107" si="291">CO103-CP103</f>
        <v>0</v>
      </c>
      <c r="CR103" s="1"/>
      <c r="CS103" s="79">
        <f t="shared" si="166"/>
        <v>0</v>
      </c>
      <c r="CT103" s="79"/>
      <c r="CU103" s="79">
        <f t="shared" si="250"/>
        <v>0</v>
      </c>
      <c r="CV103" s="79"/>
      <c r="CW103" s="79">
        <f t="shared" si="251"/>
        <v>0</v>
      </c>
      <c r="CX103" s="79"/>
      <c r="CY103" s="91"/>
      <c r="CZ103" s="79">
        <f t="shared" ref="CZ103:CZ105" si="292">CW103-CX103</f>
        <v>0</v>
      </c>
      <c r="DA103" s="93"/>
      <c r="DB103" s="93">
        <f t="shared" si="253"/>
        <v>0</v>
      </c>
      <c r="DC103" s="96"/>
      <c r="DD103" s="93">
        <f t="shared" si="254"/>
        <v>0</v>
      </c>
      <c r="DE103" s="96"/>
      <c r="DF103" s="93">
        <f t="shared" si="278"/>
        <v>0</v>
      </c>
      <c r="DG103" s="96"/>
      <c r="DH103" s="93">
        <f t="shared" ref="DH103:DH163" si="293">DF103-DG103</f>
        <v>0</v>
      </c>
      <c r="DI103" s="96"/>
      <c r="DJ103" s="93">
        <f t="shared" si="256"/>
        <v>0</v>
      </c>
      <c r="DK103" s="93"/>
      <c r="DL103" s="93">
        <f t="shared" si="261"/>
        <v>0</v>
      </c>
      <c r="DM103" s="100">
        <v>0.0</v>
      </c>
      <c r="DN103" s="93">
        <f t="shared" si="269"/>
        <v>0</v>
      </c>
      <c r="DO103" s="100">
        <v>0.0</v>
      </c>
      <c r="DP103" s="93">
        <f t="shared" ref="DP103:DP163" si="294">DN103-DO103</f>
        <v>0</v>
      </c>
      <c r="DQ103" s="100">
        <v>0.0</v>
      </c>
      <c r="DR103" s="93">
        <f t="shared" si="188"/>
        <v>0</v>
      </c>
      <c r="DS103" s="100">
        <v>0.0</v>
      </c>
      <c r="DT103" s="93">
        <f t="shared" si="120"/>
        <v>0</v>
      </c>
      <c r="DU103" s="100">
        <v>0.0</v>
      </c>
      <c r="DV103" s="93">
        <f t="shared" si="61"/>
        <v>0</v>
      </c>
    </row>
    <row r="104">
      <c r="A104" s="7" t="s">
        <v>900</v>
      </c>
      <c r="B104" s="7" t="s">
        <v>901</v>
      </c>
      <c r="C104" s="76" t="str">
        <f t="array" ref="C104">_xlfn.XLOOKUP(A104,'Emp Master'!A:A,'Emp Master'!F:F)</f>
        <v>#N/A</v>
      </c>
      <c r="D104" s="76" t="str">
        <f t="array" ref="D104">_xlfn.XLOOKUP(A104,'Emp Master'!A:A,'Emp Master'!D:D)</f>
        <v>#N/A</v>
      </c>
      <c r="E104" s="76" t="str">
        <f t="shared" si="123"/>
        <v>#REF!</v>
      </c>
      <c r="F104" s="76"/>
      <c r="G104" s="79"/>
      <c r="H104" s="80"/>
      <c r="I104" s="79">
        <f t="shared" si="281"/>
        <v>0</v>
      </c>
      <c r="J104" s="80"/>
      <c r="K104" s="79">
        <f t="shared" si="282"/>
        <v>0</v>
      </c>
      <c r="L104" s="80"/>
      <c r="M104" s="79">
        <f t="shared" si="243"/>
        <v>0</v>
      </c>
      <c r="N104" s="80"/>
      <c r="O104" s="79">
        <f t="shared" si="216"/>
        <v>0</v>
      </c>
      <c r="P104" s="80"/>
      <c r="Q104" s="79">
        <f t="shared" si="283"/>
        <v>0</v>
      </c>
      <c r="R104" s="1"/>
      <c r="S104" s="79">
        <f t="shared" si="218"/>
        <v>0</v>
      </c>
      <c r="T104" s="1"/>
      <c r="U104" s="79">
        <f t="shared" si="219"/>
        <v>0</v>
      </c>
      <c r="V104" s="1"/>
      <c r="W104" s="79">
        <f t="shared" si="280"/>
        <v>0</v>
      </c>
      <c r="X104" s="1"/>
      <c r="Y104" s="79">
        <f t="shared" si="262"/>
        <v>0</v>
      </c>
      <c r="Z104" s="1"/>
      <c r="AA104" s="79">
        <f t="shared" si="244"/>
        <v>0</v>
      </c>
      <c r="AB104" s="1"/>
      <c r="AC104" s="79">
        <f t="shared" si="270"/>
        <v>0</v>
      </c>
      <c r="AD104" s="1"/>
      <c r="AE104" s="79">
        <f t="shared" si="271"/>
        <v>0</v>
      </c>
      <c r="AF104" s="1"/>
      <c r="AG104" s="79">
        <f t="shared" si="223"/>
        <v>0</v>
      </c>
      <c r="AH104" s="1"/>
      <c r="AI104" s="79">
        <f t="shared" si="284"/>
        <v>0</v>
      </c>
      <c r="AJ104" s="1"/>
      <c r="AK104" s="79">
        <f t="shared" si="272"/>
        <v>0</v>
      </c>
      <c r="AL104" s="1"/>
      <c r="AM104" s="79">
        <f t="shared" si="273"/>
        <v>0</v>
      </c>
      <c r="AN104" s="1"/>
      <c r="AO104" s="79">
        <f t="shared" si="285"/>
        <v>0</v>
      </c>
      <c r="AP104" s="1"/>
      <c r="AQ104" s="79">
        <f t="shared" si="274"/>
        <v>0</v>
      </c>
      <c r="AR104" s="1"/>
      <c r="AS104" s="79">
        <f t="shared" si="228"/>
        <v>0</v>
      </c>
      <c r="AT104" s="1"/>
      <c r="AU104" s="79">
        <f t="shared" si="229"/>
        <v>0</v>
      </c>
      <c r="AV104" s="1"/>
      <c r="AW104" s="79">
        <f t="shared" si="258"/>
        <v>0</v>
      </c>
      <c r="AX104" s="1"/>
      <c r="AY104" s="79">
        <f t="shared" si="286"/>
        <v>0</v>
      </c>
      <c r="AZ104" s="1"/>
      <c r="BA104" s="79">
        <f t="shared" si="246"/>
        <v>0</v>
      </c>
      <c r="BB104" s="1"/>
      <c r="BC104" s="79">
        <f t="shared" si="287"/>
        <v>0</v>
      </c>
      <c r="BD104" s="1"/>
      <c r="BE104" s="79">
        <f t="shared" si="247"/>
        <v>0</v>
      </c>
      <c r="BF104" s="1"/>
      <c r="BG104" s="79">
        <f t="shared" si="275"/>
        <v>0</v>
      </c>
      <c r="BH104" s="1"/>
      <c r="BI104" s="79">
        <f t="shared" si="259"/>
        <v>0</v>
      </c>
      <c r="BJ104" s="1"/>
      <c r="BK104" s="79">
        <f t="shared" si="232"/>
        <v>0</v>
      </c>
      <c r="BL104" s="1"/>
      <c r="BM104" s="79">
        <f t="shared" si="288"/>
        <v>0</v>
      </c>
      <c r="BN104" s="1"/>
      <c r="BO104" s="79">
        <f t="shared" si="233"/>
        <v>0</v>
      </c>
      <c r="BP104" s="1"/>
      <c r="BQ104" s="79">
        <f t="shared" si="265"/>
        <v>0</v>
      </c>
      <c r="BR104" s="1"/>
      <c r="BS104" s="79">
        <f t="shared" si="266"/>
        <v>0</v>
      </c>
      <c r="BT104" s="1"/>
      <c r="BU104" s="79">
        <f t="shared" si="289"/>
        <v>0</v>
      </c>
      <c r="BV104" s="1"/>
      <c r="BW104" s="79">
        <f t="shared" si="236"/>
        <v>0</v>
      </c>
      <c r="BX104" s="1"/>
      <c r="BY104" s="79">
        <f t="shared" si="267"/>
        <v>0</v>
      </c>
      <c r="BZ104" s="1"/>
      <c r="CA104" s="79">
        <f t="shared" si="238"/>
        <v>0</v>
      </c>
      <c r="CB104" s="1"/>
      <c r="CC104" s="79">
        <f t="shared" si="239"/>
        <v>0</v>
      </c>
      <c r="CD104" s="1"/>
      <c r="CE104" s="79">
        <f t="shared" si="276"/>
        <v>0</v>
      </c>
      <c r="CF104" s="1"/>
      <c r="CG104" s="79">
        <f t="shared" si="290"/>
        <v>0</v>
      </c>
      <c r="CH104" s="1"/>
      <c r="CI104" s="79">
        <f t="shared" si="242"/>
        <v>0</v>
      </c>
      <c r="CJ104" s="1"/>
      <c r="CK104" s="79">
        <f t="shared" si="169"/>
        <v>0</v>
      </c>
      <c r="CL104" s="1"/>
      <c r="CM104" s="79">
        <f t="shared" si="277"/>
        <v>0</v>
      </c>
      <c r="CN104" s="1"/>
      <c r="CO104" s="79">
        <f t="shared" si="184"/>
        <v>0</v>
      </c>
      <c r="CP104" s="1"/>
      <c r="CQ104" s="79">
        <f t="shared" si="291"/>
        <v>0</v>
      </c>
      <c r="CR104" s="1"/>
      <c r="CS104" s="79">
        <f t="shared" si="166"/>
        <v>0</v>
      </c>
      <c r="CT104" s="79"/>
      <c r="CU104" s="79">
        <f t="shared" si="250"/>
        <v>0</v>
      </c>
      <c r="CV104" s="79"/>
      <c r="CW104" s="79">
        <f t="shared" si="251"/>
        <v>0</v>
      </c>
      <c r="CX104" s="79"/>
      <c r="CY104" s="91"/>
      <c r="CZ104" s="79">
        <f t="shared" si="292"/>
        <v>0</v>
      </c>
      <c r="DA104" s="93"/>
      <c r="DB104" s="93">
        <f t="shared" si="253"/>
        <v>0</v>
      </c>
      <c r="DC104" s="96"/>
      <c r="DD104" s="93">
        <f t="shared" si="254"/>
        <v>0</v>
      </c>
      <c r="DE104" s="96"/>
      <c r="DF104" s="93">
        <f t="shared" si="278"/>
        <v>0</v>
      </c>
      <c r="DG104" s="96"/>
      <c r="DH104" s="93">
        <f t="shared" si="293"/>
        <v>0</v>
      </c>
      <c r="DI104" s="96"/>
      <c r="DJ104" s="93">
        <f t="shared" si="256"/>
        <v>0</v>
      </c>
      <c r="DK104" s="93"/>
      <c r="DL104" s="93">
        <f t="shared" si="261"/>
        <v>0</v>
      </c>
      <c r="DM104" s="100">
        <v>0.0</v>
      </c>
      <c r="DN104" s="93">
        <f t="shared" si="269"/>
        <v>0</v>
      </c>
      <c r="DO104" s="100">
        <v>0.0</v>
      </c>
      <c r="DP104" s="93">
        <f t="shared" si="294"/>
        <v>0</v>
      </c>
      <c r="DQ104" s="100">
        <v>0.0</v>
      </c>
      <c r="DR104" s="93">
        <f t="shared" si="188"/>
        <v>0</v>
      </c>
      <c r="DS104" s="100">
        <v>0.0</v>
      </c>
      <c r="DT104" s="93">
        <f t="shared" si="120"/>
        <v>0</v>
      </c>
      <c r="DU104" s="100">
        <v>0.0</v>
      </c>
      <c r="DV104" s="93">
        <f t="shared" si="61"/>
        <v>0</v>
      </c>
    </row>
    <row r="105">
      <c r="A105" s="7" t="s">
        <v>387</v>
      </c>
      <c r="B105" s="7" t="s">
        <v>388</v>
      </c>
      <c r="C105" s="76" t="str">
        <f t="array" ref="C105">_xlfn.XLOOKUP(A105,'Emp Master'!A:A,'Emp Master'!F:F)</f>
        <v>DEL</v>
      </c>
      <c r="D105" s="76" t="str">
        <f t="array" ref="D105">_xlfn.XLOOKUP(A105,'Emp Master'!A:A,'Emp Master'!D:D)</f>
        <v>Admin</v>
      </c>
      <c r="E105" s="76" t="str">
        <f t="shared" si="123"/>
        <v>#REF!</v>
      </c>
      <c r="F105" s="76"/>
      <c r="G105" s="79"/>
      <c r="H105" s="80"/>
      <c r="I105" s="79">
        <f t="shared" si="281"/>
        <v>0</v>
      </c>
      <c r="J105" s="80"/>
      <c r="K105" s="79">
        <f t="shared" si="282"/>
        <v>0</v>
      </c>
      <c r="L105" s="80"/>
      <c r="M105" s="79">
        <f t="shared" si="243"/>
        <v>0</v>
      </c>
      <c r="N105" s="80"/>
      <c r="O105" s="79">
        <f t="shared" si="216"/>
        <v>0</v>
      </c>
      <c r="P105" s="80"/>
      <c r="Q105" s="79">
        <f t="shared" si="283"/>
        <v>0</v>
      </c>
      <c r="R105" s="1"/>
      <c r="S105" s="79">
        <f t="shared" si="218"/>
        <v>0</v>
      </c>
      <c r="T105" s="1"/>
      <c r="U105" s="79">
        <f t="shared" si="219"/>
        <v>0</v>
      </c>
      <c r="V105" s="1"/>
      <c r="W105" s="79">
        <f t="shared" si="280"/>
        <v>0</v>
      </c>
      <c r="X105" s="1"/>
      <c r="Y105" s="79">
        <f t="shared" si="262"/>
        <v>0</v>
      </c>
      <c r="Z105" s="1"/>
      <c r="AA105" s="79">
        <f t="shared" si="244"/>
        <v>0</v>
      </c>
      <c r="AB105" s="1"/>
      <c r="AC105" s="79">
        <f t="shared" si="270"/>
        <v>0</v>
      </c>
      <c r="AD105" s="1"/>
      <c r="AE105" s="79">
        <f t="shared" si="271"/>
        <v>0</v>
      </c>
      <c r="AF105" s="1"/>
      <c r="AG105" s="79">
        <f t="shared" si="223"/>
        <v>0</v>
      </c>
      <c r="AH105" s="1"/>
      <c r="AI105" s="79">
        <f t="shared" si="284"/>
        <v>0</v>
      </c>
      <c r="AJ105" s="1"/>
      <c r="AK105" s="79">
        <f t="shared" si="272"/>
        <v>0</v>
      </c>
      <c r="AL105" s="1"/>
      <c r="AM105" s="79">
        <f t="shared" si="273"/>
        <v>0</v>
      </c>
      <c r="AN105" s="1"/>
      <c r="AO105" s="79">
        <f t="shared" si="285"/>
        <v>0</v>
      </c>
      <c r="AP105" s="1"/>
      <c r="AQ105" s="79">
        <f t="shared" si="274"/>
        <v>0</v>
      </c>
      <c r="AR105" s="1"/>
      <c r="AS105" s="79">
        <f t="shared" si="228"/>
        <v>0</v>
      </c>
      <c r="AT105" s="1"/>
      <c r="AU105" s="79">
        <f t="shared" si="229"/>
        <v>0</v>
      </c>
      <c r="AV105" s="1"/>
      <c r="AW105" s="79">
        <f t="shared" si="258"/>
        <v>0</v>
      </c>
      <c r="AX105" s="1"/>
      <c r="AY105" s="79">
        <f t="shared" si="286"/>
        <v>0</v>
      </c>
      <c r="AZ105" s="1"/>
      <c r="BA105" s="79">
        <f t="shared" si="246"/>
        <v>0</v>
      </c>
      <c r="BB105" s="1"/>
      <c r="BC105" s="79">
        <f t="shared" si="287"/>
        <v>0</v>
      </c>
      <c r="BD105" s="1"/>
      <c r="BE105" s="79">
        <f t="shared" si="247"/>
        <v>0</v>
      </c>
      <c r="BF105" s="1"/>
      <c r="BG105" s="79">
        <f t="shared" si="275"/>
        <v>0</v>
      </c>
      <c r="BH105" s="1"/>
      <c r="BI105" s="79">
        <f t="shared" si="259"/>
        <v>0</v>
      </c>
      <c r="BJ105" s="1"/>
      <c r="BK105" s="79">
        <f t="shared" si="232"/>
        <v>0</v>
      </c>
      <c r="BL105" s="1"/>
      <c r="BM105" s="79">
        <f t="shared" si="288"/>
        <v>0</v>
      </c>
      <c r="BN105" s="1"/>
      <c r="BO105" s="79">
        <f t="shared" si="233"/>
        <v>0</v>
      </c>
      <c r="BP105" s="1"/>
      <c r="BQ105" s="79">
        <f t="shared" si="265"/>
        <v>0</v>
      </c>
      <c r="BR105" s="1"/>
      <c r="BS105" s="79">
        <f t="shared" si="266"/>
        <v>0</v>
      </c>
      <c r="BT105" s="1"/>
      <c r="BU105" s="79">
        <f t="shared" si="289"/>
        <v>0</v>
      </c>
      <c r="BV105" s="1"/>
      <c r="BW105" s="79">
        <f t="shared" si="236"/>
        <v>0</v>
      </c>
      <c r="BX105" s="1"/>
      <c r="BY105" s="79">
        <f t="shared" si="267"/>
        <v>0</v>
      </c>
      <c r="BZ105" s="1"/>
      <c r="CA105" s="79">
        <f t="shared" si="238"/>
        <v>0</v>
      </c>
      <c r="CB105" s="1"/>
      <c r="CC105" s="79">
        <f t="shared" si="239"/>
        <v>0</v>
      </c>
      <c r="CD105" s="1"/>
      <c r="CE105" s="79">
        <f t="shared" si="276"/>
        <v>0</v>
      </c>
      <c r="CF105" s="1"/>
      <c r="CG105" s="79">
        <f t="shared" si="290"/>
        <v>0</v>
      </c>
      <c r="CH105" s="1"/>
      <c r="CI105" s="79">
        <f t="shared" si="242"/>
        <v>0</v>
      </c>
      <c r="CJ105" s="1"/>
      <c r="CK105" s="79">
        <f t="shared" si="169"/>
        <v>0</v>
      </c>
      <c r="CL105" s="1"/>
      <c r="CM105" s="79">
        <f t="shared" si="277"/>
        <v>0</v>
      </c>
      <c r="CN105" s="1"/>
      <c r="CO105" s="79">
        <f t="shared" si="184"/>
        <v>0</v>
      </c>
      <c r="CP105" s="1"/>
      <c r="CQ105" s="79">
        <f t="shared" si="291"/>
        <v>0</v>
      </c>
      <c r="CR105" s="1"/>
      <c r="CS105" s="79">
        <f t="shared" si="166"/>
        <v>0</v>
      </c>
      <c r="CT105" s="79"/>
      <c r="CU105" s="79">
        <f t="shared" si="250"/>
        <v>0</v>
      </c>
      <c r="CV105" s="79"/>
      <c r="CW105" s="79">
        <f t="shared" si="251"/>
        <v>0</v>
      </c>
      <c r="CX105" s="79"/>
      <c r="CY105" s="91"/>
      <c r="CZ105" s="79">
        <f t="shared" si="292"/>
        <v>0</v>
      </c>
      <c r="DA105" s="93"/>
      <c r="DB105" s="93">
        <f t="shared" si="253"/>
        <v>0</v>
      </c>
      <c r="DC105" s="96"/>
      <c r="DD105" s="93">
        <f t="shared" si="254"/>
        <v>0</v>
      </c>
      <c r="DE105" s="96"/>
      <c r="DF105" s="93">
        <f t="shared" si="278"/>
        <v>0</v>
      </c>
      <c r="DG105" s="96"/>
      <c r="DH105" s="93">
        <f t="shared" si="293"/>
        <v>0</v>
      </c>
      <c r="DI105" s="96"/>
      <c r="DJ105" s="93">
        <f t="shared" si="256"/>
        <v>0</v>
      </c>
      <c r="DK105" s="93"/>
      <c r="DL105" s="93">
        <f t="shared" si="261"/>
        <v>0</v>
      </c>
      <c r="DM105" s="100">
        <v>0.0</v>
      </c>
      <c r="DN105" s="93">
        <f t="shared" si="269"/>
        <v>0</v>
      </c>
      <c r="DO105" s="100">
        <v>0.0</v>
      </c>
      <c r="DP105" s="93">
        <f t="shared" si="294"/>
        <v>0</v>
      </c>
      <c r="DQ105" s="100">
        <v>0.0</v>
      </c>
      <c r="DR105" s="93">
        <f t="shared" si="188"/>
        <v>0</v>
      </c>
      <c r="DS105" s="100">
        <v>0.0</v>
      </c>
      <c r="DT105" s="93">
        <f t="shared" si="120"/>
        <v>0</v>
      </c>
      <c r="DU105" s="100">
        <v>0.0</v>
      </c>
      <c r="DV105" s="93">
        <f t="shared" si="61"/>
        <v>0</v>
      </c>
    </row>
    <row r="106">
      <c r="A106" s="7" t="s">
        <v>393</v>
      </c>
      <c r="B106" s="7" t="s">
        <v>394</v>
      </c>
      <c r="C106" s="76" t="str">
        <f t="array" ref="C106">_xlfn.XLOOKUP(A106,'Emp Master'!A:A,'Emp Master'!F:F)</f>
        <v>MUM</v>
      </c>
      <c r="D106" s="76" t="str">
        <f t="array" ref="D106">_xlfn.XLOOKUP(A106,'Emp Master'!A:A,'Emp Master'!D:D)</f>
        <v>Cutting</v>
      </c>
      <c r="E106" s="76" t="str">
        <f t="shared" si="123"/>
        <v>#REF!</v>
      </c>
      <c r="F106" s="76">
        <v>3500.0</v>
      </c>
      <c r="G106" s="79">
        <v>16500.0</v>
      </c>
      <c r="H106" s="80">
        <v>3500.0</v>
      </c>
      <c r="I106" s="79">
        <f t="shared" si="281"/>
        <v>13000</v>
      </c>
      <c r="J106" s="80">
        <v>3500.0</v>
      </c>
      <c r="K106" s="79">
        <f t="shared" si="282"/>
        <v>9500</v>
      </c>
      <c r="L106" s="80">
        <v>3500.0</v>
      </c>
      <c r="M106" s="79">
        <f t="shared" si="243"/>
        <v>6000</v>
      </c>
      <c r="N106" s="126">
        <v>3000.0</v>
      </c>
      <c r="O106" s="79">
        <f t="shared" si="216"/>
        <v>3000</v>
      </c>
      <c r="P106" s="126">
        <v>3000.0</v>
      </c>
      <c r="Q106" s="79">
        <f t="shared" si="283"/>
        <v>0</v>
      </c>
      <c r="R106" s="1"/>
      <c r="S106" s="79">
        <f t="shared" si="218"/>
        <v>0</v>
      </c>
      <c r="T106" s="1"/>
      <c r="U106" s="79">
        <f t="shared" si="219"/>
        <v>0</v>
      </c>
      <c r="V106" s="1"/>
      <c r="W106" s="79">
        <f t="shared" si="280"/>
        <v>0</v>
      </c>
      <c r="X106" s="1"/>
      <c r="Y106" s="79">
        <f t="shared" si="262"/>
        <v>0</v>
      </c>
      <c r="Z106" s="1"/>
      <c r="AA106" s="79">
        <f t="shared" si="244"/>
        <v>0</v>
      </c>
      <c r="AB106" s="1"/>
      <c r="AC106" s="79">
        <f t="shared" si="270"/>
        <v>0</v>
      </c>
      <c r="AD106" s="1"/>
      <c r="AE106" s="79">
        <f t="shared" si="271"/>
        <v>0</v>
      </c>
      <c r="AF106" s="1"/>
      <c r="AG106" s="79">
        <f t="shared" si="223"/>
        <v>0</v>
      </c>
      <c r="AH106" s="1"/>
      <c r="AI106" s="79">
        <f t="shared" si="284"/>
        <v>0</v>
      </c>
      <c r="AJ106" s="1"/>
      <c r="AK106" s="79">
        <f t="shared" si="272"/>
        <v>0</v>
      </c>
      <c r="AL106" s="1"/>
      <c r="AM106" s="79">
        <f t="shared" si="273"/>
        <v>0</v>
      </c>
      <c r="AN106" s="1"/>
      <c r="AO106" s="79">
        <f t="shared" si="285"/>
        <v>0</v>
      </c>
      <c r="AP106" s="1"/>
      <c r="AQ106" s="79">
        <f t="shared" si="274"/>
        <v>0</v>
      </c>
      <c r="AR106" s="1"/>
      <c r="AS106" s="79">
        <f t="shared" si="228"/>
        <v>0</v>
      </c>
      <c r="AT106" s="1"/>
      <c r="AU106" s="79">
        <f t="shared" si="229"/>
        <v>0</v>
      </c>
      <c r="AV106" s="1"/>
      <c r="AW106" s="79">
        <f t="shared" si="258"/>
        <v>0</v>
      </c>
      <c r="AX106" s="1"/>
      <c r="AY106" s="79">
        <f t="shared" si="286"/>
        <v>0</v>
      </c>
      <c r="AZ106" s="1"/>
      <c r="BA106" s="79">
        <f t="shared" si="246"/>
        <v>0</v>
      </c>
      <c r="BB106" s="1"/>
      <c r="BC106" s="79">
        <f t="shared" si="287"/>
        <v>0</v>
      </c>
      <c r="BD106" s="1"/>
      <c r="BE106" s="79">
        <f t="shared" si="247"/>
        <v>0</v>
      </c>
      <c r="BF106" s="1"/>
      <c r="BG106" s="79">
        <f t="shared" si="275"/>
        <v>0</v>
      </c>
      <c r="BH106" s="1"/>
      <c r="BI106" s="79">
        <f t="shared" si="259"/>
        <v>0</v>
      </c>
      <c r="BJ106" s="1"/>
      <c r="BK106" s="79">
        <f t="shared" si="232"/>
        <v>0</v>
      </c>
      <c r="BL106" s="1"/>
      <c r="BM106" s="79">
        <f t="shared" si="288"/>
        <v>0</v>
      </c>
      <c r="BN106" s="1"/>
      <c r="BO106" s="79">
        <f t="shared" si="233"/>
        <v>0</v>
      </c>
      <c r="BP106" s="1"/>
      <c r="BQ106" s="79">
        <f t="shared" si="265"/>
        <v>0</v>
      </c>
      <c r="BR106" s="1"/>
      <c r="BS106" s="79">
        <f t="shared" si="266"/>
        <v>0</v>
      </c>
      <c r="BT106" s="1"/>
      <c r="BU106" s="79">
        <f t="shared" si="289"/>
        <v>0</v>
      </c>
      <c r="BV106" s="1"/>
      <c r="BW106" s="79">
        <f t="shared" si="236"/>
        <v>0</v>
      </c>
      <c r="BX106" s="1"/>
      <c r="BY106" s="79">
        <f t="shared" si="267"/>
        <v>0</v>
      </c>
      <c r="BZ106" s="1"/>
      <c r="CA106" s="79">
        <f t="shared" si="238"/>
        <v>0</v>
      </c>
      <c r="CB106" s="1"/>
      <c r="CC106" s="79">
        <f t="shared" si="239"/>
        <v>0</v>
      </c>
      <c r="CD106" s="1"/>
      <c r="CE106" s="79">
        <f t="shared" si="276"/>
        <v>0</v>
      </c>
      <c r="CF106" s="1"/>
      <c r="CG106" s="79">
        <f t="shared" si="290"/>
        <v>0</v>
      </c>
      <c r="CH106" s="1"/>
      <c r="CI106" s="79">
        <f>(CG106-CH106)+50000</f>
        <v>50000</v>
      </c>
      <c r="CJ106" s="106">
        <v>0.0</v>
      </c>
      <c r="CK106" s="79">
        <f t="shared" si="169"/>
        <v>50000</v>
      </c>
      <c r="CL106" s="106"/>
      <c r="CM106" s="79">
        <f t="shared" si="277"/>
        <v>50000</v>
      </c>
      <c r="CN106" s="106">
        <v>4200.0</v>
      </c>
      <c r="CO106" s="79">
        <f t="shared" si="184"/>
        <v>45800</v>
      </c>
      <c r="CP106" s="106">
        <v>5000.0</v>
      </c>
      <c r="CQ106" s="79">
        <f t="shared" si="291"/>
        <v>40800</v>
      </c>
      <c r="CR106" s="106">
        <v>5000.0</v>
      </c>
      <c r="CS106" s="79">
        <f t="shared" si="166"/>
        <v>35800</v>
      </c>
      <c r="CT106" s="24">
        <v>5000.0</v>
      </c>
      <c r="CU106" s="79">
        <f t="shared" si="250"/>
        <v>30800</v>
      </c>
      <c r="CV106" s="24">
        <v>5000.0</v>
      </c>
      <c r="CW106" s="79">
        <f t="shared" si="251"/>
        <v>25800</v>
      </c>
      <c r="CX106" s="24">
        <v>5000.0</v>
      </c>
      <c r="CY106" s="91">
        <v>8000.0</v>
      </c>
      <c r="CZ106" s="79">
        <f>CW106-CX106-CY106+8000</f>
        <v>20800</v>
      </c>
      <c r="DA106" s="100">
        <v>5000.0</v>
      </c>
      <c r="DB106" s="93">
        <f t="shared" si="253"/>
        <v>15800</v>
      </c>
      <c r="DC106" s="207">
        <v>5000.0</v>
      </c>
      <c r="DD106" s="93">
        <f t="shared" si="254"/>
        <v>10800</v>
      </c>
      <c r="DE106" s="208">
        <v>6800.0</v>
      </c>
      <c r="DF106" s="93">
        <f t="shared" si="278"/>
        <v>4000</v>
      </c>
      <c r="DG106" s="178">
        <v>4000.0</v>
      </c>
      <c r="DH106" s="93">
        <f t="shared" si="293"/>
        <v>0</v>
      </c>
      <c r="DI106" s="178"/>
      <c r="DJ106" s="93">
        <f t="shared" si="256"/>
        <v>0</v>
      </c>
      <c r="DK106" s="93"/>
      <c r="DL106" s="93">
        <f t="shared" si="261"/>
        <v>0</v>
      </c>
      <c r="DM106" s="100">
        <v>0.0</v>
      </c>
      <c r="DN106" s="93">
        <f t="shared" si="269"/>
        <v>0</v>
      </c>
      <c r="DO106" s="100">
        <v>0.0</v>
      </c>
      <c r="DP106" s="93">
        <f t="shared" si="294"/>
        <v>0</v>
      </c>
      <c r="DQ106" s="100">
        <v>0.0</v>
      </c>
      <c r="DR106" s="93">
        <f t="shared" si="188"/>
        <v>0</v>
      </c>
      <c r="DS106" s="100">
        <v>0.0</v>
      </c>
      <c r="DT106" s="93">
        <f t="shared" si="120"/>
        <v>0</v>
      </c>
      <c r="DU106" s="100">
        <v>0.0</v>
      </c>
      <c r="DV106" s="93">
        <f t="shared" si="61"/>
        <v>0</v>
      </c>
    </row>
    <row r="107">
      <c r="A107" s="7" t="s">
        <v>902</v>
      </c>
      <c r="B107" s="7" t="s">
        <v>903</v>
      </c>
      <c r="C107" s="76" t="str">
        <f t="array" ref="C107">_xlfn.XLOOKUP(A107,'Emp Master'!A:A,'Emp Master'!F:F)</f>
        <v>#N/A</v>
      </c>
      <c r="D107" s="76" t="str">
        <f t="array" ref="D107">_xlfn.XLOOKUP(A107,'Emp Master'!A:A,'Emp Master'!D:D)</f>
        <v>#N/A</v>
      </c>
      <c r="E107" s="76" t="str">
        <f t="shared" si="123"/>
        <v>#REF!</v>
      </c>
      <c r="F107" s="76">
        <v>1000.0</v>
      </c>
      <c r="G107" s="79">
        <v>4000.0</v>
      </c>
      <c r="H107" s="80">
        <v>1000.0</v>
      </c>
      <c r="I107" s="79">
        <f t="shared" si="281"/>
        <v>3000</v>
      </c>
      <c r="J107" s="80">
        <v>1000.0</v>
      </c>
      <c r="K107" s="79">
        <f t="shared" si="282"/>
        <v>2000</v>
      </c>
      <c r="L107" s="80">
        <v>1000.0</v>
      </c>
      <c r="M107" s="79">
        <f t="shared" si="243"/>
        <v>1000</v>
      </c>
      <c r="N107" s="80">
        <v>1000.0</v>
      </c>
      <c r="O107" s="79">
        <f t="shared" si="216"/>
        <v>0</v>
      </c>
      <c r="P107" s="80"/>
      <c r="Q107" s="79">
        <f t="shared" si="283"/>
        <v>0</v>
      </c>
      <c r="R107" s="1"/>
      <c r="S107" s="79">
        <f t="shared" si="218"/>
        <v>0</v>
      </c>
      <c r="T107" s="1"/>
      <c r="U107" s="79">
        <f t="shared" si="219"/>
        <v>0</v>
      </c>
      <c r="V107" s="1"/>
      <c r="W107" s="79">
        <f t="shared" si="280"/>
        <v>0</v>
      </c>
      <c r="X107" s="1"/>
      <c r="Y107" s="79">
        <f t="shared" si="262"/>
        <v>0</v>
      </c>
      <c r="Z107" s="1"/>
      <c r="AA107" s="79">
        <f t="shared" si="244"/>
        <v>0</v>
      </c>
      <c r="AB107" s="1"/>
      <c r="AC107" s="79">
        <f t="shared" si="270"/>
        <v>0</v>
      </c>
      <c r="AD107" s="1"/>
      <c r="AE107" s="79">
        <f t="shared" si="271"/>
        <v>0</v>
      </c>
      <c r="AF107" s="1"/>
      <c r="AG107" s="79">
        <f>AE107-AF107+20000</f>
        <v>20000</v>
      </c>
      <c r="AH107" s="1"/>
      <c r="AI107" s="79">
        <f t="shared" si="284"/>
        <v>20000</v>
      </c>
      <c r="AJ107" s="106">
        <v>8066.0</v>
      </c>
      <c r="AK107" s="79">
        <f t="shared" si="272"/>
        <v>11934</v>
      </c>
      <c r="AL107" s="1"/>
      <c r="AM107" s="79">
        <f t="shared" si="273"/>
        <v>11934</v>
      </c>
      <c r="AN107" s="1"/>
      <c r="AO107" s="79">
        <f t="shared" si="285"/>
        <v>11934</v>
      </c>
      <c r="AP107" s="1"/>
      <c r="AQ107" s="79">
        <f t="shared" si="274"/>
        <v>11934</v>
      </c>
      <c r="AR107" s="1"/>
      <c r="AS107" s="79">
        <f t="shared" si="228"/>
        <v>11934</v>
      </c>
      <c r="AT107" s="1"/>
      <c r="AU107" s="79">
        <f t="shared" si="229"/>
        <v>11934</v>
      </c>
      <c r="AV107" s="1"/>
      <c r="AW107" s="79">
        <f t="shared" si="258"/>
        <v>11934</v>
      </c>
      <c r="AX107" s="1"/>
      <c r="AY107" s="79">
        <f t="shared" si="286"/>
        <v>11934</v>
      </c>
      <c r="AZ107" s="1"/>
      <c r="BA107" s="79">
        <f t="shared" si="246"/>
        <v>11934</v>
      </c>
      <c r="BB107" s="1"/>
      <c r="BC107" s="79">
        <f t="shared" si="287"/>
        <v>11934</v>
      </c>
      <c r="BD107" s="1"/>
      <c r="BE107" s="79">
        <f t="shared" si="247"/>
        <v>11934</v>
      </c>
      <c r="BF107" s="1"/>
      <c r="BG107" s="79">
        <f t="shared" si="275"/>
        <v>11934</v>
      </c>
      <c r="BH107" s="1"/>
      <c r="BI107" s="79">
        <f t="shared" si="259"/>
        <v>11934</v>
      </c>
      <c r="BJ107" s="1"/>
      <c r="BK107" s="79">
        <f t="shared" si="232"/>
        <v>11934</v>
      </c>
      <c r="BL107" s="1"/>
      <c r="BM107" s="79">
        <f t="shared" si="288"/>
        <v>11934</v>
      </c>
      <c r="BN107" s="1"/>
      <c r="BO107" s="79">
        <f t="shared" si="233"/>
        <v>11934</v>
      </c>
      <c r="BP107" s="1"/>
      <c r="BQ107" s="79">
        <f t="shared" si="265"/>
        <v>11934</v>
      </c>
      <c r="BR107" s="1"/>
      <c r="BS107" s="79">
        <f t="shared" si="266"/>
        <v>11934</v>
      </c>
      <c r="BT107" s="1"/>
      <c r="BU107" s="79">
        <f t="shared" si="289"/>
        <v>11934</v>
      </c>
      <c r="BV107" s="1"/>
      <c r="BW107" s="79">
        <f t="shared" si="236"/>
        <v>11934</v>
      </c>
      <c r="BX107" s="1"/>
      <c r="BY107" s="79">
        <f t="shared" si="267"/>
        <v>11934</v>
      </c>
      <c r="BZ107" s="1"/>
      <c r="CA107" s="79">
        <f t="shared" si="238"/>
        <v>11934</v>
      </c>
      <c r="CB107" s="106">
        <v>0.0</v>
      </c>
      <c r="CC107" s="79">
        <f t="shared" si="239"/>
        <v>11934</v>
      </c>
      <c r="CD107" s="1"/>
      <c r="CE107" s="79">
        <f t="shared" si="276"/>
        <v>11934</v>
      </c>
      <c r="CF107" s="1"/>
      <c r="CG107" s="79">
        <f t="shared" si="290"/>
        <v>11934</v>
      </c>
      <c r="CH107" s="1"/>
      <c r="CI107" s="79">
        <f t="shared" ref="CI107:CI114" si="295">CG107-CH107</f>
        <v>11934</v>
      </c>
      <c r="CJ107" s="1"/>
      <c r="CK107" s="79">
        <f t="shared" si="169"/>
        <v>11934</v>
      </c>
      <c r="CL107" s="1"/>
      <c r="CM107" s="79">
        <f t="shared" si="277"/>
        <v>11934</v>
      </c>
      <c r="CN107" s="1"/>
      <c r="CO107" s="79">
        <f t="shared" si="184"/>
        <v>11934</v>
      </c>
      <c r="CP107" s="1"/>
      <c r="CQ107" s="79">
        <f t="shared" si="291"/>
        <v>11934</v>
      </c>
      <c r="CR107" s="1"/>
      <c r="CS107" s="79">
        <f t="shared" si="166"/>
        <v>11934</v>
      </c>
      <c r="CT107" s="79"/>
      <c r="CU107" s="79">
        <f t="shared" si="250"/>
        <v>11934</v>
      </c>
      <c r="CV107" s="79"/>
      <c r="CW107" s="79">
        <f t="shared" si="251"/>
        <v>11934</v>
      </c>
      <c r="CX107" s="24">
        <v>0.0</v>
      </c>
      <c r="CY107" s="91"/>
      <c r="CZ107" s="79">
        <f t="shared" ref="CZ107:CZ113" si="296">CW107-CX107</f>
        <v>11934</v>
      </c>
      <c r="DA107" s="93"/>
      <c r="DB107" s="93">
        <f t="shared" si="253"/>
        <v>11934</v>
      </c>
      <c r="DC107" s="96"/>
      <c r="DD107" s="93">
        <f t="shared" si="254"/>
        <v>11934</v>
      </c>
      <c r="DE107" s="96"/>
      <c r="DF107" s="93">
        <f t="shared" si="278"/>
        <v>11934</v>
      </c>
      <c r="DG107" s="96"/>
      <c r="DH107" s="93">
        <f t="shared" si="293"/>
        <v>11934</v>
      </c>
      <c r="DI107" s="96"/>
      <c r="DJ107" s="93">
        <f t="shared" si="256"/>
        <v>11934</v>
      </c>
      <c r="DK107" s="93"/>
      <c r="DL107" s="93">
        <f t="shared" si="261"/>
        <v>11934</v>
      </c>
      <c r="DM107" s="100">
        <v>0.0</v>
      </c>
      <c r="DN107" s="93">
        <f t="shared" si="269"/>
        <v>11934</v>
      </c>
      <c r="DO107" s="100">
        <v>0.0</v>
      </c>
      <c r="DP107" s="93">
        <f t="shared" si="294"/>
        <v>11934</v>
      </c>
      <c r="DQ107" s="100">
        <v>0.0</v>
      </c>
      <c r="DR107" s="93">
        <f t="shared" si="188"/>
        <v>11934</v>
      </c>
      <c r="DS107" s="100">
        <v>0.0</v>
      </c>
      <c r="DT107" s="93">
        <f t="shared" si="120"/>
        <v>11934</v>
      </c>
      <c r="DU107" s="100">
        <v>0.0</v>
      </c>
      <c r="DV107" s="93">
        <f t="shared" si="61"/>
        <v>11934</v>
      </c>
    </row>
    <row r="108">
      <c r="A108" s="7" t="s">
        <v>395</v>
      </c>
      <c r="B108" s="7" t="s">
        <v>396</v>
      </c>
      <c r="C108" s="76" t="str">
        <f t="array" ref="C108">_xlfn.XLOOKUP(A108,'Emp Master'!A:A,'Emp Master'!F:F)</f>
        <v>SNP</v>
      </c>
      <c r="D108" s="76" t="str">
        <f t="array" ref="D108">_xlfn.XLOOKUP(A108,'Emp Master'!A:A,'Emp Master'!D:D)</f>
        <v>Accounts &amp; Finance</v>
      </c>
      <c r="E108" s="76" t="str">
        <f t="shared" si="123"/>
        <v>#REF!</v>
      </c>
      <c r="F108" s="76">
        <v>1000.0</v>
      </c>
      <c r="G108" s="79">
        <v>16000.0</v>
      </c>
      <c r="H108" s="80">
        <v>1000.0</v>
      </c>
      <c r="I108" s="79">
        <f t="shared" si="281"/>
        <v>15000</v>
      </c>
      <c r="J108" s="80">
        <v>1000.0</v>
      </c>
      <c r="K108" s="79">
        <f t="shared" si="282"/>
        <v>14000</v>
      </c>
      <c r="L108" s="80">
        <v>1000.0</v>
      </c>
      <c r="M108" s="79">
        <f t="shared" si="243"/>
        <v>13000</v>
      </c>
      <c r="N108" s="80">
        <v>1000.0</v>
      </c>
      <c r="O108" s="79">
        <f>M108-N108+5000</f>
        <v>17000</v>
      </c>
      <c r="P108" s="80">
        <f>1000+5000</f>
        <v>6000</v>
      </c>
      <c r="Q108" s="79">
        <f t="shared" si="283"/>
        <v>11000</v>
      </c>
      <c r="R108" s="106">
        <v>1000.0</v>
      </c>
      <c r="S108" s="79">
        <f t="shared" si="218"/>
        <v>10000</v>
      </c>
      <c r="T108" s="106">
        <v>1000.0</v>
      </c>
      <c r="U108" s="79">
        <f t="shared" si="219"/>
        <v>9000</v>
      </c>
      <c r="V108" s="106">
        <v>9000.0</v>
      </c>
      <c r="W108" s="79">
        <f>U108-V108+8000</f>
        <v>8000</v>
      </c>
      <c r="X108" s="106">
        <v>1000.0</v>
      </c>
      <c r="Y108" s="79">
        <f t="shared" si="262"/>
        <v>7000</v>
      </c>
      <c r="Z108" s="106">
        <v>1000.0</v>
      </c>
      <c r="AA108" s="79">
        <f t="shared" si="244"/>
        <v>6000</v>
      </c>
      <c r="AB108" s="106">
        <v>1000.0</v>
      </c>
      <c r="AC108" s="79">
        <f t="shared" si="270"/>
        <v>5000</v>
      </c>
      <c r="AD108" s="106">
        <v>1000.0</v>
      </c>
      <c r="AE108" s="79">
        <f t="shared" si="271"/>
        <v>4000</v>
      </c>
      <c r="AF108" s="106">
        <v>1000.0</v>
      </c>
      <c r="AG108" s="79">
        <f t="shared" ref="AG108:AG114" si="297">AE108-AF108</f>
        <v>3000</v>
      </c>
      <c r="AH108" s="106">
        <v>3000.0</v>
      </c>
      <c r="AI108" s="79">
        <f t="shared" si="284"/>
        <v>0</v>
      </c>
      <c r="AJ108" s="1"/>
      <c r="AK108" s="79">
        <f t="shared" si="272"/>
        <v>0</v>
      </c>
      <c r="AL108" s="1"/>
      <c r="AM108" s="79">
        <f>AK108-AL108+14000</f>
        <v>14000</v>
      </c>
      <c r="AN108" s="106">
        <v>14000.0</v>
      </c>
      <c r="AO108" s="79">
        <f t="shared" si="285"/>
        <v>0</v>
      </c>
      <c r="AP108" s="106">
        <v>0.0</v>
      </c>
      <c r="AQ108" s="79">
        <f>AO108-AP108+20000</f>
        <v>20000</v>
      </c>
      <c r="AR108" s="1"/>
      <c r="AS108" s="79">
        <f t="shared" si="228"/>
        <v>20000</v>
      </c>
      <c r="AT108" s="106">
        <v>5000.0</v>
      </c>
      <c r="AU108" s="79">
        <f t="shared" si="229"/>
        <v>15000</v>
      </c>
      <c r="AV108" s="106">
        <v>2000.0</v>
      </c>
      <c r="AW108" s="79">
        <f t="shared" si="258"/>
        <v>13000</v>
      </c>
      <c r="AX108" s="106">
        <v>3000.0</v>
      </c>
      <c r="AY108" s="79">
        <f t="shared" si="286"/>
        <v>10000</v>
      </c>
      <c r="AZ108" s="106">
        <v>3000.0</v>
      </c>
      <c r="BA108" s="79">
        <f t="shared" si="246"/>
        <v>7000</v>
      </c>
      <c r="BB108" s="106">
        <v>7000.0</v>
      </c>
      <c r="BC108" s="79">
        <f t="shared" si="287"/>
        <v>0</v>
      </c>
      <c r="BD108" s="106">
        <v>0.0</v>
      </c>
      <c r="BE108" s="79">
        <f t="shared" si="247"/>
        <v>0</v>
      </c>
      <c r="BF108" s="106">
        <v>0.0</v>
      </c>
      <c r="BG108" s="79">
        <f>BE108-BF108+15000</f>
        <v>15000</v>
      </c>
      <c r="BH108" s="106">
        <v>5000.0</v>
      </c>
      <c r="BI108" s="79">
        <f t="shared" si="259"/>
        <v>10000</v>
      </c>
      <c r="BJ108" s="106">
        <v>3000.0</v>
      </c>
      <c r="BK108" s="79">
        <f t="shared" si="232"/>
        <v>7000</v>
      </c>
      <c r="BL108" s="106">
        <v>7000.0</v>
      </c>
      <c r="BM108" s="79">
        <f t="shared" si="288"/>
        <v>0</v>
      </c>
      <c r="BN108" s="1"/>
      <c r="BO108" s="79">
        <f t="shared" si="233"/>
        <v>0</v>
      </c>
      <c r="BP108" s="1"/>
      <c r="BQ108" s="79">
        <f t="shared" si="265"/>
        <v>0</v>
      </c>
      <c r="BR108" s="1"/>
      <c r="BS108" s="79">
        <f>BQ108-BR108+15000</f>
        <v>15000</v>
      </c>
      <c r="BT108" s="1"/>
      <c r="BU108" s="79">
        <f t="shared" si="289"/>
        <v>15000</v>
      </c>
      <c r="BV108" s="106">
        <v>5000.0</v>
      </c>
      <c r="BW108" s="79">
        <f t="shared" si="236"/>
        <v>10000</v>
      </c>
      <c r="BX108" s="106">
        <v>2000.0</v>
      </c>
      <c r="BY108" s="79">
        <f t="shared" si="267"/>
        <v>8000</v>
      </c>
      <c r="BZ108" s="1"/>
      <c r="CA108" s="79">
        <f t="shared" si="238"/>
        <v>8000</v>
      </c>
      <c r="CB108" s="106">
        <v>2000.0</v>
      </c>
      <c r="CC108" s="79">
        <f>10000+(CA108-CB108)</f>
        <v>16000</v>
      </c>
      <c r="CD108" s="106">
        <v>12000.0</v>
      </c>
      <c r="CE108" s="79">
        <f t="shared" si="276"/>
        <v>4000</v>
      </c>
      <c r="CF108" s="106">
        <v>2000.0</v>
      </c>
      <c r="CG108" s="79">
        <f>24000+(CE108-CF108)</f>
        <v>26000</v>
      </c>
      <c r="CH108" s="106">
        <v>10000.0</v>
      </c>
      <c r="CI108" s="79">
        <f t="shared" si="295"/>
        <v>16000</v>
      </c>
      <c r="CJ108" s="106">
        <v>8000.0</v>
      </c>
      <c r="CK108" s="79">
        <f t="shared" si="169"/>
        <v>8000</v>
      </c>
      <c r="CL108" s="106">
        <v>8000.0</v>
      </c>
      <c r="CM108" s="79">
        <f t="shared" si="277"/>
        <v>0</v>
      </c>
      <c r="CN108" s="106"/>
      <c r="CO108" s="79">
        <f>12000+CM108-CN108</f>
        <v>12000</v>
      </c>
      <c r="CP108" s="106">
        <v>6000.0</v>
      </c>
      <c r="CQ108" s="79">
        <f>CO108-CP108+2500</f>
        <v>8500</v>
      </c>
      <c r="CR108" s="106">
        <v>3000.0</v>
      </c>
      <c r="CS108" s="79">
        <f t="shared" si="166"/>
        <v>5500</v>
      </c>
      <c r="CT108" s="24">
        <v>3000.0</v>
      </c>
      <c r="CU108" s="79">
        <f t="shared" si="250"/>
        <v>2500</v>
      </c>
      <c r="CV108" s="24">
        <v>2500.0</v>
      </c>
      <c r="CW108" s="79">
        <f t="shared" si="251"/>
        <v>0</v>
      </c>
      <c r="CX108" s="24"/>
      <c r="CY108" s="91"/>
      <c r="CZ108" s="79">
        <f t="shared" si="296"/>
        <v>0</v>
      </c>
      <c r="DA108" s="93"/>
      <c r="DB108" s="93">
        <f>CZ108-DA108+30000</f>
        <v>30000</v>
      </c>
      <c r="DC108" s="178">
        <v>10000.0</v>
      </c>
      <c r="DD108" s="93">
        <f t="shared" si="254"/>
        <v>20000</v>
      </c>
      <c r="DE108" s="178">
        <v>10000.0</v>
      </c>
      <c r="DF108" s="93">
        <f t="shared" si="278"/>
        <v>10000</v>
      </c>
      <c r="DG108" s="178">
        <v>10000.0</v>
      </c>
      <c r="DH108" s="93">
        <f t="shared" si="293"/>
        <v>0</v>
      </c>
      <c r="DI108" s="178"/>
      <c r="DJ108" s="93">
        <f t="shared" si="256"/>
        <v>0</v>
      </c>
      <c r="DK108" s="93"/>
      <c r="DL108" s="93">
        <f t="shared" si="261"/>
        <v>0</v>
      </c>
      <c r="DM108" s="100">
        <v>0.0</v>
      </c>
      <c r="DN108" s="93">
        <f>DL108-DM108+25000</f>
        <v>25000</v>
      </c>
      <c r="DO108" s="100">
        <v>8000.0</v>
      </c>
      <c r="DP108" s="93">
        <f t="shared" si="294"/>
        <v>17000</v>
      </c>
      <c r="DQ108" s="100">
        <v>8000.0</v>
      </c>
      <c r="DR108" s="93">
        <f t="shared" si="188"/>
        <v>9000</v>
      </c>
      <c r="DS108" s="100">
        <v>0.0</v>
      </c>
      <c r="DT108" s="93">
        <f t="shared" si="120"/>
        <v>9000</v>
      </c>
      <c r="DU108" s="100">
        <v>5000.0</v>
      </c>
      <c r="DV108" s="93">
        <f t="shared" si="61"/>
        <v>4000</v>
      </c>
    </row>
    <row r="109">
      <c r="A109" s="7" t="s">
        <v>399</v>
      </c>
      <c r="B109" s="7" t="s">
        <v>400</v>
      </c>
      <c r="C109" s="76" t="str">
        <f t="array" ref="C109">_xlfn.XLOOKUP(A109,'Emp Master'!A:A,'Emp Master'!F:F)</f>
        <v>DEL</v>
      </c>
      <c r="D109" s="76" t="str">
        <f t="array" ref="D109">_xlfn.XLOOKUP(A109,'Emp Master'!A:A,'Emp Master'!D:D)</f>
        <v>Backend Ops</v>
      </c>
      <c r="E109" s="76" t="str">
        <f t="shared" si="123"/>
        <v>#REF!</v>
      </c>
      <c r="F109" s="76"/>
      <c r="G109" s="79"/>
      <c r="H109" s="80"/>
      <c r="I109" s="79">
        <f t="shared" si="281"/>
        <v>0</v>
      </c>
      <c r="J109" s="80"/>
      <c r="K109" s="79">
        <f t="shared" si="282"/>
        <v>0</v>
      </c>
      <c r="L109" s="80"/>
      <c r="M109" s="79">
        <f t="shared" si="243"/>
        <v>0</v>
      </c>
      <c r="N109" s="80"/>
      <c r="O109" s="79">
        <f t="shared" ref="O109:O114" si="298">M109-N109</f>
        <v>0</v>
      </c>
      <c r="P109" s="80"/>
      <c r="Q109" s="79">
        <f t="shared" si="283"/>
        <v>0</v>
      </c>
      <c r="R109" s="1"/>
      <c r="S109" s="79">
        <f t="shared" si="218"/>
        <v>0</v>
      </c>
      <c r="T109" s="1"/>
      <c r="U109" s="79">
        <f t="shared" si="219"/>
        <v>0</v>
      </c>
      <c r="V109" s="1"/>
      <c r="W109" s="79">
        <f t="shared" ref="W109:W114" si="299">U109-V109</f>
        <v>0</v>
      </c>
      <c r="X109" s="1"/>
      <c r="Y109" s="79">
        <f t="shared" si="262"/>
        <v>0</v>
      </c>
      <c r="Z109" s="1"/>
      <c r="AA109" s="79">
        <f t="shared" si="244"/>
        <v>0</v>
      </c>
      <c r="AB109" s="1"/>
      <c r="AC109" s="79">
        <f t="shared" si="270"/>
        <v>0</v>
      </c>
      <c r="AD109" s="1"/>
      <c r="AE109" s="79">
        <f t="shared" si="271"/>
        <v>0</v>
      </c>
      <c r="AF109" s="1"/>
      <c r="AG109" s="79">
        <f t="shared" si="297"/>
        <v>0</v>
      </c>
      <c r="AH109" s="1"/>
      <c r="AI109" s="79">
        <f t="shared" si="284"/>
        <v>0</v>
      </c>
      <c r="AJ109" s="1"/>
      <c r="AK109" s="79">
        <f t="shared" si="272"/>
        <v>0</v>
      </c>
      <c r="AL109" s="1"/>
      <c r="AM109" s="79">
        <f t="shared" ref="AM109:AM111" si="300">AK109-AL109</f>
        <v>0</v>
      </c>
      <c r="AN109" s="1"/>
      <c r="AO109" s="79">
        <f t="shared" si="285"/>
        <v>0</v>
      </c>
      <c r="AP109" s="1"/>
      <c r="AQ109" s="79">
        <f t="shared" ref="AQ109:AQ114" si="301">AO109-AP109</f>
        <v>0</v>
      </c>
      <c r="AR109" s="1"/>
      <c r="AS109" s="79">
        <f t="shared" si="228"/>
        <v>0</v>
      </c>
      <c r="AT109" s="1"/>
      <c r="AU109" s="79">
        <f t="shared" si="229"/>
        <v>0</v>
      </c>
      <c r="AV109" s="1"/>
      <c r="AW109" s="79">
        <f t="shared" si="258"/>
        <v>0</v>
      </c>
      <c r="AX109" s="1"/>
      <c r="AY109" s="79">
        <f t="shared" si="286"/>
        <v>0</v>
      </c>
      <c r="AZ109" s="1"/>
      <c r="BA109" s="79">
        <f t="shared" si="246"/>
        <v>0</v>
      </c>
      <c r="BB109" s="1"/>
      <c r="BC109" s="79">
        <f t="shared" si="287"/>
        <v>0</v>
      </c>
      <c r="BD109" s="1"/>
      <c r="BE109" s="79">
        <f t="shared" si="247"/>
        <v>0</v>
      </c>
      <c r="BF109" s="1"/>
      <c r="BG109" s="79">
        <f t="shared" ref="BG109:BG114" si="302">BE109-BF109</f>
        <v>0</v>
      </c>
      <c r="BH109" s="1"/>
      <c r="BI109" s="79">
        <f t="shared" si="259"/>
        <v>0</v>
      </c>
      <c r="BJ109" s="1"/>
      <c r="BK109" s="79">
        <f t="shared" si="232"/>
        <v>0</v>
      </c>
      <c r="BL109" s="1"/>
      <c r="BM109" s="79">
        <f t="shared" si="288"/>
        <v>0</v>
      </c>
      <c r="BN109" s="1"/>
      <c r="BO109" s="79">
        <f t="shared" si="233"/>
        <v>0</v>
      </c>
      <c r="BP109" s="1"/>
      <c r="BQ109" s="79">
        <f t="shared" si="265"/>
        <v>0</v>
      </c>
      <c r="BR109" s="1"/>
      <c r="BS109" s="79">
        <f t="shared" ref="BS109:BS110" si="303">BQ109-BR109</f>
        <v>0</v>
      </c>
      <c r="BT109" s="1"/>
      <c r="BU109" s="79">
        <f t="shared" si="289"/>
        <v>0</v>
      </c>
      <c r="BV109" s="1"/>
      <c r="BW109" s="79">
        <f t="shared" si="236"/>
        <v>0</v>
      </c>
      <c r="BX109" s="1"/>
      <c r="BY109" s="79">
        <f t="shared" si="267"/>
        <v>0</v>
      </c>
      <c r="BZ109" s="1"/>
      <c r="CA109" s="79">
        <f t="shared" si="238"/>
        <v>0</v>
      </c>
      <c r="CB109" s="1"/>
      <c r="CC109" s="79">
        <f t="shared" ref="CC109:CC113" si="304">CA109-CB109</f>
        <v>0</v>
      </c>
      <c r="CD109" s="1"/>
      <c r="CE109" s="79">
        <f t="shared" si="276"/>
        <v>0</v>
      </c>
      <c r="CF109" s="1"/>
      <c r="CG109" s="79">
        <f>CE109-CF109</f>
        <v>0</v>
      </c>
      <c r="CH109" s="1"/>
      <c r="CI109" s="79">
        <f t="shared" si="295"/>
        <v>0</v>
      </c>
      <c r="CJ109" s="1"/>
      <c r="CK109" s="79">
        <f t="shared" si="169"/>
        <v>0</v>
      </c>
      <c r="CL109" s="1"/>
      <c r="CM109" s="79">
        <f t="shared" si="277"/>
        <v>0</v>
      </c>
      <c r="CN109" s="1"/>
      <c r="CO109" s="79">
        <f t="shared" ref="CO109:CO151" si="305">CM109-CN109</f>
        <v>0</v>
      </c>
      <c r="CP109" s="1"/>
      <c r="CQ109" s="79">
        <f>CO109-CP109</f>
        <v>0</v>
      </c>
      <c r="CR109" s="1"/>
      <c r="CS109" s="79">
        <f t="shared" si="166"/>
        <v>0</v>
      </c>
      <c r="CT109" s="79"/>
      <c r="CU109" s="79">
        <f t="shared" si="250"/>
        <v>0</v>
      </c>
      <c r="CV109" s="79"/>
      <c r="CW109" s="79">
        <f t="shared" si="251"/>
        <v>0</v>
      </c>
      <c r="CX109" s="79"/>
      <c r="CY109" s="91"/>
      <c r="CZ109" s="79">
        <f t="shared" si="296"/>
        <v>0</v>
      </c>
      <c r="DA109" s="93"/>
      <c r="DB109" s="93">
        <f>CZ109-DA109</f>
        <v>0</v>
      </c>
      <c r="DC109" s="96"/>
      <c r="DD109" s="93">
        <f t="shared" si="254"/>
        <v>0</v>
      </c>
      <c r="DE109" s="96"/>
      <c r="DF109" s="93">
        <f t="shared" si="278"/>
        <v>0</v>
      </c>
      <c r="DG109" s="96"/>
      <c r="DH109" s="93">
        <f t="shared" si="293"/>
        <v>0</v>
      </c>
      <c r="DI109" s="96"/>
      <c r="DJ109" s="93">
        <f t="shared" si="256"/>
        <v>0</v>
      </c>
      <c r="DK109" s="93"/>
      <c r="DL109" s="93">
        <f t="shared" si="261"/>
        <v>0</v>
      </c>
      <c r="DM109" s="100">
        <v>0.0</v>
      </c>
      <c r="DN109" s="93">
        <f t="shared" ref="DN109:DN144" si="306">DL109-DM109</f>
        <v>0</v>
      </c>
      <c r="DO109" s="100">
        <v>0.0</v>
      </c>
      <c r="DP109" s="93">
        <f t="shared" si="294"/>
        <v>0</v>
      </c>
      <c r="DQ109" s="100">
        <v>0.0</v>
      </c>
      <c r="DR109" s="93">
        <f t="shared" si="188"/>
        <v>0</v>
      </c>
      <c r="DS109" s="100">
        <v>0.0</v>
      </c>
      <c r="DT109" s="93">
        <f t="shared" si="120"/>
        <v>0</v>
      </c>
      <c r="DU109" s="100">
        <v>0.0</v>
      </c>
      <c r="DV109" s="93">
        <f t="shared" si="61"/>
        <v>0</v>
      </c>
    </row>
    <row r="110">
      <c r="A110" s="7" t="s">
        <v>401</v>
      </c>
      <c r="B110" s="7" t="s">
        <v>402</v>
      </c>
      <c r="C110" s="76" t="str">
        <f t="array" ref="C110">_xlfn.XLOOKUP(A110,'Emp Master'!A:A,'Emp Master'!F:F)</f>
        <v>SNP</v>
      </c>
      <c r="D110" s="76" t="str">
        <f t="array" ref="D110">_xlfn.XLOOKUP(A110,'Emp Master'!A:A,'Emp Master'!D:D)</f>
        <v>Cutting</v>
      </c>
      <c r="E110" s="76" t="str">
        <f t="shared" si="123"/>
        <v>#REF!</v>
      </c>
      <c r="F110" s="76"/>
      <c r="G110" s="79"/>
      <c r="H110" s="80"/>
      <c r="I110" s="79">
        <f t="shared" si="281"/>
        <v>0</v>
      </c>
      <c r="J110" s="80"/>
      <c r="K110" s="79">
        <f t="shared" si="282"/>
        <v>0</v>
      </c>
      <c r="L110" s="80"/>
      <c r="M110" s="79">
        <f t="shared" si="243"/>
        <v>0</v>
      </c>
      <c r="N110" s="80"/>
      <c r="O110" s="79">
        <f t="shared" si="298"/>
        <v>0</v>
      </c>
      <c r="P110" s="80"/>
      <c r="Q110" s="79">
        <f t="shared" si="283"/>
        <v>0</v>
      </c>
      <c r="R110" s="1"/>
      <c r="S110" s="79">
        <f t="shared" si="218"/>
        <v>0</v>
      </c>
      <c r="T110" s="1"/>
      <c r="U110" s="79">
        <f t="shared" si="219"/>
        <v>0</v>
      </c>
      <c r="V110" s="1"/>
      <c r="W110" s="79">
        <f t="shared" si="299"/>
        <v>0</v>
      </c>
      <c r="X110" s="1"/>
      <c r="Y110" s="79">
        <f t="shared" si="262"/>
        <v>0</v>
      </c>
      <c r="Z110" s="1"/>
      <c r="AA110" s="79">
        <f t="shared" si="244"/>
        <v>0</v>
      </c>
      <c r="AB110" s="1"/>
      <c r="AC110" s="79">
        <f t="shared" si="270"/>
        <v>0</v>
      </c>
      <c r="AD110" s="1"/>
      <c r="AE110" s="79">
        <f t="shared" si="271"/>
        <v>0</v>
      </c>
      <c r="AF110" s="1"/>
      <c r="AG110" s="79">
        <f t="shared" si="297"/>
        <v>0</v>
      </c>
      <c r="AH110" s="1"/>
      <c r="AI110" s="79">
        <f t="shared" si="284"/>
        <v>0</v>
      </c>
      <c r="AJ110" s="1"/>
      <c r="AK110" s="79">
        <f t="shared" si="272"/>
        <v>0</v>
      </c>
      <c r="AL110" s="1"/>
      <c r="AM110" s="79">
        <f t="shared" si="300"/>
        <v>0</v>
      </c>
      <c r="AN110" s="1"/>
      <c r="AO110" s="79">
        <f t="shared" si="285"/>
        <v>0</v>
      </c>
      <c r="AP110" s="1"/>
      <c r="AQ110" s="79">
        <f t="shared" si="301"/>
        <v>0</v>
      </c>
      <c r="AR110" s="1"/>
      <c r="AS110" s="79">
        <f t="shared" si="228"/>
        <v>0</v>
      </c>
      <c r="AT110" s="1"/>
      <c r="AU110" s="79">
        <f t="shared" si="229"/>
        <v>0</v>
      </c>
      <c r="AV110" s="1"/>
      <c r="AW110" s="79">
        <f>AU110-AV110+2000</f>
        <v>2000</v>
      </c>
      <c r="AX110" s="106">
        <v>2000.0</v>
      </c>
      <c r="AY110" s="79">
        <f>AW110-AX110+10000</f>
        <v>10000</v>
      </c>
      <c r="AZ110" s="106">
        <v>3000.0</v>
      </c>
      <c r="BA110" s="79">
        <f t="shared" si="246"/>
        <v>7000</v>
      </c>
      <c r="BB110" s="106">
        <v>3000.0</v>
      </c>
      <c r="BC110" s="79">
        <f t="shared" si="287"/>
        <v>4000</v>
      </c>
      <c r="BD110" s="106">
        <v>2000.0</v>
      </c>
      <c r="BE110" s="79">
        <f t="shared" si="247"/>
        <v>2000</v>
      </c>
      <c r="BF110" s="106">
        <v>2000.0</v>
      </c>
      <c r="BG110" s="79">
        <f t="shared" si="302"/>
        <v>0</v>
      </c>
      <c r="BH110" s="1"/>
      <c r="BI110" s="79">
        <f>BG110-BH110+10000</f>
        <v>10000</v>
      </c>
      <c r="BJ110" s="106">
        <v>3000.0</v>
      </c>
      <c r="BK110" s="79">
        <f t="shared" si="232"/>
        <v>7000</v>
      </c>
      <c r="BL110" s="106">
        <v>3000.0</v>
      </c>
      <c r="BM110" s="79">
        <f t="shared" si="288"/>
        <v>4000</v>
      </c>
      <c r="BN110" s="106">
        <v>3000.0</v>
      </c>
      <c r="BO110" s="79">
        <f t="shared" si="233"/>
        <v>1000</v>
      </c>
      <c r="BP110" s="106">
        <v>1000.0</v>
      </c>
      <c r="BQ110" s="79">
        <f>BO110-BP110+7500</f>
        <v>7500</v>
      </c>
      <c r="BR110" s="106">
        <v>1000.0</v>
      </c>
      <c r="BS110" s="79">
        <f t="shared" si="303"/>
        <v>6500</v>
      </c>
      <c r="BT110" s="106">
        <v>2000.0</v>
      </c>
      <c r="BU110" s="79">
        <f t="shared" si="289"/>
        <v>4500</v>
      </c>
      <c r="BV110" s="106">
        <v>2000.0</v>
      </c>
      <c r="BW110" s="79">
        <f t="shared" si="236"/>
        <v>2500</v>
      </c>
      <c r="BX110" s="106">
        <v>2500.0</v>
      </c>
      <c r="BY110" s="79">
        <f t="shared" si="267"/>
        <v>0</v>
      </c>
      <c r="BZ110" s="1"/>
      <c r="CA110" s="80">
        <f>BY110-BZ110+7000</f>
        <v>7000</v>
      </c>
      <c r="CB110" s="106">
        <v>3000.0</v>
      </c>
      <c r="CC110" s="79">
        <f t="shared" si="304"/>
        <v>4000</v>
      </c>
      <c r="CD110" s="106">
        <v>3000.0</v>
      </c>
      <c r="CE110" s="79">
        <f t="shared" si="276"/>
        <v>1000</v>
      </c>
      <c r="CF110" s="106">
        <v>1000.0</v>
      </c>
      <c r="CG110" s="79">
        <f>10000+(CE110-CF110)</f>
        <v>10000</v>
      </c>
      <c r="CH110" s="106">
        <v>3000.0</v>
      </c>
      <c r="CI110" s="79">
        <f t="shared" si="295"/>
        <v>7000</v>
      </c>
      <c r="CJ110" s="106">
        <v>3000.0</v>
      </c>
      <c r="CK110" s="79">
        <f t="shared" si="169"/>
        <v>4000</v>
      </c>
      <c r="CL110" s="106">
        <v>3000.0</v>
      </c>
      <c r="CM110" s="79">
        <f t="shared" si="277"/>
        <v>1000</v>
      </c>
      <c r="CN110" s="106">
        <v>1000.0</v>
      </c>
      <c r="CO110" s="79">
        <f t="shared" si="305"/>
        <v>0</v>
      </c>
      <c r="CP110" s="106"/>
      <c r="CQ110" s="79">
        <f>CO110-CP110+10000+5000</f>
        <v>15000</v>
      </c>
      <c r="CR110" s="106">
        <v>5000.0</v>
      </c>
      <c r="CS110" s="79">
        <f t="shared" si="166"/>
        <v>10000</v>
      </c>
      <c r="CT110" s="24">
        <v>5000.0</v>
      </c>
      <c r="CU110" s="79">
        <f t="shared" si="250"/>
        <v>5000</v>
      </c>
      <c r="CV110" s="24">
        <v>5000.0</v>
      </c>
      <c r="CW110" s="79">
        <f t="shared" si="251"/>
        <v>0</v>
      </c>
      <c r="CX110" s="24"/>
      <c r="CY110" s="91"/>
      <c r="CZ110" s="79">
        <f t="shared" si="296"/>
        <v>0</v>
      </c>
      <c r="DA110" s="93"/>
      <c r="DB110" s="93">
        <f>CZ110-DA110+15000</f>
        <v>15000</v>
      </c>
      <c r="DC110" s="178">
        <v>4000.0</v>
      </c>
      <c r="DD110" s="93">
        <f t="shared" si="254"/>
        <v>11000</v>
      </c>
      <c r="DE110" s="178">
        <v>4000.0</v>
      </c>
      <c r="DF110" s="93">
        <f t="shared" si="278"/>
        <v>7000</v>
      </c>
      <c r="DG110" s="178">
        <v>4000.0</v>
      </c>
      <c r="DH110" s="93">
        <f t="shared" si="293"/>
        <v>3000</v>
      </c>
      <c r="DI110" s="178">
        <v>1500.0</v>
      </c>
      <c r="DJ110" s="93">
        <f>DH110-DI110+10000</f>
        <v>11500</v>
      </c>
      <c r="DK110" s="100">
        <v>3000.0</v>
      </c>
      <c r="DL110" s="93">
        <f t="shared" si="261"/>
        <v>8500</v>
      </c>
      <c r="DM110" s="100">
        <v>3000.0</v>
      </c>
      <c r="DN110" s="93">
        <f t="shared" si="306"/>
        <v>5500</v>
      </c>
      <c r="DO110" s="100">
        <v>2500.0</v>
      </c>
      <c r="DP110" s="93">
        <f t="shared" si="294"/>
        <v>3000</v>
      </c>
      <c r="DQ110" s="100">
        <v>3000.0</v>
      </c>
      <c r="DR110" s="93">
        <f t="shared" si="188"/>
        <v>0</v>
      </c>
      <c r="DS110" s="100">
        <v>0.0</v>
      </c>
      <c r="DT110" s="93">
        <f>DR110-DS110+10000</f>
        <v>10000</v>
      </c>
      <c r="DU110" s="100">
        <v>0.0</v>
      </c>
      <c r="DV110" s="93">
        <f t="shared" si="61"/>
        <v>10000</v>
      </c>
    </row>
    <row r="111">
      <c r="A111" s="7" t="s">
        <v>904</v>
      </c>
      <c r="B111" s="7" t="s">
        <v>905</v>
      </c>
      <c r="C111" s="76" t="str">
        <f t="array" ref="C111">_xlfn.XLOOKUP(A111,'Emp Master'!A:A,'Emp Master'!F:F)</f>
        <v>#N/A</v>
      </c>
      <c r="D111" s="76" t="str">
        <f t="array" ref="D111">_xlfn.XLOOKUP(A111,'Emp Master'!A:A,'Emp Master'!D:D)</f>
        <v>#N/A</v>
      </c>
      <c r="E111" s="76" t="str">
        <f t="shared" si="123"/>
        <v>#REF!</v>
      </c>
      <c r="F111" s="76"/>
      <c r="G111" s="79"/>
      <c r="H111" s="80"/>
      <c r="I111" s="79">
        <f t="shared" si="281"/>
        <v>0</v>
      </c>
      <c r="J111" s="80"/>
      <c r="K111" s="79">
        <f t="shared" si="282"/>
        <v>0</v>
      </c>
      <c r="L111" s="80"/>
      <c r="M111" s="79">
        <f t="shared" si="243"/>
        <v>0</v>
      </c>
      <c r="N111" s="80"/>
      <c r="O111" s="79">
        <f t="shared" si="298"/>
        <v>0</v>
      </c>
      <c r="P111" s="80"/>
      <c r="Q111" s="79">
        <f t="shared" si="283"/>
        <v>0</v>
      </c>
      <c r="R111" s="1"/>
      <c r="S111" s="79">
        <f t="shared" si="218"/>
        <v>0</v>
      </c>
      <c r="T111" s="1"/>
      <c r="U111" s="79">
        <f t="shared" si="219"/>
        <v>0</v>
      </c>
      <c r="V111" s="1"/>
      <c r="W111" s="79">
        <f t="shared" si="299"/>
        <v>0</v>
      </c>
      <c r="X111" s="1"/>
      <c r="Y111" s="79">
        <f t="shared" si="262"/>
        <v>0</v>
      </c>
      <c r="Z111" s="1"/>
      <c r="AA111" s="79">
        <f t="shared" si="244"/>
        <v>0</v>
      </c>
      <c r="AB111" s="1"/>
      <c r="AC111" s="79">
        <f t="shared" si="270"/>
        <v>0</v>
      </c>
      <c r="AD111" s="1"/>
      <c r="AE111" s="79">
        <f t="shared" si="271"/>
        <v>0</v>
      </c>
      <c r="AF111" s="1"/>
      <c r="AG111" s="79">
        <f t="shared" si="297"/>
        <v>0</v>
      </c>
      <c r="AH111" s="1"/>
      <c r="AI111" s="79">
        <f t="shared" si="284"/>
        <v>0</v>
      </c>
      <c r="AJ111" s="1"/>
      <c r="AK111" s="79">
        <f t="shared" si="272"/>
        <v>0</v>
      </c>
      <c r="AL111" s="1"/>
      <c r="AM111" s="79">
        <f t="shared" si="300"/>
        <v>0</v>
      </c>
      <c r="AN111" s="1"/>
      <c r="AO111" s="79">
        <f t="shared" si="285"/>
        <v>0</v>
      </c>
      <c r="AP111" s="1"/>
      <c r="AQ111" s="79">
        <f t="shared" si="301"/>
        <v>0</v>
      </c>
      <c r="AR111" s="1"/>
      <c r="AS111" s="79">
        <f t="shared" si="228"/>
        <v>0</v>
      </c>
      <c r="AT111" s="1"/>
      <c r="AU111" s="79">
        <f t="shared" si="229"/>
        <v>0</v>
      </c>
      <c r="AV111" s="1"/>
      <c r="AW111" s="79">
        <f t="shared" ref="AW111:AW114" si="307">AU111-AV111</f>
        <v>0</v>
      </c>
      <c r="AX111" s="1"/>
      <c r="AY111" s="79">
        <f t="shared" ref="AY111:AY114" si="308">AW111-AX111</f>
        <v>0</v>
      </c>
      <c r="AZ111" s="1"/>
      <c r="BA111" s="79">
        <f>AY111-AZ111+12000</f>
        <v>12000</v>
      </c>
      <c r="BB111" s="106">
        <v>3000.0</v>
      </c>
      <c r="BC111" s="79">
        <f t="shared" si="287"/>
        <v>9000</v>
      </c>
      <c r="BD111" s="106">
        <v>3000.0</v>
      </c>
      <c r="BE111" s="79">
        <f t="shared" si="247"/>
        <v>6000</v>
      </c>
      <c r="BF111" s="106">
        <v>3000.0</v>
      </c>
      <c r="BG111" s="79">
        <f t="shared" si="302"/>
        <v>3000</v>
      </c>
      <c r="BH111" s="106">
        <v>3000.0</v>
      </c>
      <c r="BI111" s="79">
        <f t="shared" ref="BI111:BI114" si="309">BG111-BH111</f>
        <v>0</v>
      </c>
      <c r="BJ111" s="1"/>
      <c r="BK111" s="79">
        <f>BI111-BJ111+12000</f>
        <v>12000</v>
      </c>
      <c r="BL111" s="106">
        <v>3000.0</v>
      </c>
      <c r="BM111" s="79">
        <f t="shared" si="288"/>
        <v>9000</v>
      </c>
      <c r="BN111" s="106">
        <v>3000.0</v>
      </c>
      <c r="BO111" s="79">
        <f t="shared" si="233"/>
        <v>6000</v>
      </c>
      <c r="BP111" s="106">
        <v>3000.0</v>
      </c>
      <c r="BQ111" s="79">
        <f t="shared" ref="BQ111:BQ113" si="310">BO111-BP111</f>
        <v>3000</v>
      </c>
      <c r="BR111" s="106">
        <v>3000.0</v>
      </c>
      <c r="BS111" s="79">
        <f>BQ111-BR111+7000</f>
        <v>7000</v>
      </c>
      <c r="BT111" s="106">
        <v>3000.0</v>
      </c>
      <c r="BU111" s="79">
        <f t="shared" si="289"/>
        <v>4000</v>
      </c>
      <c r="BV111" s="106">
        <v>3000.0</v>
      </c>
      <c r="BW111" s="79">
        <f t="shared" si="236"/>
        <v>1000</v>
      </c>
      <c r="BX111" s="106">
        <v>1000.0</v>
      </c>
      <c r="BY111" s="79">
        <f t="shared" si="267"/>
        <v>0</v>
      </c>
      <c r="BZ111" s="1"/>
      <c r="CA111" s="79">
        <f t="shared" ref="CA111:CA113" si="311">BY111-BZ111</f>
        <v>0</v>
      </c>
      <c r="CB111" s="1"/>
      <c r="CC111" s="79">
        <f t="shared" si="304"/>
        <v>0</v>
      </c>
      <c r="CD111" s="1"/>
      <c r="CE111" s="24">
        <v>9000.0</v>
      </c>
      <c r="CF111" s="106">
        <v>3000.0</v>
      </c>
      <c r="CG111" s="79">
        <f t="shared" ref="CG111:CG114" si="312">CE111-CF111</f>
        <v>6000</v>
      </c>
      <c r="CH111" s="106">
        <v>3000.0</v>
      </c>
      <c r="CI111" s="79">
        <f t="shared" si="295"/>
        <v>3000</v>
      </c>
      <c r="CJ111" s="106">
        <v>3000.0</v>
      </c>
      <c r="CK111" s="79">
        <f t="shared" si="169"/>
        <v>0</v>
      </c>
      <c r="CL111" s="106"/>
      <c r="CM111" s="79">
        <f>10000+CK111-CL111</f>
        <v>10000</v>
      </c>
      <c r="CN111" s="106">
        <v>2500.0</v>
      </c>
      <c r="CO111" s="79">
        <f t="shared" si="305"/>
        <v>7500</v>
      </c>
      <c r="CP111" s="106">
        <v>2500.0</v>
      </c>
      <c r="CQ111" s="79">
        <f t="shared" ref="CQ111:CQ116" si="313">CO111-CP111</f>
        <v>5000</v>
      </c>
      <c r="CR111" s="106">
        <v>2500.0</v>
      </c>
      <c r="CS111" s="79">
        <f t="shared" si="166"/>
        <v>2500</v>
      </c>
      <c r="CT111" s="24">
        <v>0.0</v>
      </c>
      <c r="CU111" s="79">
        <f t="shared" si="250"/>
        <v>2500</v>
      </c>
      <c r="CV111" s="24">
        <v>2500.0</v>
      </c>
      <c r="CW111" s="79">
        <f t="shared" si="251"/>
        <v>0</v>
      </c>
      <c r="CX111" s="24"/>
      <c r="CY111" s="91"/>
      <c r="CZ111" s="79">
        <f t="shared" si="296"/>
        <v>0</v>
      </c>
      <c r="DA111" s="93"/>
      <c r="DB111" s="93">
        <f t="shared" ref="DB111:DB121" si="314">CZ111-DA111</f>
        <v>0</v>
      </c>
      <c r="DC111" s="96"/>
      <c r="DD111" s="93">
        <f t="shared" si="254"/>
        <v>0</v>
      </c>
      <c r="DE111" s="96"/>
      <c r="DF111" s="93">
        <f t="shared" si="278"/>
        <v>0</v>
      </c>
      <c r="DG111" s="96"/>
      <c r="DH111" s="93">
        <f t="shared" si="293"/>
        <v>0</v>
      </c>
      <c r="DI111" s="96"/>
      <c r="DJ111" s="93">
        <f t="shared" ref="DJ111:DJ121" si="315">DH111-DI111</f>
        <v>0</v>
      </c>
      <c r="DK111" s="93"/>
      <c r="DL111" s="93">
        <f t="shared" si="261"/>
        <v>0</v>
      </c>
      <c r="DM111" s="100">
        <v>0.0</v>
      </c>
      <c r="DN111" s="93">
        <f t="shared" si="306"/>
        <v>0</v>
      </c>
      <c r="DO111" s="100">
        <v>0.0</v>
      </c>
      <c r="DP111" s="93">
        <f t="shared" si="294"/>
        <v>0</v>
      </c>
      <c r="DQ111" s="100">
        <v>0.0</v>
      </c>
      <c r="DR111" s="93">
        <f t="shared" si="188"/>
        <v>0</v>
      </c>
      <c r="DS111" s="100">
        <v>0.0</v>
      </c>
      <c r="DT111" s="93">
        <f t="shared" ref="DT111:DT126" si="316">DR111-DS111</f>
        <v>0</v>
      </c>
      <c r="DU111" s="100">
        <v>0.0</v>
      </c>
      <c r="DV111" s="93">
        <f t="shared" si="61"/>
        <v>0</v>
      </c>
    </row>
    <row r="112">
      <c r="A112" s="7" t="s">
        <v>403</v>
      </c>
      <c r="B112" s="7" t="s">
        <v>404</v>
      </c>
      <c r="C112" s="76" t="str">
        <f t="array" ref="C112">_xlfn.XLOOKUP(A112,'Emp Master'!A:A,'Emp Master'!F:F)</f>
        <v>SNP</v>
      </c>
      <c r="D112" s="76" t="str">
        <f t="array" ref="D112">_xlfn.XLOOKUP(A112,'Emp Master'!A:A,'Emp Master'!D:D)</f>
        <v>ACCOUNTS &amp; FINANCE</v>
      </c>
      <c r="E112" s="76" t="str">
        <f t="shared" si="123"/>
        <v>#REF!</v>
      </c>
      <c r="F112" s="76"/>
      <c r="G112" s="79"/>
      <c r="H112" s="80"/>
      <c r="I112" s="79">
        <f t="shared" si="281"/>
        <v>0</v>
      </c>
      <c r="J112" s="80"/>
      <c r="K112" s="79">
        <f t="shared" si="282"/>
        <v>0</v>
      </c>
      <c r="L112" s="80"/>
      <c r="M112" s="79">
        <f t="shared" si="243"/>
        <v>0</v>
      </c>
      <c r="N112" s="80"/>
      <c r="O112" s="79">
        <f t="shared" si="298"/>
        <v>0</v>
      </c>
      <c r="P112" s="80"/>
      <c r="Q112" s="79">
        <f t="shared" si="283"/>
        <v>0</v>
      </c>
      <c r="R112" s="1"/>
      <c r="S112" s="79">
        <f t="shared" si="218"/>
        <v>0</v>
      </c>
      <c r="T112" s="1"/>
      <c r="U112" s="79">
        <f t="shared" si="219"/>
        <v>0</v>
      </c>
      <c r="V112" s="1"/>
      <c r="W112" s="79">
        <f t="shared" si="299"/>
        <v>0</v>
      </c>
      <c r="X112" s="1"/>
      <c r="Y112" s="79">
        <f t="shared" si="262"/>
        <v>0</v>
      </c>
      <c r="Z112" s="1"/>
      <c r="AA112" s="79">
        <f t="shared" si="244"/>
        <v>0</v>
      </c>
      <c r="AB112" s="1"/>
      <c r="AC112" s="79">
        <f t="shared" si="270"/>
        <v>0</v>
      </c>
      <c r="AD112" s="1"/>
      <c r="AE112" s="79">
        <f t="shared" si="271"/>
        <v>0</v>
      </c>
      <c r="AF112" s="1"/>
      <c r="AG112" s="79">
        <f t="shared" si="297"/>
        <v>0</v>
      </c>
      <c r="AH112" s="1"/>
      <c r="AI112" s="79">
        <f t="shared" si="284"/>
        <v>0</v>
      </c>
      <c r="AJ112" s="1"/>
      <c r="AK112" s="79">
        <f t="shared" si="272"/>
        <v>0</v>
      </c>
      <c r="AL112" s="1"/>
      <c r="AM112" s="79">
        <f>AK112-AL112+40000</f>
        <v>40000</v>
      </c>
      <c r="AN112" s="106">
        <v>14520.0</v>
      </c>
      <c r="AO112" s="79">
        <f t="shared" si="285"/>
        <v>25480</v>
      </c>
      <c r="AP112" s="106">
        <v>5480.0</v>
      </c>
      <c r="AQ112" s="79">
        <f t="shared" si="301"/>
        <v>20000</v>
      </c>
      <c r="AR112" s="106">
        <v>5000.0</v>
      </c>
      <c r="AS112" s="79">
        <f t="shared" si="228"/>
        <v>15000</v>
      </c>
      <c r="AT112" s="1"/>
      <c r="AU112" s="79">
        <f t="shared" si="229"/>
        <v>15000</v>
      </c>
      <c r="AV112" s="106">
        <v>2500.0</v>
      </c>
      <c r="AW112" s="79">
        <f t="shared" si="307"/>
        <v>12500</v>
      </c>
      <c r="AX112" s="106">
        <v>2500.0</v>
      </c>
      <c r="AY112" s="79">
        <f t="shared" si="308"/>
        <v>10000</v>
      </c>
      <c r="AZ112" s="106">
        <v>2500.0</v>
      </c>
      <c r="BA112" s="79">
        <f t="shared" ref="BA112:BA114" si="317">AY112-AZ112</f>
        <v>7500</v>
      </c>
      <c r="BB112" s="106">
        <v>2500.0</v>
      </c>
      <c r="BC112" s="79">
        <f t="shared" si="287"/>
        <v>5000</v>
      </c>
      <c r="BD112" s="106">
        <v>0.0</v>
      </c>
      <c r="BE112" s="79">
        <f t="shared" si="247"/>
        <v>5000</v>
      </c>
      <c r="BF112" s="106">
        <v>5000.0</v>
      </c>
      <c r="BG112" s="79">
        <f t="shared" si="302"/>
        <v>0</v>
      </c>
      <c r="BH112" s="1"/>
      <c r="BI112" s="79">
        <f t="shared" si="309"/>
        <v>0</v>
      </c>
      <c r="BJ112" s="1"/>
      <c r="BK112" s="79">
        <f t="shared" ref="BK112:BK114" si="318">BI112-BJ112</f>
        <v>0</v>
      </c>
      <c r="BL112" s="1"/>
      <c r="BM112" s="79">
        <f t="shared" si="288"/>
        <v>0</v>
      </c>
      <c r="BN112" s="1"/>
      <c r="BO112" s="79">
        <f t="shared" si="233"/>
        <v>0</v>
      </c>
      <c r="BP112" s="1"/>
      <c r="BQ112" s="79">
        <f t="shared" si="310"/>
        <v>0</v>
      </c>
      <c r="BR112" s="1"/>
      <c r="BS112" s="79">
        <f t="shared" ref="BS112:BS114" si="319">BQ112-BR112</f>
        <v>0</v>
      </c>
      <c r="BT112" s="1"/>
      <c r="BU112" s="79">
        <f t="shared" si="289"/>
        <v>0</v>
      </c>
      <c r="BV112" s="1"/>
      <c r="BW112" s="79">
        <f t="shared" si="236"/>
        <v>0</v>
      </c>
      <c r="BX112" s="1"/>
      <c r="BY112" s="79">
        <f t="shared" si="267"/>
        <v>0</v>
      </c>
      <c r="BZ112" s="1"/>
      <c r="CA112" s="79">
        <f t="shared" si="311"/>
        <v>0</v>
      </c>
      <c r="CB112" s="1"/>
      <c r="CC112" s="79">
        <f t="shared" si="304"/>
        <v>0</v>
      </c>
      <c r="CD112" s="1"/>
      <c r="CE112" s="79">
        <f t="shared" ref="CE112:CE114" si="320">CC112-CD112</f>
        <v>0</v>
      </c>
      <c r="CF112" s="1"/>
      <c r="CG112" s="79">
        <f t="shared" si="312"/>
        <v>0</v>
      </c>
      <c r="CH112" s="1"/>
      <c r="CI112" s="79">
        <f t="shared" si="295"/>
        <v>0</v>
      </c>
      <c r="CJ112" s="1"/>
      <c r="CK112" s="79">
        <f t="shared" si="169"/>
        <v>0</v>
      </c>
      <c r="CL112" s="1"/>
      <c r="CM112" s="79">
        <f t="shared" ref="CM112:CM114" si="321">CK112-CL112</f>
        <v>0</v>
      </c>
      <c r="CN112" s="1"/>
      <c r="CO112" s="79">
        <f t="shared" si="305"/>
        <v>0</v>
      </c>
      <c r="CP112" s="1"/>
      <c r="CQ112" s="79">
        <f t="shared" si="313"/>
        <v>0</v>
      </c>
      <c r="CR112" s="1"/>
      <c r="CS112" s="79">
        <f t="shared" si="166"/>
        <v>0</v>
      </c>
      <c r="CT112" s="79"/>
      <c r="CU112" s="79">
        <f t="shared" si="250"/>
        <v>0</v>
      </c>
      <c r="CV112" s="79"/>
      <c r="CW112" s="79">
        <f t="shared" si="251"/>
        <v>0</v>
      </c>
      <c r="CX112" s="79"/>
      <c r="CY112" s="91"/>
      <c r="CZ112" s="79">
        <f t="shared" si="296"/>
        <v>0</v>
      </c>
      <c r="DA112" s="93"/>
      <c r="DB112" s="93">
        <f t="shared" si="314"/>
        <v>0</v>
      </c>
      <c r="DC112" s="96"/>
      <c r="DD112" s="93">
        <f t="shared" si="254"/>
        <v>0</v>
      </c>
      <c r="DE112" s="96"/>
      <c r="DF112" s="93">
        <f t="shared" si="278"/>
        <v>0</v>
      </c>
      <c r="DG112" s="96"/>
      <c r="DH112" s="93">
        <f t="shared" si="293"/>
        <v>0</v>
      </c>
      <c r="DI112" s="96"/>
      <c r="DJ112" s="93">
        <f t="shared" si="315"/>
        <v>0</v>
      </c>
      <c r="DK112" s="93"/>
      <c r="DL112" s="93">
        <f t="shared" si="261"/>
        <v>0</v>
      </c>
      <c r="DM112" s="100">
        <v>0.0</v>
      </c>
      <c r="DN112" s="93">
        <f t="shared" si="306"/>
        <v>0</v>
      </c>
      <c r="DO112" s="100">
        <v>0.0</v>
      </c>
      <c r="DP112" s="93">
        <f t="shared" si="294"/>
        <v>0</v>
      </c>
      <c r="DQ112" s="100">
        <v>0.0</v>
      </c>
      <c r="DR112" s="93">
        <f t="shared" si="188"/>
        <v>0</v>
      </c>
      <c r="DS112" s="100">
        <v>0.0</v>
      </c>
      <c r="DT112" s="93">
        <f t="shared" si="316"/>
        <v>0</v>
      </c>
      <c r="DU112" s="100">
        <v>0.0</v>
      </c>
      <c r="DV112" s="93">
        <f t="shared" si="61"/>
        <v>0</v>
      </c>
    </row>
    <row r="113">
      <c r="A113" s="7" t="s">
        <v>408</v>
      </c>
      <c r="B113" s="7" t="s">
        <v>409</v>
      </c>
      <c r="C113" s="76" t="str">
        <f t="array" ref="C113">_xlfn.XLOOKUP(A113,'Emp Master'!A:A,'Emp Master'!F:F)</f>
        <v>MUM</v>
      </c>
      <c r="D113" s="76" t="str">
        <f t="array" ref="D113">_xlfn.XLOOKUP(A113,'Emp Master'!A:A,'Emp Master'!D:D)</f>
        <v>Cutting</v>
      </c>
      <c r="E113" s="76" t="str">
        <f t="shared" si="123"/>
        <v>#REF!</v>
      </c>
      <c r="F113" s="76"/>
      <c r="G113" s="79"/>
      <c r="H113" s="80"/>
      <c r="I113" s="79">
        <f t="shared" si="281"/>
        <v>0</v>
      </c>
      <c r="J113" s="80"/>
      <c r="K113" s="79">
        <f t="shared" si="282"/>
        <v>0</v>
      </c>
      <c r="L113" s="80"/>
      <c r="M113" s="79">
        <f t="shared" si="243"/>
        <v>0</v>
      </c>
      <c r="N113" s="80"/>
      <c r="O113" s="79">
        <f t="shared" si="298"/>
        <v>0</v>
      </c>
      <c r="P113" s="80"/>
      <c r="Q113" s="79">
        <f t="shared" si="283"/>
        <v>0</v>
      </c>
      <c r="R113" s="1"/>
      <c r="S113" s="79">
        <f t="shared" si="218"/>
        <v>0</v>
      </c>
      <c r="T113" s="1"/>
      <c r="U113" s="79">
        <f t="shared" si="219"/>
        <v>0</v>
      </c>
      <c r="V113" s="1"/>
      <c r="W113" s="79">
        <f t="shared" si="299"/>
        <v>0</v>
      </c>
      <c r="X113" s="1"/>
      <c r="Y113" s="79">
        <f t="shared" si="262"/>
        <v>0</v>
      </c>
      <c r="Z113" s="1"/>
      <c r="AA113" s="79">
        <f t="shared" si="244"/>
        <v>0</v>
      </c>
      <c r="AB113" s="1"/>
      <c r="AC113" s="79">
        <f t="shared" si="270"/>
        <v>0</v>
      </c>
      <c r="AD113" s="1"/>
      <c r="AE113" s="79">
        <f t="shared" si="271"/>
        <v>0</v>
      </c>
      <c r="AF113" s="1"/>
      <c r="AG113" s="79">
        <f t="shared" si="297"/>
        <v>0</v>
      </c>
      <c r="AH113" s="1"/>
      <c r="AI113" s="79">
        <f t="shared" si="284"/>
        <v>0</v>
      </c>
      <c r="AJ113" s="1"/>
      <c r="AK113" s="79">
        <f t="shared" si="272"/>
        <v>0</v>
      </c>
      <c r="AL113" s="1"/>
      <c r="AM113" s="79">
        <f t="shared" ref="AM113:AM114" si="322">AK113-AL113</f>
        <v>0</v>
      </c>
      <c r="AN113" s="1"/>
      <c r="AO113" s="79">
        <f t="shared" si="285"/>
        <v>0</v>
      </c>
      <c r="AP113" s="1"/>
      <c r="AQ113" s="79">
        <f t="shared" si="301"/>
        <v>0</v>
      </c>
      <c r="AR113" s="1"/>
      <c r="AS113" s="79">
        <f t="shared" si="228"/>
        <v>0</v>
      </c>
      <c r="AT113" s="1"/>
      <c r="AU113" s="79">
        <f t="shared" si="229"/>
        <v>0</v>
      </c>
      <c r="AV113" s="1"/>
      <c r="AW113" s="79">
        <f t="shared" si="307"/>
        <v>0</v>
      </c>
      <c r="AX113" s="1"/>
      <c r="AY113" s="79">
        <f t="shared" si="308"/>
        <v>0</v>
      </c>
      <c r="AZ113" s="1"/>
      <c r="BA113" s="79">
        <f t="shared" si="317"/>
        <v>0</v>
      </c>
      <c r="BB113" s="1"/>
      <c r="BC113" s="79">
        <f t="shared" si="287"/>
        <v>0</v>
      </c>
      <c r="BD113" s="1"/>
      <c r="BE113" s="79">
        <f t="shared" si="247"/>
        <v>0</v>
      </c>
      <c r="BF113" s="1"/>
      <c r="BG113" s="79">
        <f t="shared" si="302"/>
        <v>0</v>
      </c>
      <c r="BH113" s="1"/>
      <c r="BI113" s="79">
        <f t="shared" si="309"/>
        <v>0</v>
      </c>
      <c r="BJ113" s="1"/>
      <c r="BK113" s="79">
        <f t="shared" si="318"/>
        <v>0</v>
      </c>
      <c r="BL113" s="1"/>
      <c r="BM113" s="79">
        <f t="shared" si="288"/>
        <v>0</v>
      </c>
      <c r="BN113" s="1"/>
      <c r="BO113" s="79">
        <f t="shared" si="233"/>
        <v>0</v>
      </c>
      <c r="BP113" s="1"/>
      <c r="BQ113" s="79">
        <f t="shared" si="310"/>
        <v>0</v>
      </c>
      <c r="BR113" s="1"/>
      <c r="BS113" s="79">
        <f t="shared" si="319"/>
        <v>0</v>
      </c>
      <c r="BT113" s="1"/>
      <c r="BU113" s="79">
        <f t="shared" si="289"/>
        <v>0</v>
      </c>
      <c r="BV113" s="1"/>
      <c r="BW113" s="79">
        <f t="shared" si="236"/>
        <v>0</v>
      </c>
      <c r="BX113" s="1"/>
      <c r="BY113" s="79">
        <f t="shared" si="267"/>
        <v>0</v>
      </c>
      <c r="BZ113" s="1"/>
      <c r="CA113" s="79">
        <f t="shared" si="311"/>
        <v>0</v>
      </c>
      <c r="CB113" s="1"/>
      <c r="CC113" s="79">
        <f t="shared" si="304"/>
        <v>0</v>
      </c>
      <c r="CD113" s="1"/>
      <c r="CE113" s="79">
        <f t="shared" si="320"/>
        <v>0</v>
      </c>
      <c r="CF113" s="1"/>
      <c r="CG113" s="79">
        <f t="shared" si="312"/>
        <v>0</v>
      </c>
      <c r="CH113" s="1"/>
      <c r="CI113" s="79">
        <f t="shared" si="295"/>
        <v>0</v>
      </c>
      <c r="CJ113" s="1"/>
      <c r="CK113" s="79">
        <f t="shared" si="169"/>
        <v>0</v>
      </c>
      <c r="CL113" s="1"/>
      <c r="CM113" s="79">
        <f t="shared" si="321"/>
        <v>0</v>
      </c>
      <c r="CN113" s="1"/>
      <c r="CO113" s="79">
        <f t="shared" si="305"/>
        <v>0</v>
      </c>
      <c r="CP113" s="1"/>
      <c r="CQ113" s="79">
        <f t="shared" si="313"/>
        <v>0</v>
      </c>
      <c r="CR113" s="1"/>
      <c r="CS113" s="79">
        <f t="shared" si="166"/>
        <v>0</v>
      </c>
      <c r="CT113" s="79"/>
      <c r="CU113" s="79">
        <f t="shared" si="250"/>
        <v>0</v>
      </c>
      <c r="CV113" s="79"/>
      <c r="CW113" s="79">
        <f t="shared" si="251"/>
        <v>0</v>
      </c>
      <c r="CX113" s="79"/>
      <c r="CY113" s="91"/>
      <c r="CZ113" s="79">
        <f t="shared" si="296"/>
        <v>0</v>
      </c>
      <c r="DA113" s="93"/>
      <c r="DB113" s="93">
        <f t="shared" si="314"/>
        <v>0</v>
      </c>
      <c r="DC113" s="96"/>
      <c r="DD113" s="93">
        <f t="shared" si="254"/>
        <v>0</v>
      </c>
      <c r="DE113" s="96"/>
      <c r="DF113" s="93">
        <f t="shared" si="278"/>
        <v>0</v>
      </c>
      <c r="DG113" s="96"/>
      <c r="DH113" s="93">
        <f t="shared" si="293"/>
        <v>0</v>
      </c>
      <c r="DI113" s="96"/>
      <c r="DJ113" s="93">
        <f t="shared" si="315"/>
        <v>0</v>
      </c>
      <c r="DK113" s="93"/>
      <c r="DL113" s="93">
        <f t="shared" si="261"/>
        <v>0</v>
      </c>
      <c r="DM113" s="100">
        <v>0.0</v>
      </c>
      <c r="DN113" s="93">
        <f t="shared" si="306"/>
        <v>0</v>
      </c>
      <c r="DO113" s="100">
        <v>0.0</v>
      </c>
      <c r="DP113" s="93">
        <f t="shared" si="294"/>
        <v>0</v>
      </c>
      <c r="DQ113" s="100">
        <v>0.0</v>
      </c>
      <c r="DR113" s="93">
        <f t="shared" si="188"/>
        <v>0</v>
      </c>
      <c r="DS113" s="100">
        <v>0.0</v>
      </c>
      <c r="DT113" s="93">
        <f t="shared" si="316"/>
        <v>0</v>
      </c>
      <c r="DU113" s="100">
        <v>0.0</v>
      </c>
      <c r="DV113" s="93">
        <f t="shared" si="61"/>
        <v>0</v>
      </c>
    </row>
    <row r="114">
      <c r="A114" s="7" t="s">
        <v>410</v>
      </c>
      <c r="B114" s="7" t="s">
        <v>411</v>
      </c>
      <c r="C114" s="76" t="str">
        <f t="array" ref="C114">_xlfn.XLOOKUP(A114,'Emp Master'!A:A,'Emp Master'!F:F)</f>
        <v>SNP</v>
      </c>
      <c r="D114" s="76" t="str">
        <f t="array" ref="D114">_xlfn.XLOOKUP(A114,'Emp Master'!A:A,'Emp Master'!D:D)</f>
        <v>Machining</v>
      </c>
      <c r="E114" s="76" t="str">
        <f t="shared" si="123"/>
        <v>#REF!</v>
      </c>
      <c r="F114" s="76">
        <v>2000.0</v>
      </c>
      <c r="G114" s="79">
        <v>3000.0</v>
      </c>
      <c r="H114" s="80">
        <v>2000.0</v>
      </c>
      <c r="I114" s="79">
        <f t="shared" si="281"/>
        <v>1000</v>
      </c>
      <c r="J114" s="126">
        <v>1000.0</v>
      </c>
      <c r="K114" s="79">
        <f t="shared" si="282"/>
        <v>0</v>
      </c>
      <c r="L114" s="80"/>
      <c r="M114" s="79">
        <f t="shared" si="243"/>
        <v>0</v>
      </c>
      <c r="N114" s="80"/>
      <c r="O114" s="79">
        <f t="shared" si="298"/>
        <v>0</v>
      </c>
      <c r="P114" s="80"/>
      <c r="Q114" s="79">
        <f t="shared" si="283"/>
        <v>0</v>
      </c>
      <c r="R114" s="1"/>
      <c r="S114" s="79">
        <f t="shared" si="218"/>
        <v>0</v>
      </c>
      <c r="T114" s="1"/>
      <c r="U114" s="79">
        <f t="shared" si="219"/>
        <v>0</v>
      </c>
      <c r="V114" s="1"/>
      <c r="W114" s="79">
        <f t="shared" si="299"/>
        <v>0</v>
      </c>
      <c r="X114" s="1"/>
      <c r="Y114" s="79">
        <f t="shared" si="262"/>
        <v>0</v>
      </c>
      <c r="Z114" s="1"/>
      <c r="AA114" s="79">
        <f t="shared" si="244"/>
        <v>0</v>
      </c>
      <c r="AB114" s="1"/>
      <c r="AC114" s="79">
        <f t="shared" si="270"/>
        <v>0</v>
      </c>
      <c r="AD114" s="1"/>
      <c r="AE114" s="79">
        <f t="shared" si="271"/>
        <v>0</v>
      </c>
      <c r="AF114" s="1"/>
      <c r="AG114" s="79">
        <f t="shared" si="297"/>
        <v>0</v>
      </c>
      <c r="AH114" s="1"/>
      <c r="AI114" s="79">
        <f t="shared" si="284"/>
        <v>0</v>
      </c>
      <c r="AJ114" s="1"/>
      <c r="AK114" s="79">
        <f t="shared" si="272"/>
        <v>0</v>
      </c>
      <c r="AL114" s="1"/>
      <c r="AM114" s="79">
        <f t="shared" si="322"/>
        <v>0</v>
      </c>
      <c r="AN114" s="1"/>
      <c r="AO114" s="79">
        <f t="shared" si="285"/>
        <v>0</v>
      </c>
      <c r="AP114" s="1"/>
      <c r="AQ114" s="79">
        <f t="shared" si="301"/>
        <v>0</v>
      </c>
      <c r="AR114" s="1"/>
      <c r="AS114" s="79">
        <f>AQ114-AR114+30000</f>
        <v>30000</v>
      </c>
      <c r="AT114" s="1"/>
      <c r="AU114" s="79">
        <f t="shared" si="229"/>
        <v>30000</v>
      </c>
      <c r="AV114" s="106">
        <v>10000.0</v>
      </c>
      <c r="AW114" s="79">
        <f t="shared" si="307"/>
        <v>20000</v>
      </c>
      <c r="AX114" s="106">
        <v>9000.0</v>
      </c>
      <c r="AY114" s="79">
        <f t="shared" si="308"/>
        <v>11000</v>
      </c>
      <c r="AZ114" s="106">
        <v>9000.0</v>
      </c>
      <c r="BA114" s="79">
        <f t="shared" si="317"/>
        <v>2000</v>
      </c>
      <c r="BB114" s="1"/>
      <c r="BC114" s="79">
        <f t="shared" si="287"/>
        <v>2000</v>
      </c>
      <c r="BD114" s="106">
        <v>2000.0</v>
      </c>
      <c r="BE114" s="79">
        <f t="shared" si="247"/>
        <v>0</v>
      </c>
      <c r="BF114" s="1"/>
      <c r="BG114" s="79">
        <f t="shared" si="302"/>
        <v>0</v>
      </c>
      <c r="BH114" s="1"/>
      <c r="BI114" s="79">
        <f t="shared" si="309"/>
        <v>0</v>
      </c>
      <c r="BJ114" s="1"/>
      <c r="BK114" s="79">
        <f t="shared" si="318"/>
        <v>0</v>
      </c>
      <c r="BL114" s="1"/>
      <c r="BM114" s="79">
        <f t="shared" si="288"/>
        <v>0</v>
      </c>
      <c r="BN114" s="1"/>
      <c r="BO114" s="79">
        <f t="shared" si="233"/>
        <v>0</v>
      </c>
      <c r="BP114" s="1"/>
      <c r="BQ114" s="79">
        <f>BO114-BP114+12000</f>
        <v>12000</v>
      </c>
      <c r="BR114" s="106">
        <f>2000</f>
        <v>2000</v>
      </c>
      <c r="BS114" s="79">
        <f t="shared" si="319"/>
        <v>10000</v>
      </c>
      <c r="BT114" s="106">
        <v>3000.0</v>
      </c>
      <c r="BU114" s="79">
        <f>BS114-BT114+30000</f>
        <v>37000</v>
      </c>
      <c r="BV114" s="106">
        <v>33000.0</v>
      </c>
      <c r="BW114" s="79">
        <f t="shared" si="236"/>
        <v>4000</v>
      </c>
      <c r="BX114" s="1"/>
      <c r="BY114" s="79">
        <f t="shared" si="267"/>
        <v>4000</v>
      </c>
      <c r="BZ114" s="106">
        <v>1000.0</v>
      </c>
      <c r="CA114" s="80">
        <f>BY114-BZ114-3000</f>
        <v>0</v>
      </c>
      <c r="CB114" s="1"/>
      <c r="CC114" s="24">
        <v>100.0</v>
      </c>
      <c r="CD114" s="106">
        <v>100.0</v>
      </c>
      <c r="CE114" s="79">
        <f t="shared" si="320"/>
        <v>0</v>
      </c>
      <c r="CF114" s="1"/>
      <c r="CG114" s="79">
        <f t="shared" si="312"/>
        <v>0</v>
      </c>
      <c r="CH114" s="1"/>
      <c r="CI114" s="79">
        <f t="shared" si="295"/>
        <v>0</v>
      </c>
      <c r="CJ114" s="1"/>
      <c r="CK114" s="79">
        <f t="shared" si="169"/>
        <v>0</v>
      </c>
      <c r="CL114" s="1"/>
      <c r="CM114" s="79">
        <f t="shared" si="321"/>
        <v>0</v>
      </c>
      <c r="CN114" s="1"/>
      <c r="CO114" s="79">
        <f t="shared" si="305"/>
        <v>0</v>
      </c>
      <c r="CP114" s="1"/>
      <c r="CQ114" s="79">
        <f t="shared" si="313"/>
        <v>0</v>
      </c>
      <c r="CR114" s="1"/>
      <c r="CS114" s="79">
        <f t="shared" si="166"/>
        <v>0</v>
      </c>
      <c r="CT114" s="79"/>
      <c r="CU114" s="79">
        <f>CS114-CT114+10000</f>
        <v>10000</v>
      </c>
      <c r="CV114" s="79"/>
      <c r="CW114" s="79">
        <f t="shared" si="251"/>
        <v>10000</v>
      </c>
      <c r="CX114" s="24">
        <v>3300.0</v>
      </c>
      <c r="CY114" s="91">
        <v>6700.0</v>
      </c>
      <c r="CZ114" s="79">
        <f>CW114-CX114-CY114</f>
        <v>0</v>
      </c>
      <c r="DA114" s="93"/>
      <c r="DB114" s="93">
        <f t="shared" si="314"/>
        <v>0</v>
      </c>
      <c r="DC114" s="96"/>
      <c r="DD114" s="93">
        <f>DB114-DC114+5000</f>
        <v>5000</v>
      </c>
      <c r="DE114" s="178">
        <v>2500.0</v>
      </c>
      <c r="DF114" s="93">
        <f t="shared" si="278"/>
        <v>2500</v>
      </c>
      <c r="DG114" s="178">
        <v>2500.0</v>
      </c>
      <c r="DH114" s="93">
        <f t="shared" si="293"/>
        <v>0</v>
      </c>
      <c r="DI114" s="178"/>
      <c r="DJ114" s="93">
        <f t="shared" si="315"/>
        <v>0</v>
      </c>
      <c r="DK114" s="93"/>
      <c r="DL114" s="100">
        <v>35000.0</v>
      </c>
      <c r="DM114" s="100">
        <v>35000.0</v>
      </c>
      <c r="DN114" s="93">
        <f t="shared" si="306"/>
        <v>0</v>
      </c>
      <c r="DO114" s="100">
        <v>0.0</v>
      </c>
      <c r="DP114" s="93">
        <f t="shared" si="294"/>
        <v>0</v>
      </c>
      <c r="DQ114" s="100">
        <v>0.0</v>
      </c>
      <c r="DR114" s="93">
        <f t="shared" si="188"/>
        <v>0</v>
      </c>
      <c r="DS114" s="100">
        <v>0.0</v>
      </c>
      <c r="DT114" s="93">
        <f t="shared" si="316"/>
        <v>0</v>
      </c>
      <c r="DU114" s="100">
        <v>0.0</v>
      </c>
      <c r="DV114" s="93">
        <f t="shared" si="61"/>
        <v>0</v>
      </c>
    </row>
    <row r="115">
      <c r="CO115" s="79">
        <f t="shared" si="305"/>
        <v>0</v>
      </c>
      <c r="CQ115" s="79">
        <f t="shared" si="313"/>
        <v>0</v>
      </c>
      <c r="CR115" s="1"/>
      <c r="CS115" s="79">
        <f t="shared" si="166"/>
        <v>0</v>
      </c>
      <c r="CT115" s="79"/>
      <c r="CU115" s="79">
        <f t="shared" ref="CU115:CU142" si="323">CS115-CT115</f>
        <v>0</v>
      </c>
      <c r="CV115" s="79"/>
      <c r="CW115" s="79">
        <f t="shared" si="251"/>
        <v>0</v>
      </c>
      <c r="CX115" s="79"/>
      <c r="CY115" s="91"/>
      <c r="CZ115" s="79">
        <f t="shared" ref="CZ115:CZ116" si="324">CW115-CX115</f>
        <v>0</v>
      </c>
      <c r="DA115" s="93"/>
      <c r="DB115" s="93">
        <f t="shared" si="314"/>
        <v>0</v>
      </c>
      <c r="DC115" s="96"/>
      <c r="DD115" s="93">
        <f t="shared" ref="DD115:DD117" si="325">DB115-DC115</f>
        <v>0</v>
      </c>
      <c r="DE115" s="96"/>
      <c r="DF115" s="93">
        <f t="shared" si="278"/>
        <v>0</v>
      </c>
      <c r="DG115" s="96"/>
      <c r="DH115" s="93">
        <f t="shared" si="293"/>
        <v>0</v>
      </c>
      <c r="DI115" s="96"/>
      <c r="DJ115" s="93">
        <f t="shared" si="315"/>
        <v>0</v>
      </c>
      <c r="DK115" s="93"/>
      <c r="DL115" s="93">
        <f>DJ115-DK115</f>
        <v>0</v>
      </c>
      <c r="DM115" s="100">
        <v>0.0</v>
      </c>
      <c r="DN115" s="93">
        <f t="shared" si="306"/>
        <v>0</v>
      </c>
      <c r="DO115" s="100">
        <v>0.0</v>
      </c>
      <c r="DP115" s="93">
        <f t="shared" si="294"/>
        <v>0</v>
      </c>
      <c r="DQ115" s="100">
        <v>0.0</v>
      </c>
      <c r="DR115" s="93">
        <f t="shared" si="188"/>
        <v>0</v>
      </c>
      <c r="DS115" s="100">
        <v>0.0</v>
      </c>
      <c r="DT115" s="93">
        <f t="shared" si="316"/>
        <v>0</v>
      </c>
      <c r="DU115" s="100">
        <v>0.0</v>
      </c>
      <c r="DV115" s="93">
        <f t="shared" si="61"/>
        <v>0</v>
      </c>
    </row>
    <row r="116">
      <c r="A116" s="7" t="s">
        <v>415</v>
      </c>
      <c r="B116" s="7" t="s">
        <v>416</v>
      </c>
      <c r="C116" s="76" t="str">
        <f t="array" ref="C116">_xlfn.XLOOKUP(A116,'Emp Master'!A:A,'Emp Master'!F:F)</f>
        <v>SNP</v>
      </c>
      <c r="D116" s="76" t="str">
        <f t="array" ref="D116">_xlfn.XLOOKUP(A116,'Emp Master'!A:A,'Emp Master'!D:D)</f>
        <v>Cutting</v>
      </c>
      <c r="E116" s="76" t="str">
        <f t="shared" ref="E116:E251" si="326">_xlfn.XLOOKUP(A116,INDIRECT($D$1),INDIRECT($E$1),0)</f>
        <v>#REF!</v>
      </c>
      <c r="F116" s="76">
        <v>2000.0</v>
      </c>
      <c r="G116" s="79">
        <v>12000.0</v>
      </c>
      <c r="H116" s="80">
        <v>2000.0</v>
      </c>
      <c r="I116" s="79">
        <f>G116-H116</f>
        <v>10000</v>
      </c>
      <c r="J116" s="126">
        <v>0.0</v>
      </c>
      <c r="K116" s="79">
        <f>I116-J116</f>
        <v>10000</v>
      </c>
      <c r="L116" s="126">
        <v>0.0</v>
      </c>
      <c r="M116" s="79">
        <f>K116-L116</f>
        <v>10000</v>
      </c>
      <c r="N116" s="80">
        <v>2000.0</v>
      </c>
      <c r="O116" s="79">
        <f>M116-N116</f>
        <v>8000</v>
      </c>
      <c r="P116" s="80">
        <v>2000.0</v>
      </c>
      <c r="Q116" s="79">
        <f>O116-P116</f>
        <v>6000</v>
      </c>
      <c r="R116" s="106">
        <v>2000.0</v>
      </c>
      <c r="S116" s="79">
        <f>Q116-R116</f>
        <v>4000</v>
      </c>
      <c r="T116" s="106">
        <v>2000.0</v>
      </c>
      <c r="U116" s="79">
        <f>S116-T116</f>
        <v>2000</v>
      </c>
      <c r="V116" s="106">
        <v>2000.0</v>
      </c>
      <c r="W116" s="79">
        <f>U116-V116</f>
        <v>0</v>
      </c>
      <c r="X116" s="1"/>
      <c r="Y116" s="79">
        <f>W116-X116</f>
        <v>0</v>
      </c>
      <c r="Z116" s="1"/>
      <c r="AA116" s="79">
        <f>Y116-Z116</f>
        <v>0</v>
      </c>
      <c r="AB116" s="1"/>
      <c r="AC116" s="79">
        <f>AA116-AB116</f>
        <v>0</v>
      </c>
      <c r="AD116" s="1"/>
      <c r="AE116" s="79">
        <f>AC116-AD116</f>
        <v>0</v>
      </c>
      <c r="AF116" s="1"/>
      <c r="AG116" s="79">
        <f>AE116-AF116</f>
        <v>0</v>
      </c>
      <c r="AH116" s="1"/>
      <c r="AI116" s="79">
        <f>AG116-AH116</f>
        <v>0</v>
      </c>
      <c r="AJ116" s="1"/>
      <c r="AK116" s="79">
        <f>AI116-AJ116</f>
        <v>0</v>
      </c>
      <c r="AL116" s="1"/>
      <c r="AM116" s="79">
        <f>AK116-AL116</f>
        <v>0</v>
      </c>
      <c r="AN116" s="1"/>
      <c r="AO116" s="79">
        <f>AM116-AN116</f>
        <v>0</v>
      </c>
      <c r="AP116" s="1"/>
      <c r="AQ116" s="79">
        <f>AO116-AP116</f>
        <v>0</v>
      </c>
      <c r="AR116" s="1"/>
      <c r="AS116" s="79">
        <f>AQ116-AR116</f>
        <v>0</v>
      </c>
      <c r="AT116" s="1"/>
      <c r="AU116" s="79">
        <f>AS116-AT116+5000</f>
        <v>5000</v>
      </c>
      <c r="AV116" s="1"/>
      <c r="AW116" s="79">
        <f>AU116-AV116</f>
        <v>5000</v>
      </c>
      <c r="AX116" s="106">
        <v>2000.0</v>
      </c>
      <c r="AY116" s="79">
        <f t="shared" ref="AY116:AY124" si="327">AW116-AX116</f>
        <v>3000</v>
      </c>
      <c r="AZ116" s="106">
        <v>3000.0</v>
      </c>
      <c r="BA116" s="79">
        <f t="shared" ref="BA116:BA124" si="328">AY116-AZ116</f>
        <v>0</v>
      </c>
      <c r="BB116" s="1"/>
      <c r="BC116" s="79">
        <f t="shared" ref="BC116:BC117" si="329">BA116-BB116</f>
        <v>0</v>
      </c>
      <c r="BD116" s="1"/>
      <c r="BE116" s="79">
        <f t="shared" ref="BE116:BE124" si="330">BC116-BD116</f>
        <v>0</v>
      </c>
      <c r="BF116" s="1"/>
      <c r="BG116" s="79">
        <f t="shared" ref="BG116:BG121" si="331">BE116-BF116</f>
        <v>0</v>
      </c>
      <c r="BH116" s="1"/>
      <c r="BI116" s="79">
        <f t="shared" ref="BI116:BI117" si="332">BG116-BH116</f>
        <v>0</v>
      </c>
      <c r="BJ116" s="1"/>
      <c r="BK116" s="79">
        <f>BI116-BJ116</f>
        <v>0</v>
      </c>
      <c r="BL116" s="1"/>
      <c r="BM116" s="79">
        <f>BK116-BL116</f>
        <v>0</v>
      </c>
      <c r="BN116" s="1"/>
      <c r="BO116" s="79">
        <f>BM116-BN116</f>
        <v>0</v>
      </c>
      <c r="BP116" s="1"/>
      <c r="BQ116" s="79">
        <f>BO116-BP116</f>
        <v>0</v>
      </c>
      <c r="BR116" s="1"/>
      <c r="BS116" s="79">
        <f>BQ116-BR116</f>
        <v>0</v>
      </c>
      <c r="BT116" s="1"/>
      <c r="BU116" s="79">
        <f t="shared" ref="BU116:BU128" si="333">BS116-BT116</f>
        <v>0</v>
      </c>
      <c r="BV116" s="1"/>
      <c r="BW116" s="79">
        <f t="shared" ref="BW116:BW151" si="334">BU116-BV116</f>
        <v>0</v>
      </c>
      <c r="BX116" s="1"/>
      <c r="BY116" s="79">
        <f t="shared" ref="BY116:BY144" si="335">BW116-BX116</f>
        <v>0</v>
      </c>
      <c r="BZ116" s="1"/>
      <c r="CA116" s="79">
        <f t="shared" ref="CA116:CA149" si="336">BY116-BZ116</f>
        <v>0</v>
      </c>
      <c r="CB116" s="1"/>
      <c r="CC116" s="79">
        <f>7000+(CA116-CB116)</f>
        <v>7000</v>
      </c>
      <c r="CD116" s="106">
        <v>7000.0</v>
      </c>
      <c r="CE116" s="79">
        <f t="shared" ref="CE116:CE128" si="337">CC116-CD116</f>
        <v>0</v>
      </c>
      <c r="CF116" s="1"/>
      <c r="CG116" s="79">
        <f t="shared" ref="CG116:CG132" si="338">CE116-CF116</f>
        <v>0</v>
      </c>
      <c r="CH116" s="1"/>
      <c r="CI116" s="79">
        <f t="shared" ref="CI116:CI124" si="339">CG116-CH116</f>
        <v>0</v>
      </c>
      <c r="CJ116" s="1"/>
      <c r="CK116" s="79">
        <f t="shared" ref="CK116:CK129" si="340">CI116-CJ116</f>
        <v>0</v>
      </c>
      <c r="CL116" s="1"/>
      <c r="CM116" s="79">
        <f>CK116-CL116</f>
        <v>0</v>
      </c>
      <c r="CN116" s="1"/>
      <c r="CO116" s="79">
        <f t="shared" si="305"/>
        <v>0</v>
      </c>
      <c r="CP116" s="1"/>
      <c r="CQ116" s="79">
        <f t="shared" si="313"/>
        <v>0</v>
      </c>
      <c r="CR116" s="1"/>
      <c r="CS116" s="79">
        <f t="shared" si="166"/>
        <v>0</v>
      </c>
      <c r="CT116" s="79"/>
      <c r="CU116" s="79">
        <f t="shared" si="323"/>
        <v>0</v>
      </c>
      <c r="CV116" s="79"/>
      <c r="CW116" s="79">
        <f t="shared" si="251"/>
        <v>0</v>
      </c>
      <c r="CX116" s="79"/>
      <c r="CY116" s="91"/>
      <c r="CZ116" s="79">
        <f t="shared" si="324"/>
        <v>0</v>
      </c>
      <c r="DA116" s="93"/>
      <c r="DB116" s="93">
        <f t="shared" si="314"/>
        <v>0</v>
      </c>
      <c r="DC116" s="96"/>
      <c r="DD116" s="93">
        <f t="shared" si="325"/>
        <v>0</v>
      </c>
      <c r="DE116" s="96"/>
      <c r="DF116" s="93">
        <f t="shared" si="278"/>
        <v>0</v>
      </c>
      <c r="DG116" s="96"/>
      <c r="DH116" s="93">
        <f t="shared" si="293"/>
        <v>0</v>
      </c>
      <c r="DI116" s="96"/>
      <c r="DJ116" s="93">
        <f t="shared" si="315"/>
        <v>0</v>
      </c>
      <c r="DK116" s="93"/>
      <c r="DL116" s="100">
        <v>1572.0</v>
      </c>
      <c r="DM116" s="100">
        <v>250.0</v>
      </c>
      <c r="DN116" s="93">
        <f t="shared" si="306"/>
        <v>1322</v>
      </c>
      <c r="DO116" s="100">
        <v>500.0</v>
      </c>
      <c r="DP116" s="93">
        <f t="shared" si="294"/>
        <v>822</v>
      </c>
      <c r="DQ116" s="100">
        <v>500.0</v>
      </c>
      <c r="DR116" s="93">
        <f t="shared" si="188"/>
        <v>322</v>
      </c>
      <c r="DS116" s="100">
        <v>322.0</v>
      </c>
      <c r="DT116" s="93">
        <f t="shared" si="316"/>
        <v>0</v>
      </c>
      <c r="DU116" s="100">
        <v>0.0</v>
      </c>
      <c r="DV116" s="93">
        <f t="shared" si="61"/>
        <v>0</v>
      </c>
    </row>
    <row r="117">
      <c r="A117" s="7" t="s">
        <v>417</v>
      </c>
      <c r="B117" s="7" t="s">
        <v>418</v>
      </c>
      <c r="C117" s="76" t="str">
        <f t="array" ref="C117">_xlfn.XLOOKUP(A117,'Emp Master'!A:A,'Emp Master'!F:F)</f>
        <v>DEL</v>
      </c>
      <c r="D117" s="76" t="str">
        <f t="array" ref="D117">_xlfn.XLOOKUP(A117,'Emp Master'!A:A,'Emp Master'!D:D)</f>
        <v>Backend Ops</v>
      </c>
      <c r="E117" s="76" t="str">
        <f t="shared" si="326"/>
        <v>#REF!</v>
      </c>
      <c r="F117" s="76"/>
      <c r="G117" s="79"/>
      <c r="H117" s="80"/>
      <c r="I117" s="79"/>
      <c r="J117" s="80"/>
      <c r="K117" s="79"/>
      <c r="L117" s="142"/>
      <c r="M117" s="1"/>
      <c r="N117" s="142"/>
      <c r="O117" s="1"/>
      <c r="P117" s="142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79">
        <f>BQ116-BR116</f>
        <v>0</v>
      </c>
      <c r="AX117" s="1"/>
      <c r="AY117" s="79">
        <f t="shared" si="327"/>
        <v>0</v>
      </c>
      <c r="AZ117" s="1"/>
      <c r="BA117" s="79">
        <f t="shared" si="328"/>
        <v>0</v>
      </c>
      <c r="BB117" s="1"/>
      <c r="BC117" s="79">
        <f t="shared" si="329"/>
        <v>0</v>
      </c>
      <c r="BD117" s="1"/>
      <c r="BE117" s="79">
        <f t="shared" si="330"/>
        <v>0</v>
      </c>
      <c r="BF117" s="1"/>
      <c r="BG117" s="79">
        <f t="shared" si="331"/>
        <v>0</v>
      </c>
      <c r="BH117" s="1"/>
      <c r="BI117" s="79">
        <f t="shared" si="332"/>
        <v>0</v>
      </c>
      <c r="BJ117" s="1"/>
      <c r="BK117" s="1"/>
      <c r="BL117" s="1"/>
      <c r="BM117" s="1"/>
      <c r="BN117" s="1"/>
      <c r="BO117" s="1"/>
      <c r="BP117" s="1"/>
      <c r="BQ117" s="24"/>
      <c r="BR117" s="106"/>
      <c r="BS117" s="79">
        <f t="shared" ref="BS117:BS118" si="341">BQ117-BR117+10000</f>
        <v>10000</v>
      </c>
      <c r="BT117" s="106">
        <v>2000.0</v>
      </c>
      <c r="BU117" s="79">
        <f t="shared" si="333"/>
        <v>8000</v>
      </c>
      <c r="BV117" s="106">
        <v>2000.0</v>
      </c>
      <c r="BW117" s="79">
        <f t="shared" si="334"/>
        <v>6000</v>
      </c>
      <c r="BX117" s="106">
        <v>2000.0</v>
      </c>
      <c r="BY117" s="79">
        <f t="shared" si="335"/>
        <v>4000</v>
      </c>
      <c r="BZ117" s="106">
        <v>2000.0</v>
      </c>
      <c r="CA117" s="79">
        <f t="shared" si="336"/>
        <v>2000</v>
      </c>
      <c r="CB117" s="106">
        <v>2000.0</v>
      </c>
      <c r="CC117" s="79">
        <f t="shared" ref="CC117:CC128" si="342">CA117-CB117</f>
        <v>0</v>
      </c>
      <c r="CD117" s="1"/>
      <c r="CE117" s="79">
        <f t="shared" si="337"/>
        <v>0</v>
      </c>
      <c r="CF117" s="1"/>
      <c r="CG117" s="79">
        <f t="shared" si="338"/>
        <v>0</v>
      </c>
      <c r="CH117" s="1"/>
      <c r="CI117" s="79">
        <f t="shared" si="339"/>
        <v>0</v>
      </c>
      <c r="CJ117" s="1"/>
      <c r="CK117" s="79">
        <f t="shared" si="340"/>
        <v>0</v>
      </c>
      <c r="CL117" s="1"/>
      <c r="CM117" s="79">
        <f>2500+CK117-CL117</f>
        <v>2500</v>
      </c>
      <c r="CN117" s="106">
        <v>2500.0</v>
      </c>
      <c r="CO117" s="79">
        <f t="shared" si="305"/>
        <v>0</v>
      </c>
      <c r="CP117" s="106"/>
      <c r="CQ117" s="79">
        <f>CO117-CP117+10000</f>
        <v>10000</v>
      </c>
      <c r="CR117" s="106">
        <v>3000.0</v>
      </c>
      <c r="CS117" s="79">
        <f t="shared" si="166"/>
        <v>7000</v>
      </c>
      <c r="CT117" s="24">
        <v>3000.0</v>
      </c>
      <c r="CU117" s="79">
        <f t="shared" si="323"/>
        <v>4000</v>
      </c>
      <c r="CV117" s="24">
        <v>0.0</v>
      </c>
      <c r="CW117" s="79">
        <f t="shared" si="251"/>
        <v>4000</v>
      </c>
      <c r="CX117" s="24">
        <v>0.0</v>
      </c>
      <c r="CY117" s="91">
        <v>4000.0</v>
      </c>
      <c r="CZ117" s="79">
        <f t="shared" ref="CZ117:CZ118" si="343">CW117-CX117-CY117</f>
        <v>0</v>
      </c>
      <c r="DA117" s="93"/>
      <c r="DB117" s="93">
        <f t="shared" si="314"/>
        <v>0</v>
      </c>
      <c r="DC117" s="96"/>
      <c r="DD117" s="93">
        <f t="shared" si="325"/>
        <v>0</v>
      </c>
      <c r="DE117" s="96"/>
      <c r="DF117" s="93">
        <f t="shared" si="278"/>
        <v>0</v>
      </c>
      <c r="DG117" s="96"/>
      <c r="DH117" s="93">
        <f t="shared" si="293"/>
        <v>0</v>
      </c>
      <c r="DI117" s="96"/>
      <c r="DJ117" s="93">
        <f t="shared" si="315"/>
        <v>0</v>
      </c>
      <c r="DK117" s="93"/>
      <c r="DL117" s="93">
        <f>DJ117-DK117</f>
        <v>0</v>
      </c>
      <c r="DM117" s="100">
        <v>0.0</v>
      </c>
      <c r="DN117" s="93">
        <f t="shared" si="306"/>
        <v>0</v>
      </c>
      <c r="DO117" s="100">
        <v>0.0</v>
      </c>
      <c r="DP117" s="93">
        <f t="shared" si="294"/>
        <v>0</v>
      </c>
      <c r="DQ117" s="100">
        <v>0.0</v>
      </c>
      <c r="DR117" s="93">
        <f t="shared" si="188"/>
        <v>0</v>
      </c>
      <c r="DS117" s="100">
        <v>0.0</v>
      </c>
      <c r="DT117" s="93">
        <f t="shared" si="316"/>
        <v>0</v>
      </c>
      <c r="DU117" s="100">
        <v>0.0</v>
      </c>
      <c r="DV117" s="93">
        <f t="shared" si="61"/>
        <v>0</v>
      </c>
    </row>
    <row r="118">
      <c r="A118" s="7" t="s">
        <v>419</v>
      </c>
      <c r="B118" s="7" t="s">
        <v>420</v>
      </c>
      <c r="C118" s="76" t="str">
        <f t="array" ref="C118">_xlfn.XLOOKUP(A118,'Emp Master'!A:A,'Emp Master'!F:F)</f>
        <v>SNP</v>
      </c>
      <c r="D118" s="76" t="str">
        <f t="array" ref="D118">_xlfn.XLOOKUP(A118,'Emp Master'!A:A,'Emp Master'!D:D)</f>
        <v>Machining</v>
      </c>
      <c r="E118" s="76" t="str">
        <f t="shared" si="326"/>
        <v>#REF!</v>
      </c>
      <c r="F118" s="76"/>
      <c r="G118" s="79"/>
      <c r="H118" s="80"/>
      <c r="I118" s="79">
        <f>G118-H118+20000</f>
        <v>20000</v>
      </c>
      <c r="J118" s="80"/>
      <c r="K118" s="79">
        <f t="shared" ref="K118:K124" si="344">I118-J118</f>
        <v>20000</v>
      </c>
      <c r="L118" s="126">
        <v>5000.0</v>
      </c>
      <c r="M118" s="79">
        <f t="shared" ref="M118:M124" si="345">K118-L118</f>
        <v>15000</v>
      </c>
      <c r="N118" s="126">
        <v>5000.0</v>
      </c>
      <c r="O118" s="79">
        <f t="shared" ref="O118:O124" si="346">M118-N118</f>
        <v>10000</v>
      </c>
      <c r="P118" s="126">
        <v>5000.0</v>
      </c>
      <c r="Q118" s="79">
        <f t="shared" ref="Q118:Q124" si="347">O118-P118</f>
        <v>5000</v>
      </c>
      <c r="R118" s="106">
        <v>5000.0</v>
      </c>
      <c r="S118" s="79">
        <f t="shared" ref="S118:S121" si="348">Q118-R118</f>
        <v>0</v>
      </c>
      <c r="T118" s="1"/>
      <c r="U118" s="79">
        <f t="shared" ref="U118:U124" si="349">S118-T118</f>
        <v>0</v>
      </c>
      <c r="V118" s="1"/>
      <c r="W118" s="79">
        <f t="shared" ref="W118:W124" si="350">U118-V118</f>
        <v>0</v>
      </c>
      <c r="X118" s="1"/>
      <c r="Y118" s="79">
        <f t="shared" ref="Y118:Y124" si="351">W118-X118</f>
        <v>0</v>
      </c>
      <c r="Z118" s="1"/>
      <c r="AA118" s="79">
        <f t="shared" ref="AA118:AA124" si="352">Y118-Z118</f>
        <v>0</v>
      </c>
      <c r="AB118" s="1"/>
      <c r="AC118" s="79">
        <f t="shared" ref="AC118:AC124" si="353">AA118-AB118</f>
        <v>0</v>
      </c>
      <c r="AD118" s="1"/>
      <c r="AE118" s="79">
        <f t="shared" ref="AE118:AE124" si="354">AC118-AD118</f>
        <v>0</v>
      </c>
      <c r="AF118" s="1"/>
      <c r="AG118" s="79">
        <f t="shared" ref="AG118:AG124" si="355">AE118-AF118</f>
        <v>0</v>
      </c>
      <c r="AH118" s="1"/>
      <c r="AI118" s="79">
        <f t="shared" ref="AI118:AI124" si="356">AG118-AH118</f>
        <v>0</v>
      </c>
      <c r="AJ118" s="1"/>
      <c r="AK118" s="79">
        <f t="shared" ref="AK118:AK124" si="357">AI118-AJ118</f>
        <v>0</v>
      </c>
      <c r="AL118" s="1"/>
      <c r="AM118" s="79">
        <f t="shared" ref="AM118:AM124" si="358">AK118-AL118</f>
        <v>0</v>
      </c>
      <c r="AN118" s="1"/>
      <c r="AO118" s="79">
        <f t="shared" ref="AO118:AO124" si="359">AM118-AN118</f>
        <v>0</v>
      </c>
      <c r="AP118" s="1"/>
      <c r="AQ118" s="79">
        <f>AO118-AP118+20000</f>
        <v>20000</v>
      </c>
      <c r="AR118" s="106">
        <v>5000.0</v>
      </c>
      <c r="AS118" s="79">
        <f t="shared" ref="AS118:AS124" si="360">AQ118-AR118</f>
        <v>15000</v>
      </c>
      <c r="AT118" s="106">
        <v>5000.0</v>
      </c>
      <c r="AU118" s="79">
        <f t="shared" ref="AU118:AU124" si="361">AS118-AT118</f>
        <v>10000</v>
      </c>
      <c r="AV118" s="106">
        <v>5000.0</v>
      </c>
      <c r="AW118" s="79">
        <f t="shared" ref="AW118:AW124" si="362">AU118-AV118</f>
        <v>5000</v>
      </c>
      <c r="AX118" s="106">
        <v>5000.0</v>
      </c>
      <c r="AY118" s="79">
        <f t="shared" si="327"/>
        <v>0</v>
      </c>
      <c r="AZ118" s="1"/>
      <c r="BA118" s="79">
        <f t="shared" si="328"/>
        <v>0</v>
      </c>
      <c r="BB118" s="1"/>
      <c r="BC118" s="79">
        <f>BA118-BB118+15000</f>
        <v>15000</v>
      </c>
      <c r="BD118" s="106">
        <v>5000.0</v>
      </c>
      <c r="BE118" s="79">
        <f t="shared" si="330"/>
        <v>10000</v>
      </c>
      <c r="BF118" s="106">
        <v>5000.0</v>
      </c>
      <c r="BG118" s="79">
        <f t="shared" si="331"/>
        <v>5000</v>
      </c>
      <c r="BH118" s="106">
        <v>5000.0</v>
      </c>
      <c r="BI118" s="79">
        <f>BG118-BH118+15000</f>
        <v>15000</v>
      </c>
      <c r="BJ118" s="106">
        <v>5000.0</v>
      </c>
      <c r="BK118" s="79">
        <f t="shared" ref="BK118:BK124" si="363">BI118-BJ118</f>
        <v>10000</v>
      </c>
      <c r="BL118" s="106">
        <v>5000.0</v>
      </c>
      <c r="BM118" s="79">
        <f t="shared" ref="BM118:BM124" si="364">BK118-BL118</f>
        <v>5000</v>
      </c>
      <c r="BN118" s="106">
        <v>5000.0</v>
      </c>
      <c r="BO118" s="79">
        <f t="shared" ref="BO118:BO124" si="365">BM118-BN118</f>
        <v>0</v>
      </c>
      <c r="BP118" s="1"/>
      <c r="BQ118" s="79"/>
      <c r="BR118" s="1"/>
      <c r="BS118" s="79">
        <f t="shared" si="341"/>
        <v>10000</v>
      </c>
      <c r="BT118" s="106">
        <v>3000.0</v>
      </c>
      <c r="BU118" s="79">
        <f t="shared" si="333"/>
        <v>7000</v>
      </c>
      <c r="BV118" s="106">
        <v>3000.0</v>
      </c>
      <c r="BW118" s="79">
        <f t="shared" si="334"/>
        <v>4000</v>
      </c>
      <c r="BX118" s="106">
        <v>3000.0</v>
      </c>
      <c r="BY118" s="79">
        <f t="shared" si="335"/>
        <v>1000</v>
      </c>
      <c r="BZ118" s="106">
        <v>1000.0</v>
      </c>
      <c r="CA118" s="79">
        <f t="shared" si="336"/>
        <v>0</v>
      </c>
      <c r="CB118" s="1"/>
      <c r="CC118" s="79">
        <f t="shared" si="342"/>
        <v>0</v>
      </c>
      <c r="CD118" s="1"/>
      <c r="CE118" s="79">
        <f t="shared" si="337"/>
        <v>0</v>
      </c>
      <c r="CF118" s="1"/>
      <c r="CG118" s="79">
        <f t="shared" si="338"/>
        <v>0</v>
      </c>
      <c r="CH118" s="1"/>
      <c r="CI118" s="79">
        <f t="shared" si="339"/>
        <v>0</v>
      </c>
      <c r="CJ118" s="1"/>
      <c r="CK118" s="79">
        <f t="shared" si="340"/>
        <v>0</v>
      </c>
      <c r="CL118" s="1"/>
      <c r="CM118" s="79">
        <f t="shared" ref="CM118:CM135" si="366">CK118-CL118</f>
        <v>0</v>
      </c>
      <c r="CN118" s="1"/>
      <c r="CO118" s="79">
        <f t="shared" si="305"/>
        <v>0</v>
      </c>
      <c r="CP118" s="1"/>
      <c r="CQ118" s="79">
        <f t="shared" ref="CQ118:CQ128" si="367">CO118-CP118</f>
        <v>0</v>
      </c>
      <c r="CR118" s="1"/>
      <c r="CS118" s="79">
        <f>CQ118-CR118+20000</f>
        <v>20000</v>
      </c>
      <c r="CT118" s="24">
        <v>5000.0</v>
      </c>
      <c r="CU118" s="79">
        <f t="shared" si="323"/>
        <v>15000</v>
      </c>
      <c r="CV118" s="24">
        <v>5000.0</v>
      </c>
      <c r="CW118" s="79">
        <f t="shared" si="251"/>
        <v>10000</v>
      </c>
      <c r="CX118" s="24">
        <v>5000.0</v>
      </c>
      <c r="CY118" s="91">
        <v>5000.0</v>
      </c>
      <c r="CZ118" s="79">
        <f t="shared" si="343"/>
        <v>0</v>
      </c>
      <c r="DA118" s="93"/>
      <c r="DB118" s="93">
        <f t="shared" si="314"/>
        <v>0</v>
      </c>
      <c r="DC118" s="96"/>
      <c r="DD118" s="93">
        <f>DB118-DC118+12000</f>
        <v>12000</v>
      </c>
      <c r="DE118" s="178">
        <v>6000.0</v>
      </c>
      <c r="DF118" s="93">
        <f t="shared" si="278"/>
        <v>6000</v>
      </c>
      <c r="DG118" s="178">
        <v>6000.0</v>
      </c>
      <c r="DH118" s="93">
        <f t="shared" si="293"/>
        <v>0</v>
      </c>
      <c r="DI118" s="178"/>
      <c r="DJ118" s="93">
        <f t="shared" si="315"/>
        <v>0</v>
      </c>
      <c r="DK118" s="93"/>
      <c r="DL118" s="100">
        <v>10000.0</v>
      </c>
      <c r="DM118" s="100">
        <v>5000.0</v>
      </c>
      <c r="DN118" s="93">
        <f t="shared" si="306"/>
        <v>5000</v>
      </c>
      <c r="DO118" s="100">
        <v>5000.0</v>
      </c>
      <c r="DP118" s="93">
        <f t="shared" si="294"/>
        <v>0</v>
      </c>
      <c r="DQ118" s="100">
        <v>0.0</v>
      </c>
      <c r="DR118" s="93">
        <f>DP118-DQ118+10000</f>
        <v>10000</v>
      </c>
      <c r="DS118" s="100">
        <v>2500.0</v>
      </c>
      <c r="DT118" s="93">
        <f t="shared" si="316"/>
        <v>7500</v>
      </c>
      <c r="DU118" s="100">
        <v>2500.0</v>
      </c>
      <c r="DV118" s="93">
        <f t="shared" si="61"/>
        <v>5000</v>
      </c>
    </row>
    <row r="119">
      <c r="A119" s="7" t="s">
        <v>906</v>
      </c>
      <c r="B119" s="7" t="s">
        <v>289</v>
      </c>
      <c r="C119" s="76" t="str">
        <f t="array" ref="C119">_xlfn.XLOOKUP(A119,'Emp Master'!A:A,'Emp Master'!F:F)</f>
        <v>#N/A</v>
      </c>
      <c r="D119" s="76" t="str">
        <f t="array" ref="D119">_xlfn.XLOOKUP(A119,'Emp Master'!A:A,'Emp Master'!D:D)</f>
        <v>#N/A</v>
      </c>
      <c r="E119" s="76" t="str">
        <f t="shared" si="326"/>
        <v>#REF!</v>
      </c>
      <c r="F119" s="76"/>
      <c r="G119" s="79"/>
      <c r="H119" s="80"/>
      <c r="I119" s="79">
        <f>G119-H119</f>
        <v>0</v>
      </c>
      <c r="J119" s="80"/>
      <c r="K119" s="79">
        <f t="shared" si="344"/>
        <v>0</v>
      </c>
      <c r="L119" s="80"/>
      <c r="M119" s="79">
        <f t="shared" si="345"/>
        <v>0</v>
      </c>
      <c r="N119" s="80"/>
      <c r="O119" s="79">
        <f t="shared" si="346"/>
        <v>0</v>
      </c>
      <c r="P119" s="80"/>
      <c r="Q119" s="79">
        <f t="shared" si="347"/>
        <v>0</v>
      </c>
      <c r="R119" s="1"/>
      <c r="S119" s="79">
        <f t="shared" si="348"/>
        <v>0</v>
      </c>
      <c r="T119" s="1"/>
      <c r="U119" s="79">
        <f t="shared" si="349"/>
        <v>0</v>
      </c>
      <c r="V119" s="1"/>
      <c r="W119" s="79">
        <f t="shared" si="350"/>
        <v>0</v>
      </c>
      <c r="X119" s="1"/>
      <c r="Y119" s="79">
        <f t="shared" si="351"/>
        <v>0</v>
      </c>
      <c r="Z119" s="1"/>
      <c r="AA119" s="79">
        <f t="shared" si="352"/>
        <v>0</v>
      </c>
      <c r="AB119" s="1"/>
      <c r="AC119" s="79">
        <f t="shared" si="353"/>
        <v>0</v>
      </c>
      <c r="AD119" s="1"/>
      <c r="AE119" s="79">
        <f t="shared" si="354"/>
        <v>0</v>
      </c>
      <c r="AF119" s="1"/>
      <c r="AG119" s="79">
        <f t="shared" si="355"/>
        <v>0</v>
      </c>
      <c r="AH119" s="1"/>
      <c r="AI119" s="79">
        <f t="shared" si="356"/>
        <v>0</v>
      </c>
      <c r="AJ119" s="1"/>
      <c r="AK119" s="79">
        <f t="shared" si="357"/>
        <v>0</v>
      </c>
      <c r="AL119" s="1"/>
      <c r="AM119" s="79">
        <f t="shared" si="358"/>
        <v>0</v>
      </c>
      <c r="AN119" s="1"/>
      <c r="AO119" s="79">
        <f t="shared" si="359"/>
        <v>0</v>
      </c>
      <c r="AP119" s="1"/>
      <c r="AQ119" s="79">
        <f t="shared" ref="AQ119:AQ121" si="368">AO119-AP119</f>
        <v>0</v>
      </c>
      <c r="AR119" s="1"/>
      <c r="AS119" s="79">
        <f t="shared" si="360"/>
        <v>0</v>
      </c>
      <c r="AT119" s="1"/>
      <c r="AU119" s="79">
        <f t="shared" si="361"/>
        <v>0</v>
      </c>
      <c r="AV119" s="1"/>
      <c r="AW119" s="79">
        <f t="shared" si="362"/>
        <v>0</v>
      </c>
      <c r="AX119" s="1"/>
      <c r="AY119" s="79">
        <f t="shared" si="327"/>
        <v>0</v>
      </c>
      <c r="AZ119" s="1"/>
      <c r="BA119" s="79">
        <f t="shared" si="328"/>
        <v>0</v>
      </c>
      <c r="BB119" s="1"/>
      <c r="BC119" s="79">
        <f t="shared" ref="BC119:BC124" si="369">BA119-BB119</f>
        <v>0</v>
      </c>
      <c r="BD119" s="1"/>
      <c r="BE119" s="79">
        <f t="shared" si="330"/>
        <v>0</v>
      </c>
      <c r="BF119" s="1"/>
      <c r="BG119" s="79">
        <f t="shared" si="331"/>
        <v>0</v>
      </c>
      <c r="BH119" s="1"/>
      <c r="BI119" s="79">
        <f t="shared" ref="BI119:BI125" si="370">BG119-BH119</f>
        <v>0</v>
      </c>
      <c r="BJ119" s="1"/>
      <c r="BK119" s="79">
        <f t="shared" si="363"/>
        <v>0</v>
      </c>
      <c r="BL119" s="1"/>
      <c r="BM119" s="79">
        <f t="shared" si="364"/>
        <v>0</v>
      </c>
      <c r="BN119" s="1"/>
      <c r="BO119" s="79">
        <f t="shared" si="365"/>
        <v>0</v>
      </c>
      <c r="BP119" s="1"/>
      <c r="BQ119" s="79">
        <f t="shared" ref="BQ119:BQ121" si="371">BO119-BP119</f>
        <v>0</v>
      </c>
      <c r="BR119" s="1"/>
      <c r="BS119" s="79">
        <f t="shared" ref="BS119:BS124" si="372">BQ119-BR119</f>
        <v>0</v>
      </c>
      <c r="BT119" s="1"/>
      <c r="BU119" s="79">
        <f t="shared" si="333"/>
        <v>0</v>
      </c>
      <c r="BV119" s="1"/>
      <c r="BW119" s="79">
        <f t="shared" si="334"/>
        <v>0</v>
      </c>
      <c r="BX119" s="1"/>
      <c r="BY119" s="79">
        <f t="shared" si="335"/>
        <v>0</v>
      </c>
      <c r="BZ119" s="1"/>
      <c r="CA119" s="79">
        <f t="shared" si="336"/>
        <v>0</v>
      </c>
      <c r="CB119" s="1"/>
      <c r="CC119" s="79">
        <f t="shared" si="342"/>
        <v>0</v>
      </c>
      <c r="CD119" s="1"/>
      <c r="CE119" s="79">
        <f t="shared" si="337"/>
        <v>0</v>
      </c>
      <c r="CF119" s="1"/>
      <c r="CG119" s="79">
        <f t="shared" si="338"/>
        <v>0</v>
      </c>
      <c r="CH119" s="1"/>
      <c r="CI119" s="79">
        <f t="shared" si="339"/>
        <v>0</v>
      </c>
      <c r="CJ119" s="1"/>
      <c r="CK119" s="79">
        <f t="shared" si="340"/>
        <v>0</v>
      </c>
      <c r="CL119" s="1"/>
      <c r="CM119" s="79">
        <f t="shared" si="366"/>
        <v>0</v>
      </c>
      <c r="CN119" s="1"/>
      <c r="CO119" s="79">
        <f t="shared" si="305"/>
        <v>0</v>
      </c>
      <c r="CP119" s="1"/>
      <c r="CQ119" s="79">
        <f t="shared" si="367"/>
        <v>0</v>
      </c>
      <c r="CR119" s="1"/>
      <c r="CS119" s="79">
        <f t="shared" ref="CS119:CS163" si="373">CQ119-CR119</f>
        <v>0</v>
      </c>
      <c r="CT119" s="79"/>
      <c r="CU119" s="79">
        <f t="shared" si="323"/>
        <v>0</v>
      </c>
      <c r="CV119" s="79"/>
      <c r="CW119" s="79">
        <f t="shared" si="251"/>
        <v>0</v>
      </c>
      <c r="CX119" s="79"/>
      <c r="CY119" s="91"/>
      <c r="CZ119" s="79">
        <f t="shared" ref="CZ119:CZ128" si="374">CW119-CX119</f>
        <v>0</v>
      </c>
      <c r="DA119" s="93"/>
      <c r="DB119" s="93">
        <f t="shared" si="314"/>
        <v>0</v>
      </c>
      <c r="DC119" s="96"/>
      <c r="DD119" s="93">
        <f t="shared" ref="DD119:DD135" si="375">DB119-DC119</f>
        <v>0</v>
      </c>
      <c r="DE119" s="96"/>
      <c r="DF119" s="93">
        <f t="shared" si="278"/>
        <v>0</v>
      </c>
      <c r="DG119" s="96"/>
      <c r="DH119" s="93">
        <f t="shared" si="293"/>
        <v>0</v>
      </c>
      <c r="DI119" s="96"/>
      <c r="DJ119" s="93">
        <f t="shared" si="315"/>
        <v>0</v>
      </c>
      <c r="DK119" s="93"/>
      <c r="DL119" s="93">
        <f t="shared" ref="DL119:DL128" si="376">DJ119-DK119</f>
        <v>0</v>
      </c>
      <c r="DM119" s="100">
        <v>0.0</v>
      </c>
      <c r="DN119" s="93">
        <f t="shared" si="306"/>
        <v>0</v>
      </c>
      <c r="DO119" s="100">
        <v>0.0</v>
      </c>
      <c r="DP119" s="93">
        <f t="shared" si="294"/>
        <v>0</v>
      </c>
      <c r="DQ119" s="100">
        <v>0.0</v>
      </c>
      <c r="DR119" s="93">
        <f t="shared" ref="DR119:DR163" si="377">DP119-DQ119</f>
        <v>0</v>
      </c>
      <c r="DS119" s="100">
        <v>0.0</v>
      </c>
      <c r="DT119" s="93">
        <f t="shared" si="316"/>
        <v>0</v>
      </c>
      <c r="DU119" s="100">
        <v>0.0</v>
      </c>
      <c r="DV119" s="93">
        <f t="shared" si="61"/>
        <v>0</v>
      </c>
    </row>
    <row r="120">
      <c r="A120" s="7" t="s">
        <v>907</v>
      </c>
      <c r="B120" s="7" t="s">
        <v>908</v>
      </c>
      <c r="C120" s="76" t="str">
        <f t="array" ref="C120">_xlfn.XLOOKUP(A120,'Emp Master'!A:A,'Emp Master'!F:F)</f>
        <v>#N/A</v>
      </c>
      <c r="D120" s="76" t="str">
        <f t="array" ref="D120">_xlfn.XLOOKUP(A120,'Emp Master'!A:A,'Emp Master'!D:D)</f>
        <v>#N/A</v>
      </c>
      <c r="E120" s="76" t="str">
        <f t="shared" si="326"/>
        <v>#REF!</v>
      </c>
      <c r="F120" s="76"/>
      <c r="G120" s="79"/>
      <c r="H120" s="80"/>
      <c r="I120" s="79">
        <f>G120-H120+10000</f>
        <v>10000</v>
      </c>
      <c r="J120" s="126">
        <v>3000.0</v>
      </c>
      <c r="K120" s="79">
        <f t="shared" si="344"/>
        <v>7000</v>
      </c>
      <c r="L120" s="126">
        <v>3000.0</v>
      </c>
      <c r="M120" s="79">
        <f t="shared" si="345"/>
        <v>4000</v>
      </c>
      <c r="N120" s="126">
        <v>3000.0</v>
      </c>
      <c r="O120" s="79">
        <f t="shared" si="346"/>
        <v>1000</v>
      </c>
      <c r="P120" s="126">
        <v>1000.0</v>
      </c>
      <c r="Q120" s="79">
        <f t="shared" si="347"/>
        <v>0</v>
      </c>
      <c r="R120" s="1"/>
      <c r="S120" s="79">
        <f t="shared" si="348"/>
        <v>0</v>
      </c>
      <c r="T120" s="1"/>
      <c r="U120" s="79">
        <f t="shared" si="349"/>
        <v>0</v>
      </c>
      <c r="V120" s="1"/>
      <c r="W120" s="79">
        <f t="shared" si="350"/>
        <v>0</v>
      </c>
      <c r="X120" s="1"/>
      <c r="Y120" s="79">
        <f t="shared" si="351"/>
        <v>0</v>
      </c>
      <c r="Z120" s="1"/>
      <c r="AA120" s="79">
        <f t="shared" si="352"/>
        <v>0</v>
      </c>
      <c r="AB120" s="1"/>
      <c r="AC120" s="79">
        <f t="shared" si="353"/>
        <v>0</v>
      </c>
      <c r="AD120" s="1"/>
      <c r="AE120" s="79">
        <f t="shared" si="354"/>
        <v>0</v>
      </c>
      <c r="AF120" s="1"/>
      <c r="AG120" s="79">
        <f t="shared" si="355"/>
        <v>0</v>
      </c>
      <c r="AH120" s="1"/>
      <c r="AI120" s="79">
        <f t="shared" si="356"/>
        <v>0</v>
      </c>
      <c r="AJ120" s="1"/>
      <c r="AK120" s="79">
        <f t="shared" si="357"/>
        <v>0</v>
      </c>
      <c r="AL120" s="1"/>
      <c r="AM120" s="79">
        <f t="shared" si="358"/>
        <v>0</v>
      </c>
      <c r="AN120" s="1"/>
      <c r="AO120" s="79">
        <f t="shared" si="359"/>
        <v>0</v>
      </c>
      <c r="AP120" s="1"/>
      <c r="AQ120" s="79">
        <f t="shared" si="368"/>
        <v>0</v>
      </c>
      <c r="AR120" s="1"/>
      <c r="AS120" s="79">
        <f t="shared" si="360"/>
        <v>0</v>
      </c>
      <c r="AT120" s="1"/>
      <c r="AU120" s="79">
        <f t="shared" si="361"/>
        <v>0</v>
      </c>
      <c r="AV120" s="1"/>
      <c r="AW120" s="79">
        <f t="shared" si="362"/>
        <v>0</v>
      </c>
      <c r="AX120" s="1"/>
      <c r="AY120" s="79">
        <f t="shared" si="327"/>
        <v>0</v>
      </c>
      <c r="AZ120" s="1"/>
      <c r="BA120" s="79">
        <f t="shared" si="328"/>
        <v>0</v>
      </c>
      <c r="BB120" s="1"/>
      <c r="BC120" s="79">
        <f t="shared" si="369"/>
        <v>0</v>
      </c>
      <c r="BD120" s="1"/>
      <c r="BE120" s="79">
        <f t="shared" si="330"/>
        <v>0</v>
      </c>
      <c r="BF120" s="1"/>
      <c r="BG120" s="79">
        <f t="shared" si="331"/>
        <v>0</v>
      </c>
      <c r="BH120" s="1"/>
      <c r="BI120" s="79">
        <f t="shared" si="370"/>
        <v>0</v>
      </c>
      <c r="BJ120" s="1"/>
      <c r="BK120" s="79">
        <f t="shared" si="363"/>
        <v>0</v>
      </c>
      <c r="BL120" s="1"/>
      <c r="BM120" s="79">
        <f t="shared" si="364"/>
        <v>0</v>
      </c>
      <c r="BN120" s="1"/>
      <c r="BO120" s="79">
        <f t="shared" si="365"/>
        <v>0</v>
      </c>
      <c r="BP120" s="1"/>
      <c r="BQ120" s="79">
        <f t="shared" si="371"/>
        <v>0</v>
      </c>
      <c r="BR120" s="1"/>
      <c r="BS120" s="79">
        <f t="shared" si="372"/>
        <v>0</v>
      </c>
      <c r="BT120" s="1"/>
      <c r="BU120" s="79">
        <f t="shared" si="333"/>
        <v>0</v>
      </c>
      <c r="BV120" s="1"/>
      <c r="BW120" s="79">
        <f t="shared" si="334"/>
        <v>0</v>
      </c>
      <c r="BX120" s="1"/>
      <c r="BY120" s="79">
        <f t="shared" si="335"/>
        <v>0</v>
      </c>
      <c r="BZ120" s="1"/>
      <c r="CA120" s="79">
        <f t="shared" si="336"/>
        <v>0</v>
      </c>
      <c r="CB120" s="1"/>
      <c r="CC120" s="79">
        <f t="shared" si="342"/>
        <v>0</v>
      </c>
      <c r="CD120" s="1"/>
      <c r="CE120" s="79">
        <f t="shared" si="337"/>
        <v>0</v>
      </c>
      <c r="CF120" s="1"/>
      <c r="CG120" s="79">
        <f t="shared" si="338"/>
        <v>0</v>
      </c>
      <c r="CH120" s="1"/>
      <c r="CI120" s="79">
        <f t="shared" si="339"/>
        <v>0</v>
      </c>
      <c r="CJ120" s="1"/>
      <c r="CK120" s="79">
        <f t="shared" si="340"/>
        <v>0</v>
      </c>
      <c r="CL120" s="1"/>
      <c r="CM120" s="79">
        <f t="shared" si="366"/>
        <v>0</v>
      </c>
      <c r="CN120" s="1"/>
      <c r="CO120" s="79">
        <f t="shared" si="305"/>
        <v>0</v>
      </c>
      <c r="CP120" s="1"/>
      <c r="CQ120" s="79">
        <f t="shared" si="367"/>
        <v>0</v>
      </c>
      <c r="CR120" s="1"/>
      <c r="CS120" s="79">
        <f t="shared" si="373"/>
        <v>0</v>
      </c>
      <c r="CT120" s="79"/>
      <c r="CU120" s="79">
        <f t="shared" si="323"/>
        <v>0</v>
      </c>
      <c r="CV120" s="79"/>
      <c r="CW120" s="79">
        <f t="shared" si="251"/>
        <v>0</v>
      </c>
      <c r="CX120" s="79"/>
      <c r="CY120" s="91"/>
      <c r="CZ120" s="79">
        <f t="shared" si="374"/>
        <v>0</v>
      </c>
      <c r="DA120" s="93"/>
      <c r="DB120" s="93">
        <f t="shared" si="314"/>
        <v>0</v>
      </c>
      <c r="DC120" s="96"/>
      <c r="DD120" s="93">
        <f t="shared" si="375"/>
        <v>0</v>
      </c>
      <c r="DE120" s="96"/>
      <c r="DF120" s="93">
        <f t="shared" si="278"/>
        <v>0</v>
      </c>
      <c r="DG120" s="96"/>
      <c r="DH120" s="93">
        <f t="shared" si="293"/>
        <v>0</v>
      </c>
      <c r="DI120" s="96"/>
      <c r="DJ120" s="93">
        <f t="shared" si="315"/>
        <v>0</v>
      </c>
      <c r="DK120" s="93"/>
      <c r="DL120" s="93">
        <f t="shared" si="376"/>
        <v>0</v>
      </c>
      <c r="DM120" s="100">
        <v>0.0</v>
      </c>
      <c r="DN120" s="93">
        <f t="shared" si="306"/>
        <v>0</v>
      </c>
      <c r="DO120" s="100">
        <v>0.0</v>
      </c>
      <c r="DP120" s="93">
        <f t="shared" si="294"/>
        <v>0</v>
      </c>
      <c r="DQ120" s="100">
        <v>0.0</v>
      </c>
      <c r="DR120" s="93">
        <f t="shared" si="377"/>
        <v>0</v>
      </c>
      <c r="DS120" s="100">
        <v>0.0</v>
      </c>
      <c r="DT120" s="93">
        <f t="shared" si="316"/>
        <v>0</v>
      </c>
      <c r="DU120" s="100">
        <v>0.0</v>
      </c>
      <c r="DV120" s="93">
        <f t="shared" si="61"/>
        <v>0</v>
      </c>
    </row>
    <row r="121">
      <c r="A121" s="7" t="s">
        <v>909</v>
      </c>
      <c r="B121" s="7" t="s">
        <v>645</v>
      </c>
      <c r="C121" s="76" t="str">
        <f t="array" ref="C121">_xlfn.XLOOKUP(A121,'Emp Master'!A:A,'Emp Master'!F:F)</f>
        <v>#N/A</v>
      </c>
      <c r="D121" s="76" t="str">
        <f t="array" ref="D121">_xlfn.XLOOKUP(A121,'Emp Master'!A:A,'Emp Master'!D:D)</f>
        <v>#N/A</v>
      </c>
      <c r="E121" s="76" t="str">
        <f t="shared" si="326"/>
        <v>#REF!</v>
      </c>
      <c r="F121" s="76"/>
      <c r="G121" s="79"/>
      <c r="H121" s="80"/>
      <c r="I121" s="79">
        <f t="shared" ref="I121:I124" si="378">G121-H121</f>
        <v>0</v>
      </c>
      <c r="J121" s="80"/>
      <c r="K121" s="79">
        <f t="shared" si="344"/>
        <v>0</v>
      </c>
      <c r="L121" s="80"/>
      <c r="M121" s="79">
        <f t="shared" si="345"/>
        <v>0</v>
      </c>
      <c r="N121" s="80"/>
      <c r="O121" s="79">
        <f t="shared" si="346"/>
        <v>0</v>
      </c>
      <c r="P121" s="80"/>
      <c r="Q121" s="79">
        <f t="shared" si="347"/>
        <v>0</v>
      </c>
      <c r="R121" s="1"/>
      <c r="S121" s="79">
        <f t="shared" si="348"/>
        <v>0</v>
      </c>
      <c r="T121" s="1"/>
      <c r="U121" s="79">
        <f t="shared" si="349"/>
        <v>0</v>
      </c>
      <c r="V121" s="1"/>
      <c r="W121" s="79">
        <f t="shared" si="350"/>
        <v>0</v>
      </c>
      <c r="X121" s="1"/>
      <c r="Y121" s="79">
        <f t="shared" si="351"/>
        <v>0</v>
      </c>
      <c r="Z121" s="1"/>
      <c r="AA121" s="79">
        <f t="shared" si="352"/>
        <v>0</v>
      </c>
      <c r="AB121" s="1"/>
      <c r="AC121" s="79">
        <f t="shared" si="353"/>
        <v>0</v>
      </c>
      <c r="AD121" s="1"/>
      <c r="AE121" s="79">
        <f t="shared" si="354"/>
        <v>0</v>
      </c>
      <c r="AF121" s="1"/>
      <c r="AG121" s="79">
        <f t="shared" si="355"/>
        <v>0</v>
      </c>
      <c r="AH121" s="1"/>
      <c r="AI121" s="79">
        <f t="shared" si="356"/>
        <v>0</v>
      </c>
      <c r="AJ121" s="1"/>
      <c r="AK121" s="79">
        <f t="shared" si="357"/>
        <v>0</v>
      </c>
      <c r="AL121" s="1"/>
      <c r="AM121" s="79">
        <f t="shared" si="358"/>
        <v>0</v>
      </c>
      <c r="AN121" s="1"/>
      <c r="AO121" s="79">
        <f t="shared" si="359"/>
        <v>0</v>
      </c>
      <c r="AP121" s="1"/>
      <c r="AQ121" s="79">
        <f t="shared" si="368"/>
        <v>0</v>
      </c>
      <c r="AR121" s="1"/>
      <c r="AS121" s="79">
        <f t="shared" si="360"/>
        <v>0</v>
      </c>
      <c r="AT121" s="1"/>
      <c r="AU121" s="79">
        <f t="shared" si="361"/>
        <v>0</v>
      </c>
      <c r="AV121" s="1"/>
      <c r="AW121" s="79">
        <f t="shared" si="362"/>
        <v>0</v>
      </c>
      <c r="AX121" s="1"/>
      <c r="AY121" s="79">
        <f t="shared" si="327"/>
        <v>0</v>
      </c>
      <c r="AZ121" s="1"/>
      <c r="BA121" s="79">
        <f t="shared" si="328"/>
        <v>0</v>
      </c>
      <c r="BB121" s="1"/>
      <c r="BC121" s="79">
        <f t="shared" si="369"/>
        <v>0</v>
      </c>
      <c r="BD121" s="1"/>
      <c r="BE121" s="79">
        <f t="shared" si="330"/>
        <v>0</v>
      </c>
      <c r="BF121" s="1"/>
      <c r="BG121" s="79">
        <f t="shared" si="331"/>
        <v>0</v>
      </c>
      <c r="BH121" s="1"/>
      <c r="BI121" s="79">
        <f t="shared" si="370"/>
        <v>0</v>
      </c>
      <c r="BJ121" s="1"/>
      <c r="BK121" s="79">
        <f t="shared" si="363"/>
        <v>0</v>
      </c>
      <c r="BL121" s="1"/>
      <c r="BM121" s="79">
        <f t="shared" si="364"/>
        <v>0</v>
      </c>
      <c r="BN121" s="1"/>
      <c r="BO121" s="79">
        <f t="shared" si="365"/>
        <v>0</v>
      </c>
      <c r="BP121" s="1"/>
      <c r="BQ121" s="79">
        <f t="shared" si="371"/>
        <v>0</v>
      </c>
      <c r="BR121" s="1"/>
      <c r="BS121" s="79">
        <f t="shared" si="372"/>
        <v>0</v>
      </c>
      <c r="BT121" s="1"/>
      <c r="BU121" s="79">
        <f t="shared" si="333"/>
        <v>0</v>
      </c>
      <c r="BV121" s="1"/>
      <c r="BW121" s="79">
        <f t="shared" si="334"/>
        <v>0</v>
      </c>
      <c r="BX121" s="1"/>
      <c r="BY121" s="79">
        <f t="shared" si="335"/>
        <v>0</v>
      </c>
      <c r="BZ121" s="1"/>
      <c r="CA121" s="79">
        <f t="shared" si="336"/>
        <v>0</v>
      </c>
      <c r="CB121" s="1"/>
      <c r="CC121" s="79">
        <f t="shared" si="342"/>
        <v>0</v>
      </c>
      <c r="CD121" s="1"/>
      <c r="CE121" s="79">
        <f t="shared" si="337"/>
        <v>0</v>
      </c>
      <c r="CF121" s="1"/>
      <c r="CG121" s="79">
        <f t="shared" si="338"/>
        <v>0</v>
      </c>
      <c r="CH121" s="1"/>
      <c r="CI121" s="79">
        <f t="shared" si="339"/>
        <v>0</v>
      </c>
      <c r="CJ121" s="1"/>
      <c r="CK121" s="79">
        <f t="shared" si="340"/>
        <v>0</v>
      </c>
      <c r="CL121" s="1"/>
      <c r="CM121" s="79">
        <f t="shared" si="366"/>
        <v>0</v>
      </c>
      <c r="CN121" s="1"/>
      <c r="CO121" s="79">
        <f t="shared" si="305"/>
        <v>0</v>
      </c>
      <c r="CP121" s="1"/>
      <c r="CQ121" s="79">
        <f t="shared" si="367"/>
        <v>0</v>
      </c>
      <c r="CR121" s="1"/>
      <c r="CS121" s="79">
        <f t="shared" si="373"/>
        <v>0</v>
      </c>
      <c r="CT121" s="79"/>
      <c r="CU121" s="79">
        <f t="shared" si="323"/>
        <v>0</v>
      </c>
      <c r="CV121" s="79"/>
      <c r="CW121" s="79">
        <f t="shared" si="251"/>
        <v>0</v>
      </c>
      <c r="CX121" s="79"/>
      <c r="CY121" s="91"/>
      <c r="CZ121" s="79">
        <f t="shared" si="374"/>
        <v>0</v>
      </c>
      <c r="DA121" s="93"/>
      <c r="DB121" s="93">
        <f t="shared" si="314"/>
        <v>0</v>
      </c>
      <c r="DC121" s="96"/>
      <c r="DD121" s="93">
        <f t="shared" si="375"/>
        <v>0</v>
      </c>
      <c r="DE121" s="96"/>
      <c r="DF121" s="93">
        <f t="shared" si="278"/>
        <v>0</v>
      </c>
      <c r="DG121" s="96"/>
      <c r="DH121" s="93">
        <f t="shared" si="293"/>
        <v>0</v>
      </c>
      <c r="DI121" s="96"/>
      <c r="DJ121" s="93">
        <f t="shared" si="315"/>
        <v>0</v>
      </c>
      <c r="DK121" s="93"/>
      <c r="DL121" s="93">
        <f t="shared" si="376"/>
        <v>0</v>
      </c>
      <c r="DM121" s="100">
        <v>0.0</v>
      </c>
      <c r="DN121" s="93">
        <f t="shared" si="306"/>
        <v>0</v>
      </c>
      <c r="DO121" s="100">
        <v>0.0</v>
      </c>
      <c r="DP121" s="93">
        <f t="shared" si="294"/>
        <v>0</v>
      </c>
      <c r="DQ121" s="100">
        <v>0.0</v>
      </c>
      <c r="DR121" s="93">
        <f t="shared" si="377"/>
        <v>0</v>
      </c>
      <c r="DS121" s="100">
        <v>0.0</v>
      </c>
      <c r="DT121" s="93">
        <f t="shared" si="316"/>
        <v>0</v>
      </c>
      <c r="DU121" s="100">
        <v>0.0</v>
      </c>
      <c r="DV121" s="93">
        <f t="shared" si="61"/>
        <v>0</v>
      </c>
    </row>
    <row r="122">
      <c r="A122" s="7" t="s">
        <v>421</v>
      </c>
      <c r="B122" s="7" t="s">
        <v>422</v>
      </c>
      <c r="C122" s="76" t="str">
        <f t="array" ref="C122">_xlfn.XLOOKUP(A122,'Emp Master'!A:A,'Emp Master'!F:F)</f>
        <v>SNP</v>
      </c>
      <c r="D122" s="76" t="str">
        <f t="array" ref="D122">_xlfn.XLOOKUP(A122,'Emp Master'!A:A,'Emp Master'!D:D)</f>
        <v>Machining</v>
      </c>
      <c r="E122" s="76" t="str">
        <f t="shared" si="326"/>
        <v>#REF!</v>
      </c>
      <c r="F122" s="76"/>
      <c r="G122" s="79"/>
      <c r="H122" s="80"/>
      <c r="I122" s="79">
        <f t="shared" si="378"/>
        <v>0</v>
      </c>
      <c r="J122" s="80"/>
      <c r="K122" s="79">
        <f t="shared" si="344"/>
        <v>0</v>
      </c>
      <c r="L122" s="80"/>
      <c r="M122" s="79">
        <f t="shared" si="345"/>
        <v>0</v>
      </c>
      <c r="N122" s="80"/>
      <c r="O122" s="79">
        <f t="shared" si="346"/>
        <v>0</v>
      </c>
      <c r="P122" s="80"/>
      <c r="Q122" s="79">
        <f t="shared" si="347"/>
        <v>0</v>
      </c>
      <c r="R122" s="1"/>
      <c r="S122" s="79">
        <f>Q122-R122+20000</f>
        <v>20000</v>
      </c>
      <c r="T122" s="106">
        <v>5000.0</v>
      </c>
      <c r="U122" s="79">
        <f t="shared" si="349"/>
        <v>15000</v>
      </c>
      <c r="V122" s="106">
        <v>5000.0</v>
      </c>
      <c r="W122" s="79">
        <f t="shared" si="350"/>
        <v>10000</v>
      </c>
      <c r="X122" s="106">
        <v>5000.0</v>
      </c>
      <c r="Y122" s="79">
        <f t="shared" si="351"/>
        <v>5000</v>
      </c>
      <c r="Z122" s="106">
        <v>5000.0</v>
      </c>
      <c r="AA122" s="79">
        <f t="shared" si="352"/>
        <v>0</v>
      </c>
      <c r="AB122" s="1"/>
      <c r="AC122" s="79">
        <f t="shared" si="353"/>
        <v>0</v>
      </c>
      <c r="AD122" s="1"/>
      <c r="AE122" s="79">
        <f t="shared" si="354"/>
        <v>0</v>
      </c>
      <c r="AF122" s="1"/>
      <c r="AG122" s="79">
        <f t="shared" si="355"/>
        <v>0</v>
      </c>
      <c r="AH122" s="1"/>
      <c r="AI122" s="79">
        <f t="shared" si="356"/>
        <v>0</v>
      </c>
      <c r="AJ122" s="1"/>
      <c r="AK122" s="79">
        <f t="shared" si="357"/>
        <v>0</v>
      </c>
      <c r="AL122" s="1"/>
      <c r="AM122" s="79">
        <f t="shared" si="358"/>
        <v>0</v>
      </c>
      <c r="AN122" s="1"/>
      <c r="AO122" s="79">
        <f t="shared" si="359"/>
        <v>0</v>
      </c>
      <c r="AP122" s="1"/>
      <c r="AQ122" s="79">
        <f>AO122-AP122+20000</f>
        <v>20000</v>
      </c>
      <c r="AR122" s="1"/>
      <c r="AS122" s="79">
        <f t="shared" si="360"/>
        <v>20000</v>
      </c>
      <c r="AT122" s="1"/>
      <c r="AU122" s="79">
        <f t="shared" si="361"/>
        <v>20000</v>
      </c>
      <c r="AV122" s="106">
        <v>5000.0</v>
      </c>
      <c r="AW122" s="79">
        <f t="shared" si="362"/>
        <v>15000</v>
      </c>
      <c r="AX122" s="106">
        <v>5000.0</v>
      </c>
      <c r="AY122" s="79">
        <f t="shared" si="327"/>
        <v>10000</v>
      </c>
      <c r="AZ122" s="106">
        <v>5000.0</v>
      </c>
      <c r="BA122" s="79">
        <f t="shared" si="328"/>
        <v>5000</v>
      </c>
      <c r="BB122" s="106">
        <v>5000.0</v>
      </c>
      <c r="BC122" s="79">
        <f t="shared" si="369"/>
        <v>0</v>
      </c>
      <c r="BD122" s="1"/>
      <c r="BE122" s="79">
        <f t="shared" si="330"/>
        <v>0</v>
      </c>
      <c r="BF122" s="1"/>
      <c r="BG122" s="79">
        <f>BE122-BF122+15000</f>
        <v>15000</v>
      </c>
      <c r="BH122" s="106">
        <v>3000.0</v>
      </c>
      <c r="BI122" s="79">
        <f t="shared" si="370"/>
        <v>12000</v>
      </c>
      <c r="BJ122" s="106">
        <v>3000.0</v>
      </c>
      <c r="BK122" s="79">
        <f t="shared" si="363"/>
        <v>9000</v>
      </c>
      <c r="BL122" s="106">
        <v>3000.0</v>
      </c>
      <c r="BM122" s="79">
        <f t="shared" si="364"/>
        <v>6000</v>
      </c>
      <c r="BN122" s="106">
        <v>3000.0</v>
      </c>
      <c r="BO122" s="79">
        <f t="shared" si="365"/>
        <v>3000</v>
      </c>
      <c r="BP122" s="106">
        <v>3000.0</v>
      </c>
      <c r="BQ122" s="79"/>
      <c r="BR122" s="1"/>
      <c r="BS122" s="79">
        <f t="shared" si="372"/>
        <v>0</v>
      </c>
      <c r="BT122" s="1"/>
      <c r="BU122" s="79">
        <f t="shared" si="333"/>
        <v>0</v>
      </c>
      <c r="BV122" s="1"/>
      <c r="BW122" s="79">
        <f t="shared" si="334"/>
        <v>0</v>
      </c>
      <c r="BX122" s="1"/>
      <c r="BY122" s="79">
        <f t="shared" si="335"/>
        <v>0</v>
      </c>
      <c r="BZ122" s="1"/>
      <c r="CA122" s="79">
        <f t="shared" si="336"/>
        <v>0</v>
      </c>
      <c r="CB122" s="1"/>
      <c r="CC122" s="79">
        <f t="shared" si="342"/>
        <v>0</v>
      </c>
      <c r="CD122" s="1"/>
      <c r="CE122" s="79">
        <f t="shared" si="337"/>
        <v>0</v>
      </c>
      <c r="CF122" s="1"/>
      <c r="CG122" s="79">
        <f t="shared" si="338"/>
        <v>0</v>
      </c>
      <c r="CH122" s="1"/>
      <c r="CI122" s="79">
        <f t="shared" si="339"/>
        <v>0</v>
      </c>
      <c r="CJ122" s="1"/>
      <c r="CK122" s="79">
        <f t="shared" si="340"/>
        <v>0</v>
      </c>
      <c r="CL122" s="1"/>
      <c r="CM122" s="79">
        <f t="shared" si="366"/>
        <v>0</v>
      </c>
      <c r="CN122" s="1"/>
      <c r="CO122" s="79">
        <f t="shared" si="305"/>
        <v>0</v>
      </c>
      <c r="CP122" s="1"/>
      <c r="CQ122" s="79">
        <f t="shared" si="367"/>
        <v>0</v>
      </c>
      <c r="CR122" s="1"/>
      <c r="CS122" s="79">
        <f t="shared" si="373"/>
        <v>0</v>
      </c>
      <c r="CT122" s="79"/>
      <c r="CU122" s="79">
        <f t="shared" si="323"/>
        <v>0</v>
      </c>
      <c r="CV122" s="79"/>
      <c r="CW122" s="79">
        <f t="shared" si="251"/>
        <v>0</v>
      </c>
      <c r="CX122" s="79"/>
      <c r="CY122" s="91"/>
      <c r="CZ122" s="79">
        <f t="shared" si="374"/>
        <v>0</v>
      </c>
      <c r="DA122" s="93"/>
      <c r="DB122" s="93">
        <f>CZ122-DA122+15000</f>
        <v>15000</v>
      </c>
      <c r="DC122" s="178">
        <v>5000.0</v>
      </c>
      <c r="DD122" s="93">
        <f t="shared" si="375"/>
        <v>10000</v>
      </c>
      <c r="DE122" s="178">
        <v>5000.0</v>
      </c>
      <c r="DF122" s="93">
        <f t="shared" si="278"/>
        <v>5000</v>
      </c>
      <c r="DG122" s="178">
        <v>5000.0</v>
      </c>
      <c r="DH122" s="93">
        <f t="shared" si="293"/>
        <v>0</v>
      </c>
      <c r="DI122" s="178"/>
      <c r="DJ122" s="100">
        <v>15000.0</v>
      </c>
      <c r="DK122" s="100">
        <v>15000.0</v>
      </c>
      <c r="DL122" s="93">
        <f t="shared" si="376"/>
        <v>0</v>
      </c>
      <c r="DM122" s="100">
        <v>0.0</v>
      </c>
      <c r="DN122" s="93">
        <f t="shared" si="306"/>
        <v>0</v>
      </c>
      <c r="DO122" s="100">
        <v>0.0</v>
      </c>
      <c r="DP122" s="93">
        <f t="shared" si="294"/>
        <v>0</v>
      </c>
      <c r="DQ122" s="100">
        <v>0.0</v>
      </c>
      <c r="DR122" s="93">
        <f t="shared" si="377"/>
        <v>0</v>
      </c>
      <c r="DS122" s="100">
        <v>0.0</v>
      </c>
      <c r="DT122" s="93">
        <f t="shared" si="316"/>
        <v>0</v>
      </c>
      <c r="DU122" s="100">
        <v>0.0</v>
      </c>
      <c r="DV122" s="93">
        <f t="shared" si="61"/>
        <v>0</v>
      </c>
    </row>
    <row r="123">
      <c r="A123" s="7" t="s">
        <v>910</v>
      </c>
      <c r="B123" s="7" t="s">
        <v>911</v>
      </c>
      <c r="C123" s="76" t="str">
        <f t="array" ref="C123">_xlfn.XLOOKUP(A123,'Emp Master'!A:A,'Emp Master'!F:F)</f>
        <v>#N/A</v>
      </c>
      <c r="D123" s="76" t="str">
        <f t="array" ref="D123">_xlfn.XLOOKUP(A123,'Emp Master'!A:A,'Emp Master'!D:D)</f>
        <v>#N/A</v>
      </c>
      <c r="E123" s="76" t="str">
        <f t="shared" si="326"/>
        <v>#REF!</v>
      </c>
      <c r="F123" s="76">
        <v>10000.0</v>
      </c>
      <c r="G123" s="79">
        <v>10000.0</v>
      </c>
      <c r="H123" s="80">
        <v>10000.0</v>
      </c>
      <c r="I123" s="79">
        <f t="shared" si="378"/>
        <v>0</v>
      </c>
      <c r="J123" s="80"/>
      <c r="K123" s="79">
        <f t="shared" si="344"/>
        <v>0</v>
      </c>
      <c r="L123" s="80"/>
      <c r="M123" s="79">
        <f t="shared" si="345"/>
        <v>0</v>
      </c>
      <c r="N123" s="80"/>
      <c r="O123" s="79">
        <f t="shared" si="346"/>
        <v>0</v>
      </c>
      <c r="P123" s="80"/>
      <c r="Q123" s="79">
        <f t="shared" si="347"/>
        <v>0</v>
      </c>
      <c r="R123" s="1"/>
      <c r="S123" s="79">
        <f t="shared" ref="S123:S124" si="379">Q123-R123</f>
        <v>0</v>
      </c>
      <c r="T123" s="1"/>
      <c r="U123" s="79">
        <f t="shared" si="349"/>
        <v>0</v>
      </c>
      <c r="V123" s="1"/>
      <c r="W123" s="79">
        <f t="shared" si="350"/>
        <v>0</v>
      </c>
      <c r="X123" s="1"/>
      <c r="Y123" s="79">
        <f t="shared" si="351"/>
        <v>0</v>
      </c>
      <c r="Z123" s="1"/>
      <c r="AA123" s="79">
        <f t="shared" si="352"/>
        <v>0</v>
      </c>
      <c r="AB123" s="1"/>
      <c r="AC123" s="79">
        <f t="shared" si="353"/>
        <v>0</v>
      </c>
      <c r="AD123" s="1"/>
      <c r="AE123" s="79">
        <f t="shared" si="354"/>
        <v>0</v>
      </c>
      <c r="AF123" s="1"/>
      <c r="AG123" s="79">
        <f t="shared" si="355"/>
        <v>0</v>
      </c>
      <c r="AH123" s="1"/>
      <c r="AI123" s="79">
        <f t="shared" si="356"/>
        <v>0</v>
      </c>
      <c r="AJ123" s="1"/>
      <c r="AK123" s="79">
        <f t="shared" si="357"/>
        <v>0</v>
      </c>
      <c r="AL123" s="1"/>
      <c r="AM123" s="79">
        <f t="shared" si="358"/>
        <v>0</v>
      </c>
      <c r="AN123" s="1"/>
      <c r="AO123" s="79">
        <f t="shared" si="359"/>
        <v>0</v>
      </c>
      <c r="AP123" s="1"/>
      <c r="AQ123" s="79">
        <f t="shared" ref="AQ123:AQ124" si="380">AO123-AP123</f>
        <v>0</v>
      </c>
      <c r="AR123" s="1"/>
      <c r="AS123" s="79">
        <f t="shared" si="360"/>
        <v>0</v>
      </c>
      <c r="AT123" s="1"/>
      <c r="AU123" s="79">
        <f t="shared" si="361"/>
        <v>0</v>
      </c>
      <c r="AV123" s="1"/>
      <c r="AW123" s="79">
        <f t="shared" si="362"/>
        <v>0</v>
      </c>
      <c r="AX123" s="1"/>
      <c r="AY123" s="79">
        <f t="shared" si="327"/>
        <v>0</v>
      </c>
      <c r="AZ123" s="1"/>
      <c r="BA123" s="79">
        <f t="shared" si="328"/>
        <v>0</v>
      </c>
      <c r="BB123" s="1"/>
      <c r="BC123" s="79">
        <f t="shared" si="369"/>
        <v>0</v>
      </c>
      <c r="BD123" s="1"/>
      <c r="BE123" s="79">
        <f t="shared" si="330"/>
        <v>0</v>
      </c>
      <c r="BF123" s="1"/>
      <c r="BG123" s="79">
        <f t="shared" ref="BG123:BG124" si="381">BE123-BF123</f>
        <v>0</v>
      </c>
      <c r="BH123" s="1"/>
      <c r="BI123" s="79">
        <f t="shared" si="370"/>
        <v>0</v>
      </c>
      <c r="BJ123" s="1"/>
      <c r="BK123" s="79">
        <f t="shared" si="363"/>
        <v>0</v>
      </c>
      <c r="BL123" s="1"/>
      <c r="BM123" s="79">
        <f t="shared" si="364"/>
        <v>0</v>
      </c>
      <c r="BN123" s="1"/>
      <c r="BO123" s="79">
        <f t="shared" si="365"/>
        <v>0</v>
      </c>
      <c r="BP123" s="1"/>
      <c r="BQ123" s="79">
        <f t="shared" ref="BQ123:BQ124" si="382">BO123-BP123</f>
        <v>0</v>
      </c>
      <c r="BR123" s="1"/>
      <c r="BS123" s="79">
        <f t="shared" si="372"/>
        <v>0</v>
      </c>
      <c r="BT123" s="1"/>
      <c r="BU123" s="79">
        <f t="shared" si="333"/>
        <v>0</v>
      </c>
      <c r="BV123" s="1"/>
      <c r="BW123" s="79">
        <f t="shared" si="334"/>
        <v>0</v>
      </c>
      <c r="BX123" s="1"/>
      <c r="BY123" s="79">
        <f t="shared" si="335"/>
        <v>0</v>
      </c>
      <c r="BZ123" s="1"/>
      <c r="CA123" s="79">
        <f t="shared" si="336"/>
        <v>0</v>
      </c>
      <c r="CB123" s="1"/>
      <c r="CC123" s="79">
        <f t="shared" si="342"/>
        <v>0</v>
      </c>
      <c r="CD123" s="1"/>
      <c r="CE123" s="79">
        <f t="shared" si="337"/>
        <v>0</v>
      </c>
      <c r="CF123" s="1"/>
      <c r="CG123" s="79">
        <f t="shared" si="338"/>
        <v>0</v>
      </c>
      <c r="CH123" s="1"/>
      <c r="CI123" s="79">
        <f t="shared" si="339"/>
        <v>0</v>
      </c>
      <c r="CJ123" s="1"/>
      <c r="CK123" s="79">
        <f t="shared" si="340"/>
        <v>0</v>
      </c>
      <c r="CL123" s="1"/>
      <c r="CM123" s="79">
        <f t="shared" si="366"/>
        <v>0</v>
      </c>
      <c r="CN123" s="1"/>
      <c r="CO123" s="79">
        <f t="shared" si="305"/>
        <v>0</v>
      </c>
      <c r="CP123" s="1"/>
      <c r="CQ123" s="79">
        <f t="shared" si="367"/>
        <v>0</v>
      </c>
      <c r="CR123" s="1"/>
      <c r="CS123" s="79">
        <f t="shared" si="373"/>
        <v>0</v>
      </c>
      <c r="CT123" s="79"/>
      <c r="CU123" s="79">
        <f t="shared" si="323"/>
        <v>0</v>
      </c>
      <c r="CV123" s="79"/>
      <c r="CW123" s="79">
        <f t="shared" si="251"/>
        <v>0</v>
      </c>
      <c r="CX123" s="79"/>
      <c r="CY123" s="91"/>
      <c r="CZ123" s="79">
        <f t="shared" si="374"/>
        <v>0</v>
      </c>
      <c r="DA123" s="93"/>
      <c r="DB123" s="93">
        <f t="shared" ref="DB123:DB128" si="383">CZ123-DA123</f>
        <v>0</v>
      </c>
      <c r="DC123" s="96"/>
      <c r="DD123" s="93">
        <f t="shared" si="375"/>
        <v>0</v>
      </c>
      <c r="DE123" s="96"/>
      <c r="DF123" s="93">
        <f t="shared" si="278"/>
        <v>0</v>
      </c>
      <c r="DG123" s="96"/>
      <c r="DH123" s="93">
        <f t="shared" si="293"/>
        <v>0</v>
      </c>
      <c r="DI123" s="96"/>
      <c r="DJ123" s="93">
        <f t="shared" ref="DJ123:DJ142" si="384">DH123-DI123</f>
        <v>0</v>
      </c>
      <c r="DK123" s="93"/>
      <c r="DL123" s="93">
        <f t="shared" si="376"/>
        <v>0</v>
      </c>
      <c r="DM123" s="100">
        <v>0.0</v>
      </c>
      <c r="DN123" s="93">
        <f t="shared" si="306"/>
        <v>0</v>
      </c>
      <c r="DO123" s="100">
        <v>0.0</v>
      </c>
      <c r="DP123" s="93">
        <f t="shared" si="294"/>
        <v>0</v>
      </c>
      <c r="DQ123" s="100">
        <v>0.0</v>
      </c>
      <c r="DR123" s="93">
        <f t="shared" si="377"/>
        <v>0</v>
      </c>
      <c r="DS123" s="100">
        <v>0.0</v>
      </c>
      <c r="DT123" s="93">
        <f t="shared" si="316"/>
        <v>0</v>
      </c>
      <c r="DU123" s="100">
        <v>0.0</v>
      </c>
      <c r="DV123" s="93">
        <f t="shared" si="61"/>
        <v>0</v>
      </c>
    </row>
    <row r="124">
      <c r="A124" s="7" t="s">
        <v>912</v>
      </c>
      <c r="B124" s="7" t="s">
        <v>913</v>
      </c>
      <c r="C124" s="76" t="str">
        <f t="array" ref="C124">_xlfn.XLOOKUP(A124,'Emp Master'!A:A,'Emp Master'!F:F)</f>
        <v>#N/A</v>
      </c>
      <c r="D124" s="76" t="str">
        <f t="array" ref="D124">_xlfn.XLOOKUP(A124,'Emp Master'!A:A,'Emp Master'!D:D)</f>
        <v>#N/A</v>
      </c>
      <c r="E124" s="76" t="str">
        <f t="shared" si="326"/>
        <v>#REF!</v>
      </c>
      <c r="F124" s="76"/>
      <c r="G124" s="79"/>
      <c r="H124" s="80"/>
      <c r="I124" s="79">
        <f t="shared" si="378"/>
        <v>0</v>
      </c>
      <c r="J124" s="80"/>
      <c r="K124" s="79">
        <f t="shared" si="344"/>
        <v>0</v>
      </c>
      <c r="L124" s="80"/>
      <c r="M124" s="79">
        <f t="shared" si="345"/>
        <v>0</v>
      </c>
      <c r="N124" s="80"/>
      <c r="O124" s="79">
        <f t="shared" si="346"/>
        <v>0</v>
      </c>
      <c r="P124" s="80"/>
      <c r="Q124" s="79">
        <f t="shared" si="347"/>
        <v>0</v>
      </c>
      <c r="R124" s="1"/>
      <c r="S124" s="79">
        <f t="shared" si="379"/>
        <v>0</v>
      </c>
      <c r="T124" s="1"/>
      <c r="U124" s="79">
        <f t="shared" si="349"/>
        <v>0</v>
      </c>
      <c r="V124" s="1"/>
      <c r="W124" s="79">
        <f t="shared" si="350"/>
        <v>0</v>
      </c>
      <c r="X124" s="1"/>
      <c r="Y124" s="79">
        <f t="shared" si="351"/>
        <v>0</v>
      </c>
      <c r="Z124" s="1"/>
      <c r="AA124" s="79">
        <f t="shared" si="352"/>
        <v>0</v>
      </c>
      <c r="AB124" s="1"/>
      <c r="AC124" s="79">
        <f t="shared" si="353"/>
        <v>0</v>
      </c>
      <c r="AD124" s="1"/>
      <c r="AE124" s="79">
        <f t="shared" si="354"/>
        <v>0</v>
      </c>
      <c r="AF124" s="1"/>
      <c r="AG124" s="79">
        <f t="shared" si="355"/>
        <v>0</v>
      </c>
      <c r="AH124" s="1"/>
      <c r="AI124" s="79">
        <f t="shared" si="356"/>
        <v>0</v>
      </c>
      <c r="AJ124" s="1"/>
      <c r="AK124" s="79">
        <f t="shared" si="357"/>
        <v>0</v>
      </c>
      <c r="AL124" s="1"/>
      <c r="AM124" s="79">
        <f t="shared" si="358"/>
        <v>0</v>
      </c>
      <c r="AN124" s="1"/>
      <c r="AO124" s="79">
        <f t="shared" si="359"/>
        <v>0</v>
      </c>
      <c r="AP124" s="1"/>
      <c r="AQ124" s="79">
        <f t="shared" si="380"/>
        <v>0</v>
      </c>
      <c r="AR124" s="1"/>
      <c r="AS124" s="79">
        <f t="shared" si="360"/>
        <v>0</v>
      </c>
      <c r="AT124" s="1"/>
      <c r="AU124" s="79">
        <f t="shared" si="361"/>
        <v>0</v>
      </c>
      <c r="AV124" s="1"/>
      <c r="AW124" s="79">
        <f t="shared" si="362"/>
        <v>0</v>
      </c>
      <c r="AX124" s="1"/>
      <c r="AY124" s="79">
        <f t="shared" si="327"/>
        <v>0</v>
      </c>
      <c r="AZ124" s="1"/>
      <c r="BA124" s="79">
        <f t="shared" si="328"/>
        <v>0</v>
      </c>
      <c r="BB124" s="1"/>
      <c r="BC124" s="79">
        <f t="shared" si="369"/>
        <v>0</v>
      </c>
      <c r="BD124" s="1"/>
      <c r="BE124" s="79">
        <f t="shared" si="330"/>
        <v>0</v>
      </c>
      <c r="BF124" s="1"/>
      <c r="BG124" s="79">
        <f t="shared" si="381"/>
        <v>0</v>
      </c>
      <c r="BH124" s="1"/>
      <c r="BI124" s="79">
        <f t="shared" si="370"/>
        <v>0</v>
      </c>
      <c r="BJ124" s="1"/>
      <c r="BK124" s="79">
        <f t="shared" si="363"/>
        <v>0</v>
      </c>
      <c r="BL124" s="1"/>
      <c r="BM124" s="79">
        <f t="shared" si="364"/>
        <v>0</v>
      </c>
      <c r="BN124" s="1"/>
      <c r="BO124" s="79">
        <f t="shared" si="365"/>
        <v>0</v>
      </c>
      <c r="BP124" s="1"/>
      <c r="BQ124" s="79">
        <f t="shared" si="382"/>
        <v>0</v>
      </c>
      <c r="BR124" s="1"/>
      <c r="BS124" s="79">
        <f t="shared" si="372"/>
        <v>0</v>
      </c>
      <c r="BT124" s="1"/>
      <c r="BU124" s="79">
        <f t="shared" si="333"/>
        <v>0</v>
      </c>
      <c r="BV124" s="1"/>
      <c r="BW124" s="79">
        <f t="shared" si="334"/>
        <v>0</v>
      </c>
      <c r="BX124" s="1"/>
      <c r="BY124" s="79">
        <f t="shared" si="335"/>
        <v>0</v>
      </c>
      <c r="BZ124" s="1"/>
      <c r="CA124" s="79">
        <f t="shared" si="336"/>
        <v>0</v>
      </c>
      <c r="CB124" s="1"/>
      <c r="CC124" s="79">
        <f t="shared" si="342"/>
        <v>0</v>
      </c>
      <c r="CD124" s="1"/>
      <c r="CE124" s="79">
        <f t="shared" si="337"/>
        <v>0</v>
      </c>
      <c r="CF124" s="1"/>
      <c r="CG124" s="79">
        <f t="shared" si="338"/>
        <v>0</v>
      </c>
      <c r="CH124" s="1"/>
      <c r="CI124" s="79">
        <f t="shared" si="339"/>
        <v>0</v>
      </c>
      <c r="CJ124" s="1"/>
      <c r="CK124" s="79">
        <f t="shared" si="340"/>
        <v>0</v>
      </c>
      <c r="CL124" s="1"/>
      <c r="CM124" s="79">
        <f t="shared" si="366"/>
        <v>0</v>
      </c>
      <c r="CN124" s="1"/>
      <c r="CO124" s="79">
        <f t="shared" si="305"/>
        <v>0</v>
      </c>
      <c r="CP124" s="1"/>
      <c r="CQ124" s="79">
        <f t="shared" si="367"/>
        <v>0</v>
      </c>
      <c r="CR124" s="1"/>
      <c r="CS124" s="79">
        <f t="shared" si="373"/>
        <v>0</v>
      </c>
      <c r="CT124" s="79"/>
      <c r="CU124" s="79">
        <f t="shared" si="323"/>
        <v>0</v>
      </c>
      <c r="CV124" s="79"/>
      <c r="CW124" s="79">
        <f t="shared" si="251"/>
        <v>0</v>
      </c>
      <c r="CX124" s="79"/>
      <c r="CY124" s="91"/>
      <c r="CZ124" s="79">
        <f t="shared" si="374"/>
        <v>0</v>
      </c>
      <c r="DA124" s="93"/>
      <c r="DB124" s="93">
        <f t="shared" si="383"/>
        <v>0</v>
      </c>
      <c r="DC124" s="96"/>
      <c r="DD124" s="93">
        <f t="shared" si="375"/>
        <v>0</v>
      </c>
      <c r="DE124" s="96"/>
      <c r="DF124" s="93">
        <f t="shared" si="278"/>
        <v>0</v>
      </c>
      <c r="DG124" s="96"/>
      <c r="DH124" s="93">
        <f t="shared" si="293"/>
        <v>0</v>
      </c>
      <c r="DI124" s="96"/>
      <c r="DJ124" s="93">
        <f t="shared" si="384"/>
        <v>0</v>
      </c>
      <c r="DK124" s="93"/>
      <c r="DL124" s="93">
        <f t="shared" si="376"/>
        <v>0</v>
      </c>
      <c r="DM124" s="100">
        <v>0.0</v>
      </c>
      <c r="DN124" s="93">
        <f t="shared" si="306"/>
        <v>0</v>
      </c>
      <c r="DO124" s="100">
        <v>0.0</v>
      </c>
      <c r="DP124" s="93">
        <f t="shared" si="294"/>
        <v>0</v>
      </c>
      <c r="DQ124" s="100">
        <v>0.0</v>
      </c>
      <c r="DR124" s="93">
        <f t="shared" si="377"/>
        <v>0</v>
      </c>
      <c r="DS124" s="100">
        <v>0.0</v>
      </c>
      <c r="DT124" s="93">
        <f t="shared" si="316"/>
        <v>0</v>
      </c>
      <c r="DU124" s="100">
        <v>0.0</v>
      </c>
      <c r="DV124" s="93">
        <f t="shared" si="61"/>
        <v>0</v>
      </c>
    </row>
    <row r="125">
      <c r="A125" s="7" t="s">
        <v>427</v>
      </c>
      <c r="B125" s="7" t="s">
        <v>237</v>
      </c>
      <c r="C125" s="76" t="str">
        <f t="array" ref="C125">_xlfn.XLOOKUP(A125,'Emp Master'!A:A,'Emp Master'!F:F)</f>
        <v>SNP</v>
      </c>
      <c r="D125" s="76" t="str">
        <f t="array" ref="D125">_xlfn.XLOOKUP(A125,'Emp Master'!A:A,'Emp Master'!D:D)</f>
        <v>Machining</v>
      </c>
      <c r="E125" s="76" t="str">
        <f t="shared" si="326"/>
        <v>#REF!</v>
      </c>
      <c r="F125" s="76"/>
      <c r="G125" s="79"/>
      <c r="H125" s="80"/>
      <c r="I125" s="79"/>
      <c r="J125" s="80"/>
      <c r="K125" s="79"/>
      <c r="L125" s="142"/>
      <c r="M125" s="1"/>
      <c r="N125" s="142"/>
      <c r="O125" s="1"/>
      <c r="P125" s="142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79">
        <f t="shared" si="370"/>
        <v>0</v>
      </c>
      <c r="BJ125" s="1"/>
      <c r="BK125" s="1"/>
      <c r="BL125" s="1"/>
      <c r="BM125" s="1"/>
      <c r="BN125" s="1"/>
      <c r="BO125" s="1"/>
      <c r="BP125" s="1"/>
      <c r="BQ125" s="24">
        <v>0.0</v>
      </c>
      <c r="BR125" s="106">
        <v>0.0</v>
      </c>
      <c r="BS125" s="79">
        <f>BQ125-BR125+7000</f>
        <v>7000</v>
      </c>
      <c r="BT125" s="1"/>
      <c r="BU125" s="79">
        <f t="shared" si="333"/>
        <v>7000</v>
      </c>
      <c r="BV125" s="106">
        <v>2000.0</v>
      </c>
      <c r="BW125" s="79">
        <f t="shared" si="334"/>
        <v>5000</v>
      </c>
      <c r="BX125" s="106">
        <v>2000.0</v>
      </c>
      <c r="BY125" s="79">
        <f t="shared" si="335"/>
        <v>3000</v>
      </c>
      <c r="BZ125" s="106">
        <v>2000.0</v>
      </c>
      <c r="CA125" s="79">
        <f t="shared" si="336"/>
        <v>1000</v>
      </c>
      <c r="CB125" s="106">
        <v>1000.0</v>
      </c>
      <c r="CC125" s="79">
        <f t="shared" si="342"/>
        <v>0</v>
      </c>
      <c r="CD125" s="1"/>
      <c r="CE125" s="79">
        <f t="shared" si="337"/>
        <v>0</v>
      </c>
      <c r="CF125" s="1"/>
      <c r="CG125" s="79">
        <f t="shared" si="338"/>
        <v>0</v>
      </c>
      <c r="CH125" s="1"/>
      <c r="CI125" s="79">
        <f>(CG125-CH125)+10000</f>
        <v>10000</v>
      </c>
      <c r="CJ125" s="106">
        <v>2500.0</v>
      </c>
      <c r="CK125" s="79">
        <f t="shared" si="340"/>
        <v>7500</v>
      </c>
      <c r="CL125" s="106">
        <v>0.0</v>
      </c>
      <c r="CM125" s="79">
        <f t="shared" si="366"/>
        <v>7500</v>
      </c>
      <c r="CN125" s="106">
        <v>7500.0</v>
      </c>
      <c r="CO125" s="79">
        <f t="shared" si="305"/>
        <v>0</v>
      </c>
      <c r="CP125" s="106"/>
      <c r="CQ125" s="79">
        <f t="shared" si="367"/>
        <v>0</v>
      </c>
      <c r="CR125" s="106"/>
      <c r="CS125" s="79">
        <f t="shared" si="373"/>
        <v>0</v>
      </c>
      <c r="CT125" s="79"/>
      <c r="CU125" s="79">
        <f t="shared" si="323"/>
        <v>0</v>
      </c>
      <c r="CV125" s="79"/>
      <c r="CW125" s="79">
        <f t="shared" si="251"/>
        <v>0</v>
      </c>
      <c r="CX125" s="79"/>
      <c r="CY125" s="91"/>
      <c r="CZ125" s="79">
        <f t="shared" si="374"/>
        <v>0</v>
      </c>
      <c r="DA125" s="93"/>
      <c r="DB125" s="93">
        <f t="shared" si="383"/>
        <v>0</v>
      </c>
      <c r="DC125" s="96"/>
      <c r="DD125" s="93">
        <f t="shared" si="375"/>
        <v>0</v>
      </c>
      <c r="DE125" s="96"/>
      <c r="DF125" s="93">
        <f t="shared" si="278"/>
        <v>0</v>
      </c>
      <c r="DG125" s="96"/>
      <c r="DH125" s="93">
        <f t="shared" si="293"/>
        <v>0</v>
      </c>
      <c r="DI125" s="96"/>
      <c r="DJ125" s="93">
        <f t="shared" si="384"/>
        <v>0</v>
      </c>
      <c r="DK125" s="93"/>
      <c r="DL125" s="93">
        <f t="shared" si="376"/>
        <v>0</v>
      </c>
      <c r="DM125" s="100">
        <v>0.0</v>
      </c>
      <c r="DN125" s="93">
        <f t="shared" si="306"/>
        <v>0</v>
      </c>
      <c r="DO125" s="100">
        <v>0.0</v>
      </c>
      <c r="DP125" s="93">
        <f t="shared" si="294"/>
        <v>0</v>
      </c>
      <c r="DQ125" s="100">
        <v>0.0</v>
      </c>
      <c r="DR125" s="93">
        <f t="shared" si="377"/>
        <v>0</v>
      </c>
      <c r="DS125" s="100">
        <v>0.0</v>
      </c>
      <c r="DT125" s="93">
        <f t="shared" si="316"/>
        <v>0</v>
      </c>
      <c r="DU125" s="100">
        <v>0.0</v>
      </c>
      <c r="DV125" s="93">
        <f t="shared" si="61"/>
        <v>0</v>
      </c>
    </row>
    <row r="126">
      <c r="A126" s="7" t="s">
        <v>914</v>
      </c>
      <c r="B126" s="7" t="s">
        <v>802</v>
      </c>
      <c r="C126" s="76" t="str">
        <f t="array" ref="C126">_xlfn.XLOOKUP(A126,'Emp Master'!A:A,'Emp Master'!F:F)</f>
        <v>#N/A</v>
      </c>
      <c r="D126" s="76" t="str">
        <f t="array" ref="D126">_xlfn.XLOOKUP(A126,'Emp Master'!A:A,'Emp Master'!D:D)</f>
        <v>#N/A</v>
      </c>
      <c r="E126" s="76" t="str">
        <f t="shared" si="326"/>
        <v>#REF!</v>
      </c>
      <c r="F126" s="76">
        <v>1000.0</v>
      </c>
      <c r="G126" s="79">
        <v>12000.0</v>
      </c>
      <c r="H126" s="80">
        <v>1000.0</v>
      </c>
      <c r="I126" s="79">
        <f t="shared" ref="I126:I136" si="385">G126-H126</f>
        <v>11000</v>
      </c>
      <c r="J126" s="126">
        <v>0.0</v>
      </c>
      <c r="K126" s="79">
        <f t="shared" ref="K126:K160" si="386">I126-J126</f>
        <v>11000</v>
      </c>
      <c r="L126" s="126">
        <v>0.0</v>
      </c>
      <c r="M126" s="79">
        <f t="shared" ref="M126:M142" si="387">K126-L126</f>
        <v>11000</v>
      </c>
      <c r="N126" s="126">
        <v>0.0</v>
      </c>
      <c r="O126" s="79">
        <f t="shared" ref="O126:O138" si="388">M126-N126</f>
        <v>11000</v>
      </c>
      <c r="P126" s="80"/>
      <c r="Q126" s="79">
        <f t="shared" ref="Q126:Q160" si="389">O126-P126</f>
        <v>11000</v>
      </c>
      <c r="R126" s="1"/>
      <c r="S126" s="79">
        <f t="shared" ref="S126:S133" si="390">Q126-R126</f>
        <v>11000</v>
      </c>
      <c r="T126" s="1"/>
      <c r="U126" s="79">
        <f t="shared" ref="U126:U136" si="391">S126-T126</f>
        <v>11000</v>
      </c>
      <c r="V126" s="1"/>
      <c r="W126" s="79">
        <f t="shared" ref="W126:W151" si="392">U126-V126</f>
        <v>11000</v>
      </c>
      <c r="X126" s="1"/>
      <c r="Y126" s="79">
        <f>W126-X126</f>
        <v>11000</v>
      </c>
      <c r="Z126" s="1"/>
      <c r="AA126" s="79">
        <f t="shared" ref="AA126:AA128" si="393">Y126-Z126</f>
        <v>11000</v>
      </c>
      <c r="AB126" s="1"/>
      <c r="AC126" s="79">
        <f t="shared" ref="AC126:AC160" si="394">AA126-AB126</f>
        <v>11000</v>
      </c>
      <c r="AD126" s="1"/>
      <c r="AE126" s="79">
        <f t="shared" ref="AE126:AE148" si="395">AC126-AD126</f>
        <v>11000</v>
      </c>
      <c r="AF126" s="1"/>
      <c r="AG126" s="79">
        <f t="shared" ref="AG126:AG151" si="396">AE126-AF126</f>
        <v>11000</v>
      </c>
      <c r="AH126" s="1"/>
      <c r="AI126" s="79">
        <f t="shared" ref="AI126:AI150" si="397">AG126-AH126</f>
        <v>11000</v>
      </c>
      <c r="AJ126" s="1"/>
      <c r="AK126" s="79">
        <f t="shared" ref="AK126:AK142" si="398">AI126-AJ126</f>
        <v>11000</v>
      </c>
      <c r="AL126" s="1"/>
      <c r="AM126" s="79">
        <f t="shared" ref="AM126:AM166" si="399">AK126-AL126</f>
        <v>11000</v>
      </c>
      <c r="AN126" s="1"/>
      <c r="AO126" s="79">
        <f t="shared" ref="AO126:AO166" si="400">AM126-AN126</f>
        <v>11000</v>
      </c>
      <c r="AP126" s="1"/>
      <c r="AQ126" s="79">
        <f t="shared" ref="AQ126:AQ128" si="401">AO126-AP126</f>
        <v>11000</v>
      </c>
      <c r="AR126" s="1"/>
      <c r="AS126" s="79">
        <f t="shared" ref="AS126:AS144" si="402">AQ126-AR126</f>
        <v>11000</v>
      </c>
      <c r="AT126" s="1"/>
      <c r="AU126" s="79">
        <f t="shared" ref="AU126:AU159" si="403">AS126-AT126</f>
        <v>11000</v>
      </c>
      <c r="AV126" s="1"/>
      <c r="AW126" s="79">
        <f t="shared" ref="AW126:AW151" si="404">AU126-AV126</f>
        <v>11000</v>
      </c>
      <c r="AX126" s="106">
        <v>2000.0</v>
      </c>
      <c r="AY126" s="79">
        <f t="shared" ref="AY126:AY129" si="405">AW126-AX126</f>
        <v>9000</v>
      </c>
      <c r="AZ126" s="106">
        <v>2000.0</v>
      </c>
      <c r="BA126" s="79">
        <f>AY126-AZ126</f>
        <v>7000</v>
      </c>
      <c r="BB126" s="106">
        <v>3630.0</v>
      </c>
      <c r="BC126" s="79">
        <f t="shared" ref="BC126:BC151" si="406">BA126-BB126</f>
        <v>3370</v>
      </c>
      <c r="BD126" s="1"/>
      <c r="BE126" s="79">
        <f t="shared" ref="BE126:BE163" si="407">BC126-BD126</f>
        <v>3370</v>
      </c>
      <c r="BF126" s="1"/>
      <c r="BG126" s="79">
        <f t="shared" ref="BG126:BG136" si="408">BE126-BF126</f>
        <v>3370</v>
      </c>
      <c r="BH126" s="1"/>
      <c r="BI126" s="79">
        <f>BG126-BH126-340</f>
        <v>3030</v>
      </c>
      <c r="BJ126" s="1"/>
      <c r="BK126" s="79">
        <f t="shared" ref="BK126:BK163" si="409">BI126-BJ126</f>
        <v>3030</v>
      </c>
      <c r="BL126" s="1"/>
      <c r="BM126" s="79">
        <f t="shared" ref="BM126:BM163" si="410">BK126-BL126</f>
        <v>3030</v>
      </c>
      <c r="BN126" s="1"/>
      <c r="BO126" s="79">
        <f t="shared" ref="BO126:BO128" si="411">BM126-BN126</f>
        <v>3030</v>
      </c>
      <c r="BP126" s="1"/>
      <c r="BQ126" s="79">
        <f t="shared" ref="BQ126:BQ129" si="412">BO126-BP126</f>
        <v>3030</v>
      </c>
      <c r="BR126" s="1"/>
      <c r="BS126" s="79">
        <f t="shared" ref="BS126:BS163" si="413">BQ126-BR126</f>
        <v>3030</v>
      </c>
      <c r="BT126" s="1"/>
      <c r="BU126" s="79">
        <f t="shared" si="333"/>
        <v>3030</v>
      </c>
      <c r="BV126" s="1"/>
      <c r="BW126" s="79">
        <f t="shared" si="334"/>
        <v>3030</v>
      </c>
      <c r="BX126" s="1"/>
      <c r="BY126" s="79">
        <f t="shared" si="335"/>
        <v>3030</v>
      </c>
      <c r="BZ126" s="1"/>
      <c r="CA126" s="79">
        <f t="shared" si="336"/>
        <v>3030</v>
      </c>
      <c r="CB126" s="106">
        <v>0.0</v>
      </c>
      <c r="CC126" s="79">
        <f t="shared" si="342"/>
        <v>3030</v>
      </c>
      <c r="CD126" s="1"/>
      <c r="CE126" s="79">
        <f t="shared" si="337"/>
        <v>3030</v>
      </c>
      <c r="CF126" s="106"/>
      <c r="CG126" s="79">
        <f t="shared" si="338"/>
        <v>3030</v>
      </c>
      <c r="CH126" s="106"/>
      <c r="CI126" s="79">
        <f t="shared" ref="CI126:CI163" si="414">CG126-CH126</f>
        <v>3030</v>
      </c>
      <c r="CJ126" s="106"/>
      <c r="CK126" s="79">
        <f t="shared" si="340"/>
        <v>3030</v>
      </c>
      <c r="CL126" s="106"/>
      <c r="CM126" s="79">
        <f t="shared" si="366"/>
        <v>3030</v>
      </c>
      <c r="CN126" s="106"/>
      <c r="CO126" s="79">
        <f t="shared" si="305"/>
        <v>3030</v>
      </c>
      <c r="CP126" s="106"/>
      <c r="CQ126" s="79">
        <f t="shared" si="367"/>
        <v>3030</v>
      </c>
      <c r="CR126" s="106"/>
      <c r="CS126" s="79">
        <f t="shared" si="373"/>
        <v>3030</v>
      </c>
      <c r="CT126" s="79"/>
      <c r="CU126" s="79">
        <f t="shared" si="323"/>
        <v>3030</v>
      </c>
      <c r="CV126" s="79"/>
      <c r="CW126" s="79">
        <f t="shared" si="251"/>
        <v>3030</v>
      </c>
      <c r="CX126" s="79"/>
      <c r="CY126" s="91"/>
      <c r="CZ126" s="79">
        <f t="shared" si="374"/>
        <v>3030</v>
      </c>
      <c r="DA126" s="93"/>
      <c r="DB126" s="93">
        <f t="shared" si="383"/>
        <v>3030</v>
      </c>
      <c r="DC126" s="96"/>
      <c r="DD126" s="93">
        <f t="shared" si="375"/>
        <v>3030</v>
      </c>
      <c r="DE126" s="96"/>
      <c r="DF126" s="93">
        <f t="shared" si="278"/>
        <v>3030</v>
      </c>
      <c r="DG126" s="96"/>
      <c r="DH126" s="93">
        <f t="shared" si="293"/>
        <v>3030</v>
      </c>
      <c r="DI126" s="96"/>
      <c r="DJ126" s="93">
        <f t="shared" si="384"/>
        <v>3030</v>
      </c>
      <c r="DK126" s="93"/>
      <c r="DL126" s="93">
        <f t="shared" si="376"/>
        <v>3030</v>
      </c>
      <c r="DM126" s="100">
        <v>0.0</v>
      </c>
      <c r="DN126" s="93">
        <f t="shared" si="306"/>
        <v>3030</v>
      </c>
      <c r="DO126" s="100">
        <v>0.0</v>
      </c>
      <c r="DP126" s="93">
        <f t="shared" si="294"/>
        <v>3030</v>
      </c>
      <c r="DQ126" s="100">
        <v>0.0</v>
      </c>
      <c r="DR126" s="93">
        <f t="shared" si="377"/>
        <v>3030</v>
      </c>
      <c r="DS126" s="100">
        <v>0.0</v>
      </c>
      <c r="DT126" s="93">
        <f t="shared" si="316"/>
        <v>3030</v>
      </c>
      <c r="DU126" s="100">
        <v>0.0</v>
      </c>
      <c r="DV126" s="93">
        <f t="shared" si="61"/>
        <v>3030</v>
      </c>
    </row>
    <row r="127">
      <c r="A127" s="7" t="s">
        <v>430</v>
      </c>
      <c r="B127" s="7" t="s">
        <v>431</v>
      </c>
      <c r="C127" s="76" t="str">
        <f t="array" ref="C127">_xlfn.XLOOKUP(A127,'Emp Master'!A:A,'Emp Master'!F:F)</f>
        <v>SNP</v>
      </c>
      <c r="D127" s="76" t="str">
        <f t="array" ref="D127">_xlfn.XLOOKUP(A127,'Emp Master'!A:A,'Emp Master'!D:D)</f>
        <v>Cutting</v>
      </c>
      <c r="E127" s="76" t="str">
        <f t="shared" si="326"/>
        <v>#REF!</v>
      </c>
      <c r="F127" s="76"/>
      <c r="G127" s="79"/>
      <c r="H127" s="80"/>
      <c r="I127" s="79">
        <f t="shared" si="385"/>
        <v>0</v>
      </c>
      <c r="J127" s="80"/>
      <c r="K127" s="79">
        <f t="shared" si="386"/>
        <v>0</v>
      </c>
      <c r="L127" s="80"/>
      <c r="M127" s="79">
        <f t="shared" si="387"/>
        <v>0</v>
      </c>
      <c r="N127" s="80"/>
      <c r="O127" s="79">
        <f t="shared" si="388"/>
        <v>0</v>
      </c>
      <c r="P127" s="80"/>
      <c r="Q127" s="79">
        <f t="shared" si="389"/>
        <v>0</v>
      </c>
      <c r="R127" s="1"/>
      <c r="S127" s="79">
        <f t="shared" si="390"/>
        <v>0</v>
      </c>
      <c r="T127" s="1"/>
      <c r="U127" s="79">
        <f t="shared" si="391"/>
        <v>0</v>
      </c>
      <c r="V127" s="1"/>
      <c r="W127" s="79">
        <f t="shared" si="392"/>
        <v>0</v>
      </c>
      <c r="X127" s="1"/>
      <c r="Y127" s="79">
        <f>W127-X127+10000</f>
        <v>10000</v>
      </c>
      <c r="Z127" s="106">
        <v>2000.0</v>
      </c>
      <c r="AA127" s="79">
        <f t="shared" si="393"/>
        <v>8000</v>
      </c>
      <c r="AB127" s="106">
        <v>2000.0</v>
      </c>
      <c r="AC127" s="79">
        <f t="shared" si="394"/>
        <v>6000</v>
      </c>
      <c r="AD127" s="106">
        <v>2000.0</v>
      </c>
      <c r="AE127" s="79">
        <f t="shared" si="395"/>
        <v>4000</v>
      </c>
      <c r="AF127" s="106">
        <v>2000.0</v>
      </c>
      <c r="AG127" s="79">
        <f t="shared" si="396"/>
        <v>2000</v>
      </c>
      <c r="AH127" s="106">
        <v>2000.0</v>
      </c>
      <c r="AI127" s="79">
        <f t="shared" si="397"/>
        <v>0</v>
      </c>
      <c r="AJ127" s="1"/>
      <c r="AK127" s="79">
        <f t="shared" si="398"/>
        <v>0</v>
      </c>
      <c r="AL127" s="1"/>
      <c r="AM127" s="79">
        <f t="shared" si="399"/>
        <v>0</v>
      </c>
      <c r="AN127" s="1"/>
      <c r="AO127" s="79">
        <f t="shared" si="400"/>
        <v>0</v>
      </c>
      <c r="AP127" s="1"/>
      <c r="AQ127" s="79">
        <f t="shared" si="401"/>
        <v>0</v>
      </c>
      <c r="AR127" s="1"/>
      <c r="AS127" s="79">
        <f t="shared" si="402"/>
        <v>0</v>
      </c>
      <c r="AT127" s="1"/>
      <c r="AU127" s="79">
        <f t="shared" si="403"/>
        <v>0</v>
      </c>
      <c r="AV127" s="1"/>
      <c r="AW127" s="79">
        <f t="shared" si="404"/>
        <v>0</v>
      </c>
      <c r="AX127" s="1"/>
      <c r="AY127" s="79">
        <f t="shared" si="405"/>
        <v>0</v>
      </c>
      <c r="AZ127" s="1"/>
      <c r="BA127" s="79">
        <f>AY127-AZ127+13000</f>
        <v>13000</v>
      </c>
      <c r="BB127" s="106">
        <v>3000.0</v>
      </c>
      <c r="BC127" s="79">
        <f t="shared" si="406"/>
        <v>10000</v>
      </c>
      <c r="BD127" s="106">
        <v>3000.0</v>
      </c>
      <c r="BE127" s="79">
        <f t="shared" si="407"/>
        <v>7000</v>
      </c>
      <c r="BF127" s="106">
        <v>3000.0</v>
      </c>
      <c r="BG127" s="79">
        <f t="shared" si="408"/>
        <v>4000</v>
      </c>
      <c r="BH127" s="106">
        <v>4000.0</v>
      </c>
      <c r="BI127" s="79">
        <f t="shared" ref="BI127:BI149" si="415">BG127-BH127</f>
        <v>0</v>
      </c>
      <c r="BJ127" s="1"/>
      <c r="BK127" s="79">
        <f t="shared" si="409"/>
        <v>0</v>
      </c>
      <c r="BL127" s="1"/>
      <c r="BM127" s="79">
        <f t="shared" si="410"/>
        <v>0</v>
      </c>
      <c r="BN127" s="1"/>
      <c r="BO127" s="79">
        <f t="shared" si="411"/>
        <v>0</v>
      </c>
      <c r="BP127" s="1"/>
      <c r="BQ127" s="79">
        <f t="shared" si="412"/>
        <v>0</v>
      </c>
      <c r="BR127" s="1"/>
      <c r="BS127" s="79">
        <f t="shared" si="413"/>
        <v>0</v>
      </c>
      <c r="BT127" s="1"/>
      <c r="BU127" s="79">
        <f t="shared" si="333"/>
        <v>0</v>
      </c>
      <c r="BV127" s="1"/>
      <c r="BW127" s="79">
        <f t="shared" si="334"/>
        <v>0</v>
      </c>
      <c r="BX127" s="1"/>
      <c r="BY127" s="79">
        <f t="shared" si="335"/>
        <v>0</v>
      </c>
      <c r="BZ127" s="1"/>
      <c r="CA127" s="79">
        <f t="shared" si="336"/>
        <v>0</v>
      </c>
      <c r="CB127" s="1"/>
      <c r="CC127" s="79">
        <f t="shared" si="342"/>
        <v>0</v>
      </c>
      <c r="CD127" s="1"/>
      <c r="CE127" s="79">
        <f t="shared" si="337"/>
        <v>0</v>
      </c>
      <c r="CF127" s="1"/>
      <c r="CG127" s="79">
        <f t="shared" si="338"/>
        <v>0</v>
      </c>
      <c r="CH127" s="1"/>
      <c r="CI127" s="79">
        <f t="shared" si="414"/>
        <v>0</v>
      </c>
      <c r="CJ127" s="1"/>
      <c r="CK127" s="79">
        <f t="shared" si="340"/>
        <v>0</v>
      </c>
      <c r="CL127" s="1"/>
      <c r="CM127" s="79">
        <f t="shared" si="366"/>
        <v>0</v>
      </c>
      <c r="CN127" s="1"/>
      <c r="CO127" s="79">
        <f t="shared" si="305"/>
        <v>0</v>
      </c>
      <c r="CP127" s="1"/>
      <c r="CQ127" s="79">
        <f t="shared" si="367"/>
        <v>0</v>
      </c>
      <c r="CR127" s="1"/>
      <c r="CS127" s="79">
        <f t="shared" si="373"/>
        <v>0</v>
      </c>
      <c r="CT127" s="79"/>
      <c r="CU127" s="79">
        <f t="shared" si="323"/>
        <v>0</v>
      </c>
      <c r="CV127" s="79"/>
      <c r="CW127" s="79">
        <f t="shared" si="251"/>
        <v>0</v>
      </c>
      <c r="CX127" s="79"/>
      <c r="CY127" s="91"/>
      <c r="CZ127" s="79">
        <f t="shared" si="374"/>
        <v>0</v>
      </c>
      <c r="DA127" s="93"/>
      <c r="DB127" s="93">
        <f t="shared" si="383"/>
        <v>0</v>
      </c>
      <c r="DC127" s="96"/>
      <c r="DD127" s="93">
        <f t="shared" si="375"/>
        <v>0</v>
      </c>
      <c r="DE127" s="96"/>
      <c r="DF127" s="93">
        <f t="shared" si="278"/>
        <v>0</v>
      </c>
      <c r="DG127" s="96"/>
      <c r="DH127" s="93">
        <f t="shared" si="293"/>
        <v>0</v>
      </c>
      <c r="DI127" s="96"/>
      <c r="DJ127" s="93">
        <f t="shared" si="384"/>
        <v>0</v>
      </c>
      <c r="DK127" s="93"/>
      <c r="DL127" s="93">
        <f t="shared" si="376"/>
        <v>0</v>
      </c>
      <c r="DM127" s="100">
        <v>0.0</v>
      </c>
      <c r="DN127" s="93">
        <f t="shared" si="306"/>
        <v>0</v>
      </c>
      <c r="DO127" s="100">
        <v>0.0</v>
      </c>
      <c r="DP127" s="93">
        <f t="shared" si="294"/>
        <v>0</v>
      </c>
      <c r="DQ127" s="100">
        <v>0.0</v>
      </c>
      <c r="DR127" s="93">
        <f t="shared" si="377"/>
        <v>0</v>
      </c>
      <c r="DS127" s="100">
        <v>0.0</v>
      </c>
      <c r="DT127" s="93">
        <f>DR127-DS127+7000</f>
        <v>7000</v>
      </c>
      <c r="DU127" s="100">
        <v>2500.0</v>
      </c>
      <c r="DV127" s="93">
        <f t="shared" si="61"/>
        <v>4500</v>
      </c>
    </row>
    <row r="128">
      <c r="A128" s="7" t="s">
        <v>915</v>
      </c>
      <c r="B128" s="1" t="s">
        <v>916</v>
      </c>
      <c r="C128" s="76" t="str">
        <f t="array" ref="C128">_xlfn.XLOOKUP(A128,'Emp Master'!A:A,'Emp Master'!F:F)</f>
        <v>#N/A</v>
      </c>
      <c r="D128" s="76" t="str">
        <f t="array" ref="D128">_xlfn.XLOOKUP(A128,'Emp Master'!A:A,'Emp Master'!D:D)</f>
        <v>#N/A</v>
      </c>
      <c r="E128" s="76" t="str">
        <f t="shared" si="326"/>
        <v>#REF!</v>
      </c>
      <c r="F128" s="76"/>
      <c r="G128" s="79"/>
      <c r="H128" s="80"/>
      <c r="I128" s="79">
        <f t="shared" si="385"/>
        <v>0</v>
      </c>
      <c r="J128" s="80"/>
      <c r="K128" s="79">
        <f t="shared" si="386"/>
        <v>0</v>
      </c>
      <c r="L128" s="80"/>
      <c r="M128" s="79">
        <f t="shared" si="387"/>
        <v>0</v>
      </c>
      <c r="N128" s="80"/>
      <c r="O128" s="79">
        <f t="shared" si="388"/>
        <v>0</v>
      </c>
      <c r="P128" s="80"/>
      <c r="Q128" s="79">
        <f t="shared" si="389"/>
        <v>0</v>
      </c>
      <c r="R128" s="1"/>
      <c r="S128" s="79">
        <f t="shared" si="390"/>
        <v>0</v>
      </c>
      <c r="T128" s="1"/>
      <c r="U128" s="79">
        <f t="shared" si="391"/>
        <v>0</v>
      </c>
      <c r="V128" s="1"/>
      <c r="W128" s="79">
        <f t="shared" si="392"/>
        <v>0</v>
      </c>
      <c r="X128" s="1"/>
      <c r="Y128" s="79">
        <f t="shared" ref="Y128:Y152" si="416">W128-X128</f>
        <v>0</v>
      </c>
      <c r="Z128" s="1"/>
      <c r="AA128" s="79">
        <f t="shared" si="393"/>
        <v>0</v>
      </c>
      <c r="AB128" s="1"/>
      <c r="AC128" s="79">
        <f t="shared" si="394"/>
        <v>0</v>
      </c>
      <c r="AD128" s="1"/>
      <c r="AE128" s="79">
        <f t="shared" si="395"/>
        <v>0</v>
      </c>
      <c r="AF128" s="1"/>
      <c r="AG128" s="79">
        <f t="shared" si="396"/>
        <v>0</v>
      </c>
      <c r="AH128" s="1"/>
      <c r="AI128" s="79">
        <f t="shared" si="397"/>
        <v>0</v>
      </c>
      <c r="AJ128" s="1"/>
      <c r="AK128" s="79">
        <f t="shared" si="398"/>
        <v>0</v>
      </c>
      <c r="AL128" s="1"/>
      <c r="AM128" s="79">
        <f t="shared" si="399"/>
        <v>0</v>
      </c>
      <c r="AN128" s="1"/>
      <c r="AO128" s="79">
        <f t="shared" si="400"/>
        <v>0</v>
      </c>
      <c r="AP128" s="1"/>
      <c r="AQ128" s="79">
        <f t="shared" si="401"/>
        <v>0</v>
      </c>
      <c r="AR128" s="1"/>
      <c r="AS128" s="79">
        <f t="shared" si="402"/>
        <v>0</v>
      </c>
      <c r="AT128" s="1"/>
      <c r="AU128" s="79">
        <f t="shared" si="403"/>
        <v>0</v>
      </c>
      <c r="AV128" s="1"/>
      <c r="AW128" s="79">
        <f t="shared" si="404"/>
        <v>0</v>
      </c>
      <c r="AX128" s="1"/>
      <c r="AY128" s="79">
        <f t="shared" si="405"/>
        <v>0</v>
      </c>
      <c r="AZ128" s="1"/>
      <c r="BA128" s="79">
        <f t="shared" ref="BA128:BA135" si="417">AY128-AZ128</f>
        <v>0</v>
      </c>
      <c r="BB128" s="1"/>
      <c r="BC128" s="79">
        <f t="shared" si="406"/>
        <v>0</v>
      </c>
      <c r="BD128" s="1"/>
      <c r="BE128" s="79">
        <f t="shared" si="407"/>
        <v>0</v>
      </c>
      <c r="BF128" s="1"/>
      <c r="BG128" s="79">
        <f t="shared" si="408"/>
        <v>0</v>
      </c>
      <c r="BH128" s="1"/>
      <c r="BI128" s="79">
        <f t="shared" si="415"/>
        <v>0</v>
      </c>
      <c r="BJ128" s="1"/>
      <c r="BK128" s="79">
        <f t="shared" si="409"/>
        <v>0</v>
      </c>
      <c r="BL128" s="1"/>
      <c r="BM128" s="79">
        <f t="shared" si="410"/>
        <v>0</v>
      </c>
      <c r="BN128" s="1"/>
      <c r="BO128" s="79">
        <f t="shared" si="411"/>
        <v>0</v>
      </c>
      <c r="BP128" s="1"/>
      <c r="BQ128" s="79">
        <f t="shared" si="412"/>
        <v>0</v>
      </c>
      <c r="BR128" s="1"/>
      <c r="BS128" s="79">
        <f t="shared" si="413"/>
        <v>0</v>
      </c>
      <c r="BT128" s="1"/>
      <c r="BU128" s="79">
        <f t="shared" si="333"/>
        <v>0</v>
      </c>
      <c r="BV128" s="1"/>
      <c r="BW128" s="79">
        <f t="shared" si="334"/>
        <v>0</v>
      </c>
      <c r="BX128" s="1"/>
      <c r="BY128" s="79">
        <f t="shared" si="335"/>
        <v>0</v>
      </c>
      <c r="BZ128" s="1"/>
      <c r="CA128" s="79">
        <f t="shared" si="336"/>
        <v>0</v>
      </c>
      <c r="CB128" s="1"/>
      <c r="CC128" s="79">
        <f t="shared" si="342"/>
        <v>0</v>
      </c>
      <c r="CD128" s="1"/>
      <c r="CE128" s="79">
        <f t="shared" si="337"/>
        <v>0</v>
      </c>
      <c r="CF128" s="1"/>
      <c r="CG128" s="79">
        <f t="shared" si="338"/>
        <v>0</v>
      </c>
      <c r="CH128" s="1"/>
      <c r="CI128" s="79">
        <f t="shared" si="414"/>
        <v>0</v>
      </c>
      <c r="CJ128" s="1"/>
      <c r="CK128" s="79">
        <f t="shared" si="340"/>
        <v>0</v>
      </c>
      <c r="CL128" s="1"/>
      <c r="CM128" s="79">
        <f t="shared" si="366"/>
        <v>0</v>
      </c>
      <c r="CN128" s="1"/>
      <c r="CO128" s="79">
        <f t="shared" si="305"/>
        <v>0</v>
      </c>
      <c r="CP128" s="1"/>
      <c r="CQ128" s="79">
        <f t="shared" si="367"/>
        <v>0</v>
      </c>
      <c r="CR128" s="1"/>
      <c r="CS128" s="79">
        <f t="shared" si="373"/>
        <v>0</v>
      </c>
      <c r="CT128" s="79"/>
      <c r="CU128" s="79">
        <f t="shared" si="323"/>
        <v>0</v>
      </c>
      <c r="CV128" s="79"/>
      <c r="CW128" s="79">
        <f t="shared" si="251"/>
        <v>0</v>
      </c>
      <c r="CX128" s="79"/>
      <c r="CY128" s="91"/>
      <c r="CZ128" s="79">
        <f t="shared" si="374"/>
        <v>0</v>
      </c>
      <c r="DA128" s="93"/>
      <c r="DB128" s="93">
        <f t="shared" si="383"/>
        <v>0</v>
      </c>
      <c r="DC128" s="96"/>
      <c r="DD128" s="93">
        <f t="shared" si="375"/>
        <v>0</v>
      </c>
      <c r="DE128" s="96"/>
      <c r="DF128" s="93">
        <f t="shared" si="278"/>
        <v>0</v>
      </c>
      <c r="DG128" s="96"/>
      <c r="DH128" s="93">
        <f t="shared" si="293"/>
        <v>0</v>
      </c>
      <c r="DI128" s="96"/>
      <c r="DJ128" s="93">
        <f t="shared" si="384"/>
        <v>0</v>
      </c>
      <c r="DK128" s="93"/>
      <c r="DL128" s="93">
        <f t="shared" si="376"/>
        <v>0</v>
      </c>
      <c r="DM128" s="100">
        <v>0.0</v>
      </c>
      <c r="DN128" s="93">
        <f t="shared" si="306"/>
        <v>0</v>
      </c>
      <c r="DO128" s="100">
        <v>0.0</v>
      </c>
      <c r="DP128" s="93">
        <f t="shared" si="294"/>
        <v>0</v>
      </c>
      <c r="DQ128" s="100">
        <v>0.0</v>
      </c>
      <c r="DR128" s="93">
        <f t="shared" si="377"/>
        <v>0</v>
      </c>
      <c r="DS128" s="100">
        <v>0.0</v>
      </c>
      <c r="DT128" s="93">
        <f>DR128-DS128</f>
        <v>0</v>
      </c>
      <c r="DU128" s="100">
        <v>0.0</v>
      </c>
      <c r="DV128" s="93">
        <f t="shared" si="61"/>
        <v>0</v>
      </c>
    </row>
    <row r="129">
      <c r="A129" s="7" t="s">
        <v>432</v>
      </c>
      <c r="B129" s="1" t="s">
        <v>433</v>
      </c>
      <c r="C129" s="76" t="str">
        <f t="array" ref="C129">_xlfn.XLOOKUP(A129,'Emp Master'!A:A,'Emp Master'!F:F)</f>
        <v>SNP</v>
      </c>
      <c r="D129" s="76" t="str">
        <f t="array" ref="D129">_xlfn.XLOOKUP(A129,'Emp Master'!A:A,'Emp Master'!D:D)</f>
        <v>Machining</v>
      </c>
      <c r="E129" s="76" t="str">
        <f t="shared" si="326"/>
        <v>#REF!</v>
      </c>
      <c r="F129" s="76">
        <v>1000.0</v>
      </c>
      <c r="G129" s="79">
        <v>8000.0</v>
      </c>
      <c r="H129" s="80">
        <v>1000.0</v>
      </c>
      <c r="I129" s="79">
        <f t="shared" si="385"/>
        <v>7000</v>
      </c>
      <c r="J129" s="80">
        <v>1000.0</v>
      </c>
      <c r="K129" s="79">
        <f t="shared" si="386"/>
        <v>6000</v>
      </c>
      <c r="L129" s="80">
        <v>1000.0</v>
      </c>
      <c r="M129" s="79">
        <f t="shared" si="387"/>
        <v>5000</v>
      </c>
      <c r="N129" s="80">
        <v>1000.0</v>
      </c>
      <c r="O129" s="79">
        <f t="shared" si="388"/>
        <v>4000</v>
      </c>
      <c r="P129" s="80">
        <v>1000.0</v>
      </c>
      <c r="Q129" s="79">
        <f t="shared" si="389"/>
        <v>3000</v>
      </c>
      <c r="R129" s="106">
        <v>1000.0</v>
      </c>
      <c r="S129" s="79">
        <f t="shared" si="390"/>
        <v>2000</v>
      </c>
      <c r="T129" s="106"/>
      <c r="U129" s="79">
        <f t="shared" si="391"/>
        <v>2000</v>
      </c>
      <c r="V129" s="106">
        <v>2000.0</v>
      </c>
      <c r="W129" s="79">
        <f t="shared" si="392"/>
        <v>0</v>
      </c>
      <c r="X129" s="1"/>
      <c r="Y129" s="79">
        <f t="shared" si="416"/>
        <v>0</v>
      </c>
      <c r="Z129" s="1"/>
      <c r="AA129" s="79">
        <f>Y129-Z129+15000</f>
        <v>15000</v>
      </c>
      <c r="AB129" s="106">
        <v>0.0</v>
      </c>
      <c r="AC129" s="79">
        <f t="shared" si="394"/>
        <v>15000</v>
      </c>
      <c r="AD129" s="106">
        <v>3000.0</v>
      </c>
      <c r="AE129" s="79">
        <f t="shared" si="395"/>
        <v>12000</v>
      </c>
      <c r="AF129" s="106">
        <v>3000.0</v>
      </c>
      <c r="AG129" s="79">
        <f t="shared" si="396"/>
        <v>9000</v>
      </c>
      <c r="AH129" s="106">
        <v>3000.0</v>
      </c>
      <c r="AI129" s="79">
        <f t="shared" si="397"/>
        <v>6000</v>
      </c>
      <c r="AJ129" s="106">
        <v>3000.0</v>
      </c>
      <c r="AK129" s="79">
        <f t="shared" si="398"/>
        <v>3000</v>
      </c>
      <c r="AL129" s="106">
        <v>3000.0</v>
      </c>
      <c r="AM129" s="79">
        <f t="shared" si="399"/>
        <v>0</v>
      </c>
      <c r="AN129" s="1"/>
      <c r="AO129" s="79">
        <f t="shared" si="400"/>
        <v>0</v>
      </c>
      <c r="AP129" s="1"/>
      <c r="AQ129" s="79">
        <f>AO129-AP129+15000</f>
        <v>15000</v>
      </c>
      <c r="AR129" s="1"/>
      <c r="AS129" s="79">
        <f t="shared" si="402"/>
        <v>15000</v>
      </c>
      <c r="AT129" s="1"/>
      <c r="AU129" s="79">
        <f t="shared" si="403"/>
        <v>15000</v>
      </c>
      <c r="AV129" s="106">
        <v>1000.0</v>
      </c>
      <c r="AW129" s="79">
        <f t="shared" si="404"/>
        <v>14000</v>
      </c>
      <c r="AX129" s="106">
        <v>1000.0</v>
      </c>
      <c r="AY129" s="79">
        <f t="shared" si="405"/>
        <v>13000</v>
      </c>
      <c r="AZ129" s="106">
        <v>1000.0</v>
      </c>
      <c r="BA129" s="79">
        <f t="shared" si="417"/>
        <v>12000</v>
      </c>
      <c r="BB129" s="106">
        <v>2000.0</v>
      </c>
      <c r="BC129" s="79">
        <f t="shared" si="406"/>
        <v>10000</v>
      </c>
      <c r="BD129" s="106">
        <v>2000.0</v>
      </c>
      <c r="BE129" s="79">
        <f t="shared" si="407"/>
        <v>8000</v>
      </c>
      <c r="BF129" s="106">
        <v>2000.0</v>
      </c>
      <c r="BG129" s="79">
        <f t="shared" si="408"/>
        <v>6000</v>
      </c>
      <c r="BH129" s="106">
        <v>2000.0</v>
      </c>
      <c r="BI129" s="79">
        <f t="shared" si="415"/>
        <v>4000</v>
      </c>
      <c r="BJ129" s="106">
        <v>2000.0</v>
      </c>
      <c r="BK129" s="79">
        <f t="shared" si="409"/>
        <v>2000</v>
      </c>
      <c r="BL129" s="106">
        <v>2000.0</v>
      </c>
      <c r="BM129" s="79">
        <f t="shared" si="410"/>
        <v>0</v>
      </c>
      <c r="BN129" s="1"/>
      <c r="BO129" s="79">
        <f>BM129-BN129+7500</f>
        <v>7500</v>
      </c>
      <c r="BP129" s="106">
        <v>1500.0</v>
      </c>
      <c r="BQ129" s="79">
        <f t="shared" si="412"/>
        <v>6000</v>
      </c>
      <c r="BR129" s="106">
        <v>1000.0</v>
      </c>
      <c r="BS129" s="79">
        <f t="shared" si="413"/>
        <v>5000</v>
      </c>
      <c r="BT129" s="106">
        <v>5000.0</v>
      </c>
      <c r="BU129" s="79">
        <f>BS129-BT129+8000</f>
        <v>8000</v>
      </c>
      <c r="BV129" s="106">
        <v>0.0</v>
      </c>
      <c r="BW129" s="79">
        <f t="shared" si="334"/>
        <v>8000</v>
      </c>
      <c r="BX129" s="106">
        <v>1000.0</v>
      </c>
      <c r="BY129" s="79">
        <f t="shared" si="335"/>
        <v>7000</v>
      </c>
      <c r="BZ129" s="106">
        <v>1000.0</v>
      </c>
      <c r="CA129" s="79">
        <f t="shared" si="336"/>
        <v>6000</v>
      </c>
      <c r="CB129" s="106">
        <v>1000.0</v>
      </c>
      <c r="CC129" s="79">
        <f>1500+(CA129-CB129)</f>
        <v>6500</v>
      </c>
      <c r="CD129" s="106">
        <v>2500.0</v>
      </c>
      <c r="CE129" s="79">
        <f>10000+(CC129-CD129)</f>
        <v>14000</v>
      </c>
      <c r="CF129" s="106">
        <v>4000.0</v>
      </c>
      <c r="CG129" s="79">
        <f t="shared" si="338"/>
        <v>10000</v>
      </c>
      <c r="CH129" s="106">
        <v>0.0</v>
      </c>
      <c r="CI129" s="79">
        <f t="shared" si="414"/>
        <v>10000</v>
      </c>
      <c r="CJ129" s="106">
        <v>2500.0</v>
      </c>
      <c r="CK129" s="79">
        <f t="shared" si="340"/>
        <v>7500</v>
      </c>
      <c r="CL129" s="106">
        <v>2500.0</v>
      </c>
      <c r="CM129" s="79">
        <f t="shared" si="366"/>
        <v>5000</v>
      </c>
      <c r="CN129" s="106">
        <v>2500.0</v>
      </c>
      <c r="CO129" s="79">
        <f t="shared" si="305"/>
        <v>2500</v>
      </c>
      <c r="CP129" s="106">
        <v>2500.0</v>
      </c>
      <c r="CQ129" s="79">
        <f>CO129-CP129+15000</f>
        <v>15000</v>
      </c>
      <c r="CR129" s="106">
        <v>4000.0</v>
      </c>
      <c r="CS129" s="79">
        <f t="shared" si="373"/>
        <v>11000</v>
      </c>
      <c r="CT129" s="24"/>
      <c r="CU129" s="79">
        <f t="shared" si="323"/>
        <v>11000</v>
      </c>
      <c r="CV129" s="24">
        <v>4000.0</v>
      </c>
      <c r="CW129" s="79">
        <f t="shared" si="251"/>
        <v>7000</v>
      </c>
      <c r="CX129" s="24"/>
      <c r="CY129" s="91">
        <v>7000.0</v>
      </c>
      <c r="CZ129" s="79">
        <f>CW129-CX129-CY129</f>
        <v>0</v>
      </c>
      <c r="DA129" s="93"/>
      <c r="DB129" s="93">
        <f>CZ129-DA129+10000</f>
        <v>10000</v>
      </c>
      <c r="DC129" s="178">
        <v>4000.0</v>
      </c>
      <c r="DD129" s="93">
        <f t="shared" si="375"/>
        <v>6000</v>
      </c>
      <c r="DE129" s="178">
        <v>4000.0</v>
      </c>
      <c r="DF129" s="93">
        <f t="shared" si="278"/>
        <v>2000</v>
      </c>
      <c r="DG129" s="178">
        <v>2000.0</v>
      </c>
      <c r="DH129" s="93">
        <f t="shared" si="293"/>
        <v>0</v>
      </c>
      <c r="DI129" s="178"/>
      <c r="DJ129" s="93">
        <f t="shared" si="384"/>
        <v>0</v>
      </c>
      <c r="DK129" s="93"/>
      <c r="DL129" s="100">
        <v>10000.0</v>
      </c>
      <c r="DM129" s="100">
        <v>5000.0</v>
      </c>
      <c r="DN129" s="93">
        <f t="shared" si="306"/>
        <v>5000</v>
      </c>
      <c r="DO129" s="100">
        <v>2500.0</v>
      </c>
      <c r="DP129" s="93">
        <f t="shared" si="294"/>
        <v>2500</v>
      </c>
      <c r="DQ129" s="100">
        <v>2500.0</v>
      </c>
      <c r="DR129" s="93">
        <f t="shared" si="377"/>
        <v>0</v>
      </c>
      <c r="DS129" s="100">
        <v>0.0</v>
      </c>
      <c r="DT129" s="93">
        <f>DR129-DS129+20000</f>
        <v>20000</v>
      </c>
      <c r="DU129" s="100">
        <v>0.0</v>
      </c>
      <c r="DV129" s="93">
        <f t="shared" si="61"/>
        <v>20000</v>
      </c>
    </row>
    <row r="130">
      <c r="A130" s="7" t="s">
        <v>436</v>
      </c>
      <c r="B130" s="7" t="s">
        <v>437</v>
      </c>
      <c r="C130" s="76" t="str">
        <f t="array" ref="C130">_xlfn.XLOOKUP(A130,'Emp Master'!A:A,'Emp Master'!F:F)</f>
        <v>SNP</v>
      </c>
      <c r="D130" s="76" t="str">
        <f t="array" ref="D130">_xlfn.XLOOKUP(A130,'Emp Master'!A:A,'Emp Master'!D:D)</f>
        <v>Machining</v>
      </c>
      <c r="E130" s="76" t="str">
        <f t="shared" si="326"/>
        <v>#REF!</v>
      </c>
      <c r="F130" s="76">
        <v>2000.0</v>
      </c>
      <c r="G130" s="79">
        <v>2000.0</v>
      </c>
      <c r="H130" s="80">
        <v>2000.0</v>
      </c>
      <c r="I130" s="79">
        <f t="shared" si="385"/>
        <v>0</v>
      </c>
      <c r="J130" s="80"/>
      <c r="K130" s="79">
        <f t="shared" si="386"/>
        <v>0</v>
      </c>
      <c r="L130" s="80"/>
      <c r="M130" s="79">
        <f t="shared" si="387"/>
        <v>0</v>
      </c>
      <c r="N130" s="80"/>
      <c r="O130" s="79">
        <f t="shared" si="388"/>
        <v>0</v>
      </c>
      <c r="P130" s="80"/>
      <c r="Q130" s="79">
        <f t="shared" si="389"/>
        <v>0</v>
      </c>
      <c r="R130" s="1"/>
      <c r="S130" s="79">
        <f t="shared" si="390"/>
        <v>0</v>
      </c>
      <c r="T130" s="1"/>
      <c r="U130" s="79">
        <f t="shared" si="391"/>
        <v>0</v>
      </c>
      <c r="V130" s="1"/>
      <c r="W130" s="79">
        <f t="shared" si="392"/>
        <v>0</v>
      </c>
      <c r="X130" s="1"/>
      <c r="Y130" s="79">
        <f t="shared" si="416"/>
        <v>0</v>
      </c>
      <c r="Z130" s="1"/>
      <c r="AA130" s="79">
        <f t="shared" ref="AA130:AA151" si="418">Y130-Z130</f>
        <v>0</v>
      </c>
      <c r="AB130" s="1"/>
      <c r="AC130" s="79">
        <f t="shared" si="394"/>
        <v>0</v>
      </c>
      <c r="AD130" s="1"/>
      <c r="AE130" s="79">
        <f t="shared" si="395"/>
        <v>0</v>
      </c>
      <c r="AF130" s="1"/>
      <c r="AG130" s="79">
        <f t="shared" si="396"/>
        <v>0</v>
      </c>
      <c r="AH130" s="1"/>
      <c r="AI130" s="79">
        <f t="shared" si="397"/>
        <v>0</v>
      </c>
      <c r="AJ130" s="1"/>
      <c r="AK130" s="79">
        <f t="shared" si="398"/>
        <v>0</v>
      </c>
      <c r="AL130" s="1"/>
      <c r="AM130" s="79">
        <f t="shared" si="399"/>
        <v>0</v>
      </c>
      <c r="AN130" s="1"/>
      <c r="AO130" s="79">
        <f t="shared" si="400"/>
        <v>0</v>
      </c>
      <c r="AP130" s="1"/>
      <c r="AQ130" s="79">
        <f t="shared" ref="AQ130:AQ133" si="419">AO130-AP130</f>
        <v>0</v>
      </c>
      <c r="AR130" s="1"/>
      <c r="AS130" s="79">
        <f t="shared" si="402"/>
        <v>0</v>
      </c>
      <c r="AT130" s="1"/>
      <c r="AU130" s="79">
        <f t="shared" si="403"/>
        <v>0</v>
      </c>
      <c r="AV130" s="1"/>
      <c r="AW130" s="79">
        <f t="shared" si="404"/>
        <v>0</v>
      </c>
      <c r="AX130" s="1"/>
      <c r="AY130" s="79">
        <f>AW130-AX130+7000</f>
        <v>7000</v>
      </c>
      <c r="AZ130" s="106">
        <v>2000.0</v>
      </c>
      <c r="BA130" s="79">
        <f t="shared" si="417"/>
        <v>5000</v>
      </c>
      <c r="BB130" s="106">
        <v>2000.0</v>
      </c>
      <c r="BC130" s="79">
        <f t="shared" si="406"/>
        <v>3000</v>
      </c>
      <c r="BD130" s="106">
        <v>2000.0</v>
      </c>
      <c r="BE130" s="79">
        <f t="shared" si="407"/>
        <v>1000</v>
      </c>
      <c r="BF130" s="106">
        <v>1000.0</v>
      </c>
      <c r="BG130" s="79">
        <f t="shared" si="408"/>
        <v>0</v>
      </c>
      <c r="BH130" s="1"/>
      <c r="BI130" s="79">
        <f t="shared" si="415"/>
        <v>0</v>
      </c>
      <c r="BJ130" s="1"/>
      <c r="BK130" s="79">
        <f t="shared" si="409"/>
        <v>0</v>
      </c>
      <c r="BL130" s="1"/>
      <c r="BM130" s="79">
        <f t="shared" si="410"/>
        <v>0</v>
      </c>
      <c r="BN130" s="1"/>
      <c r="BO130" s="79">
        <f>BM130-BN130+7000</f>
        <v>7000</v>
      </c>
      <c r="BP130" s="106">
        <v>1500.0</v>
      </c>
      <c r="BQ130" s="79">
        <f>BO130-BP130+200</f>
        <v>5700</v>
      </c>
      <c r="BR130" s="106">
        <f>1500+200</f>
        <v>1700</v>
      </c>
      <c r="BS130" s="79">
        <f t="shared" si="413"/>
        <v>4000</v>
      </c>
      <c r="BT130" s="106">
        <v>1500.0</v>
      </c>
      <c r="BU130" s="79">
        <f t="shared" ref="BU130:BU142" si="420">BS130-BT130</f>
        <v>2500</v>
      </c>
      <c r="BV130" s="106">
        <v>1500.0</v>
      </c>
      <c r="BW130" s="79">
        <f t="shared" si="334"/>
        <v>1000</v>
      </c>
      <c r="BX130" s="106">
        <v>1000.0</v>
      </c>
      <c r="BY130" s="79">
        <f t="shared" si="335"/>
        <v>0</v>
      </c>
      <c r="BZ130" s="1"/>
      <c r="CA130" s="79">
        <f t="shared" si="336"/>
        <v>0</v>
      </c>
      <c r="CB130" s="1"/>
      <c r="CC130" s="79">
        <f t="shared" ref="CC130:CC142" si="421">CA130-CB130</f>
        <v>0</v>
      </c>
      <c r="CD130" s="1"/>
      <c r="CE130" s="79">
        <f t="shared" ref="CE130:CE142" si="422">CC130-CD130</f>
        <v>0</v>
      </c>
      <c r="CF130" s="1"/>
      <c r="CG130" s="79">
        <f t="shared" si="338"/>
        <v>0</v>
      </c>
      <c r="CH130" s="1"/>
      <c r="CI130" s="79">
        <f t="shared" si="414"/>
        <v>0</v>
      </c>
      <c r="CJ130" s="1"/>
      <c r="CK130" s="24">
        <v>5000.0</v>
      </c>
      <c r="CL130" s="106">
        <v>2500.0</v>
      </c>
      <c r="CM130" s="79">
        <f t="shared" si="366"/>
        <v>2500</v>
      </c>
      <c r="CN130" s="106">
        <v>2500.0</v>
      </c>
      <c r="CO130" s="79">
        <f t="shared" si="305"/>
        <v>0</v>
      </c>
      <c r="CP130" s="106"/>
      <c r="CQ130" s="79">
        <f t="shared" ref="CQ130:CQ151" si="423">CO130-CP130</f>
        <v>0</v>
      </c>
      <c r="CR130" s="106"/>
      <c r="CS130" s="79">
        <f t="shared" si="373"/>
        <v>0</v>
      </c>
      <c r="CT130" s="79"/>
      <c r="CU130" s="79">
        <f t="shared" si="323"/>
        <v>0</v>
      </c>
      <c r="CV130" s="79"/>
      <c r="CW130" s="79">
        <f t="shared" si="251"/>
        <v>0</v>
      </c>
      <c r="CX130" s="79"/>
      <c r="CY130" s="91"/>
      <c r="CZ130" s="79">
        <f t="shared" ref="CZ130:CZ135" si="424">CW130-CX130</f>
        <v>0</v>
      </c>
      <c r="DA130" s="93"/>
      <c r="DB130" s="93">
        <f t="shared" ref="DB130:DB144" si="425">CZ130-DA130</f>
        <v>0</v>
      </c>
      <c r="DC130" s="96"/>
      <c r="DD130" s="93">
        <f t="shared" si="375"/>
        <v>0</v>
      </c>
      <c r="DE130" s="96"/>
      <c r="DF130" s="93">
        <f t="shared" si="278"/>
        <v>0</v>
      </c>
      <c r="DG130" s="96"/>
      <c r="DH130" s="93">
        <f t="shared" si="293"/>
        <v>0</v>
      </c>
      <c r="DI130" s="96"/>
      <c r="DJ130" s="93">
        <f t="shared" si="384"/>
        <v>0</v>
      </c>
      <c r="DK130" s="93"/>
      <c r="DL130" s="93">
        <f t="shared" ref="DL130:DL141" si="426">DJ130-DK130</f>
        <v>0</v>
      </c>
      <c r="DM130" s="100">
        <v>0.0</v>
      </c>
      <c r="DN130" s="93">
        <f t="shared" si="306"/>
        <v>0</v>
      </c>
      <c r="DO130" s="100">
        <v>0.0</v>
      </c>
      <c r="DP130" s="93">
        <f t="shared" si="294"/>
        <v>0</v>
      </c>
      <c r="DQ130" s="100">
        <v>0.0</v>
      </c>
      <c r="DR130" s="93">
        <f t="shared" si="377"/>
        <v>0</v>
      </c>
      <c r="DS130" s="100">
        <v>0.0</v>
      </c>
      <c r="DT130" s="93">
        <f>DR130-DS130+10000</f>
        <v>10000</v>
      </c>
      <c r="DU130" s="100">
        <v>2000.0</v>
      </c>
      <c r="DV130" s="93">
        <f t="shared" si="61"/>
        <v>8000</v>
      </c>
    </row>
    <row r="131">
      <c r="A131" s="7" t="s">
        <v>445</v>
      </c>
      <c r="B131" s="7" t="s">
        <v>446</v>
      </c>
      <c r="C131" s="76" t="str">
        <f t="array" ref="C131">_xlfn.XLOOKUP(A131,'Emp Master'!A:A,'Emp Master'!F:F)</f>
        <v>DEL</v>
      </c>
      <c r="D131" s="76" t="str">
        <f t="array" ref="D131">_xlfn.XLOOKUP(A131,'Emp Master'!A:A,'Emp Master'!D:D)</f>
        <v>Management</v>
      </c>
      <c r="E131" s="76" t="str">
        <f t="shared" si="326"/>
        <v>#REF!</v>
      </c>
      <c r="F131" s="76"/>
      <c r="G131" s="79"/>
      <c r="H131" s="80"/>
      <c r="I131" s="79">
        <f t="shared" si="385"/>
        <v>0</v>
      </c>
      <c r="J131" s="80"/>
      <c r="K131" s="79">
        <f t="shared" si="386"/>
        <v>0</v>
      </c>
      <c r="L131" s="80"/>
      <c r="M131" s="79">
        <f t="shared" si="387"/>
        <v>0</v>
      </c>
      <c r="N131" s="80"/>
      <c r="O131" s="79">
        <f t="shared" si="388"/>
        <v>0</v>
      </c>
      <c r="P131" s="80"/>
      <c r="Q131" s="79">
        <f t="shared" si="389"/>
        <v>0</v>
      </c>
      <c r="R131" s="1"/>
      <c r="S131" s="79">
        <f t="shared" si="390"/>
        <v>0</v>
      </c>
      <c r="T131" s="1"/>
      <c r="U131" s="79">
        <f t="shared" si="391"/>
        <v>0</v>
      </c>
      <c r="V131" s="1"/>
      <c r="W131" s="79">
        <f t="shared" si="392"/>
        <v>0</v>
      </c>
      <c r="X131" s="1"/>
      <c r="Y131" s="79">
        <f t="shared" si="416"/>
        <v>0</v>
      </c>
      <c r="Z131" s="1"/>
      <c r="AA131" s="79">
        <f t="shared" si="418"/>
        <v>0</v>
      </c>
      <c r="AB131" s="1"/>
      <c r="AC131" s="79">
        <f t="shared" si="394"/>
        <v>0</v>
      </c>
      <c r="AD131" s="1"/>
      <c r="AE131" s="79">
        <f t="shared" si="395"/>
        <v>0</v>
      </c>
      <c r="AF131" s="1"/>
      <c r="AG131" s="79">
        <f t="shared" si="396"/>
        <v>0</v>
      </c>
      <c r="AH131" s="1"/>
      <c r="AI131" s="79">
        <f t="shared" si="397"/>
        <v>0</v>
      </c>
      <c r="AJ131" s="1"/>
      <c r="AK131" s="79">
        <f t="shared" si="398"/>
        <v>0</v>
      </c>
      <c r="AL131" s="1"/>
      <c r="AM131" s="79">
        <f t="shared" si="399"/>
        <v>0</v>
      </c>
      <c r="AN131" s="1"/>
      <c r="AO131" s="79">
        <f t="shared" si="400"/>
        <v>0</v>
      </c>
      <c r="AP131" s="1"/>
      <c r="AQ131" s="79">
        <f t="shared" si="419"/>
        <v>0</v>
      </c>
      <c r="AR131" s="1"/>
      <c r="AS131" s="79">
        <f t="shared" si="402"/>
        <v>0</v>
      </c>
      <c r="AT131" s="1"/>
      <c r="AU131" s="79">
        <f t="shared" si="403"/>
        <v>0</v>
      </c>
      <c r="AV131" s="1"/>
      <c r="AW131" s="79">
        <f t="shared" si="404"/>
        <v>0</v>
      </c>
      <c r="AX131" s="1"/>
      <c r="AY131" s="79">
        <f t="shared" ref="AY131:AY136" si="427">AW131-AX131</f>
        <v>0</v>
      </c>
      <c r="AZ131" s="1"/>
      <c r="BA131" s="79">
        <f t="shared" si="417"/>
        <v>0</v>
      </c>
      <c r="BB131" s="1"/>
      <c r="BC131" s="79">
        <f t="shared" si="406"/>
        <v>0</v>
      </c>
      <c r="BD131" s="1"/>
      <c r="BE131" s="79">
        <f t="shared" si="407"/>
        <v>0</v>
      </c>
      <c r="BF131" s="1"/>
      <c r="BG131" s="79">
        <f t="shared" si="408"/>
        <v>0</v>
      </c>
      <c r="BH131" s="1"/>
      <c r="BI131" s="79">
        <f t="shared" si="415"/>
        <v>0</v>
      </c>
      <c r="BJ131" s="1"/>
      <c r="BK131" s="79">
        <f t="shared" si="409"/>
        <v>0</v>
      </c>
      <c r="BL131" s="1"/>
      <c r="BM131" s="79">
        <f t="shared" si="410"/>
        <v>0</v>
      </c>
      <c r="BN131" s="1"/>
      <c r="BO131" s="79">
        <f t="shared" ref="BO131:BO135" si="428">BM131-BN131</f>
        <v>0</v>
      </c>
      <c r="BP131" s="1"/>
      <c r="BQ131" s="79">
        <f t="shared" ref="BQ131:BQ145" si="429">BO131-BP131</f>
        <v>0</v>
      </c>
      <c r="BR131" s="1"/>
      <c r="BS131" s="79">
        <f t="shared" si="413"/>
        <v>0</v>
      </c>
      <c r="BT131" s="1"/>
      <c r="BU131" s="79">
        <f t="shared" si="420"/>
        <v>0</v>
      </c>
      <c r="BV131" s="1"/>
      <c r="BW131" s="79">
        <f t="shared" si="334"/>
        <v>0</v>
      </c>
      <c r="BX131" s="1"/>
      <c r="BY131" s="79">
        <f t="shared" si="335"/>
        <v>0</v>
      </c>
      <c r="BZ131" s="1"/>
      <c r="CA131" s="79">
        <f t="shared" si="336"/>
        <v>0</v>
      </c>
      <c r="CB131" s="1"/>
      <c r="CC131" s="79">
        <f t="shared" si="421"/>
        <v>0</v>
      </c>
      <c r="CD131" s="1"/>
      <c r="CE131" s="79">
        <f t="shared" si="422"/>
        <v>0</v>
      </c>
      <c r="CF131" s="1"/>
      <c r="CG131" s="79">
        <f t="shared" si="338"/>
        <v>0</v>
      </c>
      <c r="CH131" s="1"/>
      <c r="CI131" s="79">
        <f t="shared" si="414"/>
        <v>0</v>
      </c>
      <c r="CJ131" s="1"/>
      <c r="CK131" s="79">
        <f t="shared" ref="CK131:CK151" si="430">CI131-CJ131</f>
        <v>0</v>
      </c>
      <c r="CL131" s="1"/>
      <c r="CM131" s="79">
        <f t="shared" si="366"/>
        <v>0</v>
      </c>
      <c r="CN131" s="1"/>
      <c r="CO131" s="79">
        <f t="shared" si="305"/>
        <v>0</v>
      </c>
      <c r="CP131" s="1"/>
      <c r="CQ131" s="79">
        <f t="shared" si="423"/>
        <v>0</v>
      </c>
      <c r="CR131" s="1"/>
      <c r="CS131" s="79">
        <f t="shared" si="373"/>
        <v>0</v>
      </c>
      <c r="CT131" s="79"/>
      <c r="CU131" s="79">
        <f t="shared" si="323"/>
        <v>0</v>
      </c>
      <c r="CV131" s="79"/>
      <c r="CW131" s="79">
        <f t="shared" si="251"/>
        <v>0</v>
      </c>
      <c r="CX131" s="79"/>
      <c r="CY131" s="91"/>
      <c r="CZ131" s="79">
        <f t="shared" si="424"/>
        <v>0</v>
      </c>
      <c r="DA131" s="93"/>
      <c r="DB131" s="93">
        <f t="shared" si="425"/>
        <v>0</v>
      </c>
      <c r="DC131" s="96"/>
      <c r="DD131" s="93">
        <f t="shared" si="375"/>
        <v>0</v>
      </c>
      <c r="DE131" s="96"/>
      <c r="DF131" s="93">
        <f t="shared" si="278"/>
        <v>0</v>
      </c>
      <c r="DG131" s="96"/>
      <c r="DH131" s="93">
        <f t="shared" si="293"/>
        <v>0</v>
      </c>
      <c r="DI131" s="96"/>
      <c r="DJ131" s="93">
        <f t="shared" si="384"/>
        <v>0</v>
      </c>
      <c r="DK131" s="93"/>
      <c r="DL131" s="93">
        <f t="shared" si="426"/>
        <v>0</v>
      </c>
      <c r="DM131" s="100">
        <v>0.0</v>
      </c>
      <c r="DN131" s="93">
        <f t="shared" si="306"/>
        <v>0</v>
      </c>
      <c r="DO131" s="100">
        <v>0.0</v>
      </c>
      <c r="DP131" s="93">
        <f t="shared" si="294"/>
        <v>0</v>
      </c>
      <c r="DQ131" s="100">
        <v>0.0</v>
      </c>
      <c r="DR131" s="93">
        <f t="shared" si="377"/>
        <v>0</v>
      </c>
      <c r="DS131" s="100">
        <v>0.0</v>
      </c>
      <c r="DT131" s="93">
        <f t="shared" ref="DT131:DT135" si="431">DR131-DS131</f>
        <v>0</v>
      </c>
      <c r="DU131" s="100">
        <v>0.0</v>
      </c>
      <c r="DV131" s="93">
        <f t="shared" si="61"/>
        <v>0</v>
      </c>
    </row>
    <row r="132">
      <c r="A132" s="7" t="s">
        <v>447</v>
      </c>
      <c r="B132" s="7" t="s">
        <v>448</v>
      </c>
      <c r="C132" s="76" t="str">
        <f t="array" ref="C132">_xlfn.XLOOKUP(A132,'Emp Master'!A:A,'Emp Master'!F:F)</f>
        <v>DEL</v>
      </c>
      <c r="D132" s="76" t="str">
        <f t="array" ref="D132">_xlfn.XLOOKUP(A132,'Emp Master'!A:A,'Emp Master'!D:D)</f>
        <v>Office</v>
      </c>
      <c r="E132" s="76" t="str">
        <f t="shared" si="326"/>
        <v>#REF!</v>
      </c>
      <c r="F132" s="76"/>
      <c r="G132" s="79"/>
      <c r="H132" s="80"/>
      <c r="I132" s="79">
        <f t="shared" si="385"/>
        <v>0</v>
      </c>
      <c r="J132" s="80"/>
      <c r="K132" s="79">
        <f t="shared" si="386"/>
        <v>0</v>
      </c>
      <c r="L132" s="80"/>
      <c r="M132" s="79">
        <f t="shared" si="387"/>
        <v>0</v>
      </c>
      <c r="N132" s="80"/>
      <c r="O132" s="79">
        <f t="shared" si="388"/>
        <v>0</v>
      </c>
      <c r="P132" s="80"/>
      <c r="Q132" s="79">
        <f t="shared" si="389"/>
        <v>0</v>
      </c>
      <c r="R132" s="1"/>
      <c r="S132" s="79">
        <f t="shared" si="390"/>
        <v>0</v>
      </c>
      <c r="T132" s="1"/>
      <c r="U132" s="79">
        <f t="shared" si="391"/>
        <v>0</v>
      </c>
      <c r="V132" s="1"/>
      <c r="W132" s="79">
        <f t="shared" si="392"/>
        <v>0</v>
      </c>
      <c r="X132" s="1"/>
      <c r="Y132" s="79">
        <f t="shared" si="416"/>
        <v>0</v>
      </c>
      <c r="Z132" s="1"/>
      <c r="AA132" s="79">
        <f t="shared" si="418"/>
        <v>0</v>
      </c>
      <c r="AB132" s="1"/>
      <c r="AC132" s="79">
        <f t="shared" si="394"/>
        <v>0</v>
      </c>
      <c r="AD132" s="1"/>
      <c r="AE132" s="79">
        <f t="shared" si="395"/>
        <v>0</v>
      </c>
      <c r="AF132" s="1"/>
      <c r="AG132" s="79">
        <f t="shared" si="396"/>
        <v>0</v>
      </c>
      <c r="AH132" s="1"/>
      <c r="AI132" s="79">
        <f t="shared" si="397"/>
        <v>0</v>
      </c>
      <c r="AJ132" s="1"/>
      <c r="AK132" s="79">
        <f t="shared" si="398"/>
        <v>0</v>
      </c>
      <c r="AL132" s="1"/>
      <c r="AM132" s="79">
        <f t="shared" si="399"/>
        <v>0</v>
      </c>
      <c r="AN132" s="1"/>
      <c r="AO132" s="79">
        <f t="shared" si="400"/>
        <v>0</v>
      </c>
      <c r="AP132" s="1"/>
      <c r="AQ132" s="79">
        <f t="shared" si="419"/>
        <v>0</v>
      </c>
      <c r="AR132" s="1"/>
      <c r="AS132" s="79">
        <f t="shared" si="402"/>
        <v>0</v>
      </c>
      <c r="AT132" s="1"/>
      <c r="AU132" s="79">
        <f t="shared" si="403"/>
        <v>0</v>
      </c>
      <c r="AV132" s="1"/>
      <c r="AW132" s="79">
        <f t="shared" si="404"/>
        <v>0</v>
      </c>
      <c r="AX132" s="1"/>
      <c r="AY132" s="79">
        <f t="shared" si="427"/>
        <v>0</v>
      </c>
      <c r="AZ132" s="1"/>
      <c r="BA132" s="79">
        <f t="shared" si="417"/>
        <v>0</v>
      </c>
      <c r="BB132" s="1"/>
      <c r="BC132" s="79">
        <f t="shared" si="406"/>
        <v>0</v>
      </c>
      <c r="BD132" s="1"/>
      <c r="BE132" s="79">
        <f t="shared" si="407"/>
        <v>0</v>
      </c>
      <c r="BF132" s="1"/>
      <c r="BG132" s="79">
        <f t="shared" si="408"/>
        <v>0</v>
      </c>
      <c r="BH132" s="1"/>
      <c r="BI132" s="79">
        <f t="shared" si="415"/>
        <v>0</v>
      </c>
      <c r="BJ132" s="1"/>
      <c r="BK132" s="79">
        <f t="shared" si="409"/>
        <v>0</v>
      </c>
      <c r="BL132" s="1"/>
      <c r="BM132" s="79">
        <f t="shared" si="410"/>
        <v>0</v>
      </c>
      <c r="BN132" s="1"/>
      <c r="BO132" s="79">
        <f t="shared" si="428"/>
        <v>0</v>
      </c>
      <c r="BP132" s="1"/>
      <c r="BQ132" s="79">
        <f t="shared" si="429"/>
        <v>0</v>
      </c>
      <c r="BR132" s="1"/>
      <c r="BS132" s="79">
        <f t="shared" si="413"/>
        <v>0</v>
      </c>
      <c r="BT132" s="1"/>
      <c r="BU132" s="79">
        <f t="shared" si="420"/>
        <v>0</v>
      </c>
      <c r="BV132" s="1"/>
      <c r="BW132" s="79">
        <f t="shared" si="334"/>
        <v>0</v>
      </c>
      <c r="BX132" s="1"/>
      <c r="BY132" s="79">
        <f t="shared" si="335"/>
        <v>0</v>
      </c>
      <c r="BZ132" s="1"/>
      <c r="CA132" s="79">
        <f t="shared" si="336"/>
        <v>0</v>
      </c>
      <c r="CB132" s="1"/>
      <c r="CC132" s="79">
        <f t="shared" si="421"/>
        <v>0</v>
      </c>
      <c r="CD132" s="1"/>
      <c r="CE132" s="79">
        <f t="shared" si="422"/>
        <v>0</v>
      </c>
      <c r="CF132" s="1"/>
      <c r="CG132" s="79">
        <f t="shared" si="338"/>
        <v>0</v>
      </c>
      <c r="CH132" s="1"/>
      <c r="CI132" s="79">
        <f t="shared" si="414"/>
        <v>0</v>
      </c>
      <c r="CJ132" s="1"/>
      <c r="CK132" s="79">
        <f t="shared" si="430"/>
        <v>0</v>
      </c>
      <c r="CL132" s="1"/>
      <c r="CM132" s="79">
        <f t="shared" si="366"/>
        <v>0</v>
      </c>
      <c r="CN132" s="1"/>
      <c r="CO132" s="79">
        <f t="shared" si="305"/>
        <v>0</v>
      </c>
      <c r="CP132" s="1"/>
      <c r="CQ132" s="79">
        <f t="shared" si="423"/>
        <v>0</v>
      </c>
      <c r="CR132" s="1"/>
      <c r="CS132" s="79">
        <f t="shared" si="373"/>
        <v>0</v>
      </c>
      <c r="CT132" s="79"/>
      <c r="CU132" s="79">
        <f t="shared" si="323"/>
        <v>0</v>
      </c>
      <c r="CV132" s="79"/>
      <c r="CW132" s="79">
        <f t="shared" si="251"/>
        <v>0</v>
      </c>
      <c r="CX132" s="79"/>
      <c r="CY132" s="91"/>
      <c r="CZ132" s="79">
        <f t="shared" si="424"/>
        <v>0</v>
      </c>
      <c r="DA132" s="93"/>
      <c r="DB132" s="93">
        <f t="shared" si="425"/>
        <v>0</v>
      </c>
      <c r="DC132" s="96"/>
      <c r="DD132" s="93">
        <f t="shared" si="375"/>
        <v>0</v>
      </c>
      <c r="DE132" s="96"/>
      <c r="DF132" s="93">
        <f t="shared" si="278"/>
        <v>0</v>
      </c>
      <c r="DG132" s="96"/>
      <c r="DH132" s="93">
        <f t="shared" si="293"/>
        <v>0</v>
      </c>
      <c r="DI132" s="96"/>
      <c r="DJ132" s="93">
        <f t="shared" si="384"/>
        <v>0</v>
      </c>
      <c r="DK132" s="93"/>
      <c r="DL132" s="93">
        <f t="shared" si="426"/>
        <v>0</v>
      </c>
      <c r="DM132" s="100">
        <v>0.0</v>
      </c>
      <c r="DN132" s="93">
        <f t="shared" si="306"/>
        <v>0</v>
      </c>
      <c r="DO132" s="100">
        <v>0.0</v>
      </c>
      <c r="DP132" s="93">
        <f t="shared" si="294"/>
        <v>0</v>
      </c>
      <c r="DQ132" s="100">
        <v>0.0</v>
      </c>
      <c r="DR132" s="93">
        <f t="shared" si="377"/>
        <v>0</v>
      </c>
      <c r="DS132" s="100">
        <v>0.0</v>
      </c>
      <c r="DT132" s="93">
        <f t="shared" si="431"/>
        <v>0</v>
      </c>
      <c r="DU132" s="100">
        <v>0.0</v>
      </c>
      <c r="DV132" s="93">
        <f t="shared" si="61"/>
        <v>0</v>
      </c>
    </row>
    <row r="133">
      <c r="A133" s="7" t="s">
        <v>917</v>
      </c>
      <c r="B133" s="7" t="s">
        <v>918</v>
      </c>
      <c r="C133" s="76" t="str">
        <f t="array" ref="C133">_xlfn.XLOOKUP(A133,'Emp Master'!A:A,'Emp Master'!F:F)</f>
        <v>#N/A</v>
      </c>
      <c r="D133" s="76" t="str">
        <f t="array" ref="D133">_xlfn.XLOOKUP(A133,'Emp Master'!A:A,'Emp Master'!D:D)</f>
        <v>#N/A</v>
      </c>
      <c r="E133" s="76" t="str">
        <f t="shared" si="326"/>
        <v>#REF!</v>
      </c>
      <c r="F133" s="76"/>
      <c r="G133" s="79"/>
      <c r="H133" s="80"/>
      <c r="I133" s="79">
        <f t="shared" si="385"/>
        <v>0</v>
      </c>
      <c r="J133" s="80"/>
      <c r="K133" s="79">
        <f t="shared" si="386"/>
        <v>0</v>
      </c>
      <c r="L133" s="80"/>
      <c r="M133" s="79">
        <f t="shared" si="387"/>
        <v>0</v>
      </c>
      <c r="N133" s="80"/>
      <c r="O133" s="79">
        <f t="shared" si="388"/>
        <v>0</v>
      </c>
      <c r="P133" s="80"/>
      <c r="Q133" s="79">
        <f t="shared" si="389"/>
        <v>0</v>
      </c>
      <c r="R133" s="1"/>
      <c r="S133" s="79">
        <f t="shared" si="390"/>
        <v>0</v>
      </c>
      <c r="T133" s="1"/>
      <c r="U133" s="79">
        <f t="shared" si="391"/>
        <v>0</v>
      </c>
      <c r="V133" s="1"/>
      <c r="W133" s="79">
        <f t="shared" si="392"/>
        <v>0</v>
      </c>
      <c r="X133" s="1"/>
      <c r="Y133" s="79">
        <f t="shared" si="416"/>
        <v>0</v>
      </c>
      <c r="Z133" s="1"/>
      <c r="AA133" s="79">
        <f t="shared" si="418"/>
        <v>0</v>
      </c>
      <c r="AB133" s="1"/>
      <c r="AC133" s="79">
        <f t="shared" si="394"/>
        <v>0</v>
      </c>
      <c r="AD133" s="1"/>
      <c r="AE133" s="79">
        <f t="shared" si="395"/>
        <v>0</v>
      </c>
      <c r="AF133" s="1"/>
      <c r="AG133" s="79">
        <f t="shared" si="396"/>
        <v>0</v>
      </c>
      <c r="AH133" s="1"/>
      <c r="AI133" s="79">
        <f t="shared" si="397"/>
        <v>0</v>
      </c>
      <c r="AJ133" s="1"/>
      <c r="AK133" s="79">
        <f t="shared" si="398"/>
        <v>0</v>
      </c>
      <c r="AL133" s="1"/>
      <c r="AM133" s="79">
        <f t="shared" si="399"/>
        <v>0</v>
      </c>
      <c r="AN133" s="1"/>
      <c r="AO133" s="79">
        <f t="shared" si="400"/>
        <v>0</v>
      </c>
      <c r="AP133" s="1"/>
      <c r="AQ133" s="79">
        <f t="shared" si="419"/>
        <v>0</v>
      </c>
      <c r="AR133" s="1"/>
      <c r="AS133" s="79">
        <f t="shared" si="402"/>
        <v>0</v>
      </c>
      <c r="AT133" s="1"/>
      <c r="AU133" s="79">
        <f t="shared" si="403"/>
        <v>0</v>
      </c>
      <c r="AV133" s="1"/>
      <c r="AW133" s="79">
        <f t="shared" si="404"/>
        <v>0</v>
      </c>
      <c r="AX133" s="1"/>
      <c r="AY133" s="79">
        <f t="shared" si="427"/>
        <v>0</v>
      </c>
      <c r="AZ133" s="1"/>
      <c r="BA133" s="79">
        <f t="shared" si="417"/>
        <v>0</v>
      </c>
      <c r="BB133" s="1"/>
      <c r="BC133" s="79">
        <f t="shared" si="406"/>
        <v>0</v>
      </c>
      <c r="BD133" s="1"/>
      <c r="BE133" s="79">
        <f t="shared" si="407"/>
        <v>0</v>
      </c>
      <c r="BF133" s="1"/>
      <c r="BG133" s="79">
        <f t="shared" si="408"/>
        <v>0</v>
      </c>
      <c r="BH133" s="1"/>
      <c r="BI133" s="79">
        <f t="shared" si="415"/>
        <v>0</v>
      </c>
      <c r="BJ133" s="1"/>
      <c r="BK133" s="79">
        <f t="shared" si="409"/>
        <v>0</v>
      </c>
      <c r="BL133" s="1"/>
      <c r="BM133" s="79">
        <f t="shared" si="410"/>
        <v>0</v>
      </c>
      <c r="BN133" s="1"/>
      <c r="BO133" s="79">
        <f t="shared" si="428"/>
        <v>0</v>
      </c>
      <c r="BP133" s="1"/>
      <c r="BQ133" s="79">
        <f t="shared" si="429"/>
        <v>0</v>
      </c>
      <c r="BR133" s="1"/>
      <c r="BS133" s="79">
        <f t="shared" si="413"/>
        <v>0</v>
      </c>
      <c r="BT133" s="1"/>
      <c r="BU133" s="79">
        <f t="shared" si="420"/>
        <v>0</v>
      </c>
      <c r="BV133" s="1"/>
      <c r="BW133" s="79">
        <f t="shared" si="334"/>
        <v>0</v>
      </c>
      <c r="BX133" s="1"/>
      <c r="BY133" s="79">
        <f t="shared" si="335"/>
        <v>0</v>
      </c>
      <c r="BZ133" s="1"/>
      <c r="CA133" s="79">
        <f t="shared" si="336"/>
        <v>0</v>
      </c>
      <c r="CB133" s="1"/>
      <c r="CC133" s="79">
        <f t="shared" si="421"/>
        <v>0</v>
      </c>
      <c r="CD133" s="1"/>
      <c r="CE133" s="79">
        <f t="shared" si="422"/>
        <v>0</v>
      </c>
      <c r="CF133" s="1"/>
      <c r="CG133" s="79">
        <f>17429+(CE133-CF133)</f>
        <v>17429</v>
      </c>
      <c r="CH133" s="106">
        <v>4360.0</v>
      </c>
      <c r="CI133" s="79">
        <f t="shared" si="414"/>
        <v>13069</v>
      </c>
      <c r="CJ133" s="106">
        <v>4360.0</v>
      </c>
      <c r="CK133" s="79">
        <f t="shared" si="430"/>
        <v>8709</v>
      </c>
      <c r="CL133" s="106">
        <v>4360.0</v>
      </c>
      <c r="CM133" s="79">
        <f t="shared" si="366"/>
        <v>4349</v>
      </c>
      <c r="CN133" s="106">
        <v>4349.0</v>
      </c>
      <c r="CO133" s="79">
        <f t="shared" si="305"/>
        <v>0</v>
      </c>
      <c r="CP133" s="106"/>
      <c r="CQ133" s="79">
        <f t="shared" si="423"/>
        <v>0</v>
      </c>
      <c r="CR133" s="106"/>
      <c r="CS133" s="79">
        <f t="shared" si="373"/>
        <v>0</v>
      </c>
      <c r="CT133" s="79"/>
      <c r="CU133" s="79">
        <f t="shared" si="323"/>
        <v>0</v>
      </c>
      <c r="CV133" s="79"/>
      <c r="CW133" s="79">
        <f t="shared" si="251"/>
        <v>0</v>
      </c>
      <c r="CX133" s="79"/>
      <c r="CY133" s="91"/>
      <c r="CZ133" s="79">
        <f t="shared" si="424"/>
        <v>0</v>
      </c>
      <c r="DA133" s="93"/>
      <c r="DB133" s="93">
        <f t="shared" si="425"/>
        <v>0</v>
      </c>
      <c r="DC133" s="96"/>
      <c r="DD133" s="93">
        <f t="shared" si="375"/>
        <v>0</v>
      </c>
      <c r="DE133" s="96"/>
      <c r="DF133" s="93">
        <f t="shared" si="278"/>
        <v>0</v>
      </c>
      <c r="DG133" s="96"/>
      <c r="DH133" s="93">
        <f t="shared" si="293"/>
        <v>0</v>
      </c>
      <c r="DI133" s="96"/>
      <c r="DJ133" s="93">
        <f t="shared" si="384"/>
        <v>0</v>
      </c>
      <c r="DK133" s="93"/>
      <c r="DL133" s="93">
        <f t="shared" si="426"/>
        <v>0</v>
      </c>
      <c r="DM133" s="100">
        <v>0.0</v>
      </c>
      <c r="DN133" s="93">
        <f t="shared" si="306"/>
        <v>0</v>
      </c>
      <c r="DO133" s="100">
        <v>0.0</v>
      </c>
      <c r="DP133" s="93">
        <f t="shared" si="294"/>
        <v>0</v>
      </c>
      <c r="DQ133" s="100">
        <v>0.0</v>
      </c>
      <c r="DR133" s="93">
        <f t="shared" si="377"/>
        <v>0</v>
      </c>
      <c r="DS133" s="100">
        <v>0.0</v>
      </c>
      <c r="DT133" s="93">
        <f t="shared" si="431"/>
        <v>0</v>
      </c>
      <c r="DU133" s="100">
        <v>0.0</v>
      </c>
      <c r="DV133" s="93">
        <f t="shared" si="61"/>
        <v>0</v>
      </c>
    </row>
    <row r="134">
      <c r="A134" s="227" t="s">
        <v>919</v>
      </c>
      <c r="B134" s="1" t="s">
        <v>920</v>
      </c>
      <c r="C134" s="76" t="str">
        <f t="array" ref="C134">_xlfn.XLOOKUP(A134,'Emp Master'!A:A,'Emp Master'!F:F)</f>
        <v>#N/A</v>
      </c>
      <c r="D134" s="76" t="str">
        <f t="array" ref="D134">_xlfn.XLOOKUP(A134,'Emp Master'!A:A,'Emp Master'!D:D)</f>
        <v>#N/A</v>
      </c>
      <c r="E134" s="76" t="str">
        <f t="shared" si="326"/>
        <v>#REF!</v>
      </c>
      <c r="F134" s="76">
        <v>5000.0</v>
      </c>
      <c r="G134" s="79">
        <v>5000.0</v>
      </c>
      <c r="H134" s="80">
        <v>5000.0</v>
      </c>
      <c r="I134" s="79">
        <f t="shared" si="385"/>
        <v>0</v>
      </c>
      <c r="J134" s="80"/>
      <c r="K134" s="79">
        <f t="shared" si="386"/>
        <v>0</v>
      </c>
      <c r="L134" s="80"/>
      <c r="M134" s="79">
        <f t="shared" si="387"/>
        <v>0</v>
      </c>
      <c r="N134" s="80"/>
      <c r="O134" s="79">
        <f t="shared" si="388"/>
        <v>0</v>
      </c>
      <c r="P134" s="80"/>
      <c r="Q134" s="79">
        <f t="shared" si="389"/>
        <v>0</v>
      </c>
      <c r="R134" s="1"/>
      <c r="S134" s="79">
        <f>Q134-R134+25000</f>
        <v>25000</v>
      </c>
      <c r="T134" s="106">
        <v>5000.0</v>
      </c>
      <c r="U134" s="79">
        <f t="shared" si="391"/>
        <v>20000</v>
      </c>
      <c r="V134" s="106">
        <v>5000.0</v>
      </c>
      <c r="W134" s="79">
        <f t="shared" si="392"/>
        <v>15000</v>
      </c>
      <c r="X134" s="106">
        <v>5000.0</v>
      </c>
      <c r="Y134" s="79">
        <f t="shared" si="416"/>
        <v>10000</v>
      </c>
      <c r="Z134" s="106">
        <v>5000.0</v>
      </c>
      <c r="AA134" s="79">
        <f t="shared" si="418"/>
        <v>5000</v>
      </c>
      <c r="AB134" s="106">
        <v>5000.0</v>
      </c>
      <c r="AC134" s="79">
        <f t="shared" si="394"/>
        <v>0</v>
      </c>
      <c r="AD134" s="1"/>
      <c r="AE134" s="79">
        <f t="shared" si="395"/>
        <v>0</v>
      </c>
      <c r="AF134" s="1"/>
      <c r="AG134" s="79">
        <f t="shared" si="396"/>
        <v>0</v>
      </c>
      <c r="AH134" s="1"/>
      <c r="AI134" s="79">
        <f t="shared" si="397"/>
        <v>0</v>
      </c>
      <c r="AJ134" s="1"/>
      <c r="AK134" s="79">
        <f t="shared" si="398"/>
        <v>0</v>
      </c>
      <c r="AL134" s="1"/>
      <c r="AM134" s="79">
        <f t="shared" si="399"/>
        <v>0</v>
      </c>
      <c r="AN134" s="1"/>
      <c r="AO134" s="79">
        <f t="shared" si="400"/>
        <v>0</v>
      </c>
      <c r="AP134" s="1"/>
      <c r="AQ134" s="79">
        <f>AO134-AP134+10000</f>
        <v>10000</v>
      </c>
      <c r="AR134" s="106">
        <v>10000.0</v>
      </c>
      <c r="AS134" s="79">
        <f t="shared" si="402"/>
        <v>0</v>
      </c>
      <c r="AT134" s="1"/>
      <c r="AU134" s="79">
        <f t="shared" si="403"/>
        <v>0</v>
      </c>
      <c r="AV134" s="1"/>
      <c r="AW134" s="79">
        <f t="shared" si="404"/>
        <v>0</v>
      </c>
      <c r="AX134" s="1"/>
      <c r="AY134" s="79">
        <f t="shared" si="427"/>
        <v>0</v>
      </c>
      <c r="AZ134" s="1"/>
      <c r="BA134" s="79">
        <f t="shared" si="417"/>
        <v>0</v>
      </c>
      <c r="BB134" s="1"/>
      <c r="BC134" s="79">
        <f t="shared" si="406"/>
        <v>0</v>
      </c>
      <c r="BD134" s="1"/>
      <c r="BE134" s="79">
        <f t="shared" si="407"/>
        <v>0</v>
      </c>
      <c r="BF134" s="1"/>
      <c r="BG134" s="79">
        <f t="shared" si="408"/>
        <v>0</v>
      </c>
      <c r="BH134" s="1"/>
      <c r="BI134" s="79">
        <f t="shared" si="415"/>
        <v>0</v>
      </c>
      <c r="BJ134" s="1"/>
      <c r="BK134" s="79">
        <f t="shared" si="409"/>
        <v>0</v>
      </c>
      <c r="BL134" s="1"/>
      <c r="BM134" s="79">
        <f t="shared" si="410"/>
        <v>0</v>
      </c>
      <c r="BN134" s="1"/>
      <c r="BO134" s="79">
        <f t="shared" si="428"/>
        <v>0</v>
      </c>
      <c r="BP134" s="1"/>
      <c r="BQ134" s="79">
        <f t="shared" si="429"/>
        <v>0</v>
      </c>
      <c r="BR134" s="1"/>
      <c r="BS134" s="79">
        <f t="shared" si="413"/>
        <v>0</v>
      </c>
      <c r="BT134" s="1"/>
      <c r="BU134" s="79">
        <f t="shared" si="420"/>
        <v>0</v>
      </c>
      <c r="BV134" s="1"/>
      <c r="BW134" s="79">
        <f t="shared" si="334"/>
        <v>0</v>
      </c>
      <c r="BX134" s="1"/>
      <c r="BY134" s="79">
        <f t="shared" si="335"/>
        <v>0</v>
      </c>
      <c r="BZ134" s="1"/>
      <c r="CA134" s="79">
        <f t="shared" si="336"/>
        <v>0</v>
      </c>
      <c r="CB134" s="1"/>
      <c r="CC134" s="79">
        <f t="shared" si="421"/>
        <v>0</v>
      </c>
      <c r="CD134" s="1"/>
      <c r="CE134" s="79">
        <f t="shared" si="422"/>
        <v>0</v>
      </c>
      <c r="CF134" s="1"/>
      <c r="CG134" s="79">
        <f t="shared" ref="CG134:CG151" si="432">CE134-CF134</f>
        <v>0</v>
      </c>
      <c r="CH134" s="1"/>
      <c r="CI134" s="79">
        <f t="shared" si="414"/>
        <v>0</v>
      </c>
      <c r="CJ134" s="1"/>
      <c r="CK134" s="79">
        <f t="shared" si="430"/>
        <v>0</v>
      </c>
      <c r="CL134" s="1"/>
      <c r="CM134" s="79">
        <f t="shared" si="366"/>
        <v>0</v>
      </c>
      <c r="CN134" s="1"/>
      <c r="CO134" s="79">
        <f t="shared" si="305"/>
        <v>0</v>
      </c>
      <c r="CP134" s="1"/>
      <c r="CQ134" s="79">
        <f t="shared" si="423"/>
        <v>0</v>
      </c>
      <c r="CR134" s="1"/>
      <c r="CS134" s="79">
        <f t="shared" si="373"/>
        <v>0</v>
      </c>
      <c r="CT134" s="79"/>
      <c r="CU134" s="79">
        <f t="shared" si="323"/>
        <v>0</v>
      </c>
      <c r="CV134" s="79"/>
      <c r="CW134" s="79">
        <f t="shared" si="251"/>
        <v>0</v>
      </c>
      <c r="CX134" s="79"/>
      <c r="CY134" s="91"/>
      <c r="CZ134" s="79">
        <f t="shared" si="424"/>
        <v>0</v>
      </c>
      <c r="DA134" s="93"/>
      <c r="DB134" s="93">
        <f t="shared" si="425"/>
        <v>0</v>
      </c>
      <c r="DC134" s="96"/>
      <c r="DD134" s="93">
        <f t="shared" si="375"/>
        <v>0</v>
      </c>
      <c r="DE134" s="96"/>
      <c r="DF134" s="93">
        <f t="shared" si="278"/>
        <v>0</v>
      </c>
      <c r="DG134" s="96"/>
      <c r="DH134" s="93">
        <f t="shared" si="293"/>
        <v>0</v>
      </c>
      <c r="DI134" s="96"/>
      <c r="DJ134" s="93">
        <f t="shared" si="384"/>
        <v>0</v>
      </c>
      <c r="DK134" s="93"/>
      <c r="DL134" s="93">
        <f t="shared" si="426"/>
        <v>0</v>
      </c>
      <c r="DM134" s="100">
        <v>0.0</v>
      </c>
      <c r="DN134" s="93">
        <f t="shared" si="306"/>
        <v>0</v>
      </c>
      <c r="DO134" s="100">
        <v>0.0</v>
      </c>
      <c r="DP134" s="93">
        <f t="shared" si="294"/>
        <v>0</v>
      </c>
      <c r="DQ134" s="100">
        <v>0.0</v>
      </c>
      <c r="DR134" s="93">
        <f t="shared" si="377"/>
        <v>0</v>
      </c>
      <c r="DS134" s="100">
        <v>0.0</v>
      </c>
      <c r="DT134" s="93">
        <f t="shared" si="431"/>
        <v>0</v>
      </c>
      <c r="DU134" s="100">
        <v>0.0</v>
      </c>
      <c r="DV134" s="93">
        <f t="shared" si="61"/>
        <v>0</v>
      </c>
    </row>
    <row r="135">
      <c r="A135" s="7" t="s">
        <v>449</v>
      </c>
      <c r="B135" s="1" t="s">
        <v>371</v>
      </c>
      <c r="C135" s="76" t="str">
        <f t="array" ref="C135">_xlfn.XLOOKUP(A135,'Emp Master'!A:A,'Emp Master'!F:F)</f>
        <v>SNP</v>
      </c>
      <c r="D135" s="76" t="str">
        <f t="array" ref="D135">_xlfn.XLOOKUP(A135,'Emp Master'!A:A,'Emp Master'!D:D)</f>
        <v>Machining</v>
      </c>
      <c r="E135" s="76" t="str">
        <f t="shared" si="326"/>
        <v>#REF!</v>
      </c>
      <c r="F135" s="76"/>
      <c r="G135" s="79"/>
      <c r="H135" s="80"/>
      <c r="I135" s="79">
        <f t="shared" si="385"/>
        <v>0</v>
      </c>
      <c r="J135" s="80"/>
      <c r="K135" s="79">
        <f t="shared" si="386"/>
        <v>0</v>
      </c>
      <c r="L135" s="80"/>
      <c r="M135" s="79">
        <f t="shared" si="387"/>
        <v>0</v>
      </c>
      <c r="N135" s="80"/>
      <c r="O135" s="79">
        <f t="shared" si="388"/>
        <v>0</v>
      </c>
      <c r="P135" s="80"/>
      <c r="Q135" s="79">
        <f t="shared" si="389"/>
        <v>0</v>
      </c>
      <c r="R135" s="1"/>
      <c r="S135" s="79">
        <f t="shared" ref="S135:S160" si="433">Q135-R135</f>
        <v>0</v>
      </c>
      <c r="T135" s="106">
        <v>0.0</v>
      </c>
      <c r="U135" s="79">
        <f t="shared" si="391"/>
        <v>0</v>
      </c>
      <c r="V135" s="1"/>
      <c r="W135" s="79">
        <f t="shared" si="392"/>
        <v>0</v>
      </c>
      <c r="X135" s="1"/>
      <c r="Y135" s="79">
        <f t="shared" si="416"/>
        <v>0</v>
      </c>
      <c r="Z135" s="1"/>
      <c r="AA135" s="79">
        <f t="shared" si="418"/>
        <v>0</v>
      </c>
      <c r="AB135" s="1"/>
      <c r="AC135" s="79">
        <f t="shared" si="394"/>
        <v>0</v>
      </c>
      <c r="AD135" s="1"/>
      <c r="AE135" s="79">
        <f t="shared" si="395"/>
        <v>0</v>
      </c>
      <c r="AF135" s="1"/>
      <c r="AG135" s="79">
        <f t="shared" si="396"/>
        <v>0</v>
      </c>
      <c r="AH135" s="1"/>
      <c r="AI135" s="79">
        <f t="shared" si="397"/>
        <v>0</v>
      </c>
      <c r="AJ135" s="1"/>
      <c r="AK135" s="79">
        <f t="shared" si="398"/>
        <v>0</v>
      </c>
      <c r="AL135" s="1"/>
      <c r="AM135" s="79">
        <f t="shared" si="399"/>
        <v>0</v>
      </c>
      <c r="AN135" s="1"/>
      <c r="AO135" s="79">
        <f t="shared" si="400"/>
        <v>0</v>
      </c>
      <c r="AP135" s="1"/>
      <c r="AQ135" s="79">
        <f>AO135-AP135+15000</f>
        <v>15000</v>
      </c>
      <c r="AR135" s="1"/>
      <c r="AS135" s="79">
        <f t="shared" si="402"/>
        <v>15000</v>
      </c>
      <c r="AT135" s="106">
        <v>3000.0</v>
      </c>
      <c r="AU135" s="79">
        <f t="shared" si="403"/>
        <v>12000</v>
      </c>
      <c r="AV135" s="106">
        <v>0.0</v>
      </c>
      <c r="AW135" s="79">
        <f t="shared" si="404"/>
        <v>12000</v>
      </c>
      <c r="AX135" s="106">
        <v>3000.0</v>
      </c>
      <c r="AY135" s="79">
        <f t="shared" si="427"/>
        <v>9000</v>
      </c>
      <c r="AZ135" s="106">
        <v>3000.0</v>
      </c>
      <c r="BA135" s="79">
        <f t="shared" si="417"/>
        <v>6000</v>
      </c>
      <c r="BB135" s="106">
        <v>3000.0</v>
      </c>
      <c r="BC135" s="79">
        <f t="shared" si="406"/>
        <v>3000</v>
      </c>
      <c r="BD135" s="106">
        <v>3000.0</v>
      </c>
      <c r="BE135" s="79">
        <f t="shared" si="407"/>
        <v>0</v>
      </c>
      <c r="BF135" s="1"/>
      <c r="BG135" s="79">
        <f t="shared" si="408"/>
        <v>0</v>
      </c>
      <c r="BH135" s="1"/>
      <c r="BI135" s="79">
        <f t="shared" si="415"/>
        <v>0</v>
      </c>
      <c r="BJ135" s="1"/>
      <c r="BK135" s="79">
        <f t="shared" si="409"/>
        <v>0</v>
      </c>
      <c r="BL135" s="1"/>
      <c r="BM135" s="79">
        <f t="shared" si="410"/>
        <v>0</v>
      </c>
      <c r="BN135" s="1"/>
      <c r="BO135" s="79">
        <f t="shared" si="428"/>
        <v>0</v>
      </c>
      <c r="BP135" s="1"/>
      <c r="BQ135" s="79">
        <f t="shared" si="429"/>
        <v>0</v>
      </c>
      <c r="BR135" s="1"/>
      <c r="BS135" s="79">
        <f t="shared" si="413"/>
        <v>0</v>
      </c>
      <c r="BT135" s="1"/>
      <c r="BU135" s="79">
        <f t="shared" si="420"/>
        <v>0</v>
      </c>
      <c r="BV135" s="1"/>
      <c r="BW135" s="79">
        <f t="shared" si="334"/>
        <v>0</v>
      </c>
      <c r="BX135" s="1"/>
      <c r="BY135" s="79">
        <f t="shared" si="335"/>
        <v>0</v>
      </c>
      <c r="BZ135" s="1"/>
      <c r="CA135" s="79">
        <f t="shared" si="336"/>
        <v>0</v>
      </c>
      <c r="CB135" s="1"/>
      <c r="CC135" s="79">
        <f t="shared" si="421"/>
        <v>0</v>
      </c>
      <c r="CD135" s="1"/>
      <c r="CE135" s="79">
        <f t="shared" si="422"/>
        <v>0</v>
      </c>
      <c r="CF135" s="1"/>
      <c r="CG135" s="79">
        <f t="shared" si="432"/>
        <v>0</v>
      </c>
      <c r="CH135" s="1"/>
      <c r="CI135" s="79">
        <f t="shared" si="414"/>
        <v>0</v>
      </c>
      <c r="CJ135" s="1"/>
      <c r="CK135" s="79">
        <f t="shared" si="430"/>
        <v>0</v>
      </c>
      <c r="CL135" s="1"/>
      <c r="CM135" s="79">
        <f t="shared" si="366"/>
        <v>0</v>
      </c>
      <c r="CN135" s="1"/>
      <c r="CO135" s="79">
        <f t="shared" si="305"/>
        <v>0</v>
      </c>
      <c r="CP135" s="1"/>
      <c r="CQ135" s="79">
        <f t="shared" si="423"/>
        <v>0</v>
      </c>
      <c r="CR135" s="1"/>
      <c r="CS135" s="79">
        <f t="shared" si="373"/>
        <v>0</v>
      </c>
      <c r="CT135" s="79"/>
      <c r="CU135" s="79">
        <f t="shared" si="323"/>
        <v>0</v>
      </c>
      <c r="CV135" s="79"/>
      <c r="CW135" s="79">
        <f t="shared" si="251"/>
        <v>0</v>
      </c>
      <c r="CX135" s="79"/>
      <c r="CY135" s="91"/>
      <c r="CZ135" s="79">
        <f t="shared" si="424"/>
        <v>0</v>
      </c>
      <c r="DA135" s="93"/>
      <c r="DB135" s="93">
        <f t="shared" si="425"/>
        <v>0</v>
      </c>
      <c r="DC135" s="96"/>
      <c r="DD135" s="93">
        <f t="shared" si="375"/>
        <v>0</v>
      </c>
      <c r="DE135" s="96"/>
      <c r="DF135" s="93">
        <f t="shared" si="278"/>
        <v>0</v>
      </c>
      <c r="DG135" s="96"/>
      <c r="DH135" s="93">
        <f t="shared" si="293"/>
        <v>0</v>
      </c>
      <c r="DI135" s="96"/>
      <c r="DJ135" s="93">
        <f t="shared" si="384"/>
        <v>0</v>
      </c>
      <c r="DK135" s="93"/>
      <c r="DL135" s="93">
        <f t="shared" si="426"/>
        <v>0</v>
      </c>
      <c r="DM135" s="100">
        <v>0.0</v>
      </c>
      <c r="DN135" s="93">
        <f t="shared" si="306"/>
        <v>0</v>
      </c>
      <c r="DO135" s="100">
        <v>0.0</v>
      </c>
      <c r="DP135" s="93">
        <f t="shared" si="294"/>
        <v>0</v>
      </c>
      <c r="DQ135" s="100">
        <v>0.0</v>
      </c>
      <c r="DR135" s="93">
        <f t="shared" si="377"/>
        <v>0</v>
      </c>
      <c r="DS135" s="100">
        <v>0.0</v>
      </c>
      <c r="DT135" s="93">
        <f t="shared" si="431"/>
        <v>0</v>
      </c>
      <c r="DU135" s="100">
        <v>0.0</v>
      </c>
      <c r="DV135" s="93">
        <f t="shared" si="61"/>
        <v>0</v>
      </c>
    </row>
    <row r="136">
      <c r="A136" s="7" t="s">
        <v>452</v>
      </c>
      <c r="B136" s="1" t="s">
        <v>453</v>
      </c>
      <c r="C136" s="76" t="str">
        <f t="array" ref="C136">_xlfn.XLOOKUP(A136,'Emp Master'!A:A,'Emp Master'!F:F)</f>
        <v>SNP</v>
      </c>
      <c r="D136" s="76" t="str">
        <f t="array" ref="D136">_xlfn.XLOOKUP(A136,'Emp Master'!A:A,'Emp Master'!D:D)</f>
        <v>Cutting</v>
      </c>
      <c r="E136" s="76" t="str">
        <f t="shared" si="326"/>
        <v>#REF!</v>
      </c>
      <c r="F136" s="76"/>
      <c r="G136" s="79">
        <v>15000.0</v>
      </c>
      <c r="H136" s="80"/>
      <c r="I136" s="79">
        <f t="shared" si="385"/>
        <v>15000</v>
      </c>
      <c r="J136" s="126">
        <v>1000.0</v>
      </c>
      <c r="K136" s="79">
        <f t="shared" si="386"/>
        <v>14000</v>
      </c>
      <c r="L136" s="126">
        <v>1000.0</v>
      </c>
      <c r="M136" s="79">
        <f t="shared" si="387"/>
        <v>13000</v>
      </c>
      <c r="N136" s="126">
        <v>0.0</v>
      </c>
      <c r="O136" s="79">
        <f t="shared" si="388"/>
        <v>13000</v>
      </c>
      <c r="P136" s="126">
        <v>1000.0</v>
      </c>
      <c r="Q136" s="79">
        <f t="shared" si="389"/>
        <v>12000</v>
      </c>
      <c r="R136" s="106">
        <v>0.0</v>
      </c>
      <c r="S136" s="79">
        <f t="shared" si="433"/>
        <v>12000</v>
      </c>
      <c r="T136" s="1"/>
      <c r="U136" s="79">
        <f t="shared" si="391"/>
        <v>12000</v>
      </c>
      <c r="V136" s="106">
        <v>1000.0</v>
      </c>
      <c r="W136" s="79">
        <f t="shared" si="392"/>
        <v>11000</v>
      </c>
      <c r="X136" s="106">
        <v>1000.0</v>
      </c>
      <c r="Y136" s="79">
        <f t="shared" si="416"/>
        <v>10000</v>
      </c>
      <c r="Z136" s="106">
        <v>1000.0</v>
      </c>
      <c r="AA136" s="79">
        <f t="shared" si="418"/>
        <v>9000</v>
      </c>
      <c r="AB136" s="106">
        <v>0.0</v>
      </c>
      <c r="AC136" s="79">
        <f t="shared" si="394"/>
        <v>9000</v>
      </c>
      <c r="AD136" s="1"/>
      <c r="AE136" s="79">
        <f t="shared" si="395"/>
        <v>9000</v>
      </c>
      <c r="AF136" s="106">
        <v>1000.0</v>
      </c>
      <c r="AG136" s="79">
        <f t="shared" si="396"/>
        <v>8000</v>
      </c>
      <c r="AH136" s="106">
        <v>1000.0</v>
      </c>
      <c r="AI136" s="79">
        <f t="shared" si="397"/>
        <v>7000</v>
      </c>
      <c r="AJ136" s="1"/>
      <c r="AK136" s="79">
        <f t="shared" si="398"/>
        <v>7000</v>
      </c>
      <c r="AL136" s="1"/>
      <c r="AM136" s="79">
        <f t="shared" si="399"/>
        <v>7000</v>
      </c>
      <c r="AN136" s="1"/>
      <c r="AO136" s="79">
        <f t="shared" si="400"/>
        <v>7000</v>
      </c>
      <c r="AP136" s="1"/>
      <c r="AQ136" s="79">
        <f t="shared" ref="AQ136:AQ142" si="434">AO136-AP136</f>
        <v>7000</v>
      </c>
      <c r="AR136" s="1"/>
      <c r="AS136" s="79">
        <f t="shared" si="402"/>
        <v>7000</v>
      </c>
      <c r="AT136" s="106">
        <v>4000.0</v>
      </c>
      <c r="AU136" s="79">
        <f t="shared" si="403"/>
        <v>3000</v>
      </c>
      <c r="AV136" s="106">
        <v>3000.0</v>
      </c>
      <c r="AW136" s="79">
        <f t="shared" si="404"/>
        <v>0</v>
      </c>
      <c r="AX136" s="1"/>
      <c r="AY136" s="79">
        <f t="shared" si="427"/>
        <v>0</v>
      </c>
      <c r="AZ136" s="1"/>
      <c r="BA136" s="79">
        <f>AY136-AZ136+15000</f>
        <v>15000</v>
      </c>
      <c r="BB136" s="106">
        <v>3000.0</v>
      </c>
      <c r="BC136" s="79">
        <f t="shared" si="406"/>
        <v>12000</v>
      </c>
      <c r="BD136" s="1"/>
      <c r="BE136" s="79">
        <f t="shared" si="407"/>
        <v>12000</v>
      </c>
      <c r="BF136" s="106">
        <v>3000.0</v>
      </c>
      <c r="BG136" s="79">
        <f t="shared" si="408"/>
        <v>9000</v>
      </c>
      <c r="BH136" s="106">
        <v>3000.0</v>
      </c>
      <c r="BI136" s="79">
        <f t="shared" si="415"/>
        <v>6000</v>
      </c>
      <c r="BJ136" s="1"/>
      <c r="BK136" s="79">
        <f t="shared" si="409"/>
        <v>6000</v>
      </c>
      <c r="BL136" s="1"/>
      <c r="BM136" s="79">
        <f t="shared" si="410"/>
        <v>6000</v>
      </c>
      <c r="BN136" s="106">
        <v>3000.0</v>
      </c>
      <c r="BO136" s="79">
        <f>BM136-BN136+6500</f>
        <v>9500</v>
      </c>
      <c r="BP136" s="106">
        <v>3000.0</v>
      </c>
      <c r="BQ136" s="79">
        <f t="shared" si="429"/>
        <v>6500</v>
      </c>
      <c r="BR136" s="106">
        <v>3000.0</v>
      </c>
      <c r="BS136" s="79">
        <f t="shared" si="413"/>
        <v>3500</v>
      </c>
      <c r="BT136" s="106">
        <v>3500.0</v>
      </c>
      <c r="BU136" s="79">
        <f t="shared" si="420"/>
        <v>0</v>
      </c>
      <c r="BV136" s="1"/>
      <c r="BW136" s="79">
        <f t="shared" si="334"/>
        <v>0</v>
      </c>
      <c r="BX136" s="1"/>
      <c r="BY136" s="79">
        <f t="shared" si="335"/>
        <v>0</v>
      </c>
      <c r="BZ136" s="1"/>
      <c r="CA136" s="79">
        <f t="shared" si="336"/>
        <v>0</v>
      </c>
      <c r="CB136" s="1"/>
      <c r="CC136" s="79">
        <f t="shared" si="421"/>
        <v>0</v>
      </c>
      <c r="CD136" s="1"/>
      <c r="CE136" s="79">
        <f t="shared" si="422"/>
        <v>0</v>
      </c>
      <c r="CF136" s="1"/>
      <c r="CG136" s="79">
        <f t="shared" si="432"/>
        <v>0</v>
      </c>
      <c r="CH136" s="1"/>
      <c r="CI136" s="79">
        <f t="shared" si="414"/>
        <v>0</v>
      </c>
      <c r="CJ136" s="1"/>
      <c r="CK136" s="79">
        <f t="shared" si="430"/>
        <v>0</v>
      </c>
      <c r="CL136" s="1"/>
      <c r="CM136" s="79">
        <f>15000+CK136-CL136</f>
        <v>15000</v>
      </c>
      <c r="CN136" s="106">
        <v>3750.0</v>
      </c>
      <c r="CO136" s="79">
        <f t="shared" si="305"/>
        <v>11250</v>
      </c>
      <c r="CP136" s="106">
        <v>3750.0</v>
      </c>
      <c r="CQ136" s="79">
        <f t="shared" si="423"/>
        <v>7500</v>
      </c>
      <c r="CR136" s="106">
        <v>3750.0</v>
      </c>
      <c r="CS136" s="79">
        <f t="shared" si="373"/>
        <v>3750</v>
      </c>
      <c r="CT136" s="24">
        <v>3750.0</v>
      </c>
      <c r="CU136" s="79">
        <f t="shared" si="323"/>
        <v>0</v>
      </c>
      <c r="CV136" s="79"/>
      <c r="CW136" s="79">
        <f>CU136-CV136+17000</f>
        <v>17000</v>
      </c>
      <c r="CX136" s="24">
        <v>0.0</v>
      </c>
      <c r="CY136" s="91">
        <v>17000.0</v>
      </c>
      <c r="CZ136" s="79">
        <f>CW136-CX136-CY136</f>
        <v>0</v>
      </c>
      <c r="DA136" s="93"/>
      <c r="DB136" s="93">
        <f t="shared" si="425"/>
        <v>0</v>
      </c>
      <c r="DC136" s="96"/>
      <c r="DD136" s="93">
        <f>DB136-DC136+20000</f>
        <v>20000</v>
      </c>
      <c r="DE136" s="178">
        <v>5000.0</v>
      </c>
      <c r="DF136" s="93">
        <f t="shared" si="278"/>
        <v>15000</v>
      </c>
      <c r="DG136" s="178">
        <v>5000.0</v>
      </c>
      <c r="DH136" s="93">
        <f t="shared" si="293"/>
        <v>10000</v>
      </c>
      <c r="DI136" s="178">
        <v>5000.0</v>
      </c>
      <c r="DJ136" s="93">
        <f t="shared" si="384"/>
        <v>5000</v>
      </c>
      <c r="DK136" s="100">
        <v>5000.0</v>
      </c>
      <c r="DL136" s="93">
        <f t="shared" si="426"/>
        <v>0</v>
      </c>
      <c r="DM136" s="100">
        <v>0.0</v>
      </c>
      <c r="DN136" s="93">
        <f t="shared" si="306"/>
        <v>0</v>
      </c>
      <c r="DO136" s="100">
        <v>0.0</v>
      </c>
      <c r="DP136" s="93">
        <f t="shared" si="294"/>
        <v>0</v>
      </c>
      <c r="DQ136" s="100">
        <v>0.0</v>
      </c>
      <c r="DR136" s="93">
        <f t="shared" si="377"/>
        <v>0</v>
      </c>
      <c r="DS136" s="100">
        <v>0.0</v>
      </c>
      <c r="DT136" s="93">
        <f>DR136-DS136+25000</f>
        <v>25000</v>
      </c>
      <c r="DU136" s="100">
        <v>2500.0</v>
      </c>
      <c r="DV136" s="93">
        <f t="shared" si="61"/>
        <v>22500</v>
      </c>
    </row>
    <row r="137">
      <c r="A137" s="7" t="s">
        <v>921</v>
      </c>
      <c r="B137" s="7" t="s">
        <v>922</v>
      </c>
      <c r="C137" s="76" t="str">
        <f t="array" ref="C137">_xlfn.XLOOKUP(A137,'Emp Master'!A:A,'Emp Master'!F:F)</f>
        <v>#N/A</v>
      </c>
      <c r="D137" s="76" t="str">
        <f t="array" ref="D137">_xlfn.XLOOKUP(A137,'Emp Master'!A:A,'Emp Master'!D:D)</f>
        <v>#N/A</v>
      </c>
      <c r="E137" s="76" t="str">
        <f t="shared" si="326"/>
        <v>#REF!</v>
      </c>
      <c r="F137" s="76"/>
      <c r="G137" s="79"/>
      <c r="H137" s="80"/>
      <c r="I137" s="79">
        <f>G137-H137+15000</f>
        <v>15000</v>
      </c>
      <c r="J137" s="126">
        <v>3000.0</v>
      </c>
      <c r="K137" s="79">
        <f t="shared" si="386"/>
        <v>12000</v>
      </c>
      <c r="L137" s="126">
        <v>3000.0</v>
      </c>
      <c r="M137" s="79">
        <f t="shared" si="387"/>
        <v>9000</v>
      </c>
      <c r="N137" s="126">
        <v>3000.0</v>
      </c>
      <c r="O137" s="79">
        <f t="shared" si="388"/>
        <v>6000</v>
      </c>
      <c r="P137" s="126">
        <v>3000.0</v>
      </c>
      <c r="Q137" s="79">
        <f t="shared" si="389"/>
        <v>3000</v>
      </c>
      <c r="R137" s="106">
        <v>3000.0</v>
      </c>
      <c r="S137" s="79">
        <f t="shared" si="433"/>
        <v>0</v>
      </c>
      <c r="T137" s="1"/>
      <c r="U137" s="79">
        <f>S137-T137+15000</f>
        <v>15000</v>
      </c>
      <c r="V137" s="1"/>
      <c r="W137" s="79">
        <f t="shared" si="392"/>
        <v>15000</v>
      </c>
      <c r="X137" s="106">
        <v>1000.0</v>
      </c>
      <c r="Y137" s="79">
        <f t="shared" si="416"/>
        <v>14000</v>
      </c>
      <c r="Z137" s="106">
        <v>3000.0</v>
      </c>
      <c r="AA137" s="79">
        <f t="shared" si="418"/>
        <v>11000</v>
      </c>
      <c r="AB137" s="106">
        <v>2000.0</v>
      </c>
      <c r="AC137" s="79">
        <f t="shared" si="394"/>
        <v>9000</v>
      </c>
      <c r="AD137" s="106"/>
      <c r="AE137" s="79">
        <f t="shared" si="395"/>
        <v>9000</v>
      </c>
      <c r="AF137" s="106">
        <v>2000.0</v>
      </c>
      <c r="AG137" s="79">
        <f t="shared" si="396"/>
        <v>7000</v>
      </c>
      <c r="AH137" s="106">
        <v>2000.0</v>
      </c>
      <c r="AI137" s="79">
        <f t="shared" si="397"/>
        <v>5000</v>
      </c>
      <c r="AJ137" s="1"/>
      <c r="AK137" s="79">
        <f t="shared" si="398"/>
        <v>5000</v>
      </c>
      <c r="AL137" s="106">
        <v>2000.0</v>
      </c>
      <c r="AM137" s="79">
        <f t="shared" si="399"/>
        <v>3000</v>
      </c>
      <c r="AN137" s="106">
        <v>3000.0</v>
      </c>
      <c r="AO137" s="79">
        <f t="shared" si="400"/>
        <v>0</v>
      </c>
      <c r="AP137" s="106">
        <v>0.0</v>
      </c>
      <c r="AQ137" s="79">
        <f t="shared" si="434"/>
        <v>0</v>
      </c>
      <c r="AR137" s="1"/>
      <c r="AS137" s="79">
        <f t="shared" si="402"/>
        <v>0</v>
      </c>
      <c r="AT137" s="1"/>
      <c r="AU137" s="79">
        <f t="shared" si="403"/>
        <v>0</v>
      </c>
      <c r="AV137" s="1"/>
      <c r="AW137" s="79">
        <f t="shared" si="404"/>
        <v>0</v>
      </c>
      <c r="AX137" s="1"/>
      <c r="AY137" s="79">
        <f>AW137-AX137+15000</f>
        <v>15000</v>
      </c>
      <c r="AZ137" s="106">
        <v>3000.0</v>
      </c>
      <c r="BA137" s="79">
        <f t="shared" ref="BA137:BA163" si="435">AY137-AZ137</f>
        <v>12000</v>
      </c>
      <c r="BB137" s="106">
        <v>3000.0</v>
      </c>
      <c r="BC137" s="79">
        <f t="shared" si="406"/>
        <v>9000</v>
      </c>
      <c r="BD137" s="106">
        <v>3000.0</v>
      </c>
      <c r="BE137" s="79">
        <f t="shared" si="407"/>
        <v>6000</v>
      </c>
      <c r="BF137" s="106">
        <v>3000.0</v>
      </c>
      <c r="BG137" s="79">
        <f>BE137-BF137+15000</f>
        <v>18000</v>
      </c>
      <c r="BH137" s="1"/>
      <c r="BI137" s="79">
        <f t="shared" si="415"/>
        <v>18000</v>
      </c>
      <c r="BJ137" s="106">
        <v>3000.0</v>
      </c>
      <c r="BK137" s="79">
        <f t="shared" si="409"/>
        <v>15000</v>
      </c>
      <c r="BL137" s="106">
        <v>3000.0</v>
      </c>
      <c r="BM137" s="79">
        <f t="shared" si="410"/>
        <v>12000</v>
      </c>
      <c r="BN137" s="106">
        <v>2000.0</v>
      </c>
      <c r="BO137" s="79">
        <f t="shared" ref="BO137:BO142" si="436">BM137-BN137</f>
        <v>10000</v>
      </c>
      <c r="BP137" s="106">
        <v>2000.0</v>
      </c>
      <c r="BQ137" s="79">
        <f t="shared" si="429"/>
        <v>8000</v>
      </c>
      <c r="BR137" s="106">
        <v>2000.0</v>
      </c>
      <c r="BS137" s="79">
        <f t="shared" si="413"/>
        <v>6000</v>
      </c>
      <c r="BT137" s="106">
        <v>2000.0</v>
      </c>
      <c r="BU137" s="79">
        <f t="shared" si="420"/>
        <v>4000</v>
      </c>
      <c r="BV137" s="106">
        <v>2000.0</v>
      </c>
      <c r="BW137" s="79">
        <f t="shared" si="334"/>
        <v>2000</v>
      </c>
      <c r="BX137" s="106">
        <v>2000.0</v>
      </c>
      <c r="BY137" s="79">
        <f t="shared" si="335"/>
        <v>0</v>
      </c>
      <c r="BZ137" s="1"/>
      <c r="CA137" s="79">
        <f t="shared" si="336"/>
        <v>0</v>
      </c>
      <c r="CB137" s="1"/>
      <c r="CC137" s="79">
        <f t="shared" si="421"/>
        <v>0</v>
      </c>
      <c r="CD137" s="1"/>
      <c r="CE137" s="79">
        <f t="shared" si="422"/>
        <v>0</v>
      </c>
      <c r="CF137" s="1"/>
      <c r="CG137" s="79">
        <f t="shared" si="432"/>
        <v>0</v>
      </c>
      <c r="CH137" s="1"/>
      <c r="CI137" s="79">
        <f t="shared" si="414"/>
        <v>0</v>
      </c>
      <c r="CJ137" s="1"/>
      <c r="CK137" s="79">
        <f t="shared" si="430"/>
        <v>0</v>
      </c>
      <c r="CL137" s="1"/>
      <c r="CM137" s="79">
        <f>12000+CK137-CL137</f>
        <v>12000</v>
      </c>
      <c r="CN137" s="106">
        <v>3000.0</v>
      </c>
      <c r="CO137" s="79">
        <f t="shared" si="305"/>
        <v>9000</v>
      </c>
      <c r="CP137" s="106">
        <v>3000.0</v>
      </c>
      <c r="CQ137" s="79">
        <f t="shared" si="423"/>
        <v>6000</v>
      </c>
      <c r="CR137" s="106">
        <v>3000.0</v>
      </c>
      <c r="CS137" s="79">
        <f t="shared" si="373"/>
        <v>3000</v>
      </c>
      <c r="CT137" s="24">
        <v>3000.0</v>
      </c>
      <c r="CU137" s="79">
        <f t="shared" si="323"/>
        <v>0</v>
      </c>
      <c r="CV137" s="79"/>
      <c r="CW137" s="79">
        <f>CU137-CV137+15000</f>
        <v>15000</v>
      </c>
      <c r="CX137" s="24">
        <v>3000.0</v>
      </c>
      <c r="CY137" s="91">
        <v>12000.0</v>
      </c>
      <c r="CZ137" s="79">
        <f>CW137-CX137-CY137+20000</f>
        <v>20000</v>
      </c>
      <c r="DA137" s="100">
        <v>4000.0</v>
      </c>
      <c r="DB137" s="93">
        <f t="shared" si="425"/>
        <v>16000</v>
      </c>
      <c r="DC137" s="207">
        <v>4000.0</v>
      </c>
      <c r="DD137" s="93">
        <f t="shared" ref="DD137:DD163" si="437">DB137-DC137</f>
        <v>12000</v>
      </c>
      <c r="DE137" s="207">
        <v>4000.0</v>
      </c>
      <c r="DF137" s="93">
        <f t="shared" si="278"/>
        <v>8000</v>
      </c>
      <c r="DG137" s="178">
        <v>4000.0</v>
      </c>
      <c r="DH137" s="93">
        <f t="shared" si="293"/>
        <v>4000</v>
      </c>
      <c r="DI137" s="178">
        <v>4000.0</v>
      </c>
      <c r="DJ137" s="93">
        <f t="shared" si="384"/>
        <v>0</v>
      </c>
      <c r="DK137" s="93"/>
      <c r="DL137" s="93">
        <f t="shared" si="426"/>
        <v>0</v>
      </c>
      <c r="DM137" s="100">
        <v>0.0</v>
      </c>
      <c r="DN137" s="93">
        <f t="shared" si="306"/>
        <v>0</v>
      </c>
      <c r="DO137" s="100">
        <v>0.0</v>
      </c>
      <c r="DP137" s="93">
        <f t="shared" si="294"/>
        <v>0</v>
      </c>
      <c r="DQ137" s="100">
        <v>0.0</v>
      </c>
      <c r="DR137" s="93">
        <f t="shared" si="377"/>
        <v>0</v>
      </c>
      <c r="DS137" s="100">
        <v>0.0</v>
      </c>
      <c r="DT137" s="93">
        <f t="shared" ref="DT137:DT163" si="438">DR137-DS137</f>
        <v>0</v>
      </c>
      <c r="DU137" s="100">
        <v>0.0</v>
      </c>
      <c r="DV137" s="93">
        <f t="shared" si="61"/>
        <v>0</v>
      </c>
    </row>
    <row r="138">
      <c r="A138" s="7" t="s">
        <v>923</v>
      </c>
      <c r="B138" s="1" t="s">
        <v>924</v>
      </c>
      <c r="C138" s="76" t="str">
        <f t="array" ref="C138">_xlfn.XLOOKUP(A138,'Emp Master'!A:A,'Emp Master'!F:F)</f>
        <v>#N/A</v>
      </c>
      <c r="D138" s="76" t="str">
        <f t="array" ref="D138">_xlfn.XLOOKUP(A138,'Emp Master'!A:A,'Emp Master'!D:D)</f>
        <v>#N/A</v>
      </c>
      <c r="E138" s="76" t="str">
        <f t="shared" si="326"/>
        <v>#REF!</v>
      </c>
      <c r="F138" s="76"/>
      <c r="G138" s="79"/>
      <c r="H138" s="80"/>
      <c r="I138" s="79">
        <f t="shared" ref="I138:I160" si="439">G138-H138</f>
        <v>0</v>
      </c>
      <c r="J138" s="80"/>
      <c r="K138" s="79">
        <f t="shared" si="386"/>
        <v>0</v>
      </c>
      <c r="L138" s="80"/>
      <c r="M138" s="79">
        <f t="shared" si="387"/>
        <v>0</v>
      </c>
      <c r="N138" s="80"/>
      <c r="O138" s="79">
        <f t="shared" si="388"/>
        <v>0</v>
      </c>
      <c r="P138" s="80"/>
      <c r="Q138" s="79">
        <f t="shared" si="389"/>
        <v>0</v>
      </c>
      <c r="R138" s="1"/>
      <c r="S138" s="79">
        <f t="shared" si="433"/>
        <v>0</v>
      </c>
      <c r="T138" s="1"/>
      <c r="U138" s="79">
        <f t="shared" ref="U138:U149" si="440">S138-T138</f>
        <v>0</v>
      </c>
      <c r="V138" s="1"/>
      <c r="W138" s="79">
        <f t="shared" si="392"/>
        <v>0</v>
      </c>
      <c r="X138" s="1"/>
      <c r="Y138" s="79">
        <f t="shared" si="416"/>
        <v>0</v>
      </c>
      <c r="Z138" s="1"/>
      <c r="AA138" s="79">
        <f t="shared" si="418"/>
        <v>0</v>
      </c>
      <c r="AB138" s="1"/>
      <c r="AC138" s="79">
        <f t="shared" si="394"/>
        <v>0</v>
      </c>
      <c r="AD138" s="1"/>
      <c r="AE138" s="79">
        <f t="shared" si="395"/>
        <v>0</v>
      </c>
      <c r="AF138" s="1"/>
      <c r="AG138" s="79">
        <f t="shared" si="396"/>
        <v>0</v>
      </c>
      <c r="AH138" s="1"/>
      <c r="AI138" s="79">
        <f t="shared" si="397"/>
        <v>0</v>
      </c>
      <c r="AJ138" s="1"/>
      <c r="AK138" s="79">
        <f t="shared" si="398"/>
        <v>0</v>
      </c>
      <c r="AL138" s="1"/>
      <c r="AM138" s="79">
        <f t="shared" si="399"/>
        <v>0</v>
      </c>
      <c r="AN138" s="1"/>
      <c r="AO138" s="79">
        <f t="shared" si="400"/>
        <v>0</v>
      </c>
      <c r="AP138" s="1"/>
      <c r="AQ138" s="79">
        <f t="shared" si="434"/>
        <v>0</v>
      </c>
      <c r="AR138" s="1"/>
      <c r="AS138" s="79">
        <f t="shared" si="402"/>
        <v>0</v>
      </c>
      <c r="AT138" s="1"/>
      <c r="AU138" s="79">
        <f t="shared" si="403"/>
        <v>0</v>
      </c>
      <c r="AV138" s="1"/>
      <c r="AW138" s="79">
        <f t="shared" si="404"/>
        <v>0</v>
      </c>
      <c r="AX138" s="1"/>
      <c r="AY138" s="79">
        <f>AW138-AX138</f>
        <v>0</v>
      </c>
      <c r="AZ138" s="1"/>
      <c r="BA138" s="79">
        <f t="shared" si="435"/>
        <v>0</v>
      </c>
      <c r="BB138" s="1"/>
      <c r="BC138" s="79">
        <f t="shared" si="406"/>
        <v>0</v>
      </c>
      <c r="BD138" s="1"/>
      <c r="BE138" s="79">
        <f t="shared" si="407"/>
        <v>0</v>
      </c>
      <c r="BF138" s="1"/>
      <c r="BG138" s="79">
        <f t="shared" ref="BG138:BG163" si="441">BE138-BF138</f>
        <v>0</v>
      </c>
      <c r="BH138" s="1"/>
      <c r="BI138" s="79">
        <f t="shared" si="415"/>
        <v>0</v>
      </c>
      <c r="BJ138" s="1"/>
      <c r="BK138" s="79">
        <f t="shared" si="409"/>
        <v>0</v>
      </c>
      <c r="BL138" s="1"/>
      <c r="BM138" s="79">
        <f t="shared" si="410"/>
        <v>0</v>
      </c>
      <c r="BN138" s="1"/>
      <c r="BO138" s="79">
        <f t="shared" si="436"/>
        <v>0</v>
      </c>
      <c r="BP138" s="1"/>
      <c r="BQ138" s="79">
        <f t="shared" si="429"/>
        <v>0</v>
      </c>
      <c r="BR138" s="1"/>
      <c r="BS138" s="79">
        <f t="shared" si="413"/>
        <v>0</v>
      </c>
      <c r="BT138" s="1"/>
      <c r="BU138" s="79">
        <f t="shared" si="420"/>
        <v>0</v>
      </c>
      <c r="BV138" s="1"/>
      <c r="BW138" s="79">
        <f t="shared" si="334"/>
        <v>0</v>
      </c>
      <c r="BX138" s="1"/>
      <c r="BY138" s="79">
        <f t="shared" si="335"/>
        <v>0</v>
      </c>
      <c r="BZ138" s="1"/>
      <c r="CA138" s="79">
        <f t="shared" si="336"/>
        <v>0</v>
      </c>
      <c r="CB138" s="1"/>
      <c r="CC138" s="79">
        <f t="shared" si="421"/>
        <v>0</v>
      </c>
      <c r="CD138" s="1"/>
      <c r="CE138" s="79">
        <f t="shared" si="422"/>
        <v>0</v>
      </c>
      <c r="CF138" s="1"/>
      <c r="CG138" s="79">
        <f t="shared" si="432"/>
        <v>0</v>
      </c>
      <c r="CH138" s="1"/>
      <c r="CI138" s="79">
        <f t="shared" si="414"/>
        <v>0</v>
      </c>
      <c r="CJ138" s="1"/>
      <c r="CK138" s="79">
        <f t="shared" si="430"/>
        <v>0</v>
      </c>
      <c r="CL138" s="1"/>
      <c r="CM138" s="79">
        <f>CK138-CL138</f>
        <v>0</v>
      </c>
      <c r="CN138" s="1"/>
      <c r="CO138" s="79">
        <f t="shared" si="305"/>
        <v>0</v>
      </c>
      <c r="CP138" s="1"/>
      <c r="CQ138" s="79">
        <f t="shared" si="423"/>
        <v>0</v>
      </c>
      <c r="CR138" s="1"/>
      <c r="CS138" s="79">
        <f t="shared" si="373"/>
        <v>0</v>
      </c>
      <c r="CT138" s="79"/>
      <c r="CU138" s="79">
        <f t="shared" si="323"/>
        <v>0</v>
      </c>
      <c r="CV138" s="79"/>
      <c r="CW138" s="79">
        <f t="shared" ref="CW138:CW142" si="442">CU138-CV138</f>
        <v>0</v>
      </c>
      <c r="CX138" s="79"/>
      <c r="CY138" s="91"/>
      <c r="CZ138" s="79">
        <f t="shared" ref="CZ138:CZ142" si="443">CW138-CX138</f>
        <v>0</v>
      </c>
      <c r="DA138" s="93"/>
      <c r="DB138" s="93">
        <f t="shared" si="425"/>
        <v>0</v>
      </c>
      <c r="DC138" s="96"/>
      <c r="DD138" s="93">
        <f t="shared" si="437"/>
        <v>0</v>
      </c>
      <c r="DE138" s="96"/>
      <c r="DF138" s="93">
        <f t="shared" si="278"/>
        <v>0</v>
      </c>
      <c r="DG138" s="96"/>
      <c r="DH138" s="93">
        <f t="shared" si="293"/>
        <v>0</v>
      </c>
      <c r="DI138" s="96"/>
      <c r="DJ138" s="93">
        <f t="shared" si="384"/>
        <v>0</v>
      </c>
      <c r="DK138" s="93"/>
      <c r="DL138" s="93">
        <f t="shared" si="426"/>
        <v>0</v>
      </c>
      <c r="DM138" s="100">
        <v>0.0</v>
      </c>
      <c r="DN138" s="93">
        <f t="shared" si="306"/>
        <v>0</v>
      </c>
      <c r="DO138" s="100">
        <v>0.0</v>
      </c>
      <c r="DP138" s="93">
        <f t="shared" si="294"/>
        <v>0</v>
      </c>
      <c r="DQ138" s="100">
        <v>0.0</v>
      </c>
      <c r="DR138" s="93">
        <f t="shared" si="377"/>
        <v>0</v>
      </c>
      <c r="DS138" s="100">
        <v>0.0</v>
      </c>
      <c r="DT138" s="93">
        <f t="shared" si="438"/>
        <v>0</v>
      </c>
      <c r="DU138" s="100">
        <v>0.0</v>
      </c>
      <c r="DV138" s="93">
        <f t="shared" si="61"/>
        <v>0</v>
      </c>
    </row>
    <row r="139">
      <c r="A139" s="7" t="s">
        <v>457</v>
      </c>
      <c r="B139" s="1" t="s">
        <v>458</v>
      </c>
      <c r="C139" s="76" t="str">
        <f t="array" ref="C139">_xlfn.XLOOKUP(A139,'Emp Master'!A:A,'Emp Master'!F:F)</f>
        <v>SNP</v>
      </c>
      <c r="D139" s="76" t="str">
        <f t="array" ref="D139">_xlfn.XLOOKUP(A139,'Emp Master'!A:A,'Emp Master'!D:D)</f>
        <v>Floor Shop</v>
      </c>
      <c r="E139" s="76" t="str">
        <f t="shared" si="326"/>
        <v>#REF!</v>
      </c>
      <c r="F139" s="76"/>
      <c r="G139" s="79"/>
      <c r="H139" s="80"/>
      <c r="I139" s="79">
        <f t="shared" si="439"/>
        <v>0</v>
      </c>
      <c r="J139" s="80"/>
      <c r="K139" s="79">
        <f t="shared" si="386"/>
        <v>0</v>
      </c>
      <c r="L139" s="80"/>
      <c r="M139" s="79">
        <f t="shared" si="387"/>
        <v>0</v>
      </c>
      <c r="N139" s="80"/>
      <c r="O139" s="79">
        <f>M139-N139+5000</f>
        <v>5000</v>
      </c>
      <c r="P139" s="126">
        <v>1500.0</v>
      </c>
      <c r="Q139" s="79">
        <f t="shared" si="389"/>
        <v>3500</v>
      </c>
      <c r="R139" s="106">
        <v>1500.0</v>
      </c>
      <c r="S139" s="79">
        <f t="shared" si="433"/>
        <v>2000</v>
      </c>
      <c r="T139" s="106">
        <v>2000.0</v>
      </c>
      <c r="U139" s="79">
        <f t="shared" si="440"/>
        <v>0</v>
      </c>
      <c r="V139" s="106">
        <v>0.0</v>
      </c>
      <c r="W139" s="79">
        <f t="shared" si="392"/>
        <v>0</v>
      </c>
      <c r="X139" s="1"/>
      <c r="Y139" s="79">
        <f t="shared" si="416"/>
        <v>0</v>
      </c>
      <c r="Z139" s="1"/>
      <c r="AA139" s="79">
        <f t="shared" si="418"/>
        <v>0</v>
      </c>
      <c r="AB139" s="1"/>
      <c r="AC139" s="79">
        <f t="shared" si="394"/>
        <v>0</v>
      </c>
      <c r="AD139" s="1"/>
      <c r="AE139" s="79">
        <f t="shared" si="395"/>
        <v>0</v>
      </c>
      <c r="AF139" s="1"/>
      <c r="AG139" s="79">
        <f t="shared" si="396"/>
        <v>0</v>
      </c>
      <c r="AH139" s="1"/>
      <c r="AI139" s="79">
        <f t="shared" si="397"/>
        <v>0</v>
      </c>
      <c r="AJ139" s="1"/>
      <c r="AK139" s="79">
        <f t="shared" si="398"/>
        <v>0</v>
      </c>
      <c r="AL139" s="1"/>
      <c r="AM139" s="79">
        <f t="shared" si="399"/>
        <v>0</v>
      </c>
      <c r="AN139" s="1"/>
      <c r="AO139" s="79">
        <f t="shared" si="400"/>
        <v>0</v>
      </c>
      <c r="AP139" s="1"/>
      <c r="AQ139" s="79">
        <f t="shared" si="434"/>
        <v>0</v>
      </c>
      <c r="AR139" s="1"/>
      <c r="AS139" s="79">
        <f t="shared" si="402"/>
        <v>0</v>
      </c>
      <c r="AT139" s="1"/>
      <c r="AU139" s="79">
        <f t="shared" si="403"/>
        <v>0</v>
      </c>
      <c r="AV139" s="1"/>
      <c r="AW139" s="79">
        <f t="shared" si="404"/>
        <v>0</v>
      </c>
      <c r="AX139" s="1"/>
      <c r="AY139" s="79">
        <f>AW139-AX139+5000</f>
        <v>5000</v>
      </c>
      <c r="AZ139" s="106">
        <v>2000.0</v>
      </c>
      <c r="BA139" s="79">
        <f t="shared" si="435"/>
        <v>3000</v>
      </c>
      <c r="BB139" s="106">
        <v>2000.0</v>
      </c>
      <c r="BC139" s="79">
        <f t="shared" si="406"/>
        <v>1000</v>
      </c>
      <c r="BD139" s="106">
        <v>1000.0</v>
      </c>
      <c r="BE139" s="79">
        <f t="shared" si="407"/>
        <v>0</v>
      </c>
      <c r="BF139" s="1"/>
      <c r="BG139" s="79">
        <f t="shared" si="441"/>
        <v>0</v>
      </c>
      <c r="BH139" s="1"/>
      <c r="BI139" s="79">
        <f t="shared" si="415"/>
        <v>0</v>
      </c>
      <c r="BJ139" s="1"/>
      <c r="BK139" s="79">
        <f t="shared" si="409"/>
        <v>0</v>
      </c>
      <c r="BL139" s="1"/>
      <c r="BM139" s="79">
        <f t="shared" si="410"/>
        <v>0</v>
      </c>
      <c r="BN139" s="1"/>
      <c r="BO139" s="79">
        <f t="shared" si="436"/>
        <v>0</v>
      </c>
      <c r="BP139" s="1"/>
      <c r="BQ139" s="79">
        <f t="shared" si="429"/>
        <v>0</v>
      </c>
      <c r="BR139" s="1"/>
      <c r="BS139" s="79">
        <f t="shared" si="413"/>
        <v>0</v>
      </c>
      <c r="BT139" s="1"/>
      <c r="BU139" s="79">
        <f t="shared" si="420"/>
        <v>0</v>
      </c>
      <c r="BV139" s="1"/>
      <c r="BW139" s="79">
        <f t="shared" si="334"/>
        <v>0</v>
      </c>
      <c r="BX139" s="1"/>
      <c r="BY139" s="79">
        <f t="shared" si="335"/>
        <v>0</v>
      </c>
      <c r="BZ139" s="1"/>
      <c r="CA139" s="79">
        <f t="shared" si="336"/>
        <v>0</v>
      </c>
      <c r="CB139" s="1"/>
      <c r="CC139" s="79">
        <f t="shared" si="421"/>
        <v>0</v>
      </c>
      <c r="CD139" s="1"/>
      <c r="CE139" s="79">
        <f t="shared" si="422"/>
        <v>0</v>
      </c>
      <c r="CF139" s="1"/>
      <c r="CG139" s="79">
        <f t="shared" si="432"/>
        <v>0</v>
      </c>
      <c r="CH139" s="1"/>
      <c r="CI139" s="79">
        <f t="shared" si="414"/>
        <v>0</v>
      </c>
      <c r="CJ139" s="1"/>
      <c r="CK139" s="79">
        <f t="shared" si="430"/>
        <v>0</v>
      </c>
      <c r="CL139" s="1"/>
      <c r="CM139" s="79">
        <f>20000+CK139-CL139</f>
        <v>20000</v>
      </c>
      <c r="CN139" s="106">
        <v>8750.0</v>
      </c>
      <c r="CO139" s="79">
        <f t="shared" si="305"/>
        <v>11250</v>
      </c>
      <c r="CP139" s="106"/>
      <c r="CQ139" s="79">
        <f t="shared" si="423"/>
        <v>11250</v>
      </c>
      <c r="CR139" s="106">
        <v>3750.0</v>
      </c>
      <c r="CS139" s="79">
        <f t="shared" si="373"/>
        <v>7500</v>
      </c>
      <c r="CT139" s="24">
        <v>3750.0</v>
      </c>
      <c r="CU139" s="79">
        <f t="shared" si="323"/>
        <v>3750</v>
      </c>
      <c r="CV139" s="24">
        <v>3750.0</v>
      </c>
      <c r="CW139" s="79">
        <f t="shared" si="442"/>
        <v>0</v>
      </c>
      <c r="CX139" s="24"/>
      <c r="CY139" s="91"/>
      <c r="CZ139" s="79">
        <f t="shared" si="443"/>
        <v>0</v>
      </c>
      <c r="DA139" s="93"/>
      <c r="DB139" s="93">
        <f t="shared" si="425"/>
        <v>0</v>
      </c>
      <c r="DC139" s="96"/>
      <c r="DD139" s="93">
        <f t="shared" si="437"/>
        <v>0</v>
      </c>
      <c r="DE139" s="96"/>
      <c r="DF139" s="93">
        <f t="shared" si="278"/>
        <v>0</v>
      </c>
      <c r="DG139" s="96"/>
      <c r="DH139" s="93">
        <f t="shared" si="293"/>
        <v>0</v>
      </c>
      <c r="DI139" s="96"/>
      <c r="DJ139" s="93">
        <f t="shared" si="384"/>
        <v>0</v>
      </c>
      <c r="DK139" s="93"/>
      <c r="DL139" s="93">
        <f t="shared" si="426"/>
        <v>0</v>
      </c>
      <c r="DM139" s="100">
        <v>0.0</v>
      </c>
      <c r="DN139" s="93">
        <f t="shared" si="306"/>
        <v>0</v>
      </c>
      <c r="DO139" s="100">
        <v>0.0</v>
      </c>
      <c r="DP139" s="93">
        <f t="shared" si="294"/>
        <v>0</v>
      </c>
      <c r="DQ139" s="100">
        <v>0.0</v>
      </c>
      <c r="DR139" s="93">
        <f t="shared" si="377"/>
        <v>0</v>
      </c>
      <c r="DS139" s="100">
        <v>0.0</v>
      </c>
      <c r="DT139" s="93">
        <f t="shared" si="438"/>
        <v>0</v>
      </c>
      <c r="DU139" s="100">
        <v>0.0</v>
      </c>
      <c r="DV139" s="93">
        <f t="shared" si="61"/>
        <v>0</v>
      </c>
    </row>
    <row r="140">
      <c r="A140" s="7" t="s">
        <v>925</v>
      </c>
      <c r="B140" s="1" t="s">
        <v>926</v>
      </c>
      <c r="C140" s="76" t="str">
        <f t="array" ref="C140">_xlfn.XLOOKUP(A140,'Emp Master'!A:A,'Emp Master'!F:F)</f>
        <v>#N/A</v>
      </c>
      <c r="D140" s="76" t="str">
        <f t="array" ref="D140">_xlfn.XLOOKUP(A140,'Emp Master'!A:A,'Emp Master'!D:D)</f>
        <v>#N/A</v>
      </c>
      <c r="E140" s="76" t="str">
        <f t="shared" si="326"/>
        <v>#REF!</v>
      </c>
      <c r="F140" s="76"/>
      <c r="G140" s="79"/>
      <c r="H140" s="80"/>
      <c r="I140" s="79">
        <f t="shared" si="439"/>
        <v>0</v>
      </c>
      <c r="J140" s="80"/>
      <c r="K140" s="79">
        <f t="shared" si="386"/>
        <v>0</v>
      </c>
      <c r="L140" s="80"/>
      <c r="M140" s="79">
        <f t="shared" si="387"/>
        <v>0</v>
      </c>
      <c r="N140" s="80"/>
      <c r="O140" s="79">
        <f t="shared" ref="O140:O150" si="444">M140-N140</f>
        <v>0</v>
      </c>
      <c r="P140" s="80"/>
      <c r="Q140" s="79">
        <f t="shared" si="389"/>
        <v>0</v>
      </c>
      <c r="R140" s="1"/>
      <c r="S140" s="79">
        <f t="shared" si="433"/>
        <v>0</v>
      </c>
      <c r="T140" s="1"/>
      <c r="U140" s="79">
        <f t="shared" si="440"/>
        <v>0</v>
      </c>
      <c r="V140" s="1"/>
      <c r="W140" s="79">
        <f t="shared" si="392"/>
        <v>0</v>
      </c>
      <c r="X140" s="1"/>
      <c r="Y140" s="79">
        <f t="shared" si="416"/>
        <v>0</v>
      </c>
      <c r="Z140" s="1"/>
      <c r="AA140" s="79">
        <f t="shared" si="418"/>
        <v>0</v>
      </c>
      <c r="AB140" s="1"/>
      <c r="AC140" s="79">
        <f t="shared" si="394"/>
        <v>0</v>
      </c>
      <c r="AD140" s="1"/>
      <c r="AE140" s="79">
        <f t="shared" si="395"/>
        <v>0</v>
      </c>
      <c r="AF140" s="1"/>
      <c r="AG140" s="79">
        <f t="shared" si="396"/>
        <v>0</v>
      </c>
      <c r="AH140" s="1"/>
      <c r="AI140" s="79">
        <f t="shared" si="397"/>
        <v>0</v>
      </c>
      <c r="AJ140" s="1"/>
      <c r="AK140" s="79">
        <f t="shared" si="398"/>
        <v>0</v>
      </c>
      <c r="AL140" s="1"/>
      <c r="AM140" s="79">
        <f t="shared" si="399"/>
        <v>0</v>
      </c>
      <c r="AN140" s="1"/>
      <c r="AO140" s="79">
        <f t="shared" si="400"/>
        <v>0</v>
      </c>
      <c r="AP140" s="1"/>
      <c r="AQ140" s="79">
        <f t="shared" si="434"/>
        <v>0</v>
      </c>
      <c r="AR140" s="1"/>
      <c r="AS140" s="79">
        <f t="shared" si="402"/>
        <v>0</v>
      </c>
      <c r="AT140" s="1"/>
      <c r="AU140" s="79">
        <f t="shared" si="403"/>
        <v>0</v>
      </c>
      <c r="AV140" s="1"/>
      <c r="AW140" s="79">
        <f t="shared" si="404"/>
        <v>0</v>
      </c>
      <c r="AX140" s="1"/>
      <c r="AY140" s="79">
        <f t="shared" ref="AY140:AY152" si="445">AW140-AX140</f>
        <v>0</v>
      </c>
      <c r="AZ140" s="1"/>
      <c r="BA140" s="79">
        <f t="shared" si="435"/>
        <v>0</v>
      </c>
      <c r="BB140" s="1"/>
      <c r="BC140" s="79">
        <f t="shared" si="406"/>
        <v>0</v>
      </c>
      <c r="BD140" s="1"/>
      <c r="BE140" s="79">
        <f t="shared" si="407"/>
        <v>0</v>
      </c>
      <c r="BF140" s="1"/>
      <c r="BG140" s="79">
        <f t="shared" si="441"/>
        <v>0</v>
      </c>
      <c r="BH140" s="1"/>
      <c r="BI140" s="79">
        <f t="shared" si="415"/>
        <v>0</v>
      </c>
      <c r="BJ140" s="1"/>
      <c r="BK140" s="79">
        <f t="shared" si="409"/>
        <v>0</v>
      </c>
      <c r="BL140" s="1"/>
      <c r="BM140" s="79">
        <f t="shared" si="410"/>
        <v>0</v>
      </c>
      <c r="BN140" s="1"/>
      <c r="BO140" s="79">
        <f t="shared" si="436"/>
        <v>0</v>
      </c>
      <c r="BP140" s="1"/>
      <c r="BQ140" s="79">
        <f t="shared" si="429"/>
        <v>0</v>
      </c>
      <c r="BR140" s="1"/>
      <c r="BS140" s="79">
        <f t="shared" si="413"/>
        <v>0</v>
      </c>
      <c r="BT140" s="1"/>
      <c r="BU140" s="79">
        <f t="shared" si="420"/>
        <v>0</v>
      </c>
      <c r="BV140" s="1"/>
      <c r="BW140" s="79">
        <f t="shared" si="334"/>
        <v>0</v>
      </c>
      <c r="BX140" s="1"/>
      <c r="BY140" s="79">
        <f t="shared" si="335"/>
        <v>0</v>
      </c>
      <c r="BZ140" s="1"/>
      <c r="CA140" s="79">
        <f t="shared" si="336"/>
        <v>0</v>
      </c>
      <c r="CB140" s="1"/>
      <c r="CC140" s="79">
        <f t="shared" si="421"/>
        <v>0</v>
      </c>
      <c r="CD140" s="1"/>
      <c r="CE140" s="79">
        <f t="shared" si="422"/>
        <v>0</v>
      </c>
      <c r="CF140" s="1"/>
      <c r="CG140" s="79">
        <f t="shared" si="432"/>
        <v>0</v>
      </c>
      <c r="CH140" s="1"/>
      <c r="CI140" s="79">
        <f t="shared" si="414"/>
        <v>0</v>
      </c>
      <c r="CJ140" s="1"/>
      <c r="CK140" s="79">
        <f t="shared" si="430"/>
        <v>0</v>
      </c>
      <c r="CL140" s="1"/>
      <c r="CM140" s="79">
        <f t="shared" ref="CM140:CM144" si="446">CK140-CL140</f>
        <v>0</v>
      </c>
      <c r="CN140" s="1"/>
      <c r="CO140" s="79">
        <f t="shared" si="305"/>
        <v>0</v>
      </c>
      <c r="CP140" s="1"/>
      <c r="CQ140" s="79">
        <f t="shared" si="423"/>
        <v>0</v>
      </c>
      <c r="CR140" s="1"/>
      <c r="CS140" s="79">
        <f t="shared" si="373"/>
        <v>0</v>
      </c>
      <c r="CT140" s="79"/>
      <c r="CU140" s="79">
        <f t="shared" si="323"/>
        <v>0</v>
      </c>
      <c r="CV140" s="79"/>
      <c r="CW140" s="79">
        <f t="shared" si="442"/>
        <v>0</v>
      </c>
      <c r="CX140" s="79"/>
      <c r="CY140" s="91"/>
      <c r="CZ140" s="79">
        <f t="shared" si="443"/>
        <v>0</v>
      </c>
      <c r="DA140" s="93"/>
      <c r="DB140" s="93">
        <f t="shared" si="425"/>
        <v>0</v>
      </c>
      <c r="DC140" s="96"/>
      <c r="DD140" s="93">
        <f t="shared" si="437"/>
        <v>0</v>
      </c>
      <c r="DE140" s="96"/>
      <c r="DF140" s="93">
        <f t="shared" si="278"/>
        <v>0</v>
      </c>
      <c r="DG140" s="96"/>
      <c r="DH140" s="93">
        <f t="shared" si="293"/>
        <v>0</v>
      </c>
      <c r="DI140" s="96"/>
      <c r="DJ140" s="93">
        <f t="shared" si="384"/>
        <v>0</v>
      </c>
      <c r="DK140" s="93"/>
      <c r="DL140" s="93">
        <f t="shared" si="426"/>
        <v>0</v>
      </c>
      <c r="DM140" s="100">
        <v>0.0</v>
      </c>
      <c r="DN140" s="93">
        <f t="shared" si="306"/>
        <v>0</v>
      </c>
      <c r="DO140" s="100">
        <v>0.0</v>
      </c>
      <c r="DP140" s="93">
        <f t="shared" si="294"/>
        <v>0</v>
      </c>
      <c r="DQ140" s="100">
        <v>0.0</v>
      </c>
      <c r="DR140" s="93">
        <f t="shared" si="377"/>
        <v>0</v>
      </c>
      <c r="DS140" s="100">
        <v>0.0</v>
      </c>
      <c r="DT140" s="93">
        <f t="shared" si="438"/>
        <v>0</v>
      </c>
      <c r="DU140" s="100">
        <v>0.0</v>
      </c>
      <c r="DV140" s="93">
        <f t="shared" si="61"/>
        <v>0</v>
      </c>
    </row>
    <row r="141">
      <c r="A141" s="7" t="s">
        <v>927</v>
      </c>
      <c r="B141" s="7" t="s">
        <v>928</v>
      </c>
      <c r="C141" s="76" t="str">
        <f t="array" ref="C141">_xlfn.XLOOKUP(A141,'Emp Master'!A:A,'Emp Master'!F:F)</f>
        <v>#N/A</v>
      </c>
      <c r="D141" s="76" t="str">
        <f t="array" ref="D141">_xlfn.XLOOKUP(A141,'Emp Master'!A:A,'Emp Master'!D:D)</f>
        <v>#N/A</v>
      </c>
      <c r="E141" s="76" t="str">
        <f t="shared" si="326"/>
        <v>#REF!</v>
      </c>
      <c r="F141" s="76"/>
      <c r="G141" s="79"/>
      <c r="H141" s="80"/>
      <c r="I141" s="79">
        <f t="shared" si="439"/>
        <v>0</v>
      </c>
      <c r="J141" s="80"/>
      <c r="K141" s="79">
        <f t="shared" si="386"/>
        <v>0</v>
      </c>
      <c r="L141" s="80"/>
      <c r="M141" s="79">
        <f t="shared" si="387"/>
        <v>0</v>
      </c>
      <c r="N141" s="80"/>
      <c r="O141" s="79">
        <f t="shared" si="444"/>
        <v>0</v>
      </c>
      <c r="P141" s="80"/>
      <c r="Q141" s="79">
        <f t="shared" si="389"/>
        <v>0</v>
      </c>
      <c r="R141" s="1"/>
      <c r="S141" s="79">
        <f t="shared" si="433"/>
        <v>0</v>
      </c>
      <c r="T141" s="1"/>
      <c r="U141" s="79">
        <f t="shared" si="440"/>
        <v>0</v>
      </c>
      <c r="V141" s="1"/>
      <c r="W141" s="79">
        <f t="shared" si="392"/>
        <v>0</v>
      </c>
      <c r="X141" s="1"/>
      <c r="Y141" s="79">
        <f t="shared" si="416"/>
        <v>0</v>
      </c>
      <c r="Z141" s="1"/>
      <c r="AA141" s="79">
        <f t="shared" si="418"/>
        <v>0</v>
      </c>
      <c r="AB141" s="1"/>
      <c r="AC141" s="79">
        <f t="shared" si="394"/>
        <v>0</v>
      </c>
      <c r="AD141" s="1"/>
      <c r="AE141" s="79">
        <f t="shared" si="395"/>
        <v>0</v>
      </c>
      <c r="AF141" s="1"/>
      <c r="AG141" s="79">
        <f t="shared" si="396"/>
        <v>0</v>
      </c>
      <c r="AH141" s="1"/>
      <c r="AI141" s="79">
        <f t="shared" si="397"/>
        <v>0</v>
      </c>
      <c r="AJ141" s="1"/>
      <c r="AK141" s="79">
        <f t="shared" si="398"/>
        <v>0</v>
      </c>
      <c r="AL141" s="1"/>
      <c r="AM141" s="79">
        <f t="shared" si="399"/>
        <v>0</v>
      </c>
      <c r="AN141" s="1"/>
      <c r="AO141" s="79">
        <f t="shared" si="400"/>
        <v>0</v>
      </c>
      <c r="AP141" s="1"/>
      <c r="AQ141" s="79">
        <f t="shared" si="434"/>
        <v>0</v>
      </c>
      <c r="AR141" s="1"/>
      <c r="AS141" s="79">
        <f t="shared" si="402"/>
        <v>0</v>
      </c>
      <c r="AT141" s="1"/>
      <c r="AU141" s="79">
        <f t="shared" si="403"/>
        <v>0</v>
      </c>
      <c r="AV141" s="1"/>
      <c r="AW141" s="79">
        <f t="shared" si="404"/>
        <v>0</v>
      </c>
      <c r="AX141" s="1"/>
      <c r="AY141" s="79">
        <f t="shared" si="445"/>
        <v>0</v>
      </c>
      <c r="AZ141" s="1"/>
      <c r="BA141" s="79">
        <f t="shared" si="435"/>
        <v>0</v>
      </c>
      <c r="BB141" s="1"/>
      <c r="BC141" s="79">
        <f t="shared" si="406"/>
        <v>0</v>
      </c>
      <c r="BD141" s="1"/>
      <c r="BE141" s="79">
        <f t="shared" si="407"/>
        <v>0</v>
      </c>
      <c r="BF141" s="1"/>
      <c r="BG141" s="79">
        <f t="shared" si="441"/>
        <v>0</v>
      </c>
      <c r="BH141" s="1"/>
      <c r="BI141" s="79">
        <f t="shared" si="415"/>
        <v>0</v>
      </c>
      <c r="BJ141" s="1"/>
      <c r="BK141" s="79">
        <f t="shared" si="409"/>
        <v>0</v>
      </c>
      <c r="BL141" s="1"/>
      <c r="BM141" s="79">
        <f t="shared" si="410"/>
        <v>0</v>
      </c>
      <c r="BN141" s="1"/>
      <c r="BO141" s="79">
        <f t="shared" si="436"/>
        <v>0</v>
      </c>
      <c r="BP141" s="1"/>
      <c r="BQ141" s="79">
        <f t="shared" si="429"/>
        <v>0</v>
      </c>
      <c r="BR141" s="1"/>
      <c r="BS141" s="79">
        <f t="shared" si="413"/>
        <v>0</v>
      </c>
      <c r="BT141" s="1"/>
      <c r="BU141" s="79">
        <f t="shared" si="420"/>
        <v>0</v>
      </c>
      <c r="BV141" s="1"/>
      <c r="BW141" s="79">
        <f t="shared" si="334"/>
        <v>0</v>
      </c>
      <c r="BX141" s="1"/>
      <c r="BY141" s="79">
        <f t="shared" si="335"/>
        <v>0</v>
      </c>
      <c r="BZ141" s="1"/>
      <c r="CA141" s="79">
        <f t="shared" si="336"/>
        <v>0</v>
      </c>
      <c r="CB141" s="1"/>
      <c r="CC141" s="79">
        <f t="shared" si="421"/>
        <v>0</v>
      </c>
      <c r="CD141" s="1"/>
      <c r="CE141" s="79">
        <f t="shared" si="422"/>
        <v>0</v>
      </c>
      <c r="CF141" s="1"/>
      <c r="CG141" s="79">
        <f t="shared" si="432"/>
        <v>0</v>
      </c>
      <c r="CH141" s="1"/>
      <c r="CI141" s="79">
        <f t="shared" si="414"/>
        <v>0</v>
      </c>
      <c r="CJ141" s="1"/>
      <c r="CK141" s="79">
        <f t="shared" si="430"/>
        <v>0</v>
      </c>
      <c r="CL141" s="1"/>
      <c r="CM141" s="79">
        <f t="shared" si="446"/>
        <v>0</v>
      </c>
      <c r="CN141" s="1"/>
      <c r="CO141" s="79">
        <f t="shared" si="305"/>
        <v>0</v>
      </c>
      <c r="CP141" s="1"/>
      <c r="CQ141" s="79">
        <f t="shared" si="423"/>
        <v>0</v>
      </c>
      <c r="CR141" s="1"/>
      <c r="CS141" s="79">
        <f t="shared" si="373"/>
        <v>0</v>
      </c>
      <c r="CT141" s="79"/>
      <c r="CU141" s="79">
        <f t="shared" si="323"/>
        <v>0</v>
      </c>
      <c r="CV141" s="79"/>
      <c r="CW141" s="79">
        <f t="shared" si="442"/>
        <v>0</v>
      </c>
      <c r="CX141" s="79"/>
      <c r="CY141" s="91"/>
      <c r="CZ141" s="79">
        <f t="shared" si="443"/>
        <v>0</v>
      </c>
      <c r="DA141" s="93"/>
      <c r="DB141" s="93">
        <f t="shared" si="425"/>
        <v>0</v>
      </c>
      <c r="DC141" s="96"/>
      <c r="DD141" s="93">
        <f t="shared" si="437"/>
        <v>0</v>
      </c>
      <c r="DE141" s="96"/>
      <c r="DF141" s="93">
        <f t="shared" si="278"/>
        <v>0</v>
      </c>
      <c r="DG141" s="96"/>
      <c r="DH141" s="93">
        <f t="shared" si="293"/>
        <v>0</v>
      </c>
      <c r="DI141" s="96"/>
      <c r="DJ141" s="93">
        <f t="shared" si="384"/>
        <v>0</v>
      </c>
      <c r="DK141" s="93"/>
      <c r="DL141" s="93">
        <f t="shared" si="426"/>
        <v>0</v>
      </c>
      <c r="DM141" s="100">
        <v>0.0</v>
      </c>
      <c r="DN141" s="93">
        <f t="shared" si="306"/>
        <v>0</v>
      </c>
      <c r="DO141" s="100">
        <v>0.0</v>
      </c>
      <c r="DP141" s="93">
        <f t="shared" si="294"/>
        <v>0</v>
      </c>
      <c r="DQ141" s="100">
        <v>0.0</v>
      </c>
      <c r="DR141" s="93">
        <f t="shared" si="377"/>
        <v>0</v>
      </c>
      <c r="DS141" s="100">
        <v>0.0</v>
      </c>
      <c r="DT141" s="93">
        <f t="shared" si="438"/>
        <v>0</v>
      </c>
      <c r="DU141" s="100">
        <v>0.0</v>
      </c>
      <c r="DV141" s="93">
        <f t="shared" si="61"/>
        <v>0</v>
      </c>
    </row>
    <row r="142">
      <c r="A142" s="7" t="s">
        <v>460</v>
      </c>
      <c r="B142" s="1" t="s">
        <v>461</v>
      </c>
      <c r="C142" s="76" t="str">
        <f t="array" ref="C142">_xlfn.XLOOKUP(A142,'Emp Master'!A:A,'Emp Master'!F:F)</f>
        <v>SNP</v>
      </c>
      <c r="D142" s="76" t="str">
        <f t="array" ref="D142">_xlfn.XLOOKUP(A142,'Emp Master'!A:A,'Emp Master'!D:D)</f>
        <v>Cutting</v>
      </c>
      <c r="E142" s="76" t="str">
        <f t="shared" si="326"/>
        <v>#REF!</v>
      </c>
      <c r="F142" s="76"/>
      <c r="G142" s="79"/>
      <c r="H142" s="80"/>
      <c r="I142" s="79">
        <f t="shared" si="439"/>
        <v>0</v>
      </c>
      <c r="J142" s="80"/>
      <c r="K142" s="79">
        <f t="shared" si="386"/>
        <v>0</v>
      </c>
      <c r="L142" s="80"/>
      <c r="M142" s="79">
        <f t="shared" si="387"/>
        <v>0</v>
      </c>
      <c r="N142" s="80"/>
      <c r="O142" s="79">
        <f t="shared" si="444"/>
        <v>0</v>
      </c>
      <c r="P142" s="80"/>
      <c r="Q142" s="79">
        <f t="shared" si="389"/>
        <v>0</v>
      </c>
      <c r="R142" s="1"/>
      <c r="S142" s="79">
        <f t="shared" si="433"/>
        <v>0</v>
      </c>
      <c r="T142" s="1"/>
      <c r="U142" s="79">
        <f t="shared" si="440"/>
        <v>0</v>
      </c>
      <c r="V142" s="1"/>
      <c r="W142" s="79">
        <f t="shared" si="392"/>
        <v>0</v>
      </c>
      <c r="X142" s="1"/>
      <c r="Y142" s="79">
        <f t="shared" si="416"/>
        <v>0</v>
      </c>
      <c r="Z142" s="1"/>
      <c r="AA142" s="79">
        <f t="shared" si="418"/>
        <v>0</v>
      </c>
      <c r="AB142" s="1"/>
      <c r="AC142" s="79">
        <f t="shared" si="394"/>
        <v>0</v>
      </c>
      <c r="AD142" s="1"/>
      <c r="AE142" s="79">
        <f t="shared" si="395"/>
        <v>0</v>
      </c>
      <c r="AF142" s="1"/>
      <c r="AG142" s="79">
        <f t="shared" si="396"/>
        <v>0</v>
      </c>
      <c r="AH142" s="1"/>
      <c r="AI142" s="79">
        <f t="shared" si="397"/>
        <v>0</v>
      </c>
      <c r="AJ142" s="1"/>
      <c r="AK142" s="79">
        <f t="shared" si="398"/>
        <v>0</v>
      </c>
      <c r="AL142" s="1"/>
      <c r="AM142" s="79">
        <f t="shared" si="399"/>
        <v>0</v>
      </c>
      <c r="AN142" s="1"/>
      <c r="AO142" s="79">
        <f t="shared" si="400"/>
        <v>0</v>
      </c>
      <c r="AP142" s="1"/>
      <c r="AQ142" s="79">
        <f t="shared" si="434"/>
        <v>0</v>
      </c>
      <c r="AR142" s="1"/>
      <c r="AS142" s="79">
        <f t="shared" si="402"/>
        <v>0</v>
      </c>
      <c r="AT142" s="1"/>
      <c r="AU142" s="79">
        <f t="shared" si="403"/>
        <v>0</v>
      </c>
      <c r="AV142" s="1"/>
      <c r="AW142" s="79">
        <f t="shared" si="404"/>
        <v>0</v>
      </c>
      <c r="AX142" s="1"/>
      <c r="AY142" s="79">
        <f t="shared" si="445"/>
        <v>0</v>
      </c>
      <c r="AZ142" s="1"/>
      <c r="BA142" s="79">
        <f t="shared" si="435"/>
        <v>0</v>
      </c>
      <c r="BB142" s="1"/>
      <c r="BC142" s="79">
        <f t="shared" si="406"/>
        <v>0</v>
      </c>
      <c r="BD142" s="1"/>
      <c r="BE142" s="79">
        <f t="shared" si="407"/>
        <v>0</v>
      </c>
      <c r="BF142" s="1"/>
      <c r="BG142" s="79">
        <f t="shared" si="441"/>
        <v>0</v>
      </c>
      <c r="BH142" s="1"/>
      <c r="BI142" s="79">
        <f t="shared" si="415"/>
        <v>0</v>
      </c>
      <c r="BJ142" s="1"/>
      <c r="BK142" s="79">
        <f t="shared" si="409"/>
        <v>0</v>
      </c>
      <c r="BL142" s="1"/>
      <c r="BM142" s="79">
        <f t="shared" si="410"/>
        <v>0</v>
      </c>
      <c r="BN142" s="1"/>
      <c r="BO142" s="79">
        <f t="shared" si="436"/>
        <v>0</v>
      </c>
      <c r="BP142" s="1"/>
      <c r="BQ142" s="79">
        <f t="shared" si="429"/>
        <v>0</v>
      </c>
      <c r="BR142" s="1"/>
      <c r="BS142" s="79">
        <f t="shared" si="413"/>
        <v>0</v>
      </c>
      <c r="BT142" s="1"/>
      <c r="BU142" s="79">
        <f t="shared" si="420"/>
        <v>0</v>
      </c>
      <c r="BV142" s="1"/>
      <c r="BW142" s="79">
        <f t="shared" si="334"/>
        <v>0</v>
      </c>
      <c r="BX142" s="1"/>
      <c r="BY142" s="79">
        <f t="shared" si="335"/>
        <v>0</v>
      </c>
      <c r="BZ142" s="1"/>
      <c r="CA142" s="79">
        <f t="shared" si="336"/>
        <v>0</v>
      </c>
      <c r="CB142" s="1"/>
      <c r="CC142" s="79">
        <f t="shared" si="421"/>
        <v>0</v>
      </c>
      <c r="CD142" s="1"/>
      <c r="CE142" s="79">
        <f t="shared" si="422"/>
        <v>0</v>
      </c>
      <c r="CF142" s="1"/>
      <c r="CG142" s="79">
        <f t="shared" si="432"/>
        <v>0</v>
      </c>
      <c r="CH142" s="1"/>
      <c r="CI142" s="79">
        <f t="shared" si="414"/>
        <v>0</v>
      </c>
      <c r="CJ142" s="1"/>
      <c r="CK142" s="79">
        <f t="shared" si="430"/>
        <v>0</v>
      </c>
      <c r="CL142" s="1"/>
      <c r="CM142" s="79">
        <f t="shared" si="446"/>
        <v>0</v>
      </c>
      <c r="CN142" s="1"/>
      <c r="CO142" s="79">
        <f t="shared" si="305"/>
        <v>0</v>
      </c>
      <c r="CP142" s="1"/>
      <c r="CQ142" s="79">
        <f t="shared" si="423"/>
        <v>0</v>
      </c>
      <c r="CR142" s="1"/>
      <c r="CS142" s="79">
        <f t="shared" si="373"/>
        <v>0</v>
      </c>
      <c r="CT142" s="79"/>
      <c r="CU142" s="79">
        <f t="shared" si="323"/>
        <v>0</v>
      </c>
      <c r="CV142" s="79"/>
      <c r="CW142" s="79">
        <f t="shared" si="442"/>
        <v>0</v>
      </c>
      <c r="CX142" s="79"/>
      <c r="CY142" s="91"/>
      <c r="CZ142" s="79">
        <f t="shared" si="443"/>
        <v>0</v>
      </c>
      <c r="DA142" s="93"/>
      <c r="DB142" s="93">
        <f t="shared" si="425"/>
        <v>0</v>
      </c>
      <c r="DC142" s="96"/>
      <c r="DD142" s="93">
        <f t="shared" si="437"/>
        <v>0</v>
      </c>
      <c r="DE142" s="96"/>
      <c r="DF142" s="93">
        <f t="shared" si="278"/>
        <v>0</v>
      </c>
      <c r="DG142" s="96"/>
      <c r="DH142" s="93">
        <f t="shared" si="293"/>
        <v>0</v>
      </c>
      <c r="DI142" s="96"/>
      <c r="DJ142" s="93">
        <f t="shared" si="384"/>
        <v>0</v>
      </c>
      <c r="DK142" s="93"/>
      <c r="DL142" s="100">
        <v>1572.0</v>
      </c>
      <c r="DM142" s="100">
        <v>500.0</v>
      </c>
      <c r="DN142" s="93">
        <f t="shared" si="306"/>
        <v>1072</v>
      </c>
      <c r="DO142" s="100">
        <v>500.0</v>
      </c>
      <c r="DP142" s="93">
        <f t="shared" si="294"/>
        <v>572</v>
      </c>
      <c r="DQ142" s="100">
        <v>572.0</v>
      </c>
      <c r="DR142" s="93">
        <f t="shared" si="377"/>
        <v>0</v>
      </c>
      <c r="DS142" s="100">
        <v>0.0</v>
      </c>
      <c r="DT142" s="93">
        <f t="shared" si="438"/>
        <v>0</v>
      </c>
      <c r="DU142" s="100">
        <v>0.0</v>
      </c>
      <c r="DV142" s="93">
        <f t="shared" si="61"/>
        <v>0</v>
      </c>
    </row>
    <row r="143">
      <c r="A143" s="7" t="s">
        <v>466</v>
      </c>
      <c r="B143" s="7" t="s">
        <v>467</v>
      </c>
      <c r="C143" s="76" t="str">
        <f t="array" ref="C143">_xlfn.XLOOKUP(A143,'Emp Master'!A:A,'Emp Master'!F:F)</f>
        <v>SNP</v>
      </c>
      <c r="D143" s="76" t="str">
        <f t="array" ref="D143">_xlfn.XLOOKUP(A143,'Emp Master'!A:A,'Emp Master'!D:D)</f>
        <v>Cutting</v>
      </c>
      <c r="E143" s="76" t="str">
        <f t="shared" si="326"/>
        <v>#REF!</v>
      </c>
      <c r="F143" s="76"/>
      <c r="G143" s="79"/>
      <c r="H143" s="80"/>
      <c r="I143" s="79">
        <f t="shared" si="439"/>
        <v>0</v>
      </c>
      <c r="J143" s="80"/>
      <c r="K143" s="79">
        <f t="shared" si="386"/>
        <v>0</v>
      </c>
      <c r="L143" s="80"/>
      <c r="M143" s="79">
        <f>K143-L143+5000</f>
        <v>5000</v>
      </c>
      <c r="N143" s="80"/>
      <c r="O143" s="79">
        <f t="shared" si="444"/>
        <v>5000</v>
      </c>
      <c r="P143" s="126"/>
      <c r="Q143" s="79">
        <f t="shared" si="389"/>
        <v>5000</v>
      </c>
      <c r="R143" s="1"/>
      <c r="S143" s="79">
        <f t="shared" si="433"/>
        <v>5000</v>
      </c>
      <c r="T143" s="106">
        <v>5000.0</v>
      </c>
      <c r="U143" s="79">
        <f t="shared" si="440"/>
        <v>0</v>
      </c>
      <c r="V143" s="1"/>
      <c r="W143" s="79">
        <f t="shared" si="392"/>
        <v>0</v>
      </c>
      <c r="X143" s="1"/>
      <c r="Y143" s="79">
        <f t="shared" si="416"/>
        <v>0</v>
      </c>
      <c r="Z143" s="1"/>
      <c r="AA143" s="79">
        <f t="shared" si="418"/>
        <v>0</v>
      </c>
      <c r="AB143" s="1"/>
      <c r="AC143" s="79">
        <f t="shared" si="394"/>
        <v>0</v>
      </c>
      <c r="AD143" s="1"/>
      <c r="AE143" s="79">
        <f t="shared" si="395"/>
        <v>0</v>
      </c>
      <c r="AF143" s="1"/>
      <c r="AG143" s="79">
        <f t="shared" si="396"/>
        <v>0</v>
      </c>
      <c r="AH143" s="1"/>
      <c r="AI143" s="79">
        <f t="shared" si="397"/>
        <v>0</v>
      </c>
      <c r="AJ143" s="1"/>
      <c r="AK143" s="79">
        <f>AI143-AJ143+10000</f>
        <v>10000</v>
      </c>
      <c r="AL143" s="106">
        <v>3000.0</v>
      </c>
      <c r="AM143" s="79">
        <f t="shared" si="399"/>
        <v>7000</v>
      </c>
      <c r="AN143" s="106">
        <v>3000.0</v>
      </c>
      <c r="AO143" s="79">
        <f t="shared" si="400"/>
        <v>4000</v>
      </c>
      <c r="AP143" s="106">
        <v>4000.0</v>
      </c>
      <c r="AQ143" s="79">
        <f>AO143-AP143+15000</f>
        <v>15000</v>
      </c>
      <c r="AR143" s="1"/>
      <c r="AS143" s="79">
        <f t="shared" si="402"/>
        <v>15000</v>
      </c>
      <c r="AT143" s="1"/>
      <c r="AU143" s="79">
        <f t="shared" si="403"/>
        <v>15000</v>
      </c>
      <c r="AV143" s="1"/>
      <c r="AW143" s="79">
        <f t="shared" si="404"/>
        <v>15000</v>
      </c>
      <c r="AX143" s="106">
        <v>2000.0</v>
      </c>
      <c r="AY143" s="79">
        <f t="shared" si="445"/>
        <v>13000</v>
      </c>
      <c r="AZ143" s="106">
        <v>3000.0</v>
      </c>
      <c r="BA143" s="79">
        <f t="shared" si="435"/>
        <v>10000</v>
      </c>
      <c r="BB143" s="106">
        <v>2000.0</v>
      </c>
      <c r="BC143" s="79">
        <f t="shared" si="406"/>
        <v>8000</v>
      </c>
      <c r="BD143" s="106">
        <v>2000.0</v>
      </c>
      <c r="BE143" s="79">
        <f t="shared" si="407"/>
        <v>6000</v>
      </c>
      <c r="BF143" s="106">
        <v>2000.0</v>
      </c>
      <c r="BG143" s="79">
        <f t="shared" si="441"/>
        <v>4000</v>
      </c>
      <c r="BH143" s="1"/>
      <c r="BI143" s="79">
        <f t="shared" si="415"/>
        <v>4000</v>
      </c>
      <c r="BJ143" s="1"/>
      <c r="BK143" s="79">
        <f t="shared" si="409"/>
        <v>4000</v>
      </c>
      <c r="BL143" s="106">
        <v>1000.0</v>
      </c>
      <c r="BM143" s="79">
        <f t="shared" si="410"/>
        <v>3000</v>
      </c>
      <c r="BN143" s="106">
        <v>1000.0</v>
      </c>
      <c r="BO143" s="79">
        <f>BM143-BN143+7500</f>
        <v>9500</v>
      </c>
      <c r="BP143" s="106">
        <v>2000.0</v>
      </c>
      <c r="BQ143" s="79">
        <f t="shared" si="429"/>
        <v>7500</v>
      </c>
      <c r="BR143" s="1"/>
      <c r="BS143" s="79">
        <f t="shared" si="413"/>
        <v>7500</v>
      </c>
      <c r="BT143" s="106">
        <v>2500.0</v>
      </c>
      <c r="BU143" s="79">
        <f>BS143-BT143+5000</f>
        <v>10000</v>
      </c>
      <c r="BV143" s="106">
        <v>0.0</v>
      </c>
      <c r="BW143" s="79">
        <f t="shared" si="334"/>
        <v>10000</v>
      </c>
      <c r="BX143" s="106">
        <v>2000.0</v>
      </c>
      <c r="BY143" s="79">
        <f t="shared" si="335"/>
        <v>8000</v>
      </c>
      <c r="BZ143" s="106">
        <v>2000.0</v>
      </c>
      <c r="CA143" s="79">
        <f t="shared" si="336"/>
        <v>6000</v>
      </c>
      <c r="CB143" s="106">
        <v>2000.0</v>
      </c>
      <c r="CC143" s="79">
        <f>10000+(CA143-CB143)</f>
        <v>14000</v>
      </c>
      <c r="CD143" s="106">
        <v>6500.0</v>
      </c>
      <c r="CE143" s="79">
        <f>20000+(CC143-CD143)</f>
        <v>27500</v>
      </c>
      <c r="CF143" s="106">
        <v>7500.0</v>
      </c>
      <c r="CG143" s="79">
        <f t="shared" si="432"/>
        <v>20000</v>
      </c>
      <c r="CH143" s="106">
        <v>0.0</v>
      </c>
      <c r="CI143" s="79">
        <f t="shared" si="414"/>
        <v>20000</v>
      </c>
      <c r="CJ143" s="106">
        <v>5000.0</v>
      </c>
      <c r="CK143" s="79">
        <f t="shared" si="430"/>
        <v>15000</v>
      </c>
      <c r="CL143" s="106"/>
      <c r="CM143" s="79">
        <f t="shared" si="446"/>
        <v>15000</v>
      </c>
      <c r="CN143" s="106">
        <v>10000.0</v>
      </c>
      <c r="CO143" s="79">
        <f t="shared" si="305"/>
        <v>5000</v>
      </c>
      <c r="CP143" s="106"/>
      <c r="CQ143" s="79">
        <f t="shared" si="423"/>
        <v>5000</v>
      </c>
      <c r="CR143" s="106">
        <v>2500.0</v>
      </c>
      <c r="CS143" s="79">
        <f t="shared" si="373"/>
        <v>2500</v>
      </c>
      <c r="CT143" s="24">
        <v>2500.0</v>
      </c>
      <c r="CU143" s="79">
        <f>CS143-CT143+5000</f>
        <v>5000</v>
      </c>
      <c r="CV143" s="24">
        <v>5000.0</v>
      </c>
      <c r="CW143" s="79">
        <f>CU143-CV143+10000</f>
        <v>10000</v>
      </c>
      <c r="CX143" s="24">
        <v>0.0</v>
      </c>
      <c r="CY143" s="91">
        <v>2500.0</v>
      </c>
      <c r="CZ143" s="79">
        <f>CW143-CX143-CY143</f>
        <v>7500</v>
      </c>
      <c r="DA143" s="100">
        <v>2500.0</v>
      </c>
      <c r="DB143" s="93">
        <f t="shared" si="425"/>
        <v>5000</v>
      </c>
      <c r="DC143" s="207"/>
      <c r="DD143" s="93">
        <f t="shared" si="437"/>
        <v>5000</v>
      </c>
      <c r="DE143" s="208">
        <v>2500.0</v>
      </c>
      <c r="DF143" s="93">
        <f t="shared" si="278"/>
        <v>2500</v>
      </c>
      <c r="DG143" s="304">
        <v>0.0</v>
      </c>
      <c r="DH143" s="93">
        <f t="shared" si="293"/>
        <v>2500</v>
      </c>
      <c r="DI143" s="304">
        <v>2500.0</v>
      </c>
      <c r="DJ143" s="100">
        <v>10000.0</v>
      </c>
      <c r="DK143" s="100">
        <v>3000.0</v>
      </c>
      <c r="DL143" s="93">
        <f>DJ143-DK143+15000+1572</f>
        <v>23572</v>
      </c>
      <c r="DM143" s="100">
        <v>5572.0</v>
      </c>
      <c r="DN143" s="93">
        <f t="shared" si="306"/>
        <v>18000</v>
      </c>
      <c r="DO143" s="100">
        <v>0.0</v>
      </c>
      <c r="DP143" s="93">
        <f t="shared" si="294"/>
        <v>18000</v>
      </c>
      <c r="DQ143" s="100">
        <v>0.0</v>
      </c>
      <c r="DR143" s="93">
        <f t="shared" si="377"/>
        <v>18000</v>
      </c>
      <c r="DS143" s="100">
        <v>3000.0</v>
      </c>
      <c r="DT143" s="93">
        <f t="shared" si="438"/>
        <v>15000</v>
      </c>
      <c r="DU143" s="100">
        <v>2500.0</v>
      </c>
      <c r="DV143" s="93">
        <f t="shared" si="61"/>
        <v>12500</v>
      </c>
    </row>
    <row r="144">
      <c r="A144" s="7" t="s">
        <v>929</v>
      </c>
      <c r="B144" s="7" t="s">
        <v>930</v>
      </c>
      <c r="C144" s="76" t="str">
        <f t="array" ref="C144">_xlfn.XLOOKUP(A144,'Emp Master'!A:A,'Emp Master'!F:F)</f>
        <v>#N/A</v>
      </c>
      <c r="D144" s="76" t="str">
        <f t="array" ref="D144">_xlfn.XLOOKUP(A144,'Emp Master'!A:A,'Emp Master'!D:D)</f>
        <v>#N/A</v>
      </c>
      <c r="E144" s="76" t="str">
        <f t="shared" si="326"/>
        <v>#REF!</v>
      </c>
      <c r="F144" s="76"/>
      <c r="G144" s="79">
        <v>10000.0</v>
      </c>
      <c r="H144" s="80"/>
      <c r="I144" s="79">
        <f t="shared" si="439"/>
        <v>10000</v>
      </c>
      <c r="J144" s="80"/>
      <c r="K144" s="79">
        <f t="shared" si="386"/>
        <v>10000</v>
      </c>
      <c r="L144" s="80"/>
      <c r="M144" s="79">
        <f t="shared" ref="M144:M160" si="447">K144-L144</f>
        <v>10000</v>
      </c>
      <c r="N144" s="80"/>
      <c r="O144" s="79">
        <f t="shared" si="444"/>
        <v>10000</v>
      </c>
      <c r="P144" s="80"/>
      <c r="Q144" s="79">
        <f t="shared" si="389"/>
        <v>10000</v>
      </c>
      <c r="R144" s="1"/>
      <c r="S144" s="79">
        <f t="shared" si="433"/>
        <v>10000</v>
      </c>
      <c r="T144" s="1"/>
      <c r="U144" s="79">
        <f t="shared" si="440"/>
        <v>10000</v>
      </c>
      <c r="V144" s="1"/>
      <c r="W144" s="79">
        <f t="shared" si="392"/>
        <v>10000</v>
      </c>
      <c r="X144" s="1"/>
      <c r="Y144" s="79">
        <f t="shared" si="416"/>
        <v>10000</v>
      </c>
      <c r="Z144" s="1"/>
      <c r="AA144" s="79">
        <f t="shared" si="418"/>
        <v>10000</v>
      </c>
      <c r="AB144" s="1"/>
      <c r="AC144" s="79">
        <f t="shared" si="394"/>
        <v>10000</v>
      </c>
      <c r="AD144" s="1"/>
      <c r="AE144" s="79">
        <f t="shared" si="395"/>
        <v>10000</v>
      </c>
      <c r="AF144" s="106">
        <v>5000.0</v>
      </c>
      <c r="AG144" s="79">
        <f t="shared" si="396"/>
        <v>5000</v>
      </c>
      <c r="AH144" s="1"/>
      <c r="AI144" s="79">
        <f t="shared" si="397"/>
        <v>5000</v>
      </c>
      <c r="AJ144" s="106">
        <v>5000.0</v>
      </c>
      <c r="AK144" s="79">
        <f t="shared" ref="AK144:AK149" si="448">AI144-AJ144</f>
        <v>0</v>
      </c>
      <c r="AL144" s="1"/>
      <c r="AM144" s="79">
        <f t="shared" si="399"/>
        <v>0</v>
      </c>
      <c r="AN144" s="1"/>
      <c r="AO144" s="79">
        <f t="shared" si="400"/>
        <v>0</v>
      </c>
      <c r="AP144" s="1"/>
      <c r="AQ144" s="79">
        <f t="shared" ref="AQ144:AQ160" si="449">AO144-AP144</f>
        <v>0</v>
      </c>
      <c r="AR144" s="1"/>
      <c r="AS144" s="79">
        <f t="shared" si="402"/>
        <v>0</v>
      </c>
      <c r="AT144" s="1"/>
      <c r="AU144" s="79">
        <f t="shared" si="403"/>
        <v>0</v>
      </c>
      <c r="AV144" s="1"/>
      <c r="AW144" s="79">
        <f t="shared" si="404"/>
        <v>0</v>
      </c>
      <c r="AX144" s="1"/>
      <c r="AY144" s="79">
        <f t="shared" si="445"/>
        <v>0</v>
      </c>
      <c r="AZ144" s="1"/>
      <c r="BA144" s="79">
        <f t="shared" si="435"/>
        <v>0</v>
      </c>
      <c r="BB144" s="1"/>
      <c r="BC144" s="79">
        <f t="shared" si="406"/>
        <v>0</v>
      </c>
      <c r="BD144" s="1"/>
      <c r="BE144" s="79">
        <f t="shared" si="407"/>
        <v>0</v>
      </c>
      <c r="BF144" s="1"/>
      <c r="BG144" s="79">
        <f t="shared" si="441"/>
        <v>0</v>
      </c>
      <c r="BH144" s="1"/>
      <c r="BI144" s="79">
        <f t="shared" si="415"/>
        <v>0</v>
      </c>
      <c r="BJ144" s="1"/>
      <c r="BK144" s="79">
        <f t="shared" si="409"/>
        <v>0</v>
      </c>
      <c r="BL144" s="1"/>
      <c r="BM144" s="79">
        <f t="shared" si="410"/>
        <v>0</v>
      </c>
      <c r="BN144" s="1"/>
      <c r="BO144" s="79">
        <f t="shared" ref="BO144:BO159" si="450">BM144-BN144</f>
        <v>0</v>
      </c>
      <c r="BP144" s="1"/>
      <c r="BQ144" s="79">
        <f t="shared" si="429"/>
        <v>0</v>
      </c>
      <c r="BR144" s="1"/>
      <c r="BS144" s="79">
        <f t="shared" si="413"/>
        <v>0</v>
      </c>
      <c r="BT144" s="1"/>
      <c r="BU144" s="79">
        <f t="shared" ref="BU144:BU160" si="451">BS144-BT144</f>
        <v>0</v>
      </c>
      <c r="BV144" s="1"/>
      <c r="BW144" s="79">
        <f t="shared" si="334"/>
        <v>0</v>
      </c>
      <c r="BX144" s="1"/>
      <c r="BY144" s="79">
        <f t="shared" si="335"/>
        <v>0</v>
      </c>
      <c r="BZ144" s="1"/>
      <c r="CA144" s="79">
        <f t="shared" si="336"/>
        <v>0</v>
      </c>
      <c r="CB144" s="1"/>
      <c r="CC144" s="79">
        <f t="shared" ref="CC144:CC159" si="452">CA144-CB144</f>
        <v>0</v>
      </c>
      <c r="CD144" s="1"/>
      <c r="CE144" s="79">
        <f t="shared" ref="CE144:CE151" si="453">CC144-CD144</f>
        <v>0</v>
      </c>
      <c r="CF144" s="1"/>
      <c r="CG144" s="79">
        <f t="shared" si="432"/>
        <v>0</v>
      </c>
      <c r="CH144" s="1"/>
      <c r="CI144" s="79">
        <f t="shared" si="414"/>
        <v>0</v>
      </c>
      <c r="CJ144" s="1"/>
      <c r="CK144" s="79">
        <f t="shared" si="430"/>
        <v>0</v>
      </c>
      <c r="CL144" s="1"/>
      <c r="CM144" s="79">
        <f t="shared" si="446"/>
        <v>0</v>
      </c>
      <c r="CN144" s="1"/>
      <c r="CO144" s="79">
        <f t="shared" si="305"/>
        <v>0</v>
      </c>
      <c r="CP144" s="1"/>
      <c r="CQ144" s="79">
        <f t="shared" si="423"/>
        <v>0</v>
      </c>
      <c r="CR144" s="1"/>
      <c r="CS144" s="79">
        <f t="shared" si="373"/>
        <v>0</v>
      </c>
      <c r="CT144" s="79"/>
      <c r="CU144" s="79">
        <f>CS144-CT144</f>
        <v>0</v>
      </c>
      <c r="CV144" s="79"/>
      <c r="CW144" s="79">
        <f t="shared" ref="CW144:CW160" si="454">CU144-CV144</f>
        <v>0</v>
      </c>
      <c r="CX144" s="79"/>
      <c r="CY144" s="91"/>
      <c r="CZ144" s="79">
        <f>CW144-CX144</f>
        <v>0</v>
      </c>
      <c r="DA144" s="93"/>
      <c r="DB144" s="93">
        <f t="shared" si="425"/>
        <v>0</v>
      </c>
      <c r="DC144" s="96"/>
      <c r="DD144" s="93">
        <f t="shared" si="437"/>
        <v>0</v>
      </c>
      <c r="DE144" s="96"/>
      <c r="DF144" s="93">
        <f t="shared" si="278"/>
        <v>0</v>
      </c>
      <c r="DG144" s="96"/>
      <c r="DH144" s="93">
        <f t="shared" si="293"/>
        <v>0</v>
      </c>
      <c r="DI144" s="96"/>
      <c r="DJ144" s="93">
        <f t="shared" ref="DJ144:DJ163" si="455">DH144-DI144</f>
        <v>0</v>
      </c>
      <c r="DK144" s="93"/>
      <c r="DL144" s="93">
        <f>DJ144-DK144</f>
        <v>0</v>
      </c>
      <c r="DM144" s="100">
        <v>0.0</v>
      </c>
      <c r="DN144" s="93">
        <f t="shared" si="306"/>
        <v>0</v>
      </c>
      <c r="DO144" s="100">
        <v>0.0</v>
      </c>
      <c r="DP144" s="93">
        <f t="shared" si="294"/>
        <v>0</v>
      </c>
      <c r="DQ144" s="100">
        <v>0.0</v>
      </c>
      <c r="DR144" s="93">
        <f t="shared" si="377"/>
        <v>0</v>
      </c>
      <c r="DS144" s="100">
        <v>0.0</v>
      </c>
      <c r="DT144" s="93">
        <f t="shared" si="438"/>
        <v>0</v>
      </c>
      <c r="DU144" s="100">
        <v>0.0</v>
      </c>
      <c r="DV144" s="93">
        <f t="shared" si="61"/>
        <v>0</v>
      </c>
    </row>
    <row r="145">
      <c r="A145" s="7" t="s">
        <v>470</v>
      </c>
      <c r="B145" s="1" t="s">
        <v>471</v>
      </c>
      <c r="C145" s="76" t="str">
        <f t="array" ref="C145">_xlfn.XLOOKUP(A145,'Emp Master'!A:A,'Emp Master'!F:F)</f>
        <v>SNP</v>
      </c>
      <c r="D145" s="76" t="str">
        <f t="array" ref="D145">_xlfn.XLOOKUP(A145,'Emp Master'!A:A,'Emp Master'!D:D)</f>
        <v>Cutting</v>
      </c>
      <c r="E145" s="76" t="str">
        <f t="shared" si="326"/>
        <v>#REF!</v>
      </c>
      <c r="F145" s="76"/>
      <c r="G145" s="79"/>
      <c r="H145" s="80"/>
      <c r="I145" s="79">
        <f t="shared" si="439"/>
        <v>0</v>
      </c>
      <c r="J145" s="80"/>
      <c r="K145" s="79">
        <f t="shared" si="386"/>
        <v>0</v>
      </c>
      <c r="L145" s="80"/>
      <c r="M145" s="79">
        <f t="shared" si="447"/>
        <v>0</v>
      </c>
      <c r="N145" s="80"/>
      <c r="O145" s="79">
        <f t="shared" si="444"/>
        <v>0</v>
      </c>
      <c r="P145" s="80"/>
      <c r="Q145" s="79">
        <f t="shared" si="389"/>
        <v>0</v>
      </c>
      <c r="R145" s="1"/>
      <c r="S145" s="79">
        <f t="shared" si="433"/>
        <v>0</v>
      </c>
      <c r="T145" s="1"/>
      <c r="U145" s="79">
        <f t="shared" si="440"/>
        <v>0</v>
      </c>
      <c r="V145" s="1"/>
      <c r="W145" s="79">
        <f t="shared" si="392"/>
        <v>0</v>
      </c>
      <c r="X145" s="1"/>
      <c r="Y145" s="79">
        <f t="shared" si="416"/>
        <v>0</v>
      </c>
      <c r="Z145" s="1"/>
      <c r="AA145" s="79">
        <f t="shared" si="418"/>
        <v>0</v>
      </c>
      <c r="AB145" s="1"/>
      <c r="AC145" s="79">
        <f t="shared" si="394"/>
        <v>0</v>
      </c>
      <c r="AD145" s="1"/>
      <c r="AE145" s="79">
        <f t="shared" si="395"/>
        <v>0</v>
      </c>
      <c r="AF145" s="1"/>
      <c r="AG145" s="79">
        <f t="shared" si="396"/>
        <v>0</v>
      </c>
      <c r="AH145" s="1"/>
      <c r="AI145" s="79">
        <f t="shared" si="397"/>
        <v>0</v>
      </c>
      <c r="AJ145" s="1"/>
      <c r="AK145" s="79">
        <f t="shared" si="448"/>
        <v>0</v>
      </c>
      <c r="AL145" s="1"/>
      <c r="AM145" s="79">
        <f t="shared" si="399"/>
        <v>0</v>
      </c>
      <c r="AN145" s="1"/>
      <c r="AO145" s="79">
        <f t="shared" si="400"/>
        <v>0</v>
      </c>
      <c r="AP145" s="1"/>
      <c r="AQ145" s="79">
        <f t="shared" si="449"/>
        <v>0</v>
      </c>
      <c r="AR145" s="1"/>
      <c r="AS145" s="79">
        <f>AQ145-AR145+15000</f>
        <v>15000</v>
      </c>
      <c r="AT145" s="106">
        <v>3000.0</v>
      </c>
      <c r="AU145" s="79">
        <f t="shared" si="403"/>
        <v>12000</v>
      </c>
      <c r="AV145" s="106">
        <v>0.0</v>
      </c>
      <c r="AW145" s="79">
        <f t="shared" si="404"/>
        <v>12000</v>
      </c>
      <c r="AX145" s="106">
        <v>0.0</v>
      </c>
      <c r="AY145" s="79">
        <f t="shared" si="445"/>
        <v>12000</v>
      </c>
      <c r="AZ145" s="106">
        <v>2000.0</v>
      </c>
      <c r="BA145" s="79">
        <f t="shared" si="435"/>
        <v>10000</v>
      </c>
      <c r="BB145" s="106">
        <v>1000.0</v>
      </c>
      <c r="BC145" s="79">
        <f t="shared" si="406"/>
        <v>9000</v>
      </c>
      <c r="BD145" s="106">
        <v>2000.0</v>
      </c>
      <c r="BE145" s="79">
        <f t="shared" si="407"/>
        <v>7000</v>
      </c>
      <c r="BF145" s="106">
        <v>2000.0</v>
      </c>
      <c r="BG145" s="79">
        <f t="shared" si="441"/>
        <v>5000</v>
      </c>
      <c r="BH145" s="106">
        <v>2000.0</v>
      </c>
      <c r="BI145" s="79">
        <f t="shared" si="415"/>
        <v>3000</v>
      </c>
      <c r="BJ145" s="106">
        <v>3000.0</v>
      </c>
      <c r="BK145" s="79">
        <f t="shared" si="409"/>
        <v>0</v>
      </c>
      <c r="BL145" s="1"/>
      <c r="BM145" s="79">
        <f t="shared" si="410"/>
        <v>0</v>
      </c>
      <c r="BN145" s="1"/>
      <c r="BO145" s="79">
        <f t="shared" si="450"/>
        <v>0</v>
      </c>
      <c r="BP145" s="1"/>
      <c r="BQ145" s="79">
        <f t="shared" si="429"/>
        <v>0</v>
      </c>
      <c r="BR145" s="1"/>
      <c r="BS145" s="79">
        <f t="shared" si="413"/>
        <v>0</v>
      </c>
      <c r="BT145" s="1"/>
      <c r="BU145" s="79">
        <f t="shared" si="451"/>
        <v>0</v>
      </c>
      <c r="BV145" s="1"/>
      <c r="BW145" s="79">
        <f t="shared" si="334"/>
        <v>0</v>
      </c>
      <c r="BX145" s="1"/>
      <c r="BY145" s="79">
        <f>BW145-BX145+6000</f>
        <v>6000</v>
      </c>
      <c r="BZ145" s="106">
        <v>2000.0</v>
      </c>
      <c r="CA145" s="79">
        <f t="shared" si="336"/>
        <v>4000</v>
      </c>
      <c r="CB145" s="106">
        <v>2000.0</v>
      </c>
      <c r="CC145" s="79">
        <f t="shared" si="452"/>
        <v>2000</v>
      </c>
      <c r="CD145" s="1"/>
      <c r="CE145" s="79">
        <f t="shared" si="453"/>
        <v>2000</v>
      </c>
      <c r="CF145" s="106">
        <v>0.0</v>
      </c>
      <c r="CG145" s="79">
        <f t="shared" si="432"/>
        <v>2000</v>
      </c>
      <c r="CH145" s="106">
        <v>0.0</v>
      </c>
      <c r="CI145" s="79">
        <f t="shared" si="414"/>
        <v>2000</v>
      </c>
      <c r="CJ145" s="106">
        <v>2000.0</v>
      </c>
      <c r="CK145" s="79">
        <f t="shared" si="430"/>
        <v>0</v>
      </c>
      <c r="CL145" s="106"/>
      <c r="CM145" s="79">
        <f>10000+CK145-CL145</f>
        <v>10000</v>
      </c>
      <c r="CN145" s="106">
        <v>2500.0</v>
      </c>
      <c r="CO145" s="79">
        <f t="shared" si="305"/>
        <v>7500</v>
      </c>
      <c r="CP145" s="106">
        <v>2500.0</v>
      </c>
      <c r="CQ145" s="79">
        <f t="shared" si="423"/>
        <v>5000</v>
      </c>
      <c r="CR145" s="106">
        <v>2500.0</v>
      </c>
      <c r="CS145" s="79">
        <f t="shared" si="373"/>
        <v>2500</v>
      </c>
      <c r="CT145" s="24">
        <v>2500.0</v>
      </c>
      <c r="CU145" s="79">
        <f>CS145-CT145+10000</f>
        <v>10000</v>
      </c>
      <c r="CV145" s="24">
        <v>2500.0</v>
      </c>
      <c r="CW145" s="79">
        <f t="shared" si="454"/>
        <v>7500</v>
      </c>
      <c r="CX145" s="24">
        <v>2500.0</v>
      </c>
      <c r="CY145" s="91">
        <v>5000.0</v>
      </c>
      <c r="CZ145" s="79">
        <f>CW145-CX145-CY145</f>
        <v>0</v>
      </c>
      <c r="DA145" s="93"/>
      <c r="DB145" s="93">
        <f>CZ145-DA145+10000</f>
        <v>10000</v>
      </c>
      <c r="DC145" s="178">
        <v>2500.0</v>
      </c>
      <c r="DD145" s="93">
        <f t="shared" si="437"/>
        <v>7500</v>
      </c>
      <c r="DE145" s="178">
        <v>2500.0</v>
      </c>
      <c r="DF145" s="93">
        <f t="shared" si="278"/>
        <v>5000</v>
      </c>
      <c r="DG145" s="178">
        <v>2500.0</v>
      </c>
      <c r="DH145" s="93">
        <f t="shared" si="293"/>
        <v>2500</v>
      </c>
      <c r="DI145" s="178">
        <v>2500.0</v>
      </c>
      <c r="DJ145" s="93">
        <f t="shared" si="455"/>
        <v>0</v>
      </c>
      <c r="DK145" s="93"/>
      <c r="DL145" s="100">
        <v>8000.0</v>
      </c>
      <c r="DM145" s="100">
        <v>3000.0</v>
      </c>
      <c r="DN145" s="93">
        <f>DL145-DM145+1790</f>
        <v>6790</v>
      </c>
      <c r="DO145" s="100">
        <v>2500.0</v>
      </c>
      <c r="DP145" s="93">
        <f t="shared" si="294"/>
        <v>4290</v>
      </c>
      <c r="DQ145" s="100">
        <v>0.0</v>
      </c>
      <c r="DR145" s="93">
        <f t="shared" si="377"/>
        <v>4290</v>
      </c>
      <c r="DS145" s="100">
        <v>2290.0</v>
      </c>
      <c r="DT145" s="93">
        <f t="shared" si="438"/>
        <v>2000</v>
      </c>
      <c r="DU145" s="100">
        <v>2000.0</v>
      </c>
      <c r="DV145" s="93">
        <f t="shared" si="61"/>
        <v>0</v>
      </c>
    </row>
    <row r="146">
      <c r="A146" s="7" t="s">
        <v>931</v>
      </c>
      <c r="B146" s="1" t="s">
        <v>435</v>
      </c>
      <c r="C146" s="76" t="str">
        <f t="array" ref="C146">_xlfn.XLOOKUP(A146,'Emp Master'!A:A,'Emp Master'!F:F)</f>
        <v>#N/A</v>
      </c>
      <c r="D146" s="76" t="str">
        <f t="array" ref="D146">_xlfn.XLOOKUP(A146,'Emp Master'!A:A,'Emp Master'!D:D)</f>
        <v>#N/A</v>
      </c>
      <c r="E146" s="76" t="str">
        <f t="shared" si="326"/>
        <v>#REF!</v>
      </c>
      <c r="F146" s="76"/>
      <c r="G146" s="79"/>
      <c r="H146" s="80"/>
      <c r="I146" s="79">
        <f t="shared" si="439"/>
        <v>0</v>
      </c>
      <c r="J146" s="80"/>
      <c r="K146" s="79">
        <f t="shared" si="386"/>
        <v>0</v>
      </c>
      <c r="L146" s="80"/>
      <c r="M146" s="79">
        <f t="shared" si="447"/>
        <v>0</v>
      </c>
      <c r="N146" s="80"/>
      <c r="O146" s="79">
        <f t="shared" si="444"/>
        <v>0</v>
      </c>
      <c r="P146" s="80"/>
      <c r="Q146" s="79">
        <f t="shared" si="389"/>
        <v>0</v>
      </c>
      <c r="R146" s="1"/>
      <c r="S146" s="79">
        <f t="shared" si="433"/>
        <v>0</v>
      </c>
      <c r="T146" s="1"/>
      <c r="U146" s="79">
        <f t="shared" si="440"/>
        <v>0</v>
      </c>
      <c r="V146" s="1"/>
      <c r="W146" s="79">
        <f t="shared" si="392"/>
        <v>0</v>
      </c>
      <c r="X146" s="1"/>
      <c r="Y146" s="79">
        <f t="shared" si="416"/>
        <v>0</v>
      </c>
      <c r="Z146" s="1"/>
      <c r="AA146" s="79">
        <f t="shared" si="418"/>
        <v>0</v>
      </c>
      <c r="AB146" s="1"/>
      <c r="AC146" s="79">
        <f t="shared" si="394"/>
        <v>0</v>
      </c>
      <c r="AD146" s="1"/>
      <c r="AE146" s="79">
        <f t="shared" si="395"/>
        <v>0</v>
      </c>
      <c r="AF146" s="1"/>
      <c r="AG146" s="79">
        <f t="shared" si="396"/>
        <v>0</v>
      </c>
      <c r="AH146" s="1"/>
      <c r="AI146" s="79">
        <f t="shared" si="397"/>
        <v>0</v>
      </c>
      <c r="AJ146" s="1"/>
      <c r="AK146" s="79">
        <f t="shared" si="448"/>
        <v>0</v>
      </c>
      <c r="AL146" s="1"/>
      <c r="AM146" s="79">
        <f t="shared" si="399"/>
        <v>0</v>
      </c>
      <c r="AN146" s="1"/>
      <c r="AO146" s="79">
        <f t="shared" si="400"/>
        <v>0</v>
      </c>
      <c r="AP146" s="1"/>
      <c r="AQ146" s="79">
        <f t="shared" si="449"/>
        <v>0</v>
      </c>
      <c r="AR146" s="1"/>
      <c r="AS146" s="79">
        <f t="shared" ref="AS146:AS154" si="456">AQ146-AR146</f>
        <v>0</v>
      </c>
      <c r="AT146" s="1"/>
      <c r="AU146" s="79">
        <f t="shared" si="403"/>
        <v>0</v>
      </c>
      <c r="AV146" s="1"/>
      <c r="AW146" s="79">
        <f t="shared" si="404"/>
        <v>0</v>
      </c>
      <c r="AX146" s="1"/>
      <c r="AY146" s="79">
        <f t="shared" si="445"/>
        <v>0</v>
      </c>
      <c r="AZ146" s="1"/>
      <c r="BA146" s="79">
        <f t="shared" si="435"/>
        <v>0</v>
      </c>
      <c r="BB146" s="1"/>
      <c r="BC146" s="79">
        <f t="shared" si="406"/>
        <v>0</v>
      </c>
      <c r="BD146" s="1"/>
      <c r="BE146" s="79">
        <f t="shared" si="407"/>
        <v>0</v>
      </c>
      <c r="BF146" s="1"/>
      <c r="BG146" s="79">
        <f t="shared" si="441"/>
        <v>0</v>
      </c>
      <c r="BH146" s="1"/>
      <c r="BI146" s="79">
        <f t="shared" si="415"/>
        <v>0</v>
      </c>
      <c r="BJ146" s="1"/>
      <c r="BK146" s="79">
        <f t="shared" si="409"/>
        <v>0</v>
      </c>
      <c r="BL146" s="1"/>
      <c r="BM146" s="79">
        <f t="shared" si="410"/>
        <v>0</v>
      </c>
      <c r="BN146" s="1"/>
      <c r="BO146" s="79">
        <f t="shared" si="450"/>
        <v>0</v>
      </c>
      <c r="BP146" s="1"/>
      <c r="BQ146" s="79"/>
      <c r="BR146" s="1"/>
      <c r="BS146" s="79">
        <f t="shared" si="413"/>
        <v>0</v>
      </c>
      <c r="BT146" s="1"/>
      <c r="BU146" s="79">
        <f t="shared" si="451"/>
        <v>0</v>
      </c>
      <c r="BV146" s="1"/>
      <c r="BW146" s="79">
        <f t="shared" si="334"/>
        <v>0</v>
      </c>
      <c r="BX146" s="1"/>
      <c r="BY146" s="79">
        <f t="shared" ref="BY146:BY163" si="457">BW146-BX146</f>
        <v>0</v>
      </c>
      <c r="BZ146" s="1"/>
      <c r="CA146" s="79">
        <f t="shared" si="336"/>
        <v>0</v>
      </c>
      <c r="CB146" s="1"/>
      <c r="CC146" s="79">
        <f t="shared" si="452"/>
        <v>0</v>
      </c>
      <c r="CD146" s="1"/>
      <c r="CE146" s="79">
        <f t="shared" si="453"/>
        <v>0</v>
      </c>
      <c r="CF146" s="1"/>
      <c r="CG146" s="79">
        <f t="shared" si="432"/>
        <v>0</v>
      </c>
      <c r="CH146" s="1"/>
      <c r="CI146" s="79">
        <f t="shared" si="414"/>
        <v>0</v>
      </c>
      <c r="CJ146" s="1"/>
      <c r="CK146" s="79">
        <f t="shared" si="430"/>
        <v>0</v>
      </c>
      <c r="CL146" s="1"/>
      <c r="CM146" s="79">
        <f t="shared" ref="CM146:CM161" si="458">CK146-CL146</f>
        <v>0</v>
      </c>
      <c r="CN146" s="1"/>
      <c r="CO146" s="79">
        <f t="shared" si="305"/>
        <v>0</v>
      </c>
      <c r="CP146" s="1"/>
      <c r="CQ146" s="79">
        <f t="shared" si="423"/>
        <v>0</v>
      </c>
      <c r="CR146" s="1"/>
      <c r="CS146" s="79">
        <f t="shared" si="373"/>
        <v>0</v>
      </c>
      <c r="CT146" s="79"/>
      <c r="CU146" s="79">
        <f t="shared" ref="CU146:CU163" si="459">CS146-CT146</f>
        <v>0</v>
      </c>
      <c r="CV146" s="79"/>
      <c r="CW146" s="79">
        <f t="shared" si="454"/>
        <v>0</v>
      </c>
      <c r="CX146" s="79"/>
      <c r="CY146" s="91"/>
      <c r="CZ146" s="79">
        <f t="shared" ref="CZ146:CZ160" si="460">CW146-CX146</f>
        <v>0</v>
      </c>
      <c r="DA146" s="93"/>
      <c r="DB146" s="93">
        <f t="shared" ref="DB146:DB163" si="461">CZ146-DA146</f>
        <v>0</v>
      </c>
      <c r="DC146" s="96"/>
      <c r="DD146" s="93">
        <f t="shared" si="437"/>
        <v>0</v>
      </c>
      <c r="DE146" s="96"/>
      <c r="DF146" s="93">
        <f t="shared" si="278"/>
        <v>0</v>
      </c>
      <c r="DG146" s="96"/>
      <c r="DH146" s="93">
        <f t="shared" si="293"/>
        <v>0</v>
      </c>
      <c r="DI146" s="96"/>
      <c r="DJ146" s="93">
        <f t="shared" si="455"/>
        <v>0</v>
      </c>
      <c r="DK146" s="93"/>
      <c r="DL146" s="93">
        <f t="shared" ref="DL146:DL160" si="462">DJ146-DK146</f>
        <v>0</v>
      </c>
      <c r="DM146" s="100">
        <v>0.0</v>
      </c>
      <c r="DN146" s="93">
        <f t="shared" ref="DN146:DN159" si="463">DL146-DM146</f>
        <v>0</v>
      </c>
      <c r="DO146" s="100">
        <v>0.0</v>
      </c>
      <c r="DP146" s="93">
        <f t="shared" si="294"/>
        <v>0</v>
      </c>
      <c r="DQ146" s="100">
        <v>0.0</v>
      </c>
      <c r="DR146" s="93">
        <f t="shared" si="377"/>
        <v>0</v>
      </c>
      <c r="DS146" s="100">
        <v>0.0</v>
      </c>
      <c r="DT146" s="93">
        <f t="shared" si="438"/>
        <v>0</v>
      </c>
      <c r="DU146" s="100">
        <v>0.0</v>
      </c>
      <c r="DV146" s="93">
        <f t="shared" si="61"/>
        <v>0</v>
      </c>
    </row>
    <row r="147">
      <c r="A147" s="7" t="s">
        <v>932</v>
      </c>
      <c r="B147" s="7" t="s">
        <v>933</v>
      </c>
      <c r="C147" s="76" t="str">
        <f t="array" ref="C147">_xlfn.XLOOKUP(A147,'Emp Master'!A:A,'Emp Master'!F:F)</f>
        <v>#N/A</v>
      </c>
      <c r="D147" s="76" t="str">
        <f t="array" ref="D147">_xlfn.XLOOKUP(A147,'Emp Master'!A:A,'Emp Master'!D:D)</f>
        <v>#N/A</v>
      </c>
      <c r="E147" s="76" t="str">
        <f t="shared" si="326"/>
        <v>#REF!</v>
      </c>
      <c r="F147" s="76"/>
      <c r="G147" s="79"/>
      <c r="H147" s="80"/>
      <c r="I147" s="79">
        <f t="shared" si="439"/>
        <v>0</v>
      </c>
      <c r="J147" s="80"/>
      <c r="K147" s="79">
        <f t="shared" si="386"/>
        <v>0</v>
      </c>
      <c r="L147" s="80"/>
      <c r="M147" s="79">
        <f t="shared" si="447"/>
        <v>0</v>
      </c>
      <c r="N147" s="80"/>
      <c r="O147" s="79">
        <f t="shared" si="444"/>
        <v>0</v>
      </c>
      <c r="P147" s="80"/>
      <c r="Q147" s="79">
        <f t="shared" si="389"/>
        <v>0</v>
      </c>
      <c r="R147" s="1"/>
      <c r="S147" s="79">
        <f t="shared" si="433"/>
        <v>0</v>
      </c>
      <c r="T147" s="1"/>
      <c r="U147" s="79">
        <f t="shared" si="440"/>
        <v>0</v>
      </c>
      <c r="V147" s="1"/>
      <c r="W147" s="79">
        <f t="shared" si="392"/>
        <v>0</v>
      </c>
      <c r="X147" s="1"/>
      <c r="Y147" s="79">
        <f t="shared" si="416"/>
        <v>0</v>
      </c>
      <c r="Z147" s="1"/>
      <c r="AA147" s="79">
        <f t="shared" si="418"/>
        <v>0</v>
      </c>
      <c r="AB147" s="1"/>
      <c r="AC147" s="79">
        <f t="shared" si="394"/>
        <v>0</v>
      </c>
      <c r="AD147" s="1"/>
      <c r="AE147" s="79">
        <f t="shared" si="395"/>
        <v>0</v>
      </c>
      <c r="AF147" s="1"/>
      <c r="AG147" s="79">
        <f t="shared" si="396"/>
        <v>0</v>
      </c>
      <c r="AH147" s="1"/>
      <c r="AI147" s="79">
        <f t="shared" si="397"/>
        <v>0</v>
      </c>
      <c r="AJ147" s="1"/>
      <c r="AK147" s="79">
        <f t="shared" si="448"/>
        <v>0</v>
      </c>
      <c r="AL147" s="1"/>
      <c r="AM147" s="79">
        <f t="shared" si="399"/>
        <v>0</v>
      </c>
      <c r="AN147" s="1"/>
      <c r="AO147" s="79">
        <f t="shared" si="400"/>
        <v>0</v>
      </c>
      <c r="AP147" s="1"/>
      <c r="AQ147" s="79">
        <f t="shared" si="449"/>
        <v>0</v>
      </c>
      <c r="AR147" s="1"/>
      <c r="AS147" s="79">
        <f t="shared" si="456"/>
        <v>0</v>
      </c>
      <c r="AT147" s="1"/>
      <c r="AU147" s="79">
        <f t="shared" si="403"/>
        <v>0</v>
      </c>
      <c r="AV147" s="1"/>
      <c r="AW147" s="79">
        <f t="shared" si="404"/>
        <v>0</v>
      </c>
      <c r="AX147" s="1"/>
      <c r="AY147" s="79">
        <f t="shared" si="445"/>
        <v>0</v>
      </c>
      <c r="AZ147" s="1"/>
      <c r="BA147" s="79">
        <f t="shared" si="435"/>
        <v>0</v>
      </c>
      <c r="BB147" s="1"/>
      <c r="BC147" s="79">
        <f t="shared" si="406"/>
        <v>0</v>
      </c>
      <c r="BD147" s="1"/>
      <c r="BE147" s="79">
        <f t="shared" si="407"/>
        <v>0</v>
      </c>
      <c r="BF147" s="1"/>
      <c r="BG147" s="79">
        <f t="shared" si="441"/>
        <v>0</v>
      </c>
      <c r="BH147" s="1"/>
      <c r="BI147" s="79">
        <f t="shared" si="415"/>
        <v>0</v>
      </c>
      <c r="BJ147" s="1"/>
      <c r="BK147" s="79">
        <f t="shared" si="409"/>
        <v>0</v>
      </c>
      <c r="BL147" s="1"/>
      <c r="BM147" s="79">
        <f t="shared" si="410"/>
        <v>0</v>
      </c>
      <c r="BN147" s="1"/>
      <c r="BO147" s="79">
        <f t="shared" si="450"/>
        <v>0</v>
      </c>
      <c r="BP147" s="1"/>
      <c r="BQ147" s="79">
        <f t="shared" ref="BQ147:BQ151" si="464">BO147-BP147</f>
        <v>0</v>
      </c>
      <c r="BR147" s="1"/>
      <c r="BS147" s="79">
        <f t="shared" si="413"/>
        <v>0</v>
      </c>
      <c r="BT147" s="1"/>
      <c r="BU147" s="79">
        <f t="shared" si="451"/>
        <v>0</v>
      </c>
      <c r="BV147" s="1"/>
      <c r="BW147" s="79">
        <f t="shared" si="334"/>
        <v>0</v>
      </c>
      <c r="BX147" s="1"/>
      <c r="BY147" s="79">
        <f t="shared" si="457"/>
        <v>0</v>
      </c>
      <c r="BZ147" s="1"/>
      <c r="CA147" s="79">
        <f t="shared" si="336"/>
        <v>0</v>
      </c>
      <c r="CB147" s="1"/>
      <c r="CC147" s="79">
        <f t="shared" si="452"/>
        <v>0</v>
      </c>
      <c r="CD147" s="1"/>
      <c r="CE147" s="79">
        <f t="shared" si="453"/>
        <v>0</v>
      </c>
      <c r="CF147" s="1"/>
      <c r="CG147" s="79">
        <f t="shared" si="432"/>
        <v>0</v>
      </c>
      <c r="CH147" s="1"/>
      <c r="CI147" s="79">
        <f t="shared" si="414"/>
        <v>0</v>
      </c>
      <c r="CJ147" s="1"/>
      <c r="CK147" s="79">
        <f t="shared" si="430"/>
        <v>0</v>
      </c>
      <c r="CL147" s="1"/>
      <c r="CM147" s="79">
        <f t="shared" si="458"/>
        <v>0</v>
      </c>
      <c r="CN147" s="1"/>
      <c r="CO147" s="79">
        <f t="shared" si="305"/>
        <v>0</v>
      </c>
      <c r="CP147" s="1"/>
      <c r="CQ147" s="79">
        <f t="shared" si="423"/>
        <v>0</v>
      </c>
      <c r="CR147" s="1"/>
      <c r="CS147" s="79">
        <f t="shared" si="373"/>
        <v>0</v>
      </c>
      <c r="CT147" s="79"/>
      <c r="CU147" s="79">
        <f t="shared" si="459"/>
        <v>0</v>
      </c>
      <c r="CV147" s="79"/>
      <c r="CW147" s="79">
        <f t="shared" si="454"/>
        <v>0</v>
      </c>
      <c r="CX147" s="79"/>
      <c r="CY147" s="91"/>
      <c r="CZ147" s="79">
        <f t="shared" si="460"/>
        <v>0</v>
      </c>
      <c r="DA147" s="93"/>
      <c r="DB147" s="93">
        <f t="shared" si="461"/>
        <v>0</v>
      </c>
      <c r="DC147" s="96"/>
      <c r="DD147" s="93">
        <f t="shared" si="437"/>
        <v>0</v>
      </c>
      <c r="DE147" s="96"/>
      <c r="DF147" s="93">
        <f t="shared" si="278"/>
        <v>0</v>
      </c>
      <c r="DG147" s="96"/>
      <c r="DH147" s="93">
        <f t="shared" si="293"/>
        <v>0</v>
      </c>
      <c r="DI147" s="96"/>
      <c r="DJ147" s="93">
        <f t="shared" si="455"/>
        <v>0</v>
      </c>
      <c r="DK147" s="93"/>
      <c r="DL147" s="93">
        <f t="shared" si="462"/>
        <v>0</v>
      </c>
      <c r="DM147" s="100">
        <v>0.0</v>
      </c>
      <c r="DN147" s="93">
        <f t="shared" si="463"/>
        <v>0</v>
      </c>
      <c r="DO147" s="100">
        <v>0.0</v>
      </c>
      <c r="DP147" s="93">
        <f t="shared" si="294"/>
        <v>0</v>
      </c>
      <c r="DQ147" s="100">
        <v>0.0</v>
      </c>
      <c r="DR147" s="93">
        <f t="shared" si="377"/>
        <v>0</v>
      </c>
      <c r="DS147" s="100">
        <v>0.0</v>
      </c>
      <c r="DT147" s="93">
        <f t="shared" si="438"/>
        <v>0</v>
      </c>
      <c r="DU147" s="100">
        <v>0.0</v>
      </c>
      <c r="DV147" s="93">
        <f t="shared" si="61"/>
        <v>0</v>
      </c>
    </row>
    <row r="148">
      <c r="A148" s="7" t="s">
        <v>934</v>
      </c>
      <c r="B148" s="7" t="s">
        <v>766</v>
      </c>
      <c r="C148" s="76" t="str">
        <f t="array" ref="C148">_xlfn.XLOOKUP(A148,'Emp Master'!A:A,'Emp Master'!F:F)</f>
        <v>#N/A</v>
      </c>
      <c r="D148" s="76" t="str">
        <f t="array" ref="D148">_xlfn.XLOOKUP(A148,'Emp Master'!A:A,'Emp Master'!D:D)</f>
        <v>#N/A</v>
      </c>
      <c r="E148" s="76" t="str">
        <f t="shared" si="326"/>
        <v>#REF!</v>
      </c>
      <c r="F148" s="76"/>
      <c r="G148" s="79"/>
      <c r="H148" s="80"/>
      <c r="I148" s="79">
        <f t="shared" si="439"/>
        <v>0</v>
      </c>
      <c r="J148" s="80"/>
      <c r="K148" s="79">
        <f t="shared" si="386"/>
        <v>0</v>
      </c>
      <c r="L148" s="80"/>
      <c r="M148" s="79">
        <f t="shared" si="447"/>
        <v>0</v>
      </c>
      <c r="N148" s="80"/>
      <c r="O148" s="79">
        <f t="shared" si="444"/>
        <v>0</v>
      </c>
      <c r="P148" s="80"/>
      <c r="Q148" s="79">
        <f t="shared" si="389"/>
        <v>0</v>
      </c>
      <c r="R148" s="1"/>
      <c r="S148" s="79">
        <f t="shared" si="433"/>
        <v>0</v>
      </c>
      <c r="T148" s="1"/>
      <c r="U148" s="79">
        <f t="shared" si="440"/>
        <v>0</v>
      </c>
      <c r="V148" s="1"/>
      <c r="W148" s="79">
        <f t="shared" si="392"/>
        <v>0</v>
      </c>
      <c r="X148" s="1"/>
      <c r="Y148" s="79">
        <f t="shared" si="416"/>
        <v>0</v>
      </c>
      <c r="Z148" s="1"/>
      <c r="AA148" s="79">
        <f t="shared" si="418"/>
        <v>0</v>
      </c>
      <c r="AB148" s="1"/>
      <c r="AC148" s="79">
        <f t="shared" si="394"/>
        <v>0</v>
      </c>
      <c r="AD148" s="1"/>
      <c r="AE148" s="79">
        <f t="shared" si="395"/>
        <v>0</v>
      </c>
      <c r="AF148" s="1"/>
      <c r="AG148" s="79">
        <f t="shared" si="396"/>
        <v>0</v>
      </c>
      <c r="AH148" s="1"/>
      <c r="AI148" s="79">
        <f t="shared" si="397"/>
        <v>0</v>
      </c>
      <c r="AJ148" s="1"/>
      <c r="AK148" s="79">
        <f t="shared" si="448"/>
        <v>0</v>
      </c>
      <c r="AL148" s="1"/>
      <c r="AM148" s="79">
        <f t="shared" si="399"/>
        <v>0</v>
      </c>
      <c r="AN148" s="1"/>
      <c r="AO148" s="79">
        <f t="shared" si="400"/>
        <v>0</v>
      </c>
      <c r="AP148" s="1"/>
      <c r="AQ148" s="79">
        <f t="shared" si="449"/>
        <v>0</v>
      </c>
      <c r="AR148" s="1"/>
      <c r="AS148" s="79">
        <f t="shared" si="456"/>
        <v>0</v>
      </c>
      <c r="AT148" s="1"/>
      <c r="AU148" s="79">
        <f t="shared" si="403"/>
        <v>0</v>
      </c>
      <c r="AV148" s="1"/>
      <c r="AW148" s="79">
        <f t="shared" si="404"/>
        <v>0</v>
      </c>
      <c r="AX148" s="1"/>
      <c r="AY148" s="79">
        <f t="shared" si="445"/>
        <v>0</v>
      </c>
      <c r="AZ148" s="1"/>
      <c r="BA148" s="79">
        <f t="shared" si="435"/>
        <v>0</v>
      </c>
      <c r="BB148" s="1"/>
      <c r="BC148" s="79">
        <f t="shared" si="406"/>
        <v>0</v>
      </c>
      <c r="BD148" s="1"/>
      <c r="BE148" s="79">
        <f t="shared" si="407"/>
        <v>0</v>
      </c>
      <c r="BF148" s="1"/>
      <c r="BG148" s="79">
        <f t="shared" si="441"/>
        <v>0</v>
      </c>
      <c r="BH148" s="1"/>
      <c r="BI148" s="79">
        <f t="shared" si="415"/>
        <v>0</v>
      </c>
      <c r="BJ148" s="1"/>
      <c r="BK148" s="79">
        <f t="shared" si="409"/>
        <v>0</v>
      </c>
      <c r="BL148" s="1"/>
      <c r="BM148" s="79">
        <f t="shared" si="410"/>
        <v>0</v>
      </c>
      <c r="BN148" s="1"/>
      <c r="BO148" s="79">
        <f t="shared" si="450"/>
        <v>0</v>
      </c>
      <c r="BP148" s="1"/>
      <c r="BQ148" s="79">
        <f t="shared" si="464"/>
        <v>0</v>
      </c>
      <c r="BR148" s="1"/>
      <c r="BS148" s="79">
        <f t="shared" si="413"/>
        <v>0</v>
      </c>
      <c r="BT148" s="1"/>
      <c r="BU148" s="79">
        <f t="shared" si="451"/>
        <v>0</v>
      </c>
      <c r="BV148" s="1"/>
      <c r="BW148" s="79">
        <f t="shared" si="334"/>
        <v>0</v>
      </c>
      <c r="BX148" s="1"/>
      <c r="BY148" s="79">
        <f t="shared" si="457"/>
        <v>0</v>
      </c>
      <c r="BZ148" s="1"/>
      <c r="CA148" s="79">
        <f t="shared" si="336"/>
        <v>0</v>
      </c>
      <c r="CB148" s="1"/>
      <c r="CC148" s="79">
        <f t="shared" si="452"/>
        <v>0</v>
      </c>
      <c r="CD148" s="1"/>
      <c r="CE148" s="79">
        <f t="shared" si="453"/>
        <v>0</v>
      </c>
      <c r="CF148" s="1"/>
      <c r="CG148" s="79">
        <f t="shared" si="432"/>
        <v>0</v>
      </c>
      <c r="CH148" s="1"/>
      <c r="CI148" s="79">
        <f t="shared" si="414"/>
        <v>0</v>
      </c>
      <c r="CJ148" s="1"/>
      <c r="CK148" s="79">
        <f t="shared" si="430"/>
        <v>0</v>
      </c>
      <c r="CL148" s="1"/>
      <c r="CM148" s="79">
        <f t="shared" si="458"/>
        <v>0</v>
      </c>
      <c r="CN148" s="1"/>
      <c r="CO148" s="79">
        <f t="shared" si="305"/>
        <v>0</v>
      </c>
      <c r="CP148" s="1"/>
      <c r="CQ148" s="79">
        <f t="shared" si="423"/>
        <v>0</v>
      </c>
      <c r="CR148" s="1"/>
      <c r="CS148" s="79">
        <f t="shared" si="373"/>
        <v>0</v>
      </c>
      <c r="CT148" s="79"/>
      <c r="CU148" s="79">
        <f t="shared" si="459"/>
        <v>0</v>
      </c>
      <c r="CV148" s="79"/>
      <c r="CW148" s="79">
        <f t="shared" si="454"/>
        <v>0</v>
      </c>
      <c r="CX148" s="79"/>
      <c r="CY148" s="91"/>
      <c r="CZ148" s="79">
        <f t="shared" si="460"/>
        <v>0</v>
      </c>
      <c r="DA148" s="93"/>
      <c r="DB148" s="93">
        <f t="shared" si="461"/>
        <v>0</v>
      </c>
      <c r="DC148" s="96"/>
      <c r="DD148" s="93">
        <f t="shared" si="437"/>
        <v>0</v>
      </c>
      <c r="DE148" s="96"/>
      <c r="DF148" s="93">
        <f t="shared" si="278"/>
        <v>0</v>
      </c>
      <c r="DG148" s="96"/>
      <c r="DH148" s="93">
        <f t="shared" si="293"/>
        <v>0</v>
      </c>
      <c r="DI148" s="96"/>
      <c r="DJ148" s="93">
        <f t="shared" si="455"/>
        <v>0</v>
      </c>
      <c r="DK148" s="93"/>
      <c r="DL148" s="93">
        <f t="shared" si="462"/>
        <v>0</v>
      </c>
      <c r="DM148" s="100">
        <v>0.0</v>
      </c>
      <c r="DN148" s="93">
        <f t="shared" si="463"/>
        <v>0</v>
      </c>
      <c r="DO148" s="100">
        <v>0.0</v>
      </c>
      <c r="DP148" s="93">
        <f t="shared" si="294"/>
        <v>0</v>
      </c>
      <c r="DQ148" s="100">
        <v>0.0</v>
      </c>
      <c r="DR148" s="93">
        <f t="shared" si="377"/>
        <v>0</v>
      </c>
      <c r="DS148" s="100">
        <v>0.0</v>
      </c>
      <c r="DT148" s="93">
        <f t="shared" si="438"/>
        <v>0</v>
      </c>
      <c r="DU148" s="100">
        <v>0.0</v>
      </c>
      <c r="DV148" s="93">
        <f t="shared" si="61"/>
        <v>0</v>
      </c>
    </row>
    <row r="149">
      <c r="A149" s="7" t="s">
        <v>935</v>
      </c>
      <c r="B149" s="7" t="s">
        <v>936</v>
      </c>
      <c r="C149" s="76" t="str">
        <f t="array" ref="C149">_xlfn.XLOOKUP(A149,'Emp Master'!A:A,'Emp Master'!F:F)</f>
        <v>#N/A</v>
      </c>
      <c r="D149" s="76" t="str">
        <f t="array" ref="D149">_xlfn.XLOOKUP(A149,'Emp Master'!A:A,'Emp Master'!D:D)</f>
        <v>#N/A</v>
      </c>
      <c r="E149" s="76" t="str">
        <f t="shared" si="326"/>
        <v>#REF!</v>
      </c>
      <c r="F149" s="76"/>
      <c r="G149" s="79"/>
      <c r="H149" s="80"/>
      <c r="I149" s="79">
        <f t="shared" si="439"/>
        <v>0</v>
      </c>
      <c r="J149" s="80"/>
      <c r="K149" s="79">
        <f t="shared" si="386"/>
        <v>0</v>
      </c>
      <c r="L149" s="80"/>
      <c r="M149" s="79">
        <f t="shared" si="447"/>
        <v>0</v>
      </c>
      <c r="N149" s="80"/>
      <c r="O149" s="79">
        <f t="shared" si="444"/>
        <v>0</v>
      </c>
      <c r="P149" s="80"/>
      <c r="Q149" s="79">
        <f t="shared" si="389"/>
        <v>0</v>
      </c>
      <c r="R149" s="1"/>
      <c r="S149" s="79">
        <f t="shared" si="433"/>
        <v>0</v>
      </c>
      <c r="T149" s="1"/>
      <c r="U149" s="79">
        <f t="shared" si="440"/>
        <v>0</v>
      </c>
      <c r="V149" s="1"/>
      <c r="W149" s="79">
        <f t="shared" si="392"/>
        <v>0</v>
      </c>
      <c r="X149" s="1"/>
      <c r="Y149" s="79">
        <f t="shared" si="416"/>
        <v>0</v>
      </c>
      <c r="Z149" s="1"/>
      <c r="AA149" s="79">
        <f t="shared" si="418"/>
        <v>0</v>
      </c>
      <c r="AB149" s="1"/>
      <c r="AC149" s="79">
        <f t="shared" si="394"/>
        <v>0</v>
      </c>
      <c r="AD149" s="1"/>
      <c r="AE149" s="79">
        <f>AC149-AD149+12000</f>
        <v>12000</v>
      </c>
      <c r="AF149" s="106">
        <v>4000.0</v>
      </c>
      <c r="AG149" s="79">
        <f t="shared" si="396"/>
        <v>8000</v>
      </c>
      <c r="AH149" s="106">
        <v>4000.0</v>
      </c>
      <c r="AI149" s="79">
        <f t="shared" si="397"/>
        <v>4000</v>
      </c>
      <c r="AJ149" s="106">
        <v>4000.0</v>
      </c>
      <c r="AK149" s="79">
        <f t="shared" si="448"/>
        <v>0</v>
      </c>
      <c r="AL149" s="1"/>
      <c r="AM149" s="79">
        <f t="shared" si="399"/>
        <v>0</v>
      </c>
      <c r="AN149" s="1"/>
      <c r="AO149" s="79">
        <f t="shared" si="400"/>
        <v>0</v>
      </c>
      <c r="AP149" s="1"/>
      <c r="AQ149" s="79">
        <f t="shared" si="449"/>
        <v>0</v>
      </c>
      <c r="AR149" s="1"/>
      <c r="AS149" s="79">
        <f t="shared" si="456"/>
        <v>0</v>
      </c>
      <c r="AT149" s="1"/>
      <c r="AU149" s="79">
        <f t="shared" si="403"/>
        <v>0</v>
      </c>
      <c r="AV149" s="1"/>
      <c r="AW149" s="79">
        <f t="shared" si="404"/>
        <v>0</v>
      </c>
      <c r="AX149" s="1"/>
      <c r="AY149" s="79">
        <f t="shared" si="445"/>
        <v>0</v>
      </c>
      <c r="AZ149" s="1"/>
      <c r="BA149" s="79">
        <f t="shared" si="435"/>
        <v>0</v>
      </c>
      <c r="BB149" s="1"/>
      <c r="BC149" s="79">
        <f t="shared" si="406"/>
        <v>0</v>
      </c>
      <c r="BD149" s="1"/>
      <c r="BE149" s="79">
        <f t="shared" si="407"/>
        <v>0</v>
      </c>
      <c r="BF149" s="1"/>
      <c r="BG149" s="79">
        <f t="shared" si="441"/>
        <v>0</v>
      </c>
      <c r="BH149" s="1"/>
      <c r="BI149" s="79">
        <f t="shared" si="415"/>
        <v>0</v>
      </c>
      <c r="BJ149" s="1"/>
      <c r="BK149" s="79">
        <f t="shared" si="409"/>
        <v>0</v>
      </c>
      <c r="BL149" s="1"/>
      <c r="BM149" s="79">
        <f t="shared" si="410"/>
        <v>0</v>
      </c>
      <c r="BN149" s="1"/>
      <c r="BO149" s="79">
        <f t="shared" si="450"/>
        <v>0</v>
      </c>
      <c r="BP149" s="1"/>
      <c r="BQ149" s="79">
        <f t="shared" si="464"/>
        <v>0</v>
      </c>
      <c r="BR149" s="1"/>
      <c r="BS149" s="79">
        <f t="shared" si="413"/>
        <v>0</v>
      </c>
      <c r="BT149" s="1"/>
      <c r="BU149" s="79">
        <f t="shared" si="451"/>
        <v>0</v>
      </c>
      <c r="BV149" s="1"/>
      <c r="BW149" s="79">
        <f t="shared" si="334"/>
        <v>0</v>
      </c>
      <c r="BX149" s="1"/>
      <c r="BY149" s="79">
        <f t="shared" si="457"/>
        <v>0</v>
      </c>
      <c r="BZ149" s="1"/>
      <c r="CA149" s="79">
        <f t="shared" si="336"/>
        <v>0</v>
      </c>
      <c r="CB149" s="1"/>
      <c r="CC149" s="79">
        <f t="shared" si="452"/>
        <v>0</v>
      </c>
      <c r="CD149" s="1"/>
      <c r="CE149" s="79">
        <f t="shared" si="453"/>
        <v>0</v>
      </c>
      <c r="CF149" s="1"/>
      <c r="CG149" s="79">
        <f t="shared" si="432"/>
        <v>0</v>
      </c>
      <c r="CH149" s="1"/>
      <c r="CI149" s="79">
        <f t="shared" si="414"/>
        <v>0</v>
      </c>
      <c r="CJ149" s="1"/>
      <c r="CK149" s="79">
        <f t="shared" si="430"/>
        <v>0</v>
      </c>
      <c r="CL149" s="1"/>
      <c r="CM149" s="79">
        <f t="shared" si="458"/>
        <v>0</v>
      </c>
      <c r="CN149" s="1"/>
      <c r="CO149" s="79">
        <f t="shared" si="305"/>
        <v>0</v>
      </c>
      <c r="CP149" s="1"/>
      <c r="CQ149" s="79">
        <f t="shared" si="423"/>
        <v>0</v>
      </c>
      <c r="CR149" s="1"/>
      <c r="CS149" s="79">
        <f t="shared" si="373"/>
        <v>0</v>
      </c>
      <c r="CT149" s="79"/>
      <c r="CU149" s="79">
        <f t="shared" si="459"/>
        <v>0</v>
      </c>
      <c r="CV149" s="79"/>
      <c r="CW149" s="79">
        <f t="shared" si="454"/>
        <v>0</v>
      </c>
      <c r="CX149" s="79"/>
      <c r="CY149" s="91"/>
      <c r="CZ149" s="79">
        <f t="shared" si="460"/>
        <v>0</v>
      </c>
      <c r="DA149" s="93"/>
      <c r="DB149" s="93">
        <f t="shared" si="461"/>
        <v>0</v>
      </c>
      <c r="DC149" s="96"/>
      <c r="DD149" s="93">
        <f t="shared" si="437"/>
        <v>0</v>
      </c>
      <c r="DE149" s="96"/>
      <c r="DF149" s="93">
        <f t="shared" si="278"/>
        <v>0</v>
      </c>
      <c r="DG149" s="96"/>
      <c r="DH149" s="93">
        <f t="shared" si="293"/>
        <v>0</v>
      </c>
      <c r="DI149" s="96"/>
      <c r="DJ149" s="93">
        <f t="shared" si="455"/>
        <v>0</v>
      </c>
      <c r="DK149" s="93"/>
      <c r="DL149" s="93">
        <f t="shared" si="462"/>
        <v>0</v>
      </c>
      <c r="DM149" s="100">
        <v>0.0</v>
      </c>
      <c r="DN149" s="93">
        <f t="shared" si="463"/>
        <v>0</v>
      </c>
      <c r="DO149" s="100">
        <v>0.0</v>
      </c>
      <c r="DP149" s="93">
        <f t="shared" si="294"/>
        <v>0</v>
      </c>
      <c r="DQ149" s="100">
        <v>0.0</v>
      </c>
      <c r="DR149" s="93">
        <f t="shared" si="377"/>
        <v>0</v>
      </c>
      <c r="DS149" s="100">
        <v>0.0</v>
      </c>
      <c r="DT149" s="93">
        <f t="shared" si="438"/>
        <v>0</v>
      </c>
      <c r="DU149" s="100">
        <v>0.0</v>
      </c>
      <c r="DV149" s="93">
        <f t="shared" si="61"/>
        <v>0</v>
      </c>
    </row>
    <row r="150">
      <c r="A150" s="7" t="s">
        <v>474</v>
      </c>
      <c r="B150" s="7" t="s">
        <v>475</v>
      </c>
      <c r="C150" s="76" t="str">
        <f t="array" ref="C150">_xlfn.XLOOKUP(A150,'Emp Master'!A:A,'Emp Master'!F:F)</f>
        <v>SNP</v>
      </c>
      <c r="D150" s="76" t="str">
        <f t="array" ref="D150">_xlfn.XLOOKUP(A150,'Emp Master'!A:A,'Emp Master'!D:D)</f>
        <v>Machining</v>
      </c>
      <c r="E150" s="76" t="str">
        <f t="shared" si="326"/>
        <v>#REF!</v>
      </c>
      <c r="F150" s="76"/>
      <c r="G150" s="79"/>
      <c r="H150" s="80"/>
      <c r="I150" s="79">
        <f t="shared" si="439"/>
        <v>0</v>
      </c>
      <c r="J150" s="80"/>
      <c r="K150" s="79">
        <f t="shared" si="386"/>
        <v>0</v>
      </c>
      <c r="L150" s="80"/>
      <c r="M150" s="79">
        <f t="shared" si="447"/>
        <v>0</v>
      </c>
      <c r="N150" s="80"/>
      <c r="O150" s="79">
        <f t="shared" si="444"/>
        <v>0</v>
      </c>
      <c r="P150" s="80"/>
      <c r="Q150" s="79">
        <f t="shared" si="389"/>
        <v>0</v>
      </c>
      <c r="R150" s="1"/>
      <c r="S150" s="79">
        <f t="shared" si="433"/>
        <v>0</v>
      </c>
      <c r="T150" s="1"/>
      <c r="U150" s="79">
        <f>S150-T150+15000</f>
        <v>15000</v>
      </c>
      <c r="V150" s="106">
        <v>3000.0</v>
      </c>
      <c r="W150" s="79">
        <f t="shared" si="392"/>
        <v>12000</v>
      </c>
      <c r="X150" s="106">
        <v>3000.0</v>
      </c>
      <c r="Y150" s="79">
        <f t="shared" si="416"/>
        <v>9000</v>
      </c>
      <c r="Z150" s="106">
        <v>3000.0</v>
      </c>
      <c r="AA150" s="79">
        <f t="shared" si="418"/>
        <v>6000</v>
      </c>
      <c r="AB150" s="106">
        <v>3000.0</v>
      </c>
      <c r="AC150" s="79">
        <f t="shared" si="394"/>
        <v>3000</v>
      </c>
      <c r="AD150" s="106">
        <v>3000.0</v>
      </c>
      <c r="AE150" s="79">
        <f t="shared" ref="AE150:AE160" si="465">AC150-AD150</f>
        <v>0</v>
      </c>
      <c r="AF150" s="1"/>
      <c r="AG150" s="79">
        <f t="shared" si="396"/>
        <v>0</v>
      </c>
      <c r="AH150" s="1"/>
      <c r="AI150" s="79">
        <f t="shared" si="397"/>
        <v>0</v>
      </c>
      <c r="AJ150" s="1"/>
      <c r="AK150" s="79">
        <f>AI150-AJ150+15000</f>
        <v>15000</v>
      </c>
      <c r="AL150" s="106">
        <v>4000.0</v>
      </c>
      <c r="AM150" s="79">
        <f t="shared" si="399"/>
        <v>11000</v>
      </c>
      <c r="AN150" s="106">
        <v>4000.0</v>
      </c>
      <c r="AO150" s="79">
        <f t="shared" si="400"/>
        <v>7000</v>
      </c>
      <c r="AP150" s="106">
        <v>4000.0</v>
      </c>
      <c r="AQ150" s="79">
        <f t="shared" si="449"/>
        <v>3000</v>
      </c>
      <c r="AR150" s="106">
        <v>3000.0</v>
      </c>
      <c r="AS150" s="79">
        <f t="shared" si="456"/>
        <v>0</v>
      </c>
      <c r="AT150" s="1"/>
      <c r="AU150" s="79">
        <f t="shared" si="403"/>
        <v>0</v>
      </c>
      <c r="AV150" s="1"/>
      <c r="AW150" s="79">
        <f t="shared" si="404"/>
        <v>0</v>
      </c>
      <c r="AX150" s="1"/>
      <c r="AY150" s="79">
        <f t="shared" si="445"/>
        <v>0</v>
      </c>
      <c r="AZ150" s="1"/>
      <c r="BA150" s="79">
        <f t="shared" si="435"/>
        <v>0</v>
      </c>
      <c r="BB150" s="1"/>
      <c r="BC150" s="79">
        <f t="shared" si="406"/>
        <v>0</v>
      </c>
      <c r="BD150" s="1"/>
      <c r="BE150" s="79">
        <f t="shared" si="407"/>
        <v>0</v>
      </c>
      <c r="BF150" s="1"/>
      <c r="BG150" s="79">
        <f t="shared" si="441"/>
        <v>0</v>
      </c>
      <c r="BH150" s="1"/>
      <c r="BI150" s="79">
        <f>BG150-BH150+15000</f>
        <v>15000</v>
      </c>
      <c r="BJ150" s="106">
        <v>3000.0</v>
      </c>
      <c r="BK150" s="79">
        <f t="shared" si="409"/>
        <v>12000</v>
      </c>
      <c r="BL150" s="106">
        <v>3000.0</v>
      </c>
      <c r="BM150" s="79">
        <f t="shared" si="410"/>
        <v>9000</v>
      </c>
      <c r="BN150" s="106">
        <v>3000.0</v>
      </c>
      <c r="BO150" s="79">
        <f t="shared" si="450"/>
        <v>6000</v>
      </c>
      <c r="BP150" s="106">
        <v>3000.0</v>
      </c>
      <c r="BQ150" s="79">
        <f t="shared" si="464"/>
        <v>3000</v>
      </c>
      <c r="BR150" s="106">
        <f>3000</f>
        <v>3000</v>
      </c>
      <c r="BS150" s="79">
        <f t="shared" si="413"/>
        <v>0</v>
      </c>
      <c r="BT150" s="1"/>
      <c r="BU150" s="79">
        <f t="shared" si="451"/>
        <v>0</v>
      </c>
      <c r="BV150" s="1"/>
      <c r="BW150" s="79">
        <f t="shared" si="334"/>
        <v>0</v>
      </c>
      <c r="BX150" s="1"/>
      <c r="BY150" s="79">
        <f t="shared" si="457"/>
        <v>0</v>
      </c>
      <c r="BZ150" s="1"/>
      <c r="CA150" s="80">
        <f>BY150-BZ150+15000</f>
        <v>15000</v>
      </c>
      <c r="CB150" s="106">
        <v>5000.0</v>
      </c>
      <c r="CC150" s="79">
        <f t="shared" si="452"/>
        <v>10000</v>
      </c>
      <c r="CD150" s="106">
        <v>3000.0</v>
      </c>
      <c r="CE150" s="79">
        <f t="shared" si="453"/>
        <v>7000</v>
      </c>
      <c r="CF150" s="106">
        <v>3000.0</v>
      </c>
      <c r="CG150" s="79">
        <f t="shared" si="432"/>
        <v>4000</v>
      </c>
      <c r="CH150" s="106">
        <v>3000.0</v>
      </c>
      <c r="CI150" s="79">
        <f t="shared" si="414"/>
        <v>1000</v>
      </c>
      <c r="CJ150" s="106">
        <v>1000.0</v>
      </c>
      <c r="CK150" s="79">
        <f t="shared" si="430"/>
        <v>0</v>
      </c>
      <c r="CL150" s="106"/>
      <c r="CM150" s="79">
        <f t="shared" si="458"/>
        <v>0</v>
      </c>
      <c r="CN150" s="106"/>
      <c r="CO150" s="79">
        <f t="shared" si="305"/>
        <v>0</v>
      </c>
      <c r="CP150" s="106"/>
      <c r="CQ150" s="79">
        <f t="shared" si="423"/>
        <v>0</v>
      </c>
      <c r="CR150" s="106"/>
      <c r="CS150" s="79">
        <f t="shared" si="373"/>
        <v>0</v>
      </c>
      <c r="CT150" s="79"/>
      <c r="CU150" s="79">
        <f t="shared" si="459"/>
        <v>0</v>
      </c>
      <c r="CV150" s="79"/>
      <c r="CW150" s="79">
        <f t="shared" si="454"/>
        <v>0</v>
      </c>
      <c r="CX150" s="79"/>
      <c r="CY150" s="91"/>
      <c r="CZ150" s="79">
        <f t="shared" si="460"/>
        <v>0</v>
      </c>
      <c r="DA150" s="93"/>
      <c r="DB150" s="93">
        <f t="shared" si="461"/>
        <v>0</v>
      </c>
      <c r="DC150" s="96"/>
      <c r="DD150" s="93">
        <f t="shared" si="437"/>
        <v>0</v>
      </c>
      <c r="DE150" s="96"/>
      <c r="DF150" s="93">
        <f t="shared" si="278"/>
        <v>0</v>
      </c>
      <c r="DG150" s="96"/>
      <c r="DH150" s="93">
        <f t="shared" si="293"/>
        <v>0</v>
      </c>
      <c r="DI150" s="96"/>
      <c r="DJ150" s="93">
        <f t="shared" si="455"/>
        <v>0</v>
      </c>
      <c r="DK150" s="93"/>
      <c r="DL150" s="93">
        <f t="shared" si="462"/>
        <v>0</v>
      </c>
      <c r="DM150" s="100">
        <v>0.0</v>
      </c>
      <c r="DN150" s="93">
        <f t="shared" si="463"/>
        <v>0</v>
      </c>
      <c r="DO150" s="100">
        <v>0.0</v>
      </c>
      <c r="DP150" s="93">
        <f t="shared" si="294"/>
        <v>0</v>
      </c>
      <c r="DQ150" s="100">
        <v>0.0</v>
      </c>
      <c r="DR150" s="93">
        <f t="shared" si="377"/>
        <v>0</v>
      </c>
      <c r="DS150" s="100">
        <v>0.0</v>
      </c>
      <c r="DT150" s="93">
        <f t="shared" si="438"/>
        <v>0</v>
      </c>
      <c r="DU150" s="100">
        <v>0.0</v>
      </c>
      <c r="DV150" s="93">
        <f t="shared" si="61"/>
        <v>0</v>
      </c>
    </row>
    <row r="151">
      <c r="A151" s="7" t="s">
        <v>937</v>
      </c>
      <c r="B151" s="7" t="s">
        <v>938</v>
      </c>
      <c r="C151" s="76" t="str">
        <f t="array" ref="C151">_xlfn.XLOOKUP(A151,'Emp Master'!A:A,'Emp Master'!F:F)</f>
        <v>#N/A</v>
      </c>
      <c r="D151" s="76" t="str">
        <f t="array" ref="D151">_xlfn.XLOOKUP(A151,'Emp Master'!A:A,'Emp Master'!D:D)</f>
        <v>#N/A</v>
      </c>
      <c r="E151" s="76" t="str">
        <f t="shared" si="326"/>
        <v>#REF!</v>
      </c>
      <c r="F151" s="76"/>
      <c r="G151" s="79"/>
      <c r="H151" s="80"/>
      <c r="I151" s="79">
        <f t="shared" si="439"/>
        <v>0</v>
      </c>
      <c r="J151" s="80"/>
      <c r="K151" s="79">
        <f t="shared" si="386"/>
        <v>0</v>
      </c>
      <c r="L151" s="80"/>
      <c r="M151" s="79">
        <f t="shared" si="447"/>
        <v>0</v>
      </c>
      <c r="N151" s="80"/>
      <c r="O151" s="79">
        <f>M151-N151+20000</f>
        <v>20000</v>
      </c>
      <c r="P151" s="80"/>
      <c r="Q151" s="79">
        <f t="shared" si="389"/>
        <v>20000</v>
      </c>
      <c r="R151" s="106">
        <v>5000.0</v>
      </c>
      <c r="S151" s="79">
        <f t="shared" si="433"/>
        <v>15000</v>
      </c>
      <c r="T151" s="106">
        <v>6700.0</v>
      </c>
      <c r="U151" s="79">
        <f t="shared" ref="U151:U160" si="466">S151-T151</f>
        <v>8300</v>
      </c>
      <c r="V151" s="106">
        <v>303.0</v>
      </c>
      <c r="W151" s="79">
        <f t="shared" si="392"/>
        <v>7997</v>
      </c>
      <c r="X151" s="106">
        <v>0.0</v>
      </c>
      <c r="Y151" s="79">
        <f t="shared" si="416"/>
        <v>7997</v>
      </c>
      <c r="Z151" s="1"/>
      <c r="AA151" s="79">
        <f t="shared" si="418"/>
        <v>7997</v>
      </c>
      <c r="AB151" s="1"/>
      <c r="AC151" s="79">
        <f t="shared" si="394"/>
        <v>7997</v>
      </c>
      <c r="AD151" s="1"/>
      <c r="AE151" s="79">
        <f t="shared" si="465"/>
        <v>7997</v>
      </c>
      <c r="AF151" s="1"/>
      <c r="AG151" s="79">
        <f t="shared" si="396"/>
        <v>7997</v>
      </c>
      <c r="AH151" s="1"/>
      <c r="AI151" s="79">
        <f>AG151-AH151-7997</f>
        <v>0</v>
      </c>
      <c r="AJ151" s="1"/>
      <c r="AK151" s="79">
        <f t="shared" ref="AK151:AK165" si="467">AI151-AJ151</f>
        <v>0</v>
      </c>
      <c r="AL151" s="1"/>
      <c r="AM151" s="79">
        <f t="shared" si="399"/>
        <v>0</v>
      </c>
      <c r="AN151" s="1"/>
      <c r="AO151" s="79">
        <f t="shared" si="400"/>
        <v>0</v>
      </c>
      <c r="AP151" s="1"/>
      <c r="AQ151" s="79">
        <f t="shared" si="449"/>
        <v>0</v>
      </c>
      <c r="AR151" s="1"/>
      <c r="AS151" s="79">
        <f t="shared" si="456"/>
        <v>0</v>
      </c>
      <c r="AT151" s="1"/>
      <c r="AU151" s="79">
        <f t="shared" si="403"/>
        <v>0</v>
      </c>
      <c r="AV151" s="1"/>
      <c r="AW151" s="79">
        <f t="shared" si="404"/>
        <v>0</v>
      </c>
      <c r="AX151" s="1"/>
      <c r="AY151" s="79">
        <f t="shared" si="445"/>
        <v>0</v>
      </c>
      <c r="AZ151" s="1"/>
      <c r="BA151" s="79">
        <f t="shared" si="435"/>
        <v>0</v>
      </c>
      <c r="BB151" s="1"/>
      <c r="BC151" s="79">
        <f t="shared" si="406"/>
        <v>0</v>
      </c>
      <c r="BD151" s="1"/>
      <c r="BE151" s="79">
        <f t="shared" si="407"/>
        <v>0</v>
      </c>
      <c r="BF151" s="1"/>
      <c r="BG151" s="79">
        <f t="shared" si="441"/>
        <v>0</v>
      </c>
      <c r="BH151" s="1"/>
      <c r="BI151" s="79">
        <f t="shared" ref="BI151:BI152" si="468">BG151-BH151</f>
        <v>0</v>
      </c>
      <c r="BJ151" s="1"/>
      <c r="BK151" s="79">
        <f t="shared" si="409"/>
        <v>0</v>
      </c>
      <c r="BL151" s="1"/>
      <c r="BM151" s="79">
        <f t="shared" si="410"/>
        <v>0</v>
      </c>
      <c r="BN151" s="1"/>
      <c r="BO151" s="79">
        <f t="shared" si="450"/>
        <v>0</v>
      </c>
      <c r="BP151" s="1"/>
      <c r="BQ151" s="79">
        <f t="shared" si="464"/>
        <v>0</v>
      </c>
      <c r="BR151" s="1"/>
      <c r="BS151" s="79">
        <f t="shared" si="413"/>
        <v>0</v>
      </c>
      <c r="BT151" s="1"/>
      <c r="BU151" s="79">
        <f t="shared" si="451"/>
        <v>0</v>
      </c>
      <c r="BV151" s="1"/>
      <c r="BW151" s="79">
        <f t="shared" si="334"/>
        <v>0</v>
      </c>
      <c r="BX151" s="1"/>
      <c r="BY151" s="79">
        <f t="shared" si="457"/>
        <v>0</v>
      </c>
      <c r="BZ151" s="1"/>
      <c r="CA151" s="79">
        <f>BY151-BZ151</f>
        <v>0</v>
      </c>
      <c r="CB151" s="1"/>
      <c r="CC151" s="79">
        <f t="shared" si="452"/>
        <v>0</v>
      </c>
      <c r="CD151" s="1"/>
      <c r="CE151" s="79">
        <f t="shared" si="453"/>
        <v>0</v>
      </c>
      <c r="CF151" s="1"/>
      <c r="CG151" s="79">
        <f t="shared" si="432"/>
        <v>0</v>
      </c>
      <c r="CH151" s="1"/>
      <c r="CI151" s="79">
        <f t="shared" si="414"/>
        <v>0</v>
      </c>
      <c r="CJ151" s="1"/>
      <c r="CK151" s="79">
        <f t="shared" si="430"/>
        <v>0</v>
      </c>
      <c r="CL151" s="1"/>
      <c r="CM151" s="79">
        <f t="shared" si="458"/>
        <v>0</v>
      </c>
      <c r="CN151" s="1"/>
      <c r="CO151" s="79">
        <f t="shared" si="305"/>
        <v>0</v>
      </c>
      <c r="CP151" s="1"/>
      <c r="CQ151" s="79">
        <f t="shared" si="423"/>
        <v>0</v>
      </c>
      <c r="CR151" s="1"/>
      <c r="CS151" s="79">
        <f t="shared" si="373"/>
        <v>0</v>
      </c>
      <c r="CT151" s="79"/>
      <c r="CU151" s="79">
        <f t="shared" si="459"/>
        <v>0</v>
      </c>
      <c r="CV151" s="79"/>
      <c r="CW151" s="79">
        <f t="shared" si="454"/>
        <v>0</v>
      </c>
      <c r="CX151" s="79"/>
      <c r="CY151" s="91"/>
      <c r="CZ151" s="79">
        <f t="shared" si="460"/>
        <v>0</v>
      </c>
      <c r="DA151" s="93"/>
      <c r="DB151" s="93">
        <f t="shared" si="461"/>
        <v>0</v>
      </c>
      <c r="DC151" s="96"/>
      <c r="DD151" s="93">
        <f t="shared" si="437"/>
        <v>0</v>
      </c>
      <c r="DE151" s="96"/>
      <c r="DF151" s="93">
        <f t="shared" si="278"/>
        <v>0</v>
      </c>
      <c r="DG151" s="96"/>
      <c r="DH151" s="93">
        <f t="shared" si="293"/>
        <v>0</v>
      </c>
      <c r="DI151" s="96"/>
      <c r="DJ151" s="93">
        <f t="shared" si="455"/>
        <v>0</v>
      </c>
      <c r="DK151" s="93"/>
      <c r="DL151" s="93">
        <f t="shared" si="462"/>
        <v>0</v>
      </c>
      <c r="DM151" s="100">
        <v>0.0</v>
      </c>
      <c r="DN151" s="93">
        <f t="shared" si="463"/>
        <v>0</v>
      </c>
      <c r="DO151" s="100">
        <v>0.0</v>
      </c>
      <c r="DP151" s="93">
        <f t="shared" si="294"/>
        <v>0</v>
      </c>
      <c r="DQ151" s="100">
        <v>0.0</v>
      </c>
      <c r="DR151" s="93">
        <f t="shared" si="377"/>
        <v>0</v>
      </c>
      <c r="DS151" s="100">
        <v>0.0</v>
      </c>
      <c r="DT151" s="93">
        <f t="shared" si="438"/>
        <v>0</v>
      </c>
      <c r="DU151" s="100">
        <v>0.0</v>
      </c>
      <c r="DV151" s="93">
        <f t="shared" si="61"/>
        <v>0</v>
      </c>
    </row>
    <row r="152">
      <c r="A152" s="7" t="s">
        <v>939</v>
      </c>
      <c r="B152" s="7" t="s">
        <v>940</v>
      </c>
      <c r="C152" s="76" t="str">
        <f t="array" ref="C152">_xlfn.XLOOKUP(A152,'Emp Master'!A:A,'Emp Master'!F:F)</f>
        <v>#N/A</v>
      </c>
      <c r="D152" s="76" t="str">
        <f t="array" ref="D152">_xlfn.XLOOKUP(A152,'Emp Master'!A:A,'Emp Master'!D:D)</f>
        <v>#N/A</v>
      </c>
      <c r="E152" s="76" t="str">
        <f t="shared" si="326"/>
        <v>#REF!</v>
      </c>
      <c r="F152" s="76"/>
      <c r="G152" s="79"/>
      <c r="H152" s="80"/>
      <c r="I152" s="79">
        <f t="shared" si="439"/>
        <v>0</v>
      </c>
      <c r="J152" s="80"/>
      <c r="K152" s="79">
        <f t="shared" si="386"/>
        <v>0</v>
      </c>
      <c r="L152" s="142"/>
      <c r="M152" s="79">
        <f t="shared" si="447"/>
        <v>0</v>
      </c>
      <c r="N152" s="142"/>
      <c r="O152" s="79">
        <f>M152-N152+15000</f>
        <v>15000</v>
      </c>
      <c r="P152" s="305">
        <v>3500.0</v>
      </c>
      <c r="Q152" s="79">
        <f t="shared" si="389"/>
        <v>11500</v>
      </c>
      <c r="R152" s="106">
        <v>3500.0</v>
      </c>
      <c r="S152" s="79">
        <f t="shared" si="433"/>
        <v>8000</v>
      </c>
      <c r="T152" s="106">
        <v>3500.0</v>
      </c>
      <c r="U152" s="79">
        <f t="shared" si="466"/>
        <v>4500</v>
      </c>
      <c r="V152" s="106">
        <v>4500.0</v>
      </c>
      <c r="W152" s="79">
        <f>U152-V152+20000</f>
        <v>20000</v>
      </c>
      <c r="X152" s="106">
        <v>10000.0</v>
      </c>
      <c r="Y152" s="79">
        <f t="shared" si="416"/>
        <v>10000</v>
      </c>
      <c r="Z152" s="106">
        <v>10000.0</v>
      </c>
      <c r="AA152" s="79">
        <f>Y152-Z152+20000</f>
        <v>20000</v>
      </c>
      <c r="AB152" s="106">
        <v>2000.0</v>
      </c>
      <c r="AC152" s="79">
        <f t="shared" si="394"/>
        <v>18000</v>
      </c>
      <c r="AD152" s="106">
        <v>2000.0</v>
      </c>
      <c r="AE152" s="79">
        <f t="shared" si="465"/>
        <v>16000</v>
      </c>
      <c r="AF152" s="106">
        <v>0.0</v>
      </c>
      <c r="AG152" s="79">
        <f>AE152-AF152+15000</f>
        <v>31000</v>
      </c>
      <c r="AH152" s="106">
        <v>12000.0</v>
      </c>
      <c r="AI152" s="79">
        <f t="shared" ref="AI152:AI160" si="469">AG152-AH152</f>
        <v>19000</v>
      </c>
      <c r="AJ152" s="1"/>
      <c r="AK152" s="79">
        <f t="shared" si="467"/>
        <v>19000</v>
      </c>
      <c r="AL152" s="106">
        <v>4000.0</v>
      </c>
      <c r="AM152" s="79">
        <f t="shared" si="399"/>
        <v>15000</v>
      </c>
      <c r="AN152" s="106">
        <v>2000.0</v>
      </c>
      <c r="AO152" s="79">
        <f t="shared" si="400"/>
        <v>13000</v>
      </c>
      <c r="AP152" s="106">
        <v>2000.0</v>
      </c>
      <c r="AQ152" s="79">
        <f t="shared" si="449"/>
        <v>11000</v>
      </c>
      <c r="AR152" s="106">
        <v>2000.0</v>
      </c>
      <c r="AS152" s="79">
        <f t="shared" si="456"/>
        <v>9000</v>
      </c>
      <c r="AT152" s="106">
        <v>2000.0</v>
      </c>
      <c r="AU152" s="79">
        <f t="shared" si="403"/>
        <v>7000</v>
      </c>
      <c r="AV152" s="106">
        <v>0.0</v>
      </c>
      <c r="AW152" s="79">
        <f>AU152-AV152+10000</f>
        <v>17000</v>
      </c>
      <c r="AX152" s="106">
        <v>2000.0</v>
      </c>
      <c r="AY152" s="79">
        <f t="shared" si="445"/>
        <v>15000</v>
      </c>
      <c r="AZ152" s="106">
        <v>2000.0</v>
      </c>
      <c r="BA152" s="79">
        <f t="shared" si="435"/>
        <v>13000</v>
      </c>
      <c r="BB152" s="1"/>
      <c r="BC152" s="79">
        <f>BA152-BB152+17000</f>
        <v>30000</v>
      </c>
      <c r="BD152" s="106">
        <v>3000.0</v>
      </c>
      <c r="BE152" s="79">
        <f t="shared" si="407"/>
        <v>27000</v>
      </c>
      <c r="BF152" s="1"/>
      <c r="BG152" s="79">
        <f t="shared" si="441"/>
        <v>27000</v>
      </c>
      <c r="BH152" s="106">
        <v>3000.0</v>
      </c>
      <c r="BI152" s="79">
        <f t="shared" si="468"/>
        <v>24000</v>
      </c>
      <c r="BJ152" s="1"/>
      <c r="BK152" s="79">
        <f t="shared" si="409"/>
        <v>24000</v>
      </c>
      <c r="BL152" s="106">
        <v>10000.0</v>
      </c>
      <c r="BM152" s="79">
        <f t="shared" si="410"/>
        <v>14000</v>
      </c>
      <c r="BN152" s="1"/>
      <c r="BO152" s="79">
        <f t="shared" si="450"/>
        <v>14000</v>
      </c>
      <c r="BP152" s="106">
        <v>2000.0</v>
      </c>
      <c r="BQ152" s="79">
        <f>BO152-BP152+20000</f>
        <v>32000</v>
      </c>
      <c r="BR152" s="106">
        <f>3000</f>
        <v>3000</v>
      </c>
      <c r="BS152" s="79">
        <f t="shared" si="413"/>
        <v>29000</v>
      </c>
      <c r="BT152" s="106">
        <v>3000.0</v>
      </c>
      <c r="BU152" s="79">
        <f t="shared" si="451"/>
        <v>26000</v>
      </c>
      <c r="BV152" s="106">
        <v>3000.0</v>
      </c>
      <c r="BW152" s="79">
        <f>BU152-BV152+10000</f>
        <v>33000</v>
      </c>
      <c r="BX152" s="106">
        <v>10000.0</v>
      </c>
      <c r="BY152" s="79">
        <f t="shared" si="457"/>
        <v>23000</v>
      </c>
      <c r="BZ152" s="106">
        <v>2000.0</v>
      </c>
      <c r="CA152" s="80">
        <f>BY152-BZ152+15000-17000</f>
        <v>19000</v>
      </c>
      <c r="CB152" s="106">
        <v>0.0</v>
      </c>
      <c r="CC152" s="79">
        <f t="shared" si="452"/>
        <v>19000</v>
      </c>
      <c r="CD152" s="106">
        <v>3000.0</v>
      </c>
      <c r="CE152" s="79">
        <f>15000+(CC152-CD152)</f>
        <v>31000</v>
      </c>
      <c r="CF152" s="106">
        <v>18000.0</v>
      </c>
      <c r="CG152" s="79">
        <f>15000+(CE152-CF152)-13000</f>
        <v>15000</v>
      </c>
      <c r="CH152" s="106">
        <v>15000.0</v>
      </c>
      <c r="CI152" s="79">
        <f t="shared" si="414"/>
        <v>0</v>
      </c>
      <c r="CJ152" s="106">
        <v>0.0</v>
      </c>
      <c r="CK152" s="79">
        <f>6697+CI152-CJ152</f>
        <v>6697</v>
      </c>
      <c r="CL152" s="106">
        <v>6697.0</v>
      </c>
      <c r="CM152" s="79">
        <f t="shared" si="458"/>
        <v>0</v>
      </c>
      <c r="CN152" s="106"/>
      <c r="CO152" s="79">
        <f>20000+CM152-CN152</f>
        <v>20000</v>
      </c>
      <c r="CP152" s="106">
        <v>20000.0</v>
      </c>
      <c r="CQ152" s="79">
        <f>CO152-CP152+20000</f>
        <v>20000</v>
      </c>
      <c r="CR152" s="106">
        <v>3000.0</v>
      </c>
      <c r="CS152" s="79">
        <f t="shared" si="373"/>
        <v>17000</v>
      </c>
      <c r="CT152" s="79"/>
      <c r="CU152" s="79">
        <f t="shared" si="459"/>
        <v>17000</v>
      </c>
      <c r="CV152" s="24">
        <v>3000.0</v>
      </c>
      <c r="CW152" s="79">
        <f t="shared" si="454"/>
        <v>14000</v>
      </c>
      <c r="CX152" s="24">
        <v>14000.0</v>
      </c>
      <c r="CY152" s="91"/>
      <c r="CZ152" s="79">
        <f t="shared" si="460"/>
        <v>0</v>
      </c>
      <c r="DA152" s="93"/>
      <c r="DB152" s="93">
        <f t="shared" si="461"/>
        <v>0</v>
      </c>
      <c r="DC152" s="96"/>
      <c r="DD152" s="93">
        <f t="shared" si="437"/>
        <v>0</v>
      </c>
      <c r="DE152" s="96"/>
      <c r="DF152" s="93">
        <f t="shared" si="278"/>
        <v>0</v>
      </c>
      <c r="DG152" s="96"/>
      <c r="DH152" s="93">
        <f t="shared" si="293"/>
        <v>0</v>
      </c>
      <c r="DI152" s="96"/>
      <c r="DJ152" s="93">
        <f t="shared" si="455"/>
        <v>0</v>
      </c>
      <c r="DK152" s="93"/>
      <c r="DL152" s="93">
        <f t="shared" si="462"/>
        <v>0</v>
      </c>
      <c r="DM152" s="100">
        <v>0.0</v>
      </c>
      <c r="DN152" s="93">
        <f t="shared" si="463"/>
        <v>0</v>
      </c>
      <c r="DO152" s="100">
        <v>0.0</v>
      </c>
      <c r="DP152" s="93">
        <f t="shared" si="294"/>
        <v>0</v>
      </c>
      <c r="DQ152" s="100">
        <v>0.0</v>
      </c>
      <c r="DR152" s="93">
        <f t="shared" si="377"/>
        <v>0</v>
      </c>
      <c r="DS152" s="100">
        <v>0.0</v>
      </c>
      <c r="DT152" s="93">
        <f t="shared" si="438"/>
        <v>0</v>
      </c>
      <c r="DU152" s="100">
        <v>0.0</v>
      </c>
      <c r="DV152" s="93">
        <f t="shared" si="61"/>
        <v>0</v>
      </c>
    </row>
    <row r="153">
      <c r="A153" s="7" t="s">
        <v>941</v>
      </c>
      <c r="B153" s="7" t="s">
        <v>942</v>
      </c>
      <c r="C153" s="76" t="str">
        <f t="array" ref="C153">_xlfn.XLOOKUP(A153,'Emp Master'!A:A,'Emp Master'!F:F)</f>
        <v>#N/A</v>
      </c>
      <c r="D153" s="76" t="str">
        <f t="array" ref="D153">_xlfn.XLOOKUP(A153,'Emp Master'!A:A,'Emp Master'!D:D)</f>
        <v>#N/A</v>
      </c>
      <c r="E153" s="76" t="str">
        <f t="shared" si="326"/>
        <v>#REF!</v>
      </c>
      <c r="F153" s="76"/>
      <c r="G153" s="79">
        <v>10000.0</v>
      </c>
      <c r="H153" s="80"/>
      <c r="I153" s="79">
        <f t="shared" si="439"/>
        <v>10000</v>
      </c>
      <c r="J153" s="80"/>
      <c r="K153" s="79">
        <f t="shared" si="386"/>
        <v>10000</v>
      </c>
      <c r="L153" s="142"/>
      <c r="M153" s="79">
        <f t="shared" si="447"/>
        <v>10000</v>
      </c>
      <c r="N153" s="305">
        <v>2000.0</v>
      </c>
      <c r="O153" s="79">
        <f t="shared" ref="O153:O160" si="470">M153-N153</f>
        <v>8000</v>
      </c>
      <c r="P153" s="142"/>
      <c r="Q153" s="79">
        <f t="shared" si="389"/>
        <v>8000</v>
      </c>
      <c r="R153" s="106">
        <v>2000.0</v>
      </c>
      <c r="S153" s="79">
        <f t="shared" si="433"/>
        <v>6000</v>
      </c>
      <c r="T153" s="106">
        <v>2000.0</v>
      </c>
      <c r="U153" s="79">
        <f t="shared" si="466"/>
        <v>4000</v>
      </c>
      <c r="V153" s="106">
        <v>2000.0</v>
      </c>
      <c r="W153" s="79">
        <f t="shared" ref="W153:W160" si="471">U153-V153</f>
        <v>2000</v>
      </c>
      <c r="X153" s="106">
        <v>2000.0</v>
      </c>
      <c r="Y153" s="79">
        <f>W153-X153+20000</f>
        <v>20000</v>
      </c>
      <c r="Z153" s="106">
        <v>2000.0</v>
      </c>
      <c r="AA153" s="79">
        <f t="shared" ref="AA153:AA154" si="472">Y153-Z153</f>
        <v>18000</v>
      </c>
      <c r="AB153" s="106">
        <v>2000.0</v>
      </c>
      <c r="AC153" s="79">
        <f t="shared" si="394"/>
        <v>16000</v>
      </c>
      <c r="AD153" s="106">
        <v>2000.0</v>
      </c>
      <c r="AE153" s="79">
        <f t="shared" si="465"/>
        <v>14000</v>
      </c>
      <c r="AF153" s="106">
        <v>2000.0</v>
      </c>
      <c r="AG153" s="79">
        <f>AE153-AF153</f>
        <v>12000</v>
      </c>
      <c r="AH153" s="106">
        <v>2000.0</v>
      </c>
      <c r="AI153" s="79">
        <f t="shared" si="469"/>
        <v>10000</v>
      </c>
      <c r="AJ153" s="106">
        <v>2000.0</v>
      </c>
      <c r="AK153" s="79">
        <f t="shared" si="467"/>
        <v>8000</v>
      </c>
      <c r="AL153" s="106">
        <v>2000.0</v>
      </c>
      <c r="AM153" s="79">
        <f t="shared" si="399"/>
        <v>6000</v>
      </c>
      <c r="AN153" s="106">
        <v>2000.0</v>
      </c>
      <c r="AO153" s="79">
        <f t="shared" si="400"/>
        <v>4000</v>
      </c>
      <c r="AP153" s="106">
        <v>2000.0</v>
      </c>
      <c r="AQ153" s="79">
        <f t="shared" si="449"/>
        <v>2000</v>
      </c>
      <c r="AR153" s="106">
        <v>2000.0</v>
      </c>
      <c r="AS153" s="79">
        <f t="shared" si="456"/>
        <v>0</v>
      </c>
      <c r="AT153" s="1"/>
      <c r="AU153" s="79">
        <f t="shared" si="403"/>
        <v>0</v>
      </c>
      <c r="AV153" s="1"/>
      <c r="AW153" s="79">
        <f t="shared" ref="AW153:AW158" si="473">AU153-AV153</f>
        <v>0</v>
      </c>
      <c r="AX153" s="1"/>
      <c r="AY153" s="79">
        <f>AW153-AX153+18000</f>
        <v>18000</v>
      </c>
      <c r="AZ153" s="106">
        <v>4000.0</v>
      </c>
      <c r="BA153" s="79">
        <f t="shared" si="435"/>
        <v>14000</v>
      </c>
      <c r="BB153" s="106">
        <v>4000.0</v>
      </c>
      <c r="BC153" s="79">
        <f t="shared" ref="BC153:BC163" si="474">BA153-BB153</f>
        <v>10000</v>
      </c>
      <c r="BD153" s="106">
        <v>4000.0</v>
      </c>
      <c r="BE153" s="79">
        <f t="shared" si="407"/>
        <v>6000</v>
      </c>
      <c r="BF153" s="106">
        <v>4000.0</v>
      </c>
      <c r="BG153" s="79">
        <f t="shared" si="441"/>
        <v>2000</v>
      </c>
      <c r="BH153" s="106">
        <v>2000.0</v>
      </c>
      <c r="BI153" s="79">
        <f>BG153-BH153+18500</f>
        <v>18500</v>
      </c>
      <c r="BJ153" s="106">
        <v>3000.0</v>
      </c>
      <c r="BK153" s="79">
        <f t="shared" si="409"/>
        <v>15500</v>
      </c>
      <c r="BL153" s="106">
        <v>3000.0</v>
      </c>
      <c r="BM153" s="79">
        <f t="shared" si="410"/>
        <v>12500</v>
      </c>
      <c r="BN153" s="1"/>
      <c r="BO153" s="79">
        <f t="shared" si="450"/>
        <v>12500</v>
      </c>
      <c r="BP153" s="1"/>
      <c r="BQ153" s="79">
        <f t="shared" ref="BQ153:BQ160" si="475">BO153-BP153</f>
        <v>12500</v>
      </c>
      <c r="BR153" s="106">
        <v>2500.0</v>
      </c>
      <c r="BS153" s="79">
        <f t="shared" si="413"/>
        <v>10000</v>
      </c>
      <c r="BT153" s="106">
        <v>3000.0</v>
      </c>
      <c r="BU153" s="79">
        <f t="shared" si="451"/>
        <v>7000</v>
      </c>
      <c r="BV153" s="106">
        <v>3000.0</v>
      </c>
      <c r="BW153" s="79">
        <f t="shared" ref="BW153:BW160" si="476">BU153-BV153</f>
        <v>4000</v>
      </c>
      <c r="BX153" s="106">
        <v>3000.0</v>
      </c>
      <c r="BY153" s="79">
        <f t="shared" si="457"/>
        <v>1000</v>
      </c>
      <c r="BZ153" s="106">
        <v>1000.0</v>
      </c>
      <c r="CA153" s="79">
        <f t="shared" ref="CA153:CA163" si="477">BY153-BZ153</f>
        <v>0</v>
      </c>
      <c r="CB153" s="1"/>
      <c r="CC153" s="79">
        <f t="shared" si="452"/>
        <v>0</v>
      </c>
      <c r="CD153" s="1"/>
      <c r="CE153" s="79">
        <f t="shared" ref="CE153:CE163" si="478">CC153-CD153</f>
        <v>0</v>
      </c>
      <c r="CF153" s="1"/>
      <c r="CG153" s="79">
        <f t="shared" ref="CG153:CG158" si="479">CE153-CF153</f>
        <v>0</v>
      </c>
      <c r="CH153" s="1"/>
      <c r="CI153" s="79">
        <f t="shared" si="414"/>
        <v>0</v>
      </c>
      <c r="CJ153" s="1"/>
      <c r="CK153" s="79">
        <f t="shared" ref="CK153:CK163" si="480">CI153-CJ153</f>
        <v>0</v>
      </c>
      <c r="CL153" s="1"/>
      <c r="CM153" s="79">
        <f t="shared" si="458"/>
        <v>0</v>
      </c>
      <c r="CN153" s="1"/>
      <c r="CO153" s="79">
        <f t="shared" ref="CO153:CO163" si="481">CM153-CN153</f>
        <v>0</v>
      </c>
      <c r="CP153" s="1"/>
      <c r="CQ153" s="79">
        <f t="shared" ref="CQ153:CQ163" si="482">CO153-CP153</f>
        <v>0</v>
      </c>
      <c r="CR153" s="1"/>
      <c r="CS153" s="79">
        <f t="shared" si="373"/>
        <v>0</v>
      </c>
      <c r="CT153" s="79"/>
      <c r="CU153" s="79">
        <f t="shared" si="459"/>
        <v>0</v>
      </c>
      <c r="CV153" s="79"/>
      <c r="CW153" s="79">
        <f t="shared" si="454"/>
        <v>0</v>
      </c>
      <c r="CX153" s="79"/>
      <c r="CY153" s="91"/>
      <c r="CZ153" s="79">
        <f t="shared" si="460"/>
        <v>0</v>
      </c>
      <c r="DA153" s="93"/>
      <c r="DB153" s="93">
        <f t="shared" si="461"/>
        <v>0</v>
      </c>
      <c r="DC153" s="96"/>
      <c r="DD153" s="93">
        <f t="shared" si="437"/>
        <v>0</v>
      </c>
      <c r="DE153" s="96"/>
      <c r="DF153" s="93">
        <f t="shared" si="278"/>
        <v>0</v>
      </c>
      <c r="DG153" s="96"/>
      <c r="DH153" s="93">
        <f t="shared" si="293"/>
        <v>0</v>
      </c>
      <c r="DI153" s="96"/>
      <c r="DJ153" s="93">
        <f t="shared" si="455"/>
        <v>0</v>
      </c>
      <c r="DK153" s="93"/>
      <c r="DL153" s="93">
        <f t="shared" si="462"/>
        <v>0</v>
      </c>
      <c r="DM153" s="100">
        <v>0.0</v>
      </c>
      <c r="DN153" s="93">
        <f t="shared" si="463"/>
        <v>0</v>
      </c>
      <c r="DO153" s="100">
        <v>0.0</v>
      </c>
      <c r="DP153" s="93">
        <f t="shared" si="294"/>
        <v>0</v>
      </c>
      <c r="DQ153" s="100">
        <v>0.0</v>
      </c>
      <c r="DR153" s="93">
        <f t="shared" si="377"/>
        <v>0</v>
      </c>
      <c r="DS153" s="100">
        <v>0.0</v>
      </c>
      <c r="DT153" s="93">
        <f t="shared" si="438"/>
        <v>0</v>
      </c>
      <c r="DU153" s="100">
        <v>0.0</v>
      </c>
      <c r="DV153" s="93">
        <f t="shared" si="61"/>
        <v>0</v>
      </c>
    </row>
    <row r="154">
      <c r="A154" s="7" t="s">
        <v>943</v>
      </c>
      <c r="B154" s="7" t="s">
        <v>944</v>
      </c>
      <c r="C154" s="76" t="str">
        <f t="array" ref="C154">_xlfn.XLOOKUP(A154,'Emp Master'!A:A,'Emp Master'!F:F)</f>
        <v>#N/A</v>
      </c>
      <c r="D154" s="76" t="str">
        <f t="array" ref="D154">_xlfn.XLOOKUP(A154,'Emp Master'!A:A,'Emp Master'!D:D)</f>
        <v>#N/A</v>
      </c>
      <c r="E154" s="76" t="str">
        <f t="shared" si="326"/>
        <v>#REF!</v>
      </c>
      <c r="F154" s="76"/>
      <c r="G154" s="79"/>
      <c r="H154" s="80"/>
      <c r="I154" s="79">
        <f t="shared" si="439"/>
        <v>0</v>
      </c>
      <c r="J154" s="80"/>
      <c r="K154" s="79">
        <f t="shared" si="386"/>
        <v>0</v>
      </c>
      <c r="L154" s="142"/>
      <c r="M154" s="79">
        <f t="shared" si="447"/>
        <v>0</v>
      </c>
      <c r="N154" s="142"/>
      <c r="O154" s="79">
        <f t="shared" si="470"/>
        <v>0</v>
      </c>
      <c r="P154" s="142"/>
      <c r="Q154" s="79">
        <f t="shared" si="389"/>
        <v>0</v>
      </c>
      <c r="R154" s="1"/>
      <c r="S154" s="79">
        <f t="shared" si="433"/>
        <v>0</v>
      </c>
      <c r="T154" s="1"/>
      <c r="U154" s="79">
        <f t="shared" si="466"/>
        <v>0</v>
      </c>
      <c r="V154" s="1"/>
      <c r="W154" s="79">
        <f t="shared" si="471"/>
        <v>0</v>
      </c>
      <c r="X154" s="1"/>
      <c r="Y154" s="79">
        <f t="shared" ref="Y154:Y158" si="483">W154-X154</f>
        <v>0</v>
      </c>
      <c r="Z154" s="1"/>
      <c r="AA154" s="79">
        <f t="shared" si="472"/>
        <v>0</v>
      </c>
      <c r="AB154" s="1"/>
      <c r="AC154" s="79">
        <f t="shared" si="394"/>
        <v>0</v>
      </c>
      <c r="AD154" s="1"/>
      <c r="AE154" s="79">
        <f t="shared" si="465"/>
        <v>0</v>
      </c>
      <c r="AF154" s="1"/>
      <c r="AG154" s="79">
        <f>AE154-AF154+15000</f>
        <v>15000</v>
      </c>
      <c r="AH154" s="106">
        <v>5000.0</v>
      </c>
      <c r="AI154" s="79">
        <f t="shared" si="469"/>
        <v>10000</v>
      </c>
      <c r="AJ154" s="106">
        <v>4644.0</v>
      </c>
      <c r="AK154" s="79">
        <f t="shared" si="467"/>
        <v>5356</v>
      </c>
      <c r="AL154" s="1"/>
      <c r="AM154" s="79">
        <f t="shared" si="399"/>
        <v>5356</v>
      </c>
      <c r="AN154" s="1"/>
      <c r="AO154" s="79">
        <f t="shared" si="400"/>
        <v>5356</v>
      </c>
      <c r="AP154" s="1"/>
      <c r="AQ154" s="79">
        <f t="shared" si="449"/>
        <v>5356</v>
      </c>
      <c r="AR154" s="1"/>
      <c r="AS154" s="79">
        <f t="shared" si="456"/>
        <v>5356</v>
      </c>
      <c r="AT154" s="1"/>
      <c r="AU154" s="79">
        <f t="shared" si="403"/>
        <v>5356</v>
      </c>
      <c r="AV154" s="1"/>
      <c r="AW154" s="79">
        <f t="shared" si="473"/>
        <v>5356</v>
      </c>
      <c r="AX154" s="1"/>
      <c r="AY154" s="79">
        <f t="shared" ref="AY154:AY163" si="484">AW154-AX154</f>
        <v>5356</v>
      </c>
      <c r="AZ154" s="1"/>
      <c r="BA154" s="79">
        <f t="shared" si="435"/>
        <v>5356</v>
      </c>
      <c r="BB154" s="1"/>
      <c r="BC154" s="79">
        <f t="shared" si="474"/>
        <v>5356</v>
      </c>
      <c r="BD154" s="1"/>
      <c r="BE154" s="79">
        <f t="shared" si="407"/>
        <v>5356</v>
      </c>
      <c r="BF154" s="1"/>
      <c r="BG154" s="79">
        <f t="shared" si="441"/>
        <v>5356</v>
      </c>
      <c r="BH154" s="1"/>
      <c r="BI154" s="79">
        <f t="shared" ref="BI154:BI163" si="485">BG154-BH154</f>
        <v>5356</v>
      </c>
      <c r="BJ154" s="1"/>
      <c r="BK154" s="79">
        <f t="shared" si="409"/>
        <v>5356</v>
      </c>
      <c r="BL154" s="1"/>
      <c r="BM154" s="79">
        <f t="shared" si="410"/>
        <v>5356</v>
      </c>
      <c r="BN154" s="1"/>
      <c r="BO154" s="79">
        <f t="shared" si="450"/>
        <v>5356</v>
      </c>
      <c r="BP154" s="1"/>
      <c r="BQ154" s="79">
        <f t="shared" si="475"/>
        <v>5356</v>
      </c>
      <c r="BR154" s="1"/>
      <c r="BS154" s="79">
        <f t="shared" si="413"/>
        <v>5356</v>
      </c>
      <c r="BT154" s="1"/>
      <c r="BU154" s="79">
        <f t="shared" si="451"/>
        <v>5356</v>
      </c>
      <c r="BV154" s="1"/>
      <c r="BW154" s="79">
        <f t="shared" si="476"/>
        <v>5356</v>
      </c>
      <c r="BX154" s="1"/>
      <c r="BY154" s="79">
        <f t="shared" si="457"/>
        <v>5356</v>
      </c>
      <c r="BZ154" s="1"/>
      <c r="CA154" s="79">
        <f t="shared" si="477"/>
        <v>5356</v>
      </c>
      <c r="CB154" s="1"/>
      <c r="CC154" s="79">
        <f t="shared" si="452"/>
        <v>5356</v>
      </c>
      <c r="CD154" s="1"/>
      <c r="CE154" s="79">
        <f t="shared" si="478"/>
        <v>5356</v>
      </c>
      <c r="CF154" s="1"/>
      <c r="CG154" s="79">
        <f t="shared" si="479"/>
        <v>5356</v>
      </c>
      <c r="CH154" s="1"/>
      <c r="CI154" s="79">
        <f t="shared" si="414"/>
        <v>5356</v>
      </c>
      <c r="CJ154" s="1"/>
      <c r="CK154" s="79">
        <f t="shared" si="480"/>
        <v>5356</v>
      </c>
      <c r="CL154" s="1"/>
      <c r="CM154" s="79">
        <f t="shared" si="458"/>
        <v>5356</v>
      </c>
      <c r="CN154" s="1"/>
      <c r="CO154" s="79">
        <f t="shared" si="481"/>
        <v>5356</v>
      </c>
      <c r="CP154" s="1"/>
      <c r="CQ154" s="79">
        <f t="shared" si="482"/>
        <v>5356</v>
      </c>
      <c r="CR154" s="1"/>
      <c r="CS154" s="79">
        <f t="shared" si="373"/>
        <v>5356</v>
      </c>
      <c r="CT154" s="79"/>
      <c r="CU154" s="79">
        <f t="shared" si="459"/>
        <v>5356</v>
      </c>
      <c r="CV154" s="79"/>
      <c r="CW154" s="79">
        <f t="shared" si="454"/>
        <v>5356</v>
      </c>
      <c r="CX154" s="79"/>
      <c r="CY154" s="91"/>
      <c r="CZ154" s="79">
        <f t="shared" si="460"/>
        <v>5356</v>
      </c>
      <c r="DA154" s="93"/>
      <c r="DB154" s="93">
        <f t="shared" si="461"/>
        <v>5356</v>
      </c>
      <c r="DC154" s="96"/>
      <c r="DD154" s="93">
        <f t="shared" si="437"/>
        <v>5356</v>
      </c>
      <c r="DE154" s="96"/>
      <c r="DF154" s="93">
        <f t="shared" si="278"/>
        <v>5356</v>
      </c>
      <c r="DG154" s="96"/>
      <c r="DH154" s="93">
        <f t="shared" si="293"/>
        <v>5356</v>
      </c>
      <c r="DI154" s="96"/>
      <c r="DJ154" s="93">
        <f t="shared" si="455"/>
        <v>5356</v>
      </c>
      <c r="DK154" s="93"/>
      <c r="DL154" s="93">
        <f t="shared" si="462"/>
        <v>5356</v>
      </c>
      <c r="DM154" s="100">
        <v>0.0</v>
      </c>
      <c r="DN154" s="93">
        <f t="shared" si="463"/>
        <v>5356</v>
      </c>
      <c r="DO154" s="100">
        <v>0.0</v>
      </c>
      <c r="DP154" s="93">
        <f t="shared" si="294"/>
        <v>5356</v>
      </c>
      <c r="DQ154" s="100">
        <v>0.0</v>
      </c>
      <c r="DR154" s="93">
        <f t="shared" si="377"/>
        <v>5356</v>
      </c>
      <c r="DS154" s="100">
        <v>0.0</v>
      </c>
      <c r="DT154" s="93">
        <f t="shared" si="438"/>
        <v>5356</v>
      </c>
      <c r="DU154" s="100">
        <v>0.0</v>
      </c>
      <c r="DV154" s="93">
        <f t="shared" si="61"/>
        <v>5356</v>
      </c>
    </row>
    <row r="155">
      <c r="A155" s="7" t="s">
        <v>945</v>
      </c>
      <c r="B155" s="7" t="s">
        <v>946</v>
      </c>
      <c r="C155" s="76" t="str">
        <f t="array" ref="C155">_xlfn.XLOOKUP(A155,'Emp Master'!A:A,'Emp Master'!F:F)</f>
        <v>#N/A</v>
      </c>
      <c r="D155" s="76" t="str">
        <f t="array" ref="D155">_xlfn.XLOOKUP(A155,'Emp Master'!A:A,'Emp Master'!D:D)</f>
        <v>#N/A</v>
      </c>
      <c r="E155" s="76" t="str">
        <f t="shared" si="326"/>
        <v>#REF!</v>
      </c>
      <c r="F155" s="76"/>
      <c r="G155" s="79"/>
      <c r="H155" s="80"/>
      <c r="I155" s="79">
        <f t="shared" si="439"/>
        <v>0</v>
      </c>
      <c r="J155" s="80"/>
      <c r="K155" s="79">
        <f t="shared" si="386"/>
        <v>0</v>
      </c>
      <c r="L155" s="142"/>
      <c r="M155" s="79">
        <f t="shared" si="447"/>
        <v>0</v>
      </c>
      <c r="N155" s="142"/>
      <c r="O155" s="79">
        <f t="shared" si="470"/>
        <v>0</v>
      </c>
      <c r="P155" s="142"/>
      <c r="Q155" s="79">
        <f t="shared" si="389"/>
        <v>0</v>
      </c>
      <c r="R155" s="1"/>
      <c r="S155" s="79">
        <f t="shared" si="433"/>
        <v>0</v>
      </c>
      <c r="T155" s="1"/>
      <c r="U155" s="79">
        <f t="shared" si="466"/>
        <v>0</v>
      </c>
      <c r="V155" s="1"/>
      <c r="W155" s="79">
        <f t="shared" si="471"/>
        <v>0</v>
      </c>
      <c r="X155" s="1"/>
      <c r="Y155" s="79">
        <f t="shared" si="483"/>
        <v>0</v>
      </c>
      <c r="Z155" s="1"/>
      <c r="AA155" s="79">
        <f>Y155-Z155+6000+6000</f>
        <v>12000</v>
      </c>
      <c r="AB155" s="1"/>
      <c r="AC155" s="79">
        <f t="shared" si="394"/>
        <v>12000</v>
      </c>
      <c r="AD155" s="106">
        <v>3000.0</v>
      </c>
      <c r="AE155" s="79">
        <f t="shared" si="465"/>
        <v>9000</v>
      </c>
      <c r="AF155" s="106">
        <v>3000.0</v>
      </c>
      <c r="AG155" s="79">
        <f t="shared" ref="AG155:AG160" si="486">AE155-AF155</f>
        <v>6000</v>
      </c>
      <c r="AH155" s="106"/>
      <c r="AI155" s="79">
        <f t="shared" si="469"/>
        <v>6000</v>
      </c>
      <c r="AJ155" s="106">
        <v>3000.0</v>
      </c>
      <c r="AK155" s="79">
        <f t="shared" si="467"/>
        <v>3000</v>
      </c>
      <c r="AL155" s="106">
        <v>3000.0</v>
      </c>
      <c r="AM155" s="79">
        <f t="shared" si="399"/>
        <v>0</v>
      </c>
      <c r="AN155" s="106">
        <v>0.0</v>
      </c>
      <c r="AO155" s="79">
        <f t="shared" si="400"/>
        <v>0</v>
      </c>
      <c r="AP155" s="106">
        <v>0.0</v>
      </c>
      <c r="AQ155" s="79">
        <f t="shared" si="449"/>
        <v>0</v>
      </c>
      <c r="AR155" s="106">
        <v>0.0</v>
      </c>
      <c r="AS155" s="79">
        <f>AQ155-AR155+12000</f>
        <v>12000</v>
      </c>
      <c r="AT155" s="106">
        <v>3000.0</v>
      </c>
      <c r="AU155" s="79">
        <f t="shared" si="403"/>
        <v>9000</v>
      </c>
      <c r="AV155" s="106">
        <v>3000.0</v>
      </c>
      <c r="AW155" s="79">
        <f t="shared" si="473"/>
        <v>6000</v>
      </c>
      <c r="AX155" s="106">
        <v>3000.0</v>
      </c>
      <c r="AY155" s="79">
        <f t="shared" si="484"/>
        <v>3000</v>
      </c>
      <c r="AZ155" s="106">
        <v>0.0</v>
      </c>
      <c r="BA155" s="79">
        <f t="shared" si="435"/>
        <v>3000</v>
      </c>
      <c r="BB155" s="106">
        <v>0.0</v>
      </c>
      <c r="BC155" s="79">
        <f t="shared" si="474"/>
        <v>3000</v>
      </c>
      <c r="BD155" s="106">
        <v>3000.0</v>
      </c>
      <c r="BE155" s="79">
        <f t="shared" si="407"/>
        <v>0</v>
      </c>
      <c r="BF155" s="106">
        <v>0.0</v>
      </c>
      <c r="BG155" s="79">
        <f t="shared" si="441"/>
        <v>0</v>
      </c>
      <c r="BH155" s="106">
        <v>0.0</v>
      </c>
      <c r="BI155" s="79">
        <f t="shared" si="485"/>
        <v>0</v>
      </c>
      <c r="BJ155" s="1"/>
      <c r="BK155" s="79">
        <f t="shared" si="409"/>
        <v>0</v>
      </c>
      <c r="BL155" s="1"/>
      <c r="BM155" s="79">
        <f t="shared" si="410"/>
        <v>0</v>
      </c>
      <c r="BN155" s="1"/>
      <c r="BO155" s="79">
        <f t="shared" si="450"/>
        <v>0</v>
      </c>
      <c r="BP155" s="1"/>
      <c r="BQ155" s="79">
        <f t="shared" si="475"/>
        <v>0</v>
      </c>
      <c r="BR155" s="1"/>
      <c r="BS155" s="79">
        <f t="shared" si="413"/>
        <v>0</v>
      </c>
      <c r="BT155" s="1"/>
      <c r="BU155" s="79">
        <f t="shared" si="451"/>
        <v>0</v>
      </c>
      <c r="BV155" s="1"/>
      <c r="BW155" s="79">
        <f t="shared" si="476"/>
        <v>0</v>
      </c>
      <c r="BX155" s="1"/>
      <c r="BY155" s="79">
        <f t="shared" si="457"/>
        <v>0</v>
      </c>
      <c r="BZ155" s="1"/>
      <c r="CA155" s="79">
        <f t="shared" si="477"/>
        <v>0</v>
      </c>
      <c r="CB155" s="1"/>
      <c r="CC155" s="79">
        <f t="shared" si="452"/>
        <v>0</v>
      </c>
      <c r="CD155" s="1"/>
      <c r="CE155" s="79">
        <f t="shared" si="478"/>
        <v>0</v>
      </c>
      <c r="CF155" s="1"/>
      <c r="CG155" s="79">
        <f t="shared" si="479"/>
        <v>0</v>
      </c>
      <c r="CH155" s="1"/>
      <c r="CI155" s="79">
        <f t="shared" si="414"/>
        <v>0</v>
      </c>
      <c r="CJ155" s="1"/>
      <c r="CK155" s="79">
        <f t="shared" si="480"/>
        <v>0</v>
      </c>
      <c r="CL155" s="1"/>
      <c r="CM155" s="79">
        <f t="shared" si="458"/>
        <v>0</v>
      </c>
      <c r="CN155" s="1"/>
      <c r="CO155" s="79">
        <f t="shared" si="481"/>
        <v>0</v>
      </c>
      <c r="CP155" s="1"/>
      <c r="CQ155" s="79">
        <f t="shared" si="482"/>
        <v>0</v>
      </c>
      <c r="CR155" s="1"/>
      <c r="CS155" s="79">
        <f t="shared" si="373"/>
        <v>0</v>
      </c>
      <c r="CT155" s="79"/>
      <c r="CU155" s="79">
        <f t="shared" si="459"/>
        <v>0</v>
      </c>
      <c r="CV155" s="79"/>
      <c r="CW155" s="79">
        <f t="shared" si="454"/>
        <v>0</v>
      </c>
      <c r="CX155" s="79"/>
      <c r="CY155" s="91"/>
      <c r="CZ155" s="79">
        <f t="shared" si="460"/>
        <v>0</v>
      </c>
      <c r="DA155" s="93"/>
      <c r="DB155" s="93">
        <f t="shared" si="461"/>
        <v>0</v>
      </c>
      <c r="DC155" s="96"/>
      <c r="DD155" s="93">
        <f t="shared" si="437"/>
        <v>0</v>
      </c>
      <c r="DE155" s="96"/>
      <c r="DF155" s="93">
        <f t="shared" si="278"/>
        <v>0</v>
      </c>
      <c r="DG155" s="96"/>
      <c r="DH155" s="93">
        <f t="shared" si="293"/>
        <v>0</v>
      </c>
      <c r="DI155" s="96"/>
      <c r="DJ155" s="93">
        <f t="shared" si="455"/>
        <v>0</v>
      </c>
      <c r="DK155" s="93"/>
      <c r="DL155" s="93">
        <f t="shared" si="462"/>
        <v>0</v>
      </c>
      <c r="DM155" s="100">
        <v>0.0</v>
      </c>
      <c r="DN155" s="93">
        <f t="shared" si="463"/>
        <v>0</v>
      </c>
      <c r="DO155" s="100">
        <v>0.0</v>
      </c>
      <c r="DP155" s="93">
        <f t="shared" si="294"/>
        <v>0</v>
      </c>
      <c r="DQ155" s="100">
        <v>0.0</v>
      </c>
      <c r="DR155" s="93">
        <f t="shared" si="377"/>
        <v>0</v>
      </c>
      <c r="DS155" s="100">
        <v>0.0</v>
      </c>
      <c r="DT155" s="93">
        <f t="shared" si="438"/>
        <v>0</v>
      </c>
      <c r="DU155" s="100">
        <v>0.0</v>
      </c>
      <c r="DV155" s="93">
        <f t="shared" si="61"/>
        <v>0</v>
      </c>
    </row>
    <row r="156">
      <c r="A156" s="7" t="s">
        <v>947</v>
      </c>
      <c r="B156" s="7" t="s">
        <v>948</v>
      </c>
      <c r="C156" s="76" t="str">
        <f t="array" ref="C156">_xlfn.XLOOKUP(A156,'Emp Master'!A:A,'Emp Master'!F:F)</f>
        <v>#N/A</v>
      </c>
      <c r="D156" s="76" t="str">
        <f t="array" ref="D156">_xlfn.XLOOKUP(A156,'Emp Master'!A:A,'Emp Master'!D:D)</f>
        <v>#N/A</v>
      </c>
      <c r="E156" s="76" t="str">
        <f t="shared" si="326"/>
        <v>#REF!</v>
      </c>
      <c r="F156" s="76"/>
      <c r="G156" s="79"/>
      <c r="H156" s="80"/>
      <c r="I156" s="79">
        <f t="shared" si="439"/>
        <v>0</v>
      </c>
      <c r="J156" s="80"/>
      <c r="K156" s="79">
        <f t="shared" si="386"/>
        <v>0</v>
      </c>
      <c r="L156" s="142"/>
      <c r="M156" s="79">
        <f t="shared" si="447"/>
        <v>0</v>
      </c>
      <c r="N156" s="142"/>
      <c r="O156" s="79">
        <f t="shared" si="470"/>
        <v>0</v>
      </c>
      <c r="P156" s="142"/>
      <c r="Q156" s="79">
        <f t="shared" si="389"/>
        <v>0</v>
      </c>
      <c r="R156" s="1"/>
      <c r="S156" s="79">
        <f t="shared" si="433"/>
        <v>0</v>
      </c>
      <c r="T156" s="1"/>
      <c r="U156" s="79">
        <f t="shared" si="466"/>
        <v>0</v>
      </c>
      <c r="V156" s="1"/>
      <c r="W156" s="79">
        <f t="shared" si="471"/>
        <v>0</v>
      </c>
      <c r="X156" s="1"/>
      <c r="Y156" s="79">
        <f t="shared" si="483"/>
        <v>0</v>
      </c>
      <c r="Z156" s="1"/>
      <c r="AA156" s="79">
        <f t="shared" ref="AA156:AA160" si="487">Y156-Z156</f>
        <v>0</v>
      </c>
      <c r="AB156" s="1"/>
      <c r="AC156" s="79">
        <f t="shared" si="394"/>
        <v>0</v>
      </c>
      <c r="AD156" s="1"/>
      <c r="AE156" s="79">
        <f t="shared" si="465"/>
        <v>0</v>
      </c>
      <c r="AF156" s="1"/>
      <c r="AG156" s="79">
        <f t="shared" si="486"/>
        <v>0</v>
      </c>
      <c r="AH156" s="1"/>
      <c r="AI156" s="79">
        <f t="shared" si="469"/>
        <v>0</v>
      </c>
      <c r="AJ156" s="1"/>
      <c r="AK156" s="79">
        <f t="shared" si="467"/>
        <v>0</v>
      </c>
      <c r="AL156" s="1"/>
      <c r="AM156" s="79">
        <f t="shared" si="399"/>
        <v>0</v>
      </c>
      <c r="AN156" s="1"/>
      <c r="AO156" s="79">
        <f t="shared" si="400"/>
        <v>0</v>
      </c>
      <c r="AP156" s="1"/>
      <c r="AQ156" s="79">
        <f t="shared" si="449"/>
        <v>0</v>
      </c>
      <c r="AR156" s="1"/>
      <c r="AS156" s="79">
        <f t="shared" ref="AS156:AS161" si="488">AQ156-AR156</f>
        <v>0</v>
      </c>
      <c r="AT156" s="1"/>
      <c r="AU156" s="79">
        <f t="shared" si="403"/>
        <v>0</v>
      </c>
      <c r="AV156" s="1"/>
      <c r="AW156" s="79">
        <f t="shared" si="473"/>
        <v>0</v>
      </c>
      <c r="AX156" s="1"/>
      <c r="AY156" s="79">
        <f t="shared" si="484"/>
        <v>0</v>
      </c>
      <c r="AZ156" s="1"/>
      <c r="BA156" s="79">
        <f t="shared" si="435"/>
        <v>0</v>
      </c>
      <c r="BB156" s="1"/>
      <c r="BC156" s="79">
        <f t="shared" si="474"/>
        <v>0</v>
      </c>
      <c r="BD156" s="1"/>
      <c r="BE156" s="79">
        <f t="shared" si="407"/>
        <v>0</v>
      </c>
      <c r="BF156" s="1"/>
      <c r="BG156" s="79">
        <f t="shared" si="441"/>
        <v>0</v>
      </c>
      <c r="BH156" s="1"/>
      <c r="BI156" s="79">
        <f t="shared" si="485"/>
        <v>0</v>
      </c>
      <c r="BJ156" s="1"/>
      <c r="BK156" s="79">
        <f t="shared" si="409"/>
        <v>0</v>
      </c>
      <c r="BL156" s="1"/>
      <c r="BM156" s="79">
        <f t="shared" si="410"/>
        <v>0</v>
      </c>
      <c r="BN156" s="1"/>
      <c r="BO156" s="79">
        <f t="shared" si="450"/>
        <v>0</v>
      </c>
      <c r="BP156" s="1"/>
      <c r="BQ156" s="79">
        <f t="shared" si="475"/>
        <v>0</v>
      </c>
      <c r="BR156" s="1"/>
      <c r="BS156" s="79">
        <f t="shared" si="413"/>
        <v>0</v>
      </c>
      <c r="BT156" s="1"/>
      <c r="BU156" s="79">
        <f t="shared" si="451"/>
        <v>0</v>
      </c>
      <c r="BV156" s="1"/>
      <c r="BW156" s="79">
        <f t="shared" si="476"/>
        <v>0</v>
      </c>
      <c r="BX156" s="1"/>
      <c r="BY156" s="79">
        <f t="shared" si="457"/>
        <v>0</v>
      </c>
      <c r="BZ156" s="1"/>
      <c r="CA156" s="79">
        <f t="shared" si="477"/>
        <v>0</v>
      </c>
      <c r="CB156" s="1"/>
      <c r="CC156" s="79">
        <f t="shared" si="452"/>
        <v>0</v>
      </c>
      <c r="CD156" s="1"/>
      <c r="CE156" s="79">
        <f t="shared" si="478"/>
        <v>0</v>
      </c>
      <c r="CF156" s="1"/>
      <c r="CG156" s="79">
        <f t="shared" si="479"/>
        <v>0</v>
      </c>
      <c r="CH156" s="1"/>
      <c r="CI156" s="79">
        <f t="shared" si="414"/>
        <v>0</v>
      </c>
      <c r="CJ156" s="1"/>
      <c r="CK156" s="79">
        <f t="shared" si="480"/>
        <v>0</v>
      </c>
      <c r="CL156" s="1"/>
      <c r="CM156" s="79">
        <f t="shared" si="458"/>
        <v>0</v>
      </c>
      <c r="CN156" s="1"/>
      <c r="CO156" s="79">
        <f t="shared" si="481"/>
        <v>0</v>
      </c>
      <c r="CP156" s="1"/>
      <c r="CQ156" s="79">
        <f t="shared" si="482"/>
        <v>0</v>
      </c>
      <c r="CR156" s="1"/>
      <c r="CS156" s="79">
        <f t="shared" si="373"/>
        <v>0</v>
      </c>
      <c r="CT156" s="79"/>
      <c r="CU156" s="79">
        <f t="shared" si="459"/>
        <v>0</v>
      </c>
      <c r="CV156" s="79"/>
      <c r="CW156" s="79">
        <f t="shared" si="454"/>
        <v>0</v>
      </c>
      <c r="CX156" s="79"/>
      <c r="CY156" s="91"/>
      <c r="CZ156" s="79">
        <f t="shared" si="460"/>
        <v>0</v>
      </c>
      <c r="DA156" s="93"/>
      <c r="DB156" s="93">
        <f t="shared" si="461"/>
        <v>0</v>
      </c>
      <c r="DC156" s="96"/>
      <c r="DD156" s="93">
        <f t="shared" si="437"/>
        <v>0</v>
      </c>
      <c r="DE156" s="96"/>
      <c r="DF156" s="93">
        <f t="shared" si="278"/>
        <v>0</v>
      </c>
      <c r="DG156" s="96"/>
      <c r="DH156" s="93">
        <f t="shared" si="293"/>
        <v>0</v>
      </c>
      <c r="DI156" s="96"/>
      <c r="DJ156" s="93">
        <f t="shared" si="455"/>
        <v>0</v>
      </c>
      <c r="DK156" s="93"/>
      <c r="DL156" s="93">
        <f t="shared" si="462"/>
        <v>0</v>
      </c>
      <c r="DM156" s="100">
        <v>0.0</v>
      </c>
      <c r="DN156" s="93">
        <f t="shared" si="463"/>
        <v>0</v>
      </c>
      <c r="DO156" s="100">
        <v>0.0</v>
      </c>
      <c r="DP156" s="93">
        <f t="shared" si="294"/>
        <v>0</v>
      </c>
      <c r="DQ156" s="100">
        <v>0.0</v>
      </c>
      <c r="DR156" s="93">
        <f t="shared" si="377"/>
        <v>0</v>
      </c>
      <c r="DS156" s="100">
        <v>0.0</v>
      </c>
      <c r="DT156" s="93">
        <f t="shared" si="438"/>
        <v>0</v>
      </c>
      <c r="DU156" s="100">
        <v>0.0</v>
      </c>
      <c r="DV156" s="93">
        <f t="shared" si="61"/>
        <v>0</v>
      </c>
    </row>
    <row r="157">
      <c r="A157" s="7" t="s">
        <v>476</v>
      </c>
      <c r="B157" s="7" t="s">
        <v>477</v>
      </c>
      <c r="C157" s="76" t="str">
        <f t="array" ref="C157">_xlfn.XLOOKUP(A157,'Emp Master'!A:A,'Emp Master'!F:F)</f>
        <v>DEL</v>
      </c>
      <c r="D157" s="76" t="str">
        <f t="array" ref="D157">_xlfn.XLOOKUP(A157,'Emp Master'!A:A,'Emp Master'!D:D)</f>
        <v>Office</v>
      </c>
      <c r="E157" s="76" t="str">
        <f t="shared" si="326"/>
        <v>#REF!</v>
      </c>
      <c r="F157" s="76"/>
      <c r="G157" s="79"/>
      <c r="H157" s="80"/>
      <c r="I157" s="79">
        <f t="shared" si="439"/>
        <v>0</v>
      </c>
      <c r="J157" s="80"/>
      <c r="K157" s="79">
        <f t="shared" si="386"/>
        <v>0</v>
      </c>
      <c r="L157" s="142"/>
      <c r="M157" s="79">
        <f t="shared" si="447"/>
        <v>0</v>
      </c>
      <c r="N157" s="142"/>
      <c r="O157" s="79">
        <f t="shared" si="470"/>
        <v>0</v>
      </c>
      <c r="P157" s="142"/>
      <c r="Q157" s="79">
        <f t="shared" si="389"/>
        <v>0</v>
      </c>
      <c r="R157" s="1"/>
      <c r="S157" s="79">
        <f t="shared" si="433"/>
        <v>0</v>
      </c>
      <c r="T157" s="1"/>
      <c r="U157" s="79">
        <f t="shared" si="466"/>
        <v>0</v>
      </c>
      <c r="V157" s="1"/>
      <c r="W157" s="79">
        <f t="shared" si="471"/>
        <v>0</v>
      </c>
      <c r="X157" s="1"/>
      <c r="Y157" s="79">
        <f t="shared" si="483"/>
        <v>0</v>
      </c>
      <c r="Z157" s="1"/>
      <c r="AA157" s="79">
        <f t="shared" si="487"/>
        <v>0</v>
      </c>
      <c r="AB157" s="1"/>
      <c r="AC157" s="79">
        <f t="shared" si="394"/>
        <v>0</v>
      </c>
      <c r="AD157" s="1"/>
      <c r="AE157" s="79">
        <f t="shared" si="465"/>
        <v>0</v>
      </c>
      <c r="AF157" s="1"/>
      <c r="AG157" s="79">
        <f t="shared" si="486"/>
        <v>0</v>
      </c>
      <c r="AH157" s="1"/>
      <c r="AI157" s="79">
        <f t="shared" si="469"/>
        <v>0</v>
      </c>
      <c r="AJ157" s="1"/>
      <c r="AK157" s="79">
        <f t="shared" si="467"/>
        <v>0</v>
      </c>
      <c r="AL157" s="1"/>
      <c r="AM157" s="79">
        <f t="shared" si="399"/>
        <v>0</v>
      </c>
      <c r="AN157" s="1"/>
      <c r="AO157" s="79">
        <f t="shared" si="400"/>
        <v>0</v>
      </c>
      <c r="AP157" s="1"/>
      <c r="AQ157" s="79">
        <f t="shared" si="449"/>
        <v>0</v>
      </c>
      <c r="AR157" s="1"/>
      <c r="AS157" s="79">
        <f t="shared" si="488"/>
        <v>0</v>
      </c>
      <c r="AT157" s="1"/>
      <c r="AU157" s="79">
        <f t="shared" si="403"/>
        <v>0</v>
      </c>
      <c r="AV157" s="1"/>
      <c r="AW157" s="79">
        <f t="shared" si="473"/>
        <v>0</v>
      </c>
      <c r="AX157" s="1"/>
      <c r="AY157" s="79">
        <f t="shared" si="484"/>
        <v>0</v>
      </c>
      <c r="AZ157" s="1"/>
      <c r="BA157" s="79">
        <f t="shared" si="435"/>
        <v>0</v>
      </c>
      <c r="BB157" s="1"/>
      <c r="BC157" s="79">
        <f t="shared" si="474"/>
        <v>0</v>
      </c>
      <c r="BD157" s="1"/>
      <c r="BE157" s="79">
        <f t="shared" si="407"/>
        <v>0</v>
      </c>
      <c r="BF157" s="1"/>
      <c r="BG157" s="79">
        <f t="shared" si="441"/>
        <v>0</v>
      </c>
      <c r="BH157" s="1"/>
      <c r="BI157" s="79">
        <f t="shared" si="485"/>
        <v>0</v>
      </c>
      <c r="BJ157" s="1"/>
      <c r="BK157" s="79">
        <f t="shared" si="409"/>
        <v>0</v>
      </c>
      <c r="BL157" s="1"/>
      <c r="BM157" s="79">
        <f t="shared" si="410"/>
        <v>0</v>
      </c>
      <c r="BN157" s="1"/>
      <c r="BO157" s="79">
        <f t="shared" si="450"/>
        <v>0</v>
      </c>
      <c r="BP157" s="1"/>
      <c r="BQ157" s="79">
        <f t="shared" si="475"/>
        <v>0</v>
      </c>
      <c r="BR157" s="1"/>
      <c r="BS157" s="79">
        <f t="shared" si="413"/>
        <v>0</v>
      </c>
      <c r="BT157" s="1"/>
      <c r="BU157" s="79">
        <f t="shared" si="451"/>
        <v>0</v>
      </c>
      <c r="BV157" s="1"/>
      <c r="BW157" s="79">
        <f t="shared" si="476"/>
        <v>0</v>
      </c>
      <c r="BX157" s="1"/>
      <c r="BY157" s="79">
        <f t="shared" si="457"/>
        <v>0</v>
      </c>
      <c r="BZ157" s="1"/>
      <c r="CA157" s="79">
        <f t="shared" si="477"/>
        <v>0</v>
      </c>
      <c r="CB157" s="1"/>
      <c r="CC157" s="79">
        <f t="shared" si="452"/>
        <v>0</v>
      </c>
      <c r="CD157" s="1"/>
      <c r="CE157" s="79">
        <f t="shared" si="478"/>
        <v>0</v>
      </c>
      <c r="CF157" s="1"/>
      <c r="CG157" s="79">
        <f t="shared" si="479"/>
        <v>0</v>
      </c>
      <c r="CH157" s="1"/>
      <c r="CI157" s="79">
        <f t="shared" si="414"/>
        <v>0</v>
      </c>
      <c r="CJ157" s="1"/>
      <c r="CK157" s="79">
        <f t="shared" si="480"/>
        <v>0</v>
      </c>
      <c r="CL157" s="1"/>
      <c r="CM157" s="79">
        <f t="shared" si="458"/>
        <v>0</v>
      </c>
      <c r="CN157" s="1"/>
      <c r="CO157" s="79">
        <f t="shared" si="481"/>
        <v>0</v>
      </c>
      <c r="CP157" s="1"/>
      <c r="CQ157" s="79">
        <f t="shared" si="482"/>
        <v>0</v>
      </c>
      <c r="CR157" s="1"/>
      <c r="CS157" s="79">
        <f t="shared" si="373"/>
        <v>0</v>
      </c>
      <c r="CT157" s="79"/>
      <c r="CU157" s="79">
        <f t="shared" si="459"/>
        <v>0</v>
      </c>
      <c r="CV157" s="79"/>
      <c r="CW157" s="79">
        <f t="shared" si="454"/>
        <v>0</v>
      </c>
      <c r="CX157" s="79"/>
      <c r="CY157" s="91"/>
      <c r="CZ157" s="79">
        <f t="shared" si="460"/>
        <v>0</v>
      </c>
      <c r="DA157" s="93"/>
      <c r="DB157" s="93">
        <f t="shared" si="461"/>
        <v>0</v>
      </c>
      <c r="DC157" s="96"/>
      <c r="DD157" s="93">
        <f t="shared" si="437"/>
        <v>0</v>
      </c>
      <c r="DE157" s="96"/>
      <c r="DF157" s="93">
        <f t="shared" si="278"/>
        <v>0</v>
      </c>
      <c r="DG157" s="96"/>
      <c r="DH157" s="93">
        <f t="shared" si="293"/>
        <v>0</v>
      </c>
      <c r="DI157" s="96"/>
      <c r="DJ157" s="93">
        <f t="shared" si="455"/>
        <v>0</v>
      </c>
      <c r="DK157" s="93"/>
      <c r="DL157" s="93">
        <f t="shared" si="462"/>
        <v>0</v>
      </c>
      <c r="DM157" s="100">
        <v>0.0</v>
      </c>
      <c r="DN157" s="93">
        <f t="shared" si="463"/>
        <v>0</v>
      </c>
      <c r="DO157" s="100">
        <v>0.0</v>
      </c>
      <c r="DP157" s="93">
        <f t="shared" si="294"/>
        <v>0</v>
      </c>
      <c r="DQ157" s="100">
        <v>0.0</v>
      </c>
      <c r="DR157" s="93">
        <f t="shared" si="377"/>
        <v>0</v>
      </c>
      <c r="DS157" s="100">
        <v>0.0</v>
      </c>
      <c r="DT157" s="93">
        <f t="shared" si="438"/>
        <v>0</v>
      </c>
      <c r="DU157" s="100">
        <v>0.0</v>
      </c>
      <c r="DV157" s="93">
        <f t="shared" si="61"/>
        <v>0</v>
      </c>
    </row>
    <row r="158">
      <c r="A158" s="7" t="s">
        <v>949</v>
      </c>
      <c r="B158" s="7" t="s">
        <v>950</v>
      </c>
      <c r="C158" s="76" t="str">
        <f t="array" ref="C158">_xlfn.XLOOKUP(A158,'Emp Master'!A:A,'Emp Master'!F:F)</f>
        <v>#N/A</v>
      </c>
      <c r="D158" s="76" t="str">
        <f t="array" ref="D158">_xlfn.XLOOKUP(A158,'Emp Master'!A:A,'Emp Master'!D:D)</f>
        <v>#N/A</v>
      </c>
      <c r="E158" s="76" t="str">
        <f t="shared" si="326"/>
        <v>#REF!</v>
      </c>
      <c r="F158" s="76"/>
      <c r="G158" s="79"/>
      <c r="H158" s="80"/>
      <c r="I158" s="79">
        <f t="shared" si="439"/>
        <v>0</v>
      </c>
      <c r="J158" s="80"/>
      <c r="K158" s="79">
        <f t="shared" si="386"/>
        <v>0</v>
      </c>
      <c r="L158" s="142"/>
      <c r="M158" s="79">
        <f t="shared" si="447"/>
        <v>0</v>
      </c>
      <c r="N158" s="142"/>
      <c r="O158" s="79">
        <f t="shared" si="470"/>
        <v>0</v>
      </c>
      <c r="P158" s="142"/>
      <c r="Q158" s="79">
        <f t="shared" si="389"/>
        <v>0</v>
      </c>
      <c r="R158" s="1"/>
      <c r="S158" s="79">
        <f t="shared" si="433"/>
        <v>0</v>
      </c>
      <c r="T158" s="1"/>
      <c r="U158" s="79">
        <f t="shared" si="466"/>
        <v>0</v>
      </c>
      <c r="V158" s="1"/>
      <c r="W158" s="79">
        <f t="shared" si="471"/>
        <v>0</v>
      </c>
      <c r="X158" s="1"/>
      <c r="Y158" s="79">
        <f t="shared" si="483"/>
        <v>0</v>
      </c>
      <c r="Z158" s="1"/>
      <c r="AA158" s="79">
        <f t="shared" si="487"/>
        <v>0</v>
      </c>
      <c r="AB158" s="1"/>
      <c r="AC158" s="79">
        <f t="shared" si="394"/>
        <v>0</v>
      </c>
      <c r="AD158" s="1"/>
      <c r="AE158" s="79">
        <f t="shared" si="465"/>
        <v>0</v>
      </c>
      <c r="AF158" s="1"/>
      <c r="AG158" s="79">
        <f t="shared" si="486"/>
        <v>0</v>
      </c>
      <c r="AH158" s="1"/>
      <c r="AI158" s="79">
        <f t="shared" si="469"/>
        <v>0</v>
      </c>
      <c r="AJ158" s="1"/>
      <c r="AK158" s="79">
        <f t="shared" si="467"/>
        <v>0</v>
      </c>
      <c r="AL158" s="1"/>
      <c r="AM158" s="79">
        <f t="shared" si="399"/>
        <v>0</v>
      </c>
      <c r="AN158" s="1"/>
      <c r="AO158" s="79">
        <f t="shared" si="400"/>
        <v>0</v>
      </c>
      <c r="AP158" s="1"/>
      <c r="AQ158" s="79">
        <f t="shared" si="449"/>
        <v>0</v>
      </c>
      <c r="AR158" s="1"/>
      <c r="AS158" s="79">
        <f t="shared" si="488"/>
        <v>0</v>
      </c>
      <c r="AT158" s="1"/>
      <c r="AU158" s="79">
        <f t="shared" si="403"/>
        <v>0</v>
      </c>
      <c r="AV158" s="1"/>
      <c r="AW158" s="79">
        <f t="shared" si="473"/>
        <v>0</v>
      </c>
      <c r="AX158" s="1"/>
      <c r="AY158" s="79">
        <f t="shared" si="484"/>
        <v>0</v>
      </c>
      <c r="AZ158" s="1"/>
      <c r="BA158" s="79">
        <f t="shared" si="435"/>
        <v>0</v>
      </c>
      <c r="BB158" s="1"/>
      <c r="BC158" s="79">
        <f t="shared" si="474"/>
        <v>0</v>
      </c>
      <c r="BD158" s="1"/>
      <c r="BE158" s="79">
        <f t="shared" si="407"/>
        <v>0</v>
      </c>
      <c r="BF158" s="1"/>
      <c r="BG158" s="79">
        <f t="shared" si="441"/>
        <v>0</v>
      </c>
      <c r="BH158" s="1"/>
      <c r="BI158" s="79">
        <f t="shared" si="485"/>
        <v>0</v>
      </c>
      <c r="BJ158" s="1"/>
      <c r="BK158" s="79">
        <f t="shared" si="409"/>
        <v>0</v>
      </c>
      <c r="BL158" s="1"/>
      <c r="BM158" s="79">
        <f t="shared" si="410"/>
        <v>0</v>
      </c>
      <c r="BN158" s="1"/>
      <c r="BO158" s="79">
        <f t="shared" si="450"/>
        <v>0</v>
      </c>
      <c r="BP158" s="1"/>
      <c r="BQ158" s="79">
        <f t="shared" si="475"/>
        <v>0</v>
      </c>
      <c r="BR158" s="1"/>
      <c r="BS158" s="79">
        <f t="shared" si="413"/>
        <v>0</v>
      </c>
      <c r="BT158" s="1"/>
      <c r="BU158" s="79">
        <f t="shared" si="451"/>
        <v>0</v>
      </c>
      <c r="BV158" s="1"/>
      <c r="BW158" s="79">
        <f t="shared" si="476"/>
        <v>0</v>
      </c>
      <c r="BX158" s="1"/>
      <c r="BY158" s="79">
        <f t="shared" si="457"/>
        <v>0</v>
      </c>
      <c r="BZ158" s="1"/>
      <c r="CA158" s="79">
        <f t="shared" si="477"/>
        <v>0</v>
      </c>
      <c r="CB158" s="1"/>
      <c r="CC158" s="79">
        <f t="shared" si="452"/>
        <v>0</v>
      </c>
      <c r="CD158" s="1"/>
      <c r="CE158" s="79">
        <f t="shared" si="478"/>
        <v>0</v>
      </c>
      <c r="CF158" s="1"/>
      <c r="CG158" s="79">
        <f t="shared" si="479"/>
        <v>0</v>
      </c>
      <c r="CH158" s="1"/>
      <c r="CI158" s="79">
        <f t="shared" si="414"/>
        <v>0</v>
      </c>
      <c r="CJ158" s="1"/>
      <c r="CK158" s="79">
        <f t="shared" si="480"/>
        <v>0</v>
      </c>
      <c r="CL158" s="1"/>
      <c r="CM158" s="79">
        <f t="shared" si="458"/>
        <v>0</v>
      </c>
      <c r="CN158" s="1"/>
      <c r="CO158" s="79">
        <f t="shared" si="481"/>
        <v>0</v>
      </c>
      <c r="CP158" s="1"/>
      <c r="CQ158" s="79">
        <f t="shared" si="482"/>
        <v>0</v>
      </c>
      <c r="CR158" s="1"/>
      <c r="CS158" s="79">
        <f t="shared" si="373"/>
        <v>0</v>
      </c>
      <c r="CT158" s="79"/>
      <c r="CU158" s="79">
        <f t="shared" si="459"/>
        <v>0</v>
      </c>
      <c r="CV158" s="79"/>
      <c r="CW158" s="79">
        <f t="shared" si="454"/>
        <v>0</v>
      </c>
      <c r="CX158" s="79"/>
      <c r="CY158" s="91"/>
      <c r="CZ158" s="79">
        <f t="shared" si="460"/>
        <v>0</v>
      </c>
      <c r="DA158" s="93"/>
      <c r="DB158" s="93">
        <f t="shared" si="461"/>
        <v>0</v>
      </c>
      <c r="DC158" s="96"/>
      <c r="DD158" s="93">
        <f t="shared" si="437"/>
        <v>0</v>
      </c>
      <c r="DE158" s="96"/>
      <c r="DF158" s="93">
        <f t="shared" si="278"/>
        <v>0</v>
      </c>
      <c r="DG158" s="96"/>
      <c r="DH158" s="93">
        <f t="shared" si="293"/>
        <v>0</v>
      </c>
      <c r="DI158" s="96"/>
      <c r="DJ158" s="93">
        <f t="shared" si="455"/>
        <v>0</v>
      </c>
      <c r="DK158" s="93"/>
      <c r="DL158" s="93">
        <f t="shared" si="462"/>
        <v>0</v>
      </c>
      <c r="DM158" s="100">
        <v>0.0</v>
      </c>
      <c r="DN158" s="93">
        <f t="shared" si="463"/>
        <v>0</v>
      </c>
      <c r="DO158" s="100">
        <v>0.0</v>
      </c>
      <c r="DP158" s="93">
        <f t="shared" si="294"/>
        <v>0</v>
      </c>
      <c r="DQ158" s="100">
        <v>0.0</v>
      </c>
      <c r="DR158" s="93">
        <f t="shared" si="377"/>
        <v>0</v>
      </c>
      <c r="DS158" s="100">
        <v>0.0</v>
      </c>
      <c r="DT158" s="93">
        <f t="shared" si="438"/>
        <v>0</v>
      </c>
      <c r="DU158" s="100">
        <v>0.0</v>
      </c>
      <c r="DV158" s="93">
        <f t="shared" si="61"/>
        <v>0</v>
      </c>
    </row>
    <row r="159">
      <c r="A159" s="7" t="s">
        <v>483</v>
      </c>
      <c r="B159" s="7" t="s">
        <v>951</v>
      </c>
      <c r="C159" s="76" t="str">
        <f t="array" ref="C159">_xlfn.XLOOKUP(A159,'Emp Master'!A:A,'Emp Master'!F:F)</f>
        <v>SNP</v>
      </c>
      <c r="D159" s="76" t="str">
        <f t="array" ref="D159">_xlfn.XLOOKUP(A159,'Emp Master'!A:A,'Emp Master'!D:D)</f>
        <v>MIS</v>
      </c>
      <c r="E159" s="76" t="str">
        <f t="shared" si="326"/>
        <v>#REF!</v>
      </c>
      <c r="F159" s="76">
        <v>500.0</v>
      </c>
      <c r="G159" s="79">
        <v>7500.0</v>
      </c>
      <c r="H159" s="126">
        <v>500.0</v>
      </c>
      <c r="I159" s="79">
        <f t="shared" si="439"/>
        <v>7000</v>
      </c>
      <c r="J159" s="126">
        <v>0.0</v>
      </c>
      <c r="K159" s="79">
        <f t="shared" si="386"/>
        <v>7000</v>
      </c>
      <c r="L159" s="126">
        <v>500.0</v>
      </c>
      <c r="M159" s="79">
        <f t="shared" si="447"/>
        <v>6500</v>
      </c>
      <c r="N159" s="126">
        <v>500.0</v>
      </c>
      <c r="O159" s="79">
        <f t="shared" si="470"/>
        <v>6000</v>
      </c>
      <c r="P159" s="126">
        <v>500.0</v>
      </c>
      <c r="Q159" s="79">
        <f t="shared" si="389"/>
        <v>5500</v>
      </c>
      <c r="R159" s="106">
        <v>500.0</v>
      </c>
      <c r="S159" s="79">
        <f t="shared" si="433"/>
        <v>5000</v>
      </c>
      <c r="T159" s="106">
        <v>500.0</v>
      </c>
      <c r="U159" s="79">
        <f t="shared" si="466"/>
        <v>4500</v>
      </c>
      <c r="V159" s="106">
        <v>500.0</v>
      </c>
      <c r="W159" s="79">
        <f t="shared" si="471"/>
        <v>4000</v>
      </c>
      <c r="X159" s="106">
        <v>500.0</v>
      </c>
      <c r="Y159" s="79">
        <f>W159-X159+25000</f>
        <v>28500</v>
      </c>
      <c r="Z159" s="106">
        <v>1000.0</v>
      </c>
      <c r="AA159" s="79">
        <f t="shared" si="487"/>
        <v>27500</v>
      </c>
      <c r="AB159" s="106">
        <v>1000.0</v>
      </c>
      <c r="AC159" s="79">
        <f t="shared" si="394"/>
        <v>26500</v>
      </c>
      <c r="AD159" s="106">
        <v>1000.0</v>
      </c>
      <c r="AE159" s="79">
        <f t="shared" si="465"/>
        <v>25500</v>
      </c>
      <c r="AF159" s="106">
        <v>1000.0</v>
      </c>
      <c r="AG159" s="79">
        <f t="shared" si="486"/>
        <v>24500</v>
      </c>
      <c r="AH159" s="106">
        <v>1000.0</v>
      </c>
      <c r="AI159" s="79">
        <f t="shared" si="469"/>
        <v>23500</v>
      </c>
      <c r="AJ159" s="106">
        <v>1000.0</v>
      </c>
      <c r="AK159" s="79">
        <f t="shared" si="467"/>
        <v>22500</v>
      </c>
      <c r="AL159" s="106">
        <v>5000.0</v>
      </c>
      <c r="AM159" s="79">
        <f t="shared" si="399"/>
        <v>17500</v>
      </c>
      <c r="AN159" s="106">
        <v>5000.0</v>
      </c>
      <c r="AO159" s="79">
        <f t="shared" si="400"/>
        <v>12500</v>
      </c>
      <c r="AP159" s="106">
        <v>2000.0</v>
      </c>
      <c r="AQ159" s="79">
        <f t="shared" si="449"/>
        <v>10500</v>
      </c>
      <c r="AR159" s="106">
        <v>2500.0</v>
      </c>
      <c r="AS159" s="79">
        <f t="shared" si="488"/>
        <v>8000</v>
      </c>
      <c r="AT159" s="106">
        <v>4000.0</v>
      </c>
      <c r="AU159" s="79">
        <f t="shared" si="403"/>
        <v>4000</v>
      </c>
      <c r="AV159" s="106">
        <v>4000.0</v>
      </c>
      <c r="AW159" s="79">
        <f>AU159-AV159+25000</f>
        <v>25000</v>
      </c>
      <c r="AX159" s="106">
        <v>5000.0</v>
      </c>
      <c r="AY159" s="79">
        <f t="shared" si="484"/>
        <v>20000</v>
      </c>
      <c r="AZ159" s="106">
        <v>5000.0</v>
      </c>
      <c r="BA159" s="79">
        <f t="shared" si="435"/>
        <v>15000</v>
      </c>
      <c r="BB159" s="106">
        <v>5000.0</v>
      </c>
      <c r="BC159" s="79">
        <f t="shared" si="474"/>
        <v>10000</v>
      </c>
      <c r="BD159" s="106">
        <v>5000.0</v>
      </c>
      <c r="BE159" s="79">
        <f t="shared" si="407"/>
        <v>5000</v>
      </c>
      <c r="BF159" s="106">
        <v>5000.0</v>
      </c>
      <c r="BG159" s="79">
        <f t="shared" si="441"/>
        <v>0</v>
      </c>
      <c r="BH159" s="1"/>
      <c r="BI159" s="79">
        <f t="shared" si="485"/>
        <v>0</v>
      </c>
      <c r="BJ159" s="1"/>
      <c r="BK159" s="79">
        <f t="shared" si="409"/>
        <v>0</v>
      </c>
      <c r="BL159" s="1"/>
      <c r="BM159" s="79">
        <f t="shared" si="410"/>
        <v>0</v>
      </c>
      <c r="BN159" s="1"/>
      <c r="BO159" s="79">
        <f t="shared" si="450"/>
        <v>0</v>
      </c>
      <c r="BP159" s="1"/>
      <c r="BQ159" s="79">
        <f t="shared" si="475"/>
        <v>0</v>
      </c>
      <c r="BR159" s="1"/>
      <c r="BS159" s="79">
        <f t="shared" si="413"/>
        <v>0</v>
      </c>
      <c r="BT159" s="1"/>
      <c r="BU159" s="79">
        <f t="shared" si="451"/>
        <v>0</v>
      </c>
      <c r="BV159" s="1"/>
      <c r="BW159" s="79">
        <f t="shared" si="476"/>
        <v>0</v>
      </c>
      <c r="BX159" s="1"/>
      <c r="BY159" s="79">
        <f t="shared" si="457"/>
        <v>0</v>
      </c>
      <c r="BZ159" s="1"/>
      <c r="CA159" s="79">
        <f t="shared" si="477"/>
        <v>0</v>
      </c>
      <c r="CB159" s="1"/>
      <c r="CC159" s="79">
        <f t="shared" si="452"/>
        <v>0</v>
      </c>
      <c r="CD159" s="1"/>
      <c r="CE159" s="79">
        <f t="shared" si="478"/>
        <v>0</v>
      </c>
      <c r="CF159" s="1"/>
      <c r="CG159" s="79">
        <f>20000+(CE159-CF159)</f>
        <v>20000</v>
      </c>
      <c r="CH159" s="106">
        <v>5000.0</v>
      </c>
      <c r="CI159" s="79">
        <f t="shared" si="414"/>
        <v>15000</v>
      </c>
      <c r="CJ159" s="106">
        <v>0.0</v>
      </c>
      <c r="CK159" s="79">
        <f t="shared" si="480"/>
        <v>15000</v>
      </c>
      <c r="CL159" s="106"/>
      <c r="CM159" s="79">
        <f t="shared" si="458"/>
        <v>15000</v>
      </c>
      <c r="CN159" s="106">
        <v>5000.0</v>
      </c>
      <c r="CO159" s="79">
        <f t="shared" si="481"/>
        <v>10000</v>
      </c>
      <c r="CP159" s="106">
        <v>5000.0</v>
      </c>
      <c r="CQ159" s="79">
        <f t="shared" si="482"/>
        <v>5000</v>
      </c>
      <c r="CR159" s="106">
        <v>5000.0</v>
      </c>
      <c r="CS159" s="79">
        <f t="shared" si="373"/>
        <v>0</v>
      </c>
      <c r="CT159" s="79"/>
      <c r="CU159" s="79">
        <f t="shared" si="459"/>
        <v>0</v>
      </c>
      <c r="CV159" s="79"/>
      <c r="CW159" s="79">
        <f t="shared" si="454"/>
        <v>0</v>
      </c>
      <c r="CX159" s="79"/>
      <c r="CY159" s="91"/>
      <c r="CZ159" s="79">
        <f t="shared" si="460"/>
        <v>0</v>
      </c>
      <c r="DA159" s="93"/>
      <c r="DB159" s="93">
        <f t="shared" si="461"/>
        <v>0</v>
      </c>
      <c r="DC159" s="96"/>
      <c r="DD159" s="93">
        <f t="shared" si="437"/>
        <v>0</v>
      </c>
      <c r="DE159" s="96"/>
      <c r="DF159" s="93">
        <f t="shared" si="278"/>
        <v>0</v>
      </c>
      <c r="DG159" s="96"/>
      <c r="DH159" s="93">
        <f t="shared" si="293"/>
        <v>0</v>
      </c>
      <c r="DI159" s="96"/>
      <c r="DJ159" s="93">
        <f t="shared" si="455"/>
        <v>0</v>
      </c>
      <c r="DK159" s="93"/>
      <c r="DL159" s="93">
        <f t="shared" si="462"/>
        <v>0</v>
      </c>
      <c r="DM159" s="100">
        <v>0.0</v>
      </c>
      <c r="DN159" s="93">
        <f t="shared" si="463"/>
        <v>0</v>
      </c>
      <c r="DO159" s="100">
        <v>0.0</v>
      </c>
      <c r="DP159" s="93">
        <f t="shared" si="294"/>
        <v>0</v>
      </c>
      <c r="DQ159" s="100">
        <v>0.0</v>
      </c>
      <c r="DR159" s="93">
        <f t="shared" si="377"/>
        <v>0</v>
      </c>
      <c r="DS159" s="100">
        <v>0.0</v>
      </c>
      <c r="DT159" s="93">
        <f t="shared" si="438"/>
        <v>0</v>
      </c>
      <c r="DU159" s="100">
        <v>0.0</v>
      </c>
      <c r="DV159" s="93">
        <f t="shared" si="61"/>
        <v>0</v>
      </c>
    </row>
    <row r="160">
      <c r="A160" s="7" t="s">
        <v>488</v>
      </c>
      <c r="B160" s="7" t="s">
        <v>952</v>
      </c>
      <c r="C160" s="76" t="str">
        <f t="array" ref="C160">_xlfn.XLOOKUP(A160,'Emp Master'!A:A,'Emp Master'!F:F)</f>
        <v>SNP</v>
      </c>
      <c r="D160" s="76" t="str">
        <f t="array" ref="D160">_xlfn.XLOOKUP(A160,'Emp Master'!A:A,'Emp Master'!D:D)</f>
        <v>Cutting</v>
      </c>
      <c r="E160" s="76" t="str">
        <f t="shared" si="326"/>
        <v>#REF!</v>
      </c>
      <c r="F160" s="76"/>
      <c r="G160" s="79">
        <v>8000.0</v>
      </c>
      <c r="H160" s="80"/>
      <c r="I160" s="79">
        <f t="shared" si="439"/>
        <v>8000</v>
      </c>
      <c r="J160" s="126">
        <v>2000.0</v>
      </c>
      <c r="K160" s="79">
        <f t="shared" si="386"/>
        <v>6000</v>
      </c>
      <c r="L160" s="126">
        <v>2000.0</v>
      </c>
      <c r="M160" s="79">
        <f t="shared" si="447"/>
        <v>4000</v>
      </c>
      <c r="N160" s="126">
        <v>2000.0</v>
      </c>
      <c r="O160" s="79">
        <f t="shared" si="470"/>
        <v>2000</v>
      </c>
      <c r="P160" s="126">
        <v>2000.0</v>
      </c>
      <c r="Q160" s="79">
        <f t="shared" si="389"/>
        <v>0</v>
      </c>
      <c r="R160" s="1"/>
      <c r="S160" s="79">
        <f t="shared" si="433"/>
        <v>0</v>
      </c>
      <c r="T160" s="1"/>
      <c r="U160" s="79">
        <f t="shared" si="466"/>
        <v>0</v>
      </c>
      <c r="V160" s="1"/>
      <c r="W160" s="79">
        <f t="shared" si="471"/>
        <v>0</v>
      </c>
      <c r="X160" s="1"/>
      <c r="Y160" s="79">
        <f>W160-X160</f>
        <v>0</v>
      </c>
      <c r="Z160" s="1"/>
      <c r="AA160" s="79">
        <f t="shared" si="487"/>
        <v>0</v>
      </c>
      <c r="AB160" s="1"/>
      <c r="AC160" s="79">
        <f t="shared" si="394"/>
        <v>0</v>
      </c>
      <c r="AD160" s="1"/>
      <c r="AE160" s="79">
        <f t="shared" si="465"/>
        <v>0</v>
      </c>
      <c r="AF160" s="1"/>
      <c r="AG160" s="79">
        <f t="shared" si="486"/>
        <v>0</v>
      </c>
      <c r="AH160" s="1"/>
      <c r="AI160" s="79">
        <f t="shared" si="469"/>
        <v>0</v>
      </c>
      <c r="AJ160" s="1"/>
      <c r="AK160" s="79">
        <f t="shared" si="467"/>
        <v>0</v>
      </c>
      <c r="AL160" s="1"/>
      <c r="AM160" s="79">
        <f t="shared" si="399"/>
        <v>0</v>
      </c>
      <c r="AN160" s="1"/>
      <c r="AO160" s="79">
        <f t="shared" si="400"/>
        <v>0</v>
      </c>
      <c r="AP160" s="1"/>
      <c r="AQ160" s="79">
        <f t="shared" si="449"/>
        <v>0</v>
      </c>
      <c r="AR160" s="1"/>
      <c r="AS160" s="79">
        <f t="shared" si="488"/>
        <v>0</v>
      </c>
      <c r="AT160" s="1"/>
      <c r="AU160" s="79">
        <f>AS160-AT160+12000</f>
        <v>12000</v>
      </c>
      <c r="AV160" s="106">
        <v>3000.0</v>
      </c>
      <c r="AW160" s="79">
        <f t="shared" ref="AW160:AW166" si="489">AU160-AV160</f>
        <v>9000</v>
      </c>
      <c r="AX160" s="106">
        <v>3000.0</v>
      </c>
      <c r="AY160" s="79">
        <f t="shared" si="484"/>
        <v>6000</v>
      </c>
      <c r="AZ160" s="106">
        <v>3000.0</v>
      </c>
      <c r="BA160" s="79">
        <f t="shared" si="435"/>
        <v>3000</v>
      </c>
      <c r="BB160" s="106">
        <v>3000.0</v>
      </c>
      <c r="BC160" s="79">
        <f t="shared" si="474"/>
        <v>0</v>
      </c>
      <c r="BD160" s="1"/>
      <c r="BE160" s="79">
        <f t="shared" si="407"/>
        <v>0</v>
      </c>
      <c r="BF160" s="1"/>
      <c r="BG160" s="79">
        <f t="shared" si="441"/>
        <v>0</v>
      </c>
      <c r="BH160" s="1"/>
      <c r="BI160" s="79">
        <f t="shared" si="485"/>
        <v>0</v>
      </c>
      <c r="BJ160" s="1"/>
      <c r="BK160" s="79">
        <f t="shared" si="409"/>
        <v>0</v>
      </c>
      <c r="BL160" s="1"/>
      <c r="BM160" s="79">
        <f t="shared" si="410"/>
        <v>0</v>
      </c>
      <c r="BN160" s="1"/>
      <c r="BO160" s="79">
        <f>BM160-BN160+7500</f>
        <v>7500</v>
      </c>
      <c r="BP160" s="106">
        <v>1500.0</v>
      </c>
      <c r="BQ160" s="79">
        <f t="shared" si="475"/>
        <v>6000</v>
      </c>
      <c r="BR160" s="106">
        <v>1500.0</v>
      </c>
      <c r="BS160" s="79">
        <f t="shared" si="413"/>
        <v>4500</v>
      </c>
      <c r="BT160" s="106">
        <v>1500.0</v>
      </c>
      <c r="BU160" s="79">
        <f t="shared" si="451"/>
        <v>3000</v>
      </c>
      <c r="BV160" s="106">
        <v>3000.0</v>
      </c>
      <c r="BW160" s="79">
        <f t="shared" si="476"/>
        <v>0</v>
      </c>
      <c r="BX160" s="1"/>
      <c r="BY160" s="79">
        <f t="shared" si="457"/>
        <v>0</v>
      </c>
      <c r="BZ160" s="1"/>
      <c r="CA160" s="79">
        <f t="shared" si="477"/>
        <v>0</v>
      </c>
      <c r="CB160" s="1"/>
      <c r="CC160" s="79">
        <f>20000+(CA160-CB160)</f>
        <v>20000</v>
      </c>
      <c r="CD160" s="106">
        <v>3750.0</v>
      </c>
      <c r="CE160" s="79">
        <f t="shared" si="478"/>
        <v>16250</v>
      </c>
      <c r="CF160" s="106">
        <v>3750.0</v>
      </c>
      <c r="CG160" s="79">
        <f t="shared" ref="CG160:CG163" si="490">CE160-CF160</f>
        <v>12500</v>
      </c>
      <c r="CH160" s="106">
        <v>3750.0</v>
      </c>
      <c r="CI160" s="79">
        <f t="shared" si="414"/>
        <v>8750</v>
      </c>
      <c r="CJ160" s="106">
        <v>3750.0</v>
      </c>
      <c r="CK160" s="79">
        <f t="shared" si="480"/>
        <v>5000</v>
      </c>
      <c r="CL160" s="106"/>
      <c r="CM160" s="79">
        <f t="shared" si="458"/>
        <v>5000</v>
      </c>
      <c r="CN160" s="106"/>
      <c r="CO160" s="79">
        <f t="shared" si="481"/>
        <v>5000</v>
      </c>
      <c r="CP160" s="106"/>
      <c r="CQ160" s="79">
        <f t="shared" si="482"/>
        <v>5000</v>
      </c>
      <c r="CR160" s="106">
        <v>2500.0</v>
      </c>
      <c r="CS160" s="79">
        <f t="shared" si="373"/>
        <v>2500</v>
      </c>
      <c r="CT160" s="24">
        <v>2500.0</v>
      </c>
      <c r="CU160" s="79">
        <f t="shared" si="459"/>
        <v>0</v>
      </c>
      <c r="CV160" s="79"/>
      <c r="CW160" s="79">
        <f t="shared" si="454"/>
        <v>0</v>
      </c>
      <c r="CX160" s="79"/>
      <c r="CY160" s="91"/>
      <c r="CZ160" s="79">
        <f t="shared" si="460"/>
        <v>0</v>
      </c>
      <c r="DA160" s="93"/>
      <c r="DB160" s="93">
        <f t="shared" si="461"/>
        <v>0</v>
      </c>
      <c r="DC160" s="96"/>
      <c r="DD160" s="93">
        <f t="shared" si="437"/>
        <v>0</v>
      </c>
      <c r="DE160" s="96"/>
      <c r="DF160" s="93">
        <f t="shared" si="278"/>
        <v>0</v>
      </c>
      <c r="DG160" s="96"/>
      <c r="DH160" s="93">
        <f t="shared" si="293"/>
        <v>0</v>
      </c>
      <c r="DI160" s="96"/>
      <c r="DJ160" s="93">
        <f t="shared" si="455"/>
        <v>0</v>
      </c>
      <c r="DK160" s="93"/>
      <c r="DL160" s="93">
        <f t="shared" si="462"/>
        <v>0</v>
      </c>
      <c r="DM160" s="100">
        <v>0.0</v>
      </c>
      <c r="DN160" s="93">
        <f>DL160-DM160+1790</f>
        <v>1790</v>
      </c>
      <c r="DO160" s="100">
        <v>500.0</v>
      </c>
      <c r="DP160" s="93">
        <f t="shared" si="294"/>
        <v>1290</v>
      </c>
      <c r="DQ160" s="100">
        <v>500.0</v>
      </c>
      <c r="DR160" s="93">
        <f t="shared" si="377"/>
        <v>790</v>
      </c>
      <c r="DS160" s="100">
        <v>790.0</v>
      </c>
      <c r="DT160" s="93">
        <f t="shared" si="438"/>
        <v>0</v>
      </c>
      <c r="DU160" s="100">
        <v>0.0</v>
      </c>
      <c r="DV160" s="93">
        <f t="shared" si="61"/>
        <v>0</v>
      </c>
    </row>
    <row r="161">
      <c r="A161" s="7" t="s">
        <v>490</v>
      </c>
      <c r="B161" s="7" t="s">
        <v>282</v>
      </c>
      <c r="C161" s="76" t="str">
        <f t="array" ref="C161">_xlfn.XLOOKUP(A161,'Emp Master'!A:A,'Emp Master'!F:F)</f>
        <v>SNP</v>
      </c>
      <c r="D161" s="76" t="str">
        <f t="array" ref="D161">_xlfn.XLOOKUP(A161,'Emp Master'!A:A,'Emp Master'!D:D)</f>
        <v>Machining</v>
      </c>
      <c r="E161" s="76" t="str">
        <f t="shared" si="326"/>
        <v>#REF!</v>
      </c>
      <c r="F161" s="76"/>
      <c r="G161" s="79"/>
      <c r="H161" s="80"/>
      <c r="I161" s="79"/>
      <c r="J161" s="80"/>
      <c r="K161" s="79"/>
      <c r="L161" s="142"/>
      <c r="M161" s="1"/>
      <c r="N161" s="142"/>
      <c r="O161" s="1"/>
      <c r="P161" s="142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06"/>
      <c r="AE161" s="1"/>
      <c r="AF161" s="1"/>
      <c r="AG161" s="1"/>
      <c r="AH161" s="1"/>
      <c r="AI161" s="1"/>
      <c r="AJ161" s="1"/>
      <c r="AK161" s="79">
        <f t="shared" si="467"/>
        <v>0</v>
      </c>
      <c r="AL161" s="1"/>
      <c r="AM161" s="79">
        <f t="shared" si="399"/>
        <v>0</v>
      </c>
      <c r="AN161" s="1"/>
      <c r="AO161" s="79">
        <f t="shared" si="400"/>
        <v>0</v>
      </c>
      <c r="AP161" s="106">
        <v>0.0</v>
      </c>
      <c r="AQ161" s="79">
        <f>AO161-AP161+16000</f>
        <v>16000</v>
      </c>
      <c r="AR161" s="106">
        <v>3000.0</v>
      </c>
      <c r="AS161" s="79">
        <f t="shared" si="488"/>
        <v>13000</v>
      </c>
      <c r="AT161" s="106">
        <v>5000.0</v>
      </c>
      <c r="AU161" s="79">
        <f t="shared" ref="AU161:AU166" si="491">AS161-AT161</f>
        <v>8000</v>
      </c>
      <c r="AV161" s="106">
        <v>4000.0</v>
      </c>
      <c r="AW161" s="79">
        <f t="shared" si="489"/>
        <v>4000</v>
      </c>
      <c r="AX161" s="106">
        <v>4000.0</v>
      </c>
      <c r="AY161" s="79">
        <f t="shared" si="484"/>
        <v>0</v>
      </c>
      <c r="AZ161" s="106">
        <v>0.0</v>
      </c>
      <c r="BA161" s="79">
        <f t="shared" si="435"/>
        <v>0</v>
      </c>
      <c r="BB161" s="106">
        <v>0.0</v>
      </c>
      <c r="BC161" s="79">
        <f t="shared" si="474"/>
        <v>0</v>
      </c>
      <c r="BD161" s="1"/>
      <c r="BE161" s="79">
        <f t="shared" si="407"/>
        <v>0</v>
      </c>
      <c r="BF161" s="1"/>
      <c r="BG161" s="79">
        <f t="shared" si="441"/>
        <v>0</v>
      </c>
      <c r="BH161" s="1"/>
      <c r="BI161" s="79">
        <f t="shared" si="485"/>
        <v>0</v>
      </c>
      <c r="BJ161" s="1"/>
      <c r="BK161" s="79">
        <f t="shared" si="409"/>
        <v>0</v>
      </c>
      <c r="BL161" s="1"/>
      <c r="BM161" s="79">
        <f t="shared" si="410"/>
        <v>0</v>
      </c>
      <c r="BN161" s="1"/>
      <c r="BO161" s="79">
        <f t="shared" ref="BO161:BO163" si="492">BM161-BN161</f>
        <v>0</v>
      </c>
      <c r="BP161" s="1"/>
      <c r="BQ161" s="79"/>
      <c r="BR161" s="1"/>
      <c r="BS161" s="79">
        <f t="shared" si="413"/>
        <v>0</v>
      </c>
      <c r="BT161" s="1"/>
      <c r="BU161" s="79">
        <f>BS161-BT161+5000</f>
        <v>5000</v>
      </c>
      <c r="BV161" s="106">
        <v>5000.0</v>
      </c>
      <c r="BW161" s="79">
        <f>BU161-BV161+9000</f>
        <v>9000</v>
      </c>
      <c r="BX161" s="106">
        <v>3000.0</v>
      </c>
      <c r="BY161" s="79">
        <f t="shared" si="457"/>
        <v>6000</v>
      </c>
      <c r="BZ161" s="106">
        <v>3000.0</v>
      </c>
      <c r="CA161" s="79">
        <f t="shared" si="477"/>
        <v>3000</v>
      </c>
      <c r="CB161" s="106">
        <v>3000.0</v>
      </c>
      <c r="CC161" s="79">
        <f t="shared" ref="CC161:CC163" si="493">CA161-CB161</f>
        <v>0</v>
      </c>
      <c r="CD161" s="1"/>
      <c r="CE161" s="79">
        <f t="shared" si="478"/>
        <v>0</v>
      </c>
      <c r="CF161" s="1"/>
      <c r="CG161" s="79">
        <f t="shared" si="490"/>
        <v>0</v>
      </c>
      <c r="CH161" s="1"/>
      <c r="CI161" s="79">
        <f t="shared" si="414"/>
        <v>0</v>
      </c>
      <c r="CJ161" s="1"/>
      <c r="CK161" s="79">
        <f t="shared" si="480"/>
        <v>0</v>
      </c>
      <c r="CL161" s="1"/>
      <c r="CM161" s="79">
        <f t="shared" si="458"/>
        <v>0</v>
      </c>
      <c r="CN161" s="1"/>
      <c r="CO161" s="79">
        <f t="shared" si="481"/>
        <v>0</v>
      </c>
      <c r="CP161" s="1"/>
      <c r="CQ161" s="79">
        <f t="shared" si="482"/>
        <v>0</v>
      </c>
      <c r="CR161" s="1"/>
      <c r="CS161" s="79">
        <f t="shared" si="373"/>
        <v>0</v>
      </c>
      <c r="CT161" s="79"/>
      <c r="CU161" s="79">
        <f t="shared" si="459"/>
        <v>0</v>
      </c>
      <c r="CV161" s="79"/>
      <c r="CW161" s="79">
        <f>CU161-CV161+15000</f>
        <v>15000</v>
      </c>
      <c r="CX161" s="24">
        <v>5000.0</v>
      </c>
      <c r="CY161" s="91">
        <v>10000.0</v>
      </c>
      <c r="CZ161" s="79">
        <f>CW161-CX161-CY161</f>
        <v>0</v>
      </c>
      <c r="DA161" s="93"/>
      <c r="DB161" s="93">
        <f t="shared" si="461"/>
        <v>0</v>
      </c>
      <c r="DC161" s="96"/>
      <c r="DD161" s="93">
        <f t="shared" si="437"/>
        <v>0</v>
      </c>
      <c r="DE161" s="96"/>
      <c r="DF161" s="93">
        <f t="shared" si="278"/>
        <v>0</v>
      </c>
      <c r="DG161" s="96"/>
      <c r="DH161" s="93">
        <f t="shared" si="293"/>
        <v>0</v>
      </c>
      <c r="DI161" s="96"/>
      <c r="DJ161" s="93">
        <f t="shared" si="455"/>
        <v>0</v>
      </c>
      <c r="DK161" s="93"/>
      <c r="DL161" s="100">
        <v>20000.0</v>
      </c>
      <c r="DM161" s="100">
        <v>10000.0</v>
      </c>
      <c r="DN161" s="93">
        <f t="shared" ref="DN161:DN163" si="494">DL161-DM161</f>
        <v>10000</v>
      </c>
      <c r="DO161" s="100">
        <v>10000.0</v>
      </c>
      <c r="DP161" s="93">
        <f t="shared" si="294"/>
        <v>0</v>
      </c>
      <c r="DQ161" s="100">
        <v>0.0</v>
      </c>
      <c r="DR161" s="93">
        <f t="shared" si="377"/>
        <v>0</v>
      </c>
      <c r="DS161" s="100">
        <v>0.0</v>
      </c>
      <c r="DT161" s="93">
        <f t="shared" si="438"/>
        <v>0</v>
      </c>
      <c r="DU161" s="100">
        <v>0.0</v>
      </c>
      <c r="DV161" s="93">
        <f t="shared" si="61"/>
        <v>0</v>
      </c>
    </row>
    <row r="162">
      <c r="A162" s="7" t="s">
        <v>493</v>
      </c>
      <c r="B162" s="7" t="s">
        <v>494</v>
      </c>
      <c r="C162" s="76" t="str">
        <f t="array" ref="C162">_xlfn.XLOOKUP(A162,'Emp Master'!A:A,'Emp Master'!F:F)</f>
        <v>SNP</v>
      </c>
      <c r="D162" s="76" t="str">
        <f t="array" ref="D162">_xlfn.XLOOKUP(A162,'Emp Master'!A:A,'Emp Master'!D:D)</f>
        <v>Cutting</v>
      </c>
      <c r="E162" s="76" t="str">
        <f t="shared" si="326"/>
        <v>#REF!</v>
      </c>
      <c r="F162" s="76"/>
      <c r="G162" s="79"/>
      <c r="H162" s="80"/>
      <c r="I162" s="79"/>
      <c r="J162" s="80"/>
      <c r="K162" s="79"/>
      <c r="L162" s="142"/>
      <c r="M162" s="1"/>
      <c r="N162" s="142"/>
      <c r="O162" s="1"/>
      <c r="P162" s="142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79">
        <f t="shared" si="467"/>
        <v>0</v>
      </c>
      <c r="AL162" s="1"/>
      <c r="AM162" s="79">
        <f t="shared" si="399"/>
        <v>0</v>
      </c>
      <c r="AN162" s="1"/>
      <c r="AO162" s="79">
        <f t="shared" si="400"/>
        <v>0</v>
      </c>
      <c r="AP162" s="106">
        <v>0.0</v>
      </c>
      <c r="AQ162" s="79">
        <f t="shared" ref="AQ162:AQ163" si="495">AO162-AP162</f>
        <v>0</v>
      </c>
      <c r="AR162" s="1"/>
      <c r="AS162" s="79">
        <f>AQ162-AR162+10000</f>
        <v>10000</v>
      </c>
      <c r="AT162" s="106">
        <v>2000.0</v>
      </c>
      <c r="AU162" s="79">
        <f t="shared" si="491"/>
        <v>8000</v>
      </c>
      <c r="AV162" s="106">
        <v>2000.0</v>
      </c>
      <c r="AW162" s="79">
        <f t="shared" si="489"/>
        <v>6000</v>
      </c>
      <c r="AX162" s="106">
        <v>2000.0</v>
      </c>
      <c r="AY162" s="79">
        <f t="shared" si="484"/>
        <v>4000</v>
      </c>
      <c r="AZ162" s="106">
        <v>2000.0</v>
      </c>
      <c r="BA162" s="79">
        <f t="shared" si="435"/>
        <v>2000</v>
      </c>
      <c r="BB162" s="106">
        <v>2000.0</v>
      </c>
      <c r="BC162" s="79">
        <f t="shared" si="474"/>
        <v>0</v>
      </c>
      <c r="BD162" s="1"/>
      <c r="BE162" s="79">
        <f t="shared" si="407"/>
        <v>0</v>
      </c>
      <c r="BF162" s="1"/>
      <c r="BG162" s="79">
        <f t="shared" si="441"/>
        <v>0</v>
      </c>
      <c r="BH162" s="1"/>
      <c r="BI162" s="79">
        <f t="shared" si="485"/>
        <v>0</v>
      </c>
      <c r="BJ162" s="1"/>
      <c r="BK162" s="79">
        <f t="shared" si="409"/>
        <v>0</v>
      </c>
      <c r="BL162" s="1"/>
      <c r="BM162" s="79">
        <f t="shared" si="410"/>
        <v>0</v>
      </c>
      <c r="BN162" s="1"/>
      <c r="BO162" s="79">
        <f t="shared" si="492"/>
        <v>0</v>
      </c>
      <c r="BP162" s="1"/>
      <c r="BQ162" s="79">
        <f>BO162-BP162+7500</f>
        <v>7500</v>
      </c>
      <c r="BR162" s="106">
        <v>1000.0</v>
      </c>
      <c r="BS162" s="79">
        <f t="shared" si="413"/>
        <v>6500</v>
      </c>
      <c r="BT162" s="106">
        <v>1000.0</v>
      </c>
      <c r="BU162" s="79">
        <f t="shared" ref="BU162:BU163" si="496">BS162-BT162</f>
        <v>5500</v>
      </c>
      <c r="BV162" s="106">
        <v>1000.0</v>
      </c>
      <c r="BW162" s="79">
        <f t="shared" ref="BW162:BW163" si="497">BU162-BV162</f>
        <v>4500</v>
      </c>
      <c r="BX162" s="106">
        <v>1500.0</v>
      </c>
      <c r="BY162" s="79">
        <f t="shared" si="457"/>
        <v>3000</v>
      </c>
      <c r="BZ162" s="106">
        <v>1500.0</v>
      </c>
      <c r="CA162" s="79">
        <f t="shared" si="477"/>
        <v>1500</v>
      </c>
      <c r="CB162" s="106">
        <v>1500.0</v>
      </c>
      <c r="CC162" s="79">
        <f t="shared" si="493"/>
        <v>0</v>
      </c>
      <c r="CD162" s="1"/>
      <c r="CE162" s="79">
        <f t="shared" si="478"/>
        <v>0</v>
      </c>
      <c r="CF162" s="1"/>
      <c r="CG162" s="79">
        <f t="shared" si="490"/>
        <v>0</v>
      </c>
      <c r="CH162" s="1"/>
      <c r="CI162" s="79">
        <f t="shared" si="414"/>
        <v>0</v>
      </c>
      <c r="CJ162" s="1"/>
      <c r="CK162" s="79">
        <f t="shared" si="480"/>
        <v>0</v>
      </c>
      <c r="CL162" s="1"/>
      <c r="CM162" s="79">
        <f>8000+CK162-CL162</f>
        <v>8000</v>
      </c>
      <c r="CN162" s="106">
        <v>2000.0</v>
      </c>
      <c r="CO162" s="79">
        <f t="shared" si="481"/>
        <v>6000</v>
      </c>
      <c r="CP162" s="106">
        <v>2000.0</v>
      </c>
      <c r="CQ162" s="79">
        <f t="shared" si="482"/>
        <v>4000</v>
      </c>
      <c r="CR162" s="106">
        <v>2000.0</v>
      </c>
      <c r="CS162" s="79">
        <f t="shared" si="373"/>
        <v>2000</v>
      </c>
      <c r="CT162" s="24">
        <v>2000.0</v>
      </c>
      <c r="CU162" s="79">
        <f t="shared" si="459"/>
        <v>0</v>
      </c>
      <c r="CV162" s="79"/>
      <c r="CW162" s="79">
        <f t="shared" ref="CW162:CW163" si="498">CU162-CV162</f>
        <v>0</v>
      </c>
      <c r="CX162" s="79"/>
      <c r="CY162" s="91"/>
      <c r="CZ162" s="79">
        <f t="shared" ref="CZ162:CZ163" si="499">CW162-CX162</f>
        <v>0</v>
      </c>
      <c r="DA162" s="93"/>
      <c r="DB162" s="93">
        <f t="shared" si="461"/>
        <v>0</v>
      </c>
      <c r="DC162" s="96"/>
      <c r="DD162" s="93">
        <f t="shared" si="437"/>
        <v>0</v>
      </c>
      <c r="DE162" s="96"/>
      <c r="DF162" s="93">
        <f t="shared" si="278"/>
        <v>0</v>
      </c>
      <c r="DG162" s="96"/>
      <c r="DH162" s="93">
        <f t="shared" si="293"/>
        <v>0</v>
      </c>
      <c r="DI162" s="96"/>
      <c r="DJ162" s="93">
        <f t="shared" si="455"/>
        <v>0</v>
      </c>
      <c r="DK162" s="93"/>
      <c r="DL162" s="93">
        <f t="shared" ref="DL162:DL163" si="500">DJ162-DK162</f>
        <v>0</v>
      </c>
      <c r="DM162" s="100">
        <v>0.0</v>
      </c>
      <c r="DN162" s="93">
        <f t="shared" si="494"/>
        <v>0</v>
      </c>
      <c r="DO162" s="100">
        <v>0.0</v>
      </c>
      <c r="DP162" s="93">
        <f t="shared" si="294"/>
        <v>0</v>
      </c>
      <c r="DQ162" s="100">
        <v>0.0</v>
      </c>
      <c r="DR162" s="93">
        <f t="shared" si="377"/>
        <v>0</v>
      </c>
      <c r="DS162" s="100">
        <v>0.0</v>
      </c>
      <c r="DT162" s="93">
        <f t="shared" si="438"/>
        <v>0</v>
      </c>
      <c r="DU162" s="100">
        <v>0.0</v>
      </c>
      <c r="DV162" s="93">
        <f t="shared" si="61"/>
        <v>0</v>
      </c>
    </row>
    <row r="163">
      <c r="A163" s="7" t="s">
        <v>953</v>
      </c>
      <c r="B163" s="7" t="s">
        <v>954</v>
      </c>
      <c r="C163" s="76" t="str">
        <f t="array" ref="C163">_xlfn.XLOOKUP(A163,'Emp Master'!A:A,'Emp Master'!F:F)</f>
        <v>#N/A</v>
      </c>
      <c r="D163" s="76" t="str">
        <f t="array" ref="D163">_xlfn.XLOOKUP(A163,'Emp Master'!A:A,'Emp Master'!D:D)</f>
        <v>#N/A</v>
      </c>
      <c r="E163" s="76" t="str">
        <f t="shared" si="326"/>
        <v>#REF!</v>
      </c>
      <c r="F163" s="76"/>
      <c r="G163" s="79"/>
      <c r="H163" s="80"/>
      <c r="I163" s="79">
        <f>G163-H163</f>
        <v>0</v>
      </c>
      <c r="J163" s="80"/>
      <c r="K163" s="79">
        <f>I163-J163</f>
        <v>0</v>
      </c>
      <c r="L163" s="142"/>
      <c r="M163" s="79">
        <f>K163-L163</f>
        <v>0</v>
      </c>
      <c r="N163" s="142"/>
      <c r="O163" s="79">
        <f>M163-N163+10000</f>
        <v>10000</v>
      </c>
      <c r="P163" s="305">
        <v>3000.0</v>
      </c>
      <c r="Q163" s="79">
        <f>O163-P163</f>
        <v>7000</v>
      </c>
      <c r="R163" s="106">
        <v>3000.0</v>
      </c>
      <c r="S163" s="79">
        <f>Q163-R163</f>
        <v>4000</v>
      </c>
      <c r="T163" s="106">
        <v>3000.0</v>
      </c>
      <c r="U163" s="79">
        <f>S163-T163</f>
        <v>1000</v>
      </c>
      <c r="V163" s="106">
        <v>1000.0</v>
      </c>
      <c r="W163" s="79">
        <f>U163-V163</f>
        <v>0</v>
      </c>
      <c r="X163" s="1"/>
      <c r="Y163" s="79">
        <f>W163-X163+10000</f>
        <v>10000</v>
      </c>
      <c r="Z163" s="106">
        <v>3000.0</v>
      </c>
      <c r="AA163" s="79">
        <f>Y163-Z163</f>
        <v>7000</v>
      </c>
      <c r="AB163" s="106">
        <v>3000.0</v>
      </c>
      <c r="AC163" s="79">
        <f>AA163-AB163</f>
        <v>4000</v>
      </c>
      <c r="AD163" s="106"/>
      <c r="AE163" s="79">
        <f>AC163-AD163</f>
        <v>4000</v>
      </c>
      <c r="AF163" s="106">
        <v>4000.0</v>
      </c>
      <c r="AG163" s="79">
        <f>AE163-AF163</f>
        <v>0</v>
      </c>
      <c r="AH163" s="1"/>
      <c r="AI163" s="79">
        <f t="shared" ref="AI163:AI166" si="501">AG163-AH163</f>
        <v>0</v>
      </c>
      <c r="AJ163" s="1"/>
      <c r="AK163" s="79">
        <f t="shared" si="467"/>
        <v>0</v>
      </c>
      <c r="AL163" s="1"/>
      <c r="AM163" s="79">
        <f t="shared" si="399"/>
        <v>0</v>
      </c>
      <c r="AN163" s="1"/>
      <c r="AO163" s="79">
        <f t="shared" si="400"/>
        <v>0</v>
      </c>
      <c r="AP163" s="1"/>
      <c r="AQ163" s="79">
        <f t="shared" si="495"/>
        <v>0</v>
      </c>
      <c r="AR163" s="1"/>
      <c r="AS163" s="79">
        <f t="shared" ref="AS163:AS166" si="502">AQ163-AR163</f>
        <v>0</v>
      </c>
      <c r="AT163" s="1"/>
      <c r="AU163" s="79">
        <f t="shared" si="491"/>
        <v>0</v>
      </c>
      <c r="AV163" s="1"/>
      <c r="AW163" s="79">
        <f t="shared" si="489"/>
        <v>0</v>
      </c>
      <c r="AX163" s="1"/>
      <c r="AY163" s="79">
        <f t="shared" si="484"/>
        <v>0</v>
      </c>
      <c r="AZ163" s="1"/>
      <c r="BA163" s="79">
        <f t="shared" si="435"/>
        <v>0</v>
      </c>
      <c r="BB163" s="1"/>
      <c r="BC163" s="79">
        <f t="shared" si="474"/>
        <v>0</v>
      </c>
      <c r="BD163" s="1"/>
      <c r="BE163" s="79">
        <f t="shared" si="407"/>
        <v>0</v>
      </c>
      <c r="BF163" s="1"/>
      <c r="BG163" s="79">
        <f t="shared" si="441"/>
        <v>0</v>
      </c>
      <c r="BH163" s="1"/>
      <c r="BI163" s="79">
        <f t="shared" si="485"/>
        <v>0</v>
      </c>
      <c r="BJ163" s="1"/>
      <c r="BK163" s="79">
        <f t="shared" si="409"/>
        <v>0</v>
      </c>
      <c r="BL163" s="1"/>
      <c r="BM163" s="79">
        <f t="shared" si="410"/>
        <v>0</v>
      </c>
      <c r="BN163" s="1"/>
      <c r="BO163" s="79">
        <f t="shared" si="492"/>
        <v>0</v>
      </c>
      <c r="BP163" s="1"/>
      <c r="BQ163" s="79">
        <f>BO163-BP163</f>
        <v>0</v>
      </c>
      <c r="BR163" s="1"/>
      <c r="BS163" s="79">
        <f t="shared" si="413"/>
        <v>0</v>
      </c>
      <c r="BT163" s="1"/>
      <c r="BU163" s="79">
        <f t="shared" si="496"/>
        <v>0</v>
      </c>
      <c r="BV163" s="1"/>
      <c r="BW163" s="79">
        <f t="shared" si="497"/>
        <v>0</v>
      </c>
      <c r="BX163" s="1"/>
      <c r="BY163" s="79">
        <f t="shared" si="457"/>
        <v>0</v>
      </c>
      <c r="BZ163" s="1"/>
      <c r="CA163" s="79">
        <f t="shared" si="477"/>
        <v>0</v>
      </c>
      <c r="CB163" s="1"/>
      <c r="CC163" s="79">
        <f t="shared" si="493"/>
        <v>0</v>
      </c>
      <c r="CD163" s="1"/>
      <c r="CE163" s="79">
        <f t="shared" si="478"/>
        <v>0</v>
      </c>
      <c r="CF163" s="1"/>
      <c r="CG163" s="79">
        <f t="shared" si="490"/>
        <v>0</v>
      </c>
      <c r="CH163" s="1"/>
      <c r="CI163" s="79">
        <f t="shared" si="414"/>
        <v>0</v>
      </c>
      <c r="CJ163" s="1"/>
      <c r="CK163" s="79">
        <f t="shared" si="480"/>
        <v>0</v>
      </c>
      <c r="CL163" s="1"/>
      <c r="CM163" s="79">
        <f>CK163-CL163</f>
        <v>0</v>
      </c>
      <c r="CN163" s="1"/>
      <c r="CO163" s="79">
        <f t="shared" si="481"/>
        <v>0</v>
      </c>
      <c r="CP163" s="1"/>
      <c r="CQ163" s="79">
        <f t="shared" si="482"/>
        <v>0</v>
      </c>
      <c r="CR163" s="1"/>
      <c r="CS163" s="79">
        <f t="shared" si="373"/>
        <v>0</v>
      </c>
      <c r="CT163" s="79"/>
      <c r="CU163" s="79">
        <f t="shared" si="459"/>
        <v>0</v>
      </c>
      <c r="CV163" s="79"/>
      <c r="CW163" s="79">
        <f t="shared" si="498"/>
        <v>0</v>
      </c>
      <c r="CX163" s="79"/>
      <c r="CY163" s="91"/>
      <c r="CZ163" s="79">
        <f t="shared" si="499"/>
        <v>0</v>
      </c>
      <c r="DA163" s="93"/>
      <c r="DB163" s="93">
        <f t="shared" si="461"/>
        <v>0</v>
      </c>
      <c r="DC163" s="96"/>
      <c r="DD163" s="93">
        <f t="shared" si="437"/>
        <v>0</v>
      </c>
      <c r="DE163" s="96"/>
      <c r="DF163" s="93">
        <f t="shared" si="278"/>
        <v>0</v>
      </c>
      <c r="DG163" s="96"/>
      <c r="DH163" s="93">
        <f t="shared" si="293"/>
        <v>0</v>
      </c>
      <c r="DI163" s="96"/>
      <c r="DJ163" s="93">
        <f t="shared" si="455"/>
        <v>0</v>
      </c>
      <c r="DK163" s="93"/>
      <c r="DL163" s="93">
        <f t="shared" si="500"/>
        <v>0</v>
      </c>
      <c r="DM163" s="100">
        <v>0.0</v>
      </c>
      <c r="DN163" s="93">
        <f t="shared" si="494"/>
        <v>0</v>
      </c>
      <c r="DO163" s="100">
        <v>0.0</v>
      </c>
      <c r="DP163" s="93">
        <f t="shared" si="294"/>
        <v>0</v>
      </c>
      <c r="DQ163" s="100">
        <v>0.0</v>
      </c>
      <c r="DR163" s="93">
        <f t="shared" si="377"/>
        <v>0</v>
      </c>
      <c r="DS163" s="100">
        <v>0.0</v>
      </c>
      <c r="DT163" s="93">
        <f t="shared" si="438"/>
        <v>0</v>
      </c>
      <c r="DU163" s="100">
        <v>0.0</v>
      </c>
      <c r="DV163" s="93">
        <f t="shared" si="61"/>
        <v>0</v>
      </c>
    </row>
    <row r="164">
      <c r="A164" s="7" t="s">
        <v>498</v>
      </c>
      <c r="B164" s="83" t="s">
        <v>499</v>
      </c>
      <c r="C164" s="76" t="str">
        <f t="array" ref="C164">_xlfn.XLOOKUP(A164,'Emp Master'!A:A,'Emp Master'!F:F)</f>
        <v>SNP</v>
      </c>
      <c r="D164" s="76" t="str">
        <f t="array" ref="D164">_xlfn.XLOOKUP(A164,'Emp Master'!A:A,'Emp Master'!D:D)</f>
        <v>MIS</v>
      </c>
      <c r="E164" s="76" t="str">
        <f t="shared" si="326"/>
        <v>#REF!</v>
      </c>
      <c r="F164" s="76"/>
      <c r="G164" s="79"/>
      <c r="H164" s="80"/>
      <c r="I164" s="79"/>
      <c r="J164" s="126"/>
      <c r="K164" s="79"/>
      <c r="L164" s="126"/>
      <c r="M164" s="79"/>
      <c r="N164" s="126"/>
      <c r="O164" s="79"/>
      <c r="P164" s="126"/>
      <c r="Q164" s="79"/>
      <c r="R164" s="1"/>
      <c r="S164" s="79"/>
      <c r="T164" s="1"/>
      <c r="U164" s="79"/>
      <c r="V164" s="1"/>
      <c r="W164" s="79">
        <f>U164-V164+1000</f>
        <v>1000</v>
      </c>
      <c r="X164" s="1"/>
      <c r="Y164" s="79">
        <f>W164-X164+2000</f>
        <v>3000</v>
      </c>
      <c r="Z164" s="1"/>
      <c r="AA164" s="79">
        <f>Y164-Z164+2000</f>
        <v>5000</v>
      </c>
      <c r="AB164" s="1"/>
      <c r="AC164" s="79">
        <f>AA164-AB164+2000</f>
        <v>7000</v>
      </c>
      <c r="AD164" s="1"/>
      <c r="AE164" s="79">
        <f>AC164-AD164+2000</f>
        <v>9000</v>
      </c>
      <c r="AF164" s="1"/>
      <c r="AG164" s="79">
        <f>AE164-AF164+2000</f>
        <v>11000</v>
      </c>
      <c r="AH164" s="1"/>
      <c r="AI164" s="79">
        <f t="shared" si="501"/>
        <v>11000</v>
      </c>
      <c r="AJ164" s="1"/>
      <c r="AK164" s="79">
        <f t="shared" si="467"/>
        <v>11000</v>
      </c>
      <c r="AL164" s="1"/>
      <c r="AM164" s="79">
        <f t="shared" si="399"/>
        <v>11000</v>
      </c>
      <c r="AN164" s="1"/>
      <c r="AO164" s="79">
        <f t="shared" si="400"/>
        <v>11000</v>
      </c>
      <c r="AP164" s="1"/>
      <c r="AQ164" s="79">
        <f>AO164-AP164-11000</f>
        <v>0</v>
      </c>
      <c r="AR164" s="1"/>
      <c r="AS164" s="79">
        <f t="shared" si="502"/>
        <v>0</v>
      </c>
      <c r="AT164" s="1"/>
      <c r="AU164" s="79">
        <f t="shared" si="491"/>
        <v>0</v>
      </c>
      <c r="AV164" s="1"/>
      <c r="AW164" s="79">
        <f t="shared" si="489"/>
        <v>0</v>
      </c>
      <c r="AX164" s="1"/>
      <c r="AY164" s="79">
        <f>AW164-AX164+7000</f>
        <v>7000</v>
      </c>
      <c r="AZ164" s="1"/>
      <c r="BA164" s="79">
        <f>AY164-AZ164+3500</f>
        <v>10500</v>
      </c>
      <c r="BB164" s="1"/>
      <c r="BC164" s="79">
        <f>BA164-BB164+3500</f>
        <v>14000</v>
      </c>
      <c r="BD164" s="1"/>
      <c r="BE164" s="79">
        <f>BC164-BD164-14000+3500</f>
        <v>3500</v>
      </c>
      <c r="BF164" s="1"/>
      <c r="BG164" s="79">
        <f>BE164-BF164+3500</f>
        <v>7000</v>
      </c>
      <c r="BH164" s="1"/>
      <c r="BI164" s="79">
        <f>BG164-BH164+3500</f>
        <v>10500</v>
      </c>
      <c r="BJ164" s="1"/>
      <c r="BK164" s="79">
        <f>BI164-BJ164+3500</f>
        <v>14000</v>
      </c>
      <c r="BL164" s="1"/>
      <c r="BM164" s="79">
        <f>BK164-BL164+3500</f>
        <v>17500</v>
      </c>
      <c r="BN164" s="1"/>
      <c r="BO164" s="79">
        <f>BM164-BN164+3500</f>
        <v>21000</v>
      </c>
      <c r="BP164" s="1"/>
      <c r="BQ164" s="79">
        <f>BO164-BP164+3500</f>
        <v>24500</v>
      </c>
      <c r="BR164" s="1"/>
      <c r="BS164" s="79">
        <f>BQ164-BR164+3500</f>
        <v>28000</v>
      </c>
      <c r="BT164" s="1"/>
      <c r="BU164" s="79">
        <f>BS164-BT164+3500</f>
        <v>31500</v>
      </c>
      <c r="BV164" s="1"/>
      <c r="BW164" s="79">
        <f>BU164-BV164+3500</f>
        <v>35000</v>
      </c>
      <c r="BX164" s="1"/>
      <c r="BY164" s="79">
        <f>BW164-BX164+3500</f>
        <v>38500</v>
      </c>
      <c r="BZ164" s="1"/>
      <c r="CA164" s="80">
        <f>BY164-BZ164+3500-42000+3500</f>
        <v>3500</v>
      </c>
      <c r="CB164" s="1"/>
      <c r="CC164" s="79">
        <f>CA164-CB164+3500</f>
        <v>7000</v>
      </c>
      <c r="CD164" s="1"/>
      <c r="CE164" s="79">
        <f>CC164-CD164+3500</f>
        <v>10500</v>
      </c>
      <c r="CF164" s="1"/>
      <c r="CG164" s="79">
        <f>CE164-CF164+3500</f>
        <v>14000</v>
      </c>
      <c r="CH164" s="1"/>
      <c r="CI164" s="79">
        <f>CG164-CH164+3500</f>
        <v>17500</v>
      </c>
      <c r="CJ164" s="1"/>
      <c r="CK164" s="79">
        <f>CI164-CJ164+3500</f>
        <v>21000</v>
      </c>
      <c r="CL164" s="1"/>
      <c r="CM164" s="79">
        <f>CK164-CL164+3500</f>
        <v>24500</v>
      </c>
      <c r="CN164" s="1"/>
      <c r="CO164" s="79">
        <f>CM164-CN164+3500</f>
        <v>28000</v>
      </c>
      <c r="CP164" s="1"/>
      <c r="CQ164" s="79">
        <f>CO164-CP164+3500</f>
        <v>31500</v>
      </c>
      <c r="CR164" s="1"/>
      <c r="CS164" s="79">
        <f>CQ164-CR164+3500</f>
        <v>35000</v>
      </c>
      <c r="CT164" s="79"/>
      <c r="CU164" s="79">
        <f>CS164-CT164+3500</f>
        <v>38500</v>
      </c>
      <c r="CV164" s="79"/>
      <c r="CW164" s="79">
        <f>CU164-CV164+3500</f>
        <v>42000</v>
      </c>
      <c r="CX164" s="79"/>
      <c r="CY164" s="91">
        <v>42000.0</v>
      </c>
      <c r="CZ164" s="79">
        <f>CW164-CX164-CY164</f>
        <v>0</v>
      </c>
      <c r="DA164" s="93"/>
      <c r="DB164" s="93">
        <f>CZ164-DA164+3500</f>
        <v>3500</v>
      </c>
      <c r="DC164" s="96"/>
      <c r="DD164" s="93">
        <f>DB164-DC164+3500</f>
        <v>7000</v>
      </c>
      <c r="DE164" s="96"/>
      <c r="DF164" s="93">
        <f>DD164-DE164+3500</f>
        <v>10500</v>
      </c>
      <c r="DG164" s="96"/>
      <c r="DH164" s="93">
        <f>DF164-DG164+3500</f>
        <v>14000</v>
      </c>
      <c r="DI164" s="96"/>
      <c r="DJ164" s="93">
        <f>DH164-DI164+3500</f>
        <v>17500</v>
      </c>
      <c r="DK164" s="93"/>
      <c r="DL164" s="93">
        <f>DJ164-DK164+3500</f>
        <v>21000</v>
      </c>
      <c r="DM164" s="100">
        <v>0.0</v>
      </c>
      <c r="DN164" s="93">
        <f>DL164-DM164+3500</f>
        <v>24500</v>
      </c>
      <c r="DO164" s="100">
        <v>0.0</v>
      </c>
      <c r="DP164" s="93">
        <f>DN164-DO164+3500</f>
        <v>28000</v>
      </c>
      <c r="DQ164" s="100">
        <v>0.0</v>
      </c>
      <c r="DR164" s="93">
        <f>DP164-DQ164+3500</f>
        <v>31500</v>
      </c>
      <c r="DS164" s="100">
        <v>0.0</v>
      </c>
      <c r="DT164" s="93">
        <f>DR164-DS164+3500</f>
        <v>35000</v>
      </c>
      <c r="DU164" s="100">
        <v>0.0</v>
      </c>
      <c r="DV164" s="93">
        <f t="shared" si="61"/>
        <v>35000</v>
      </c>
    </row>
    <row r="165">
      <c r="A165" s="7" t="s">
        <v>955</v>
      </c>
      <c r="B165" s="7" t="s">
        <v>956</v>
      </c>
      <c r="C165" s="76" t="str">
        <f t="array" ref="C165">_xlfn.XLOOKUP(A165,'Emp Master'!A:A,'Emp Master'!F:F)</f>
        <v>#N/A</v>
      </c>
      <c r="D165" s="76" t="str">
        <f t="array" ref="D165">_xlfn.XLOOKUP(A165,'Emp Master'!A:A,'Emp Master'!D:D)</f>
        <v>#N/A</v>
      </c>
      <c r="E165" s="76" t="str">
        <f t="shared" si="326"/>
        <v>#REF!</v>
      </c>
      <c r="F165" s="76"/>
      <c r="G165" s="79">
        <v>8000.0</v>
      </c>
      <c r="H165" s="80"/>
      <c r="I165" s="79">
        <f>G165-H165</f>
        <v>8000</v>
      </c>
      <c r="J165" s="126">
        <v>2000.0</v>
      </c>
      <c r="K165" s="79">
        <f>I165-J165</f>
        <v>6000</v>
      </c>
      <c r="L165" s="126">
        <v>2000.0</v>
      </c>
      <c r="M165" s="79">
        <f>K165-L165</f>
        <v>4000</v>
      </c>
      <c r="N165" s="126">
        <v>2000.0</v>
      </c>
      <c r="O165" s="79">
        <f>M165-N165</f>
        <v>2000</v>
      </c>
      <c r="P165" s="126">
        <v>2000.0</v>
      </c>
      <c r="Q165" s="79">
        <f>O165-P165</f>
        <v>0</v>
      </c>
      <c r="R165" s="1"/>
      <c r="S165" s="79">
        <f>Q165-R165</f>
        <v>0</v>
      </c>
      <c r="T165" s="1"/>
      <c r="U165" s="79">
        <f>S165-T165</f>
        <v>0</v>
      </c>
      <c r="V165" s="1"/>
      <c r="W165" s="79">
        <f>U165-V165</f>
        <v>0</v>
      </c>
      <c r="X165" s="1"/>
      <c r="Y165" s="79">
        <f>W165-X165+5000</f>
        <v>5000</v>
      </c>
      <c r="Z165" s="106">
        <v>1500.0</v>
      </c>
      <c r="AA165" s="79">
        <f>Y165-Z165</f>
        <v>3500</v>
      </c>
      <c r="AB165" s="106">
        <v>3500.0</v>
      </c>
      <c r="AC165" s="79">
        <f t="shared" ref="AC165:AC166" si="503">AA165-AB165</f>
        <v>0</v>
      </c>
      <c r="AD165" s="106">
        <v>0.0</v>
      </c>
      <c r="AE165" s="79">
        <f t="shared" ref="AE165:AE166" si="504">AC165-AD165</f>
        <v>0</v>
      </c>
      <c r="AF165" s="106">
        <v>0.0</v>
      </c>
      <c r="AG165" s="79">
        <f t="shared" ref="AG165:AG166" si="505">AE165-AF165</f>
        <v>0</v>
      </c>
      <c r="AH165" s="1"/>
      <c r="AI165" s="79">
        <f t="shared" si="501"/>
        <v>0</v>
      </c>
      <c r="AJ165" s="1"/>
      <c r="AK165" s="79">
        <f t="shared" si="467"/>
        <v>0</v>
      </c>
      <c r="AL165" s="1"/>
      <c r="AM165" s="79">
        <f t="shared" si="399"/>
        <v>0</v>
      </c>
      <c r="AN165" s="1"/>
      <c r="AO165" s="79">
        <f t="shared" si="400"/>
        <v>0</v>
      </c>
      <c r="AP165" s="1"/>
      <c r="AQ165" s="79">
        <f t="shared" ref="AQ165:AQ166" si="506">AO165-AP165</f>
        <v>0</v>
      </c>
      <c r="AR165" s="1"/>
      <c r="AS165" s="79">
        <f t="shared" si="502"/>
        <v>0</v>
      </c>
      <c r="AT165" s="1"/>
      <c r="AU165" s="79">
        <f t="shared" si="491"/>
        <v>0</v>
      </c>
      <c r="AV165" s="1"/>
      <c r="AW165" s="79">
        <f t="shared" si="489"/>
        <v>0</v>
      </c>
      <c r="AX165" s="1"/>
      <c r="AY165" s="79">
        <f t="shared" ref="AY165:AY166" si="507">AW165-AX165</f>
        <v>0</v>
      </c>
      <c r="AZ165" s="1"/>
      <c r="BA165" s="79">
        <f t="shared" ref="BA165:BA166" si="508">AY165-AZ165</f>
        <v>0</v>
      </c>
      <c r="BB165" s="1"/>
      <c r="BC165" s="79">
        <f t="shared" ref="BC165:BC166" si="509">BA165-BB165</f>
        <v>0</v>
      </c>
      <c r="BD165" s="1"/>
      <c r="BE165" s="79">
        <f t="shared" ref="BE165:BE166" si="510">BC165-BD165</f>
        <v>0</v>
      </c>
      <c r="BF165" s="1"/>
      <c r="BG165" s="79">
        <f>BE165-BF165</f>
        <v>0</v>
      </c>
      <c r="BH165" s="1"/>
      <c r="BI165" s="79">
        <f t="shared" ref="BI165:BI169" si="511">BG165-BH165</f>
        <v>0</v>
      </c>
      <c r="BJ165" s="1"/>
      <c r="BK165" s="79">
        <f t="shared" ref="BK165:BK166" si="512">BI165-BJ165</f>
        <v>0</v>
      </c>
      <c r="BL165" s="1"/>
      <c r="BM165" s="79">
        <f t="shared" ref="BM165:BM166" si="513">BK165-BL165</f>
        <v>0</v>
      </c>
      <c r="BN165" s="1"/>
      <c r="BO165" s="79">
        <f t="shared" ref="BO165:BO166" si="514">BM165-BN165</f>
        <v>0</v>
      </c>
      <c r="BP165" s="1"/>
      <c r="BQ165" s="79">
        <f t="shared" ref="BQ165:BQ171" si="515">BO165-BP165</f>
        <v>0</v>
      </c>
      <c r="BR165" s="1"/>
      <c r="BS165" s="79">
        <f t="shared" ref="BS165:BS176" si="516">BQ165-BR165</f>
        <v>0</v>
      </c>
      <c r="BT165" s="1"/>
      <c r="BU165" s="79">
        <f t="shared" ref="BU165:BU171" si="517">BS165-BT165</f>
        <v>0</v>
      </c>
      <c r="BV165" s="1"/>
      <c r="BW165" s="79">
        <f t="shared" ref="BW165:BW169" si="518">BU165-BV165</f>
        <v>0</v>
      </c>
      <c r="BX165" s="1"/>
      <c r="BY165" s="79">
        <f t="shared" ref="BY165:BY170" si="519">BW165-BX165</f>
        <v>0</v>
      </c>
      <c r="BZ165" s="1"/>
      <c r="CA165" s="79">
        <f>BY165-BZ165</f>
        <v>0</v>
      </c>
      <c r="CB165" s="1"/>
      <c r="CC165" s="79">
        <f>CA165-CB165</f>
        <v>0</v>
      </c>
      <c r="CD165" s="1"/>
      <c r="CE165" s="79">
        <f t="shared" ref="CE165:CE170" si="520">CC165-CD165</f>
        <v>0</v>
      </c>
      <c r="CF165" s="1"/>
      <c r="CG165" s="79">
        <f t="shared" ref="CG165:CG169" si="521">CE165-CF165</f>
        <v>0</v>
      </c>
      <c r="CH165" s="1"/>
      <c r="CI165" s="79">
        <f t="shared" ref="CI165:CI176" si="522">CG165-CH165</f>
        <v>0</v>
      </c>
      <c r="CJ165" s="1"/>
      <c r="CK165" s="79">
        <f t="shared" ref="CK165:CK176" si="523">CI165-CJ165</f>
        <v>0</v>
      </c>
      <c r="CL165" s="1"/>
      <c r="CM165" s="79">
        <f>CK165-CL165</f>
        <v>0</v>
      </c>
      <c r="CN165" s="1"/>
      <c r="CO165" s="79">
        <f t="shared" ref="CO165:CO169" si="524">CM165-CN165</f>
        <v>0</v>
      </c>
      <c r="CP165" s="1"/>
      <c r="CQ165" s="79">
        <f t="shared" ref="CQ165:CQ176" si="525">CO165-CP165</f>
        <v>0</v>
      </c>
      <c r="CR165" s="1"/>
      <c r="CS165" s="79">
        <f t="shared" ref="CS165:CS176" si="526">CQ165-CR165</f>
        <v>0</v>
      </c>
      <c r="CT165" s="79"/>
      <c r="CU165" s="79">
        <f t="shared" ref="CU165:CU170" si="527">CS165-CT165</f>
        <v>0</v>
      </c>
      <c r="CV165" s="79"/>
      <c r="CW165" s="79">
        <f t="shared" ref="CW165:CW169" si="528">CU165-CV165</f>
        <v>0</v>
      </c>
      <c r="CX165" s="79"/>
      <c r="CY165" s="91"/>
      <c r="CZ165" s="79">
        <f t="shared" ref="CZ165:CZ169" si="529">CW165-CX165</f>
        <v>0</v>
      </c>
      <c r="DA165" s="93"/>
      <c r="DB165" s="93">
        <f>CZ165-DA165</f>
        <v>0</v>
      </c>
      <c r="DC165" s="96"/>
      <c r="DD165" s="93">
        <f t="shared" ref="DD165:DD169" si="530">DB165-DC165</f>
        <v>0</v>
      </c>
      <c r="DE165" s="96"/>
      <c r="DF165" s="93">
        <f t="shared" ref="DF165:DF176" si="531">DD165-DE165</f>
        <v>0</v>
      </c>
      <c r="DG165" s="96"/>
      <c r="DH165" s="93">
        <f t="shared" ref="DH165:DH170" si="532">DF165-DG165</f>
        <v>0</v>
      </c>
      <c r="DI165" s="96"/>
      <c r="DJ165" s="93">
        <f t="shared" ref="DJ165:DJ176" si="533">DH165-DI165</f>
        <v>0</v>
      </c>
      <c r="DK165" s="93"/>
      <c r="DL165" s="93">
        <f t="shared" ref="DL165:DL172" si="534">DJ165-DK165</f>
        <v>0</v>
      </c>
      <c r="DM165" s="100">
        <v>0.0</v>
      </c>
      <c r="DN165" s="93">
        <f t="shared" ref="DN165:DN172" si="535">DL165-DM165</f>
        <v>0</v>
      </c>
      <c r="DO165" s="100">
        <v>0.0</v>
      </c>
      <c r="DP165" s="93">
        <f t="shared" ref="DP165:DP169" si="536">DN165-DO165</f>
        <v>0</v>
      </c>
      <c r="DQ165" s="100">
        <v>0.0</v>
      </c>
      <c r="DR165" s="93">
        <f t="shared" ref="DR165:DR170" si="537">DP165-DQ165</f>
        <v>0</v>
      </c>
      <c r="DS165" s="100">
        <v>0.0</v>
      </c>
      <c r="DT165" s="93">
        <f t="shared" ref="DT165:DT172" si="538">DR165-DS165</f>
        <v>0</v>
      </c>
      <c r="DU165" s="100">
        <v>0.0</v>
      </c>
      <c r="DV165" s="93">
        <f t="shared" si="61"/>
        <v>0</v>
      </c>
    </row>
    <row r="166">
      <c r="A166" s="7" t="s">
        <v>957</v>
      </c>
      <c r="B166" s="7" t="s">
        <v>229</v>
      </c>
      <c r="C166" s="76" t="str">
        <f t="array" ref="C166">_xlfn.XLOOKUP(A166,'Emp Master'!A:A,'Emp Master'!F:F)</f>
        <v>#N/A</v>
      </c>
      <c r="D166" s="76" t="str">
        <f t="array" ref="D166">_xlfn.XLOOKUP(A166,'Emp Master'!A:A,'Emp Master'!D:D)</f>
        <v>#N/A</v>
      </c>
      <c r="E166" s="76" t="str">
        <f t="shared" si="326"/>
        <v>#REF!</v>
      </c>
      <c r="F166" s="76"/>
      <c r="G166" s="79"/>
      <c r="H166" s="80"/>
      <c r="I166" s="24"/>
      <c r="J166" s="126"/>
      <c r="K166" s="79"/>
      <c r="L166" s="126"/>
      <c r="M166" s="79"/>
      <c r="N166" s="126"/>
      <c r="O166" s="79"/>
      <c r="P166" s="126"/>
      <c r="Q166" s="79"/>
      <c r="R166" s="106"/>
      <c r="S166" s="79"/>
      <c r="T166" s="106"/>
      <c r="U166" s="79"/>
      <c r="V166" s="106"/>
      <c r="W166" s="79"/>
      <c r="X166" s="106"/>
      <c r="Y166" s="79"/>
      <c r="Z166" s="106"/>
      <c r="AA166" s="79">
        <f>Y166-Z166+15000</f>
        <v>15000</v>
      </c>
      <c r="AB166" s="106">
        <v>5000.0</v>
      </c>
      <c r="AC166" s="79">
        <f t="shared" si="503"/>
        <v>10000</v>
      </c>
      <c r="AD166" s="106">
        <v>5000.0</v>
      </c>
      <c r="AE166" s="79">
        <f t="shared" si="504"/>
        <v>5000</v>
      </c>
      <c r="AF166" s="106">
        <v>0.0</v>
      </c>
      <c r="AG166" s="79">
        <f t="shared" si="505"/>
        <v>5000</v>
      </c>
      <c r="AH166" s="106">
        <v>5000.0</v>
      </c>
      <c r="AI166" s="79">
        <f t="shared" si="501"/>
        <v>0</v>
      </c>
      <c r="AJ166" s="1"/>
      <c r="AK166" s="79">
        <f>AI166-AJ166+3300+3400</f>
        <v>6700</v>
      </c>
      <c r="AL166" s="106">
        <v>6700.0</v>
      </c>
      <c r="AM166" s="79">
        <f t="shared" si="399"/>
        <v>0</v>
      </c>
      <c r="AN166" s="1"/>
      <c r="AO166" s="79">
        <f t="shared" si="400"/>
        <v>0</v>
      </c>
      <c r="AP166" s="1"/>
      <c r="AQ166" s="79">
        <f t="shared" si="506"/>
        <v>0</v>
      </c>
      <c r="AR166" s="1"/>
      <c r="AS166" s="79">
        <f t="shared" si="502"/>
        <v>0</v>
      </c>
      <c r="AT166" s="1"/>
      <c r="AU166" s="79">
        <f t="shared" si="491"/>
        <v>0</v>
      </c>
      <c r="AV166" s="1"/>
      <c r="AW166" s="79">
        <f t="shared" si="489"/>
        <v>0</v>
      </c>
      <c r="AX166" s="1"/>
      <c r="AY166" s="79">
        <f t="shared" si="507"/>
        <v>0</v>
      </c>
      <c r="AZ166" s="1"/>
      <c r="BA166" s="79">
        <f t="shared" si="508"/>
        <v>0</v>
      </c>
      <c r="BB166" s="1"/>
      <c r="BC166" s="79">
        <f t="shared" si="509"/>
        <v>0</v>
      </c>
      <c r="BD166" s="1"/>
      <c r="BE166" s="79">
        <f t="shared" si="510"/>
        <v>0</v>
      </c>
      <c r="BF166" s="1"/>
      <c r="BG166" s="79">
        <f>BE166-BF166+20000</f>
        <v>20000</v>
      </c>
      <c r="BH166" s="106">
        <v>3500.0</v>
      </c>
      <c r="BI166" s="79">
        <f t="shared" si="511"/>
        <v>16500</v>
      </c>
      <c r="BJ166" s="106">
        <v>3500.0</v>
      </c>
      <c r="BK166" s="79">
        <f t="shared" si="512"/>
        <v>13000</v>
      </c>
      <c r="BL166" s="106">
        <v>3500.0</v>
      </c>
      <c r="BM166" s="79">
        <f t="shared" si="513"/>
        <v>9500</v>
      </c>
      <c r="BN166" s="106">
        <v>3500.0</v>
      </c>
      <c r="BO166" s="79">
        <f t="shared" si="514"/>
        <v>6000</v>
      </c>
      <c r="BP166" s="106">
        <v>3500.0</v>
      </c>
      <c r="BQ166" s="79">
        <f t="shared" si="515"/>
        <v>2500</v>
      </c>
      <c r="BR166" s="106">
        <v>2500.0</v>
      </c>
      <c r="BS166" s="79">
        <f t="shared" si="516"/>
        <v>0</v>
      </c>
      <c r="BT166" s="1"/>
      <c r="BU166" s="79">
        <f t="shared" si="517"/>
        <v>0</v>
      </c>
      <c r="BV166" s="1"/>
      <c r="BW166" s="79">
        <f t="shared" si="518"/>
        <v>0</v>
      </c>
      <c r="BX166" s="1"/>
      <c r="BY166" s="79">
        <f t="shared" si="519"/>
        <v>0</v>
      </c>
      <c r="BZ166" s="1"/>
      <c r="CA166" s="126">
        <v>15800.0</v>
      </c>
      <c r="CB166" s="106">
        <v>15800.0</v>
      </c>
      <c r="CC166" s="79">
        <f>12000+(CA166-CB166)</f>
        <v>12000</v>
      </c>
      <c r="CD166" s="106">
        <v>3000.0</v>
      </c>
      <c r="CE166" s="79">
        <f t="shared" si="520"/>
        <v>9000</v>
      </c>
      <c r="CF166" s="106">
        <v>3000.0</v>
      </c>
      <c r="CG166" s="79">
        <f t="shared" si="521"/>
        <v>6000</v>
      </c>
      <c r="CH166" s="106">
        <v>3000.0</v>
      </c>
      <c r="CI166" s="79">
        <f t="shared" si="522"/>
        <v>3000</v>
      </c>
      <c r="CJ166" s="106">
        <v>3000.0</v>
      </c>
      <c r="CK166" s="79">
        <f t="shared" si="523"/>
        <v>0</v>
      </c>
      <c r="CL166" s="106"/>
      <c r="CM166" s="79">
        <f>15000+CK166-CL166</f>
        <v>15000</v>
      </c>
      <c r="CN166" s="106">
        <v>4000.0</v>
      </c>
      <c r="CO166" s="79">
        <f t="shared" si="524"/>
        <v>11000</v>
      </c>
      <c r="CP166" s="106">
        <v>4000.0</v>
      </c>
      <c r="CQ166" s="79">
        <f t="shared" si="525"/>
        <v>7000</v>
      </c>
      <c r="CR166" s="106">
        <v>4000.0</v>
      </c>
      <c r="CS166" s="79">
        <f t="shared" si="526"/>
        <v>3000</v>
      </c>
      <c r="CT166" s="24">
        <v>3000.0</v>
      </c>
      <c r="CU166" s="79">
        <f t="shared" si="527"/>
        <v>0</v>
      </c>
      <c r="CV166" s="79"/>
      <c r="CW166" s="79">
        <f t="shared" si="528"/>
        <v>0</v>
      </c>
      <c r="CX166" s="79"/>
      <c r="CY166" s="91"/>
      <c r="CZ166" s="79">
        <f t="shared" si="529"/>
        <v>0</v>
      </c>
      <c r="DA166" s="93"/>
      <c r="DB166" s="93">
        <f>CZ166-DA166+20000</f>
        <v>20000</v>
      </c>
      <c r="DC166" s="178">
        <v>4000.0</v>
      </c>
      <c r="DD166" s="93">
        <f t="shared" si="530"/>
        <v>16000</v>
      </c>
      <c r="DE166" s="178">
        <v>4000.0</v>
      </c>
      <c r="DF166" s="93">
        <f t="shared" si="531"/>
        <v>12000</v>
      </c>
      <c r="DG166" s="178">
        <v>4000.0</v>
      </c>
      <c r="DH166" s="93">
        <f t="shared" si="532"/>
        <v>8000</v>
      </c>
      <c r="DI166" s="178">
        <v>8000.0</v>
      </c>
      <c r="DJ166" s="93">
        <f t="shared" si="533"/>
        <v>0</v>
      </c>
      <c r="DK166" s="93"/>
      <c r="DL166" s="93">
        <f t="shared" si="534"/>
        <v>0</v>
      </c>
      <c r="DM166" s="100">
        <v>0.0</v>
      </c>
      <c r="DN166" s="93">
        <f t="shared" si="535"/>
        <v>0</v>
      </c>
      <c r="DO166" s="100">
        <v>0.0</v>
      </c>
      <c r="DP166" s="93">
        <f t="shared" si="536"/>
        <v>0</v>
      </c>
      <c r="DQ166" s="100">
        <v>0.0</v>
      </c>
      <c r="DR166" s="93">
        <f t="shared" si="537"/>
        <v>0</v>
      </c>
      <c r="DS166" s="100">
        <v>0.0</v>
      </c>
      <c r="DT166" s="93">
        <f t="shared" si="538"/>
        <v>0</v>
      </c>
      <c r="DU166" s="100">
        <v>0.0</v>
      </c>
      <c r="DV166" s="93">
        <f t="shared" si="61"/>
        <v>0</v>
      </c>
    </row>
    <row r="167">
      <c r="A167" s="7" t="s">
        <v>502</v>
      </c>
      <c r="B167" s="7" t="s">
        <v>503</v>
      </c>
      <c r="C167" s="76" t="str">
        <f t="array" ref="C167">_xlfn.XLOOKUP(A167,'Emp Master'!A:A,'Emp Master'!F:F)</f>
        <v>DEL</v>
      </c>
      <c r="D167" s="76" t="str">
        <f t="array" ref="D167">_xlfn.XLOOKUP(A167,'Emp Master'!A:A,'Emp Master'!D:D)</f>
        <v>Digital Marketing</v>
      </c>
      <c r="E167" s="76" t="str">
        <f t="shared" si="326"/>
        <v>#REF!</v>
      </c>
      <c r="F167" s="76"/>
      <c r="G167" s="79"/>
      <c r="H167" s="80"/>
      <c r="I167" s="79"/>
      <c r="J167" s="80"/>
      <c r="K167" s="79"/>
      <c r="L167" s="142"/>
      <c r="M167" s="1"/>
      <c r="N167" s="142"/>
      <c r="O167" s="1"/>
      <c r="P167" s="142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79">
        <f t="shared" si="511"/>
        <v>0</v>
      </c>
      <c r="BJ167" s="1"/>
      <c r="BK167" s="1"/>
      <c r="BL167" s="1"/>
      <c r="BM167" s="1"/>
      <c r="BN167" s="1"/>
      <c r="BO167" s="1"/>
      <c r="BP167" s="1"/>
      <c r="BQ167" s="79">
        <f t="shared" si="515"/>
        <v>0</v>
      </c>
      <c r="BR167" s="1"/>
      <c r="BS167" s="79">
        <f t="shared" si="516"/>
        <v>0</v>
      </c>
      <c r="BT167" s="1"/>
      <c r="BU167" s="79">
        <f t="shared" si="517"/>
        <v>0</v>
      </c>
      <c r="BV167" s="1"/>
      <c r="BW167" s="79">
        <f t="shared" si="518"/>
        <v>0</v>
      </c>
      <c r="BX167" s="1"/>
      <c r="BY167" s="79">
        <f t="shared" si="519"/>
        <v>0</v>
      </c>
      <c r="BZ167" s="1"/>
      <c r="CA167" s="79">
        <f t="shared" ref="CA167:CA172" si="539">BY167-BZ167</f>
        <v>0</v>
      </c>
      <c r="CB167" s="1"/>
      <c r="CC167" s="79">
        <f t="shared" ref="CC167:CC170" si="540">CA167-CB167</f>
        <v>0</v>
      </c>
      <c r="CD167" s="1"/>
      <c r="CE167" s="79">
        <f t="shared" si="520"/>
        <v>0</v>
      </c>
      <c r="CF167" s="1"/>
      <c r="CG167" s="79">
        <f t="shared" si="521"/>
        <v>0</v>
      </c>
      <c r="CH167" s="1"/>
      <c r="CI167" s="79">
        <f t="shared" si="522"/>
        <v>0</v>
      </c>
      <c r="CJ167" s="1"/>
      <c r="CK167" s="79">
        <f t="shared" si="523"/>
        <v>0</v>
      </c>
      <c r="CL167" s="1"/>
      <c r="CM167" s="79">
        <f t="shared" ref="CM167:CM170" si="541">CK167-CL167</f>
        <v>0</v>
      </c>
      <c r="CN167" s="1"/>
      <c r="CO167" s="79">
        <f t="shared" si="524"/>
        <v>0</v>
      </c>
      <c r="CP167" s="1"/>
      <c r="CQ167" s="79">
        <f t="shared" si="525"/>
        <v>0</v>
      </c>
      <c r="CR167" s="1"/>
      <c r="CS167" s="79">
        <f t="shared" si="526"/>
        <v>0</v>
      </c>
      <c r="CT167" s="79"/>
      <c r="CU167" s="79">
        <f t="shared" si="527"/>
        <v>0</v>
      </c>
      <c r="CV167" s="79"/>
      <c r="CW167" s="79">
        <f t="shared" si="528"/>
        <v>0</v>
      </c>
      <c r="CX167" s="79"/>
      <c r="CY167" s="91"/>
      <c r="CZ167" s="79">
        <f t="shared" si="529"/>
        <v>0</v>
      </c>
      <c r="DA167" s="93"/>
      <c r="DB167" s="93">
        <f t="shared" ref="DB167:DB170" si="542">CZ167-DA167</f>
        <v>0</v>
      </c>
      <c r="DC167" s="96"/>
      <c r="DD167" s="93">
        <f t="shared" si="530"/>
        <v>0</v>
      </c>
      <c r="DE167" s="96"/>
      <c r="DF167" s="93">
        <f t="shared" si="531"/>
        <v>0</v>
      </c>
      <c r="DG167" s="96"/>
      <c r="DH167" s="93">
        <f t="shared" si="532"/>
        <v>0</v>
      </c>
      <c r="DI167" s="96"/>
      <c r="DJ167" s="93">
        <f t="shared" si="533"/>
        <v>0</v>
      </c>
      <c r="DK167" s="93"/>
      <c r="DL167" s="93">
        <f t="shared" si="534"/>
        <v>0</v>
      </c>
      <c r="DM167" s="100">
        <v>0.0</v>
      </c>
      <c r="DN167" s="93">
        <f t="shared" si="535"/>
        <v>0</v>
      </c>
      <c r="DO167" s="100">
        <v>0.0</v>
      </c>
      <c r="DP167" s="93">
        <f t="shared" si="536"/>
        <v>0</v>
      </c>
      <c r="DQ167" s="100">
        <v>0.0</v>
      </c>
      <c r="DR167" s="93">
        <f t="shared" si="537"/>
        <v>0</v>
      </c>
      <c r="DS167" s="100">
        <v>0.0</v>
      </c>
      <c r="DT167" s="93">
        <f t="shared" si="538"/>
        <v>0</v>
      </c>
      <c r="DU167" s="100">
        <v>0.0</v>
      </c>
      <c r="DV167" s="93">
        <f t="shared" si="61"/>
        <v>0</v>
      </c>
    </row>
    <row r="168">
      <c r="A168" s="1" t="s">
        <v>958</v>
      </c>
      <c r="B168" s="1" t="s">
        <v>471</v>
      </c>
      <c r="C168" s="76" t="str">
        <f t="array" ref="C168">_xlfn.XLOOKUP(A168,'Emp Master'!A:A,'Emp Master'!F:F)</f>
        <v>#N/A</v>
      </c>
      <c r="D168" s="76" t="str">
        <f t="array" ref="D168">_xlfn.XLOOKUP(A168,'Emp Master'!A:A,'Emp Master'!D:D)</f>
        <v>#N/A</v>
      </c>
      <c r="E168" s="76" t="str">
        <f t="shared" si="326"/>
        <v>#REF!</v>
      </c>
      <c r="F168" s="76"/>
      <c r="G168" s="79"/>
      <c r="H168" s="80"/>
      <c r="I168" s="79"/>
      <c r="J168" s="80"/>
      <c r="K168" s="79"/>
      <c r="L168" s="142"/>
      <c r="M168" s="1"/>
      <c r="N168" s="142"/>
      <c r="O168" s="1"/>
      <c r="P168" s="142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79">
        <f>Y168-Z168+10000</f>
        <v>10000</v>
      </c>
      <c r="AB168" s="1"/>
      <c r="AC168" s="79">
        <f>AA168-AB168</f>
        <v>10000</v>
      </c>
      <c r="AD168" s="1"/>
      <c r="AE168" s="79">
        <f>AC168-AD168+5000</f>
        <v>15000</v>
      </c>
      <c r="AF168" s="106">
        <v>11419.0</v>
      </c>
      <c r="AG168" s="79">
        <f t="shared" ref="AG168:AG170" si="543">AE168-AF168</f>
        <v>3581</v>
      </c>
      <c r="AH168" s="1"/>
      <c r="AI168" s="79">
        <f t="shared" ref="AI168:AI170" si="544">AG168-AH168</f>
        <v>3581</v>
      </c>
      <c r="AJ168" s="1"/>
      <c r="AK168" s="79">
        <f t="shared" ref="AK168:AK170" si="545">AI168-AJ168</f>
        <v>3581</v>
      </c>
      <c r="AL168" s="1"/>
      <c r="AM168" s="79">
        <f t="shared" ref="AM168:AM171" si="546">AK168-AL168</f>
        <v>3581</v>
      </c>
      <c r="AN168" s="1"/>
      <c r="AO168" s="79">
        <f t="shared" ref="AO168:AO171" si="547">AM168-AN168</f>
        <v>3581</v>
      </c>
      <c r="AP168" s="1"/>
      <c r="AQ168" s="79">
        <f t="shared" ref="AQ168:AQ171" si="548">AO168-AP168</f>
        <v>3581</v>
      </c>
      <c r="AR168" s="1"/>
      <c r="AS168" s="79">
        <f t="shared" ref="AS168:AS171" si="549">AQ168-AR168</f>
        <v>3581</v>
      </c>
      <c r="AT168" s="1"/>
      <c r="AU168" s="79">
        <f t="shared" ref="AU168:AU171" si="550">AS168-AT168</f>
        <v>3581</v>
      </c>
      <c r="AV168" s="1"/>
      <c r="AW168" s="79">
        <f t="shared" ref="AW168:AW170" si="551">AU168-AV168</f>
        <v>3581</v>
      </c>
      <c r="AX168" s="1"/>
      <c r="AY168" s="79">
        <f t="shared" ref="AY168:AY169" si="552">AW168-AX168</f>
        <v>3581</v>
      </c>
      <c r="AZ168" s="1"/>
      <c r="BA168" s="79">
        <f t="shared" ref="BA168:BA171" si="553">AY168-AZ168</f>
        <v>3581</v>
      </c>
      <c r="BB168" s="1"/>
      <c r="BC168" s="79">
        <f t="shared" ref="BC168:BC171" si="554">BA168-BB168</f>
        <v>3581</v>
      </c>
      <c r="BD168" s="1"/>
      <c r="BE168" s="79">
        <f t="shared" ref="BE168:BE171" si="555">BC168-BD168</f>
        <v>3581</v>
      </c>
      <c r="BF168" s="1"/>
      <c r="BG168" s="79">
        <f t="shared" ref="BG168:BG171" si="556">BE168-BF168</f>
        <v>3581</v>
      </c>
      <c r="BH168" s="1"/>
      <c r="BI168" s="79">
        <f t="shared" si="511"/>
        <v>3581</v>
      </c>
      <c r="BJ168" s="1"/>
      <c r="BK168" s="79">
        <f t="shared" ref="BK168:BK171" si="557">BI168-BJ168</f>
        <v>3581</v>
      </c>
      <c r="BL168" s="1"/>
      <c r="BM168" s="79">
        <f t="shared" ref="BM168:BM171" si="558">BK168-BL168</f>
        <v>3581</v>
      </c>
      <c r="BN168" s="1"/>
      <c r="BO168" s="79">
        <f t="shared" ref="BO168:BO169" si="559">BM168-BN168</f>
        <v>3581</v>
      </c>
      <c r="BP168" s="1"/>
      <c r="BQ168" s="79">
        <f t="shared" si="515"/>
        <v>3581</v>
      </c>
      <c r="BR168" s="1"/>
      <c r="BS168" s="79">
        <f t="shared" si="516"/>
        <v>3581</v>
      </c>
      <c r="BT168" s="1"/>
      <c r="BU168" s="79">
        <f t="shared" si="517"/>
        <v>3581</v>
      </c>
      <c r="BV168" s="1"/>
      <c r="BW168" s="79">
        <f t="shared" si="518"/>
        <v>3581</v>
      </c>
      <c r="BX168" s="1"/>
      <c r="BY168" s="79">
        <f t="shared" si="519"/>
        <v>3581</v>
      </c>
      <c r="BZ168" s="1"/>
      <c r="CA168" s="79">
        <f t="shared" si="539"/>
        <v>3581</v>
      </c>
      <c r="CB168" s="106">
        <v>0.0</v>
      </c>
      <c r="CC168" s="79">
        <f t="shared" si="540"/>
        <v>3581</v>
      </c>
      <c r="CD168" s="1"/>
      <c r="CE168" s="79">
        <f t="shared" si="520"/>
        <v>3581</v>
      </c>
      <c r="CF168" s="1"/>
      <c r="CG168" s="79">
        <f t="shared" si="521"/>
        <v>3581</v>
      </c>
      <c r="CH168" s="1"/>
      <c r="CI168" s="79">
        <f t="shared" si="522"/>
        <v>3581</v>
      </c>
      <c r="CJ168" s="1"/>
      <c r="CK168" s="79">
        <f t="shared" si="523"/>
        <v>3581</v>
      </c>
      <c r="CL168" s="1"/>
      <c r="CM168" s="79">
        <f t="shared" si="541"/>
        <v>3581</v>
      </c>
      <c r="CN168" s="1"/>
      <c r="CO168" s="79">
        <f t="shared" si="524"/>
        <v>3581</v>
      </c>
      <c r="CP168" s="1"/>
      <c r="CQ168" s="79">
        <f t="shared" si="525"/>
        <v>3581</v>
      </c>
      <c r="CR168" s="1"/>
      <c r="CS168" s="79">
        <f t="shared" si="526"/>
        <v>3581</v>
      </c>
      <c r="CT168" s="79"/>
      <c r="CU168" s="79">
        <f t="shared" si="527"/>
        <v>3581</v>
      </c>
      <c r="CV168" s="79"/>
      <c r="CW168" s="79">
        <f t="shared" si="528"/>
        <v>3581</v>
      </c>
      <c r="CX168" s="79"/>
      <c r="CY168" s="91"/>
      <c r="CZ168" s="79">
        <f t="shared" si="529"/>
        <v>3581</v>
      </c>
      <c r="DA168" s="93"/>
      <c r="DB168" s="93">
        <f t="shared" si="542"/>
        <v>3581</v>
      </c>
      <c r="DC168" s="96"/>
      <c r="DD168" s="93">
        <f t="shared" si="530"/>
        <v>3581</v>
      </c>
      <c r="DE168" s="96"/>
      <c r="DF168" s="93">
        <f t="shared" si="531"/>
        <v>3581</v>
      </c>
      <c r="DG168" s="96"/>
      <c r="DH168" s="93">
        <f t="shared" si="532"/>
        <v>3581</v>
      </c>
      <c r="DI168" s="96"/>
      <c r="DJ168" s="93">
        <f t="shared" si="533"/>
        <v>3581</v>
      </c>
      <c r="DK168" s="93"/>
      <c r="DL168" s="93">
        <f t="shared" si="534"/>
        <v>3581</v>
      </c>
      <c r="DM168" s="100">
        <v>0.0</v>
      </c>
      <c r="DN168" s="93">
        <f t="shared" si="535"/>
        <v>3581</v>
      </c>
      <c r="DO168" s="100">
        <v>0.0</v>
      </c>
      <c r="DP168" s="93">
        <f t="shared" si="536"/>
        <v>3581</v>
      </c>
      <c r="DQ168" s="100">
        <v>0.0</v>
      </c>
      <c r="DR168" s="93">
        <f t="shared" si="537"/>
        <v>3581</v>
      </c>
      <c r="DS168" s="100">
        <v>0.0</v>
      </c>
      <c r="DT168" s="93">
        <f t="shared" si="538"/>
        <v>3581</v>
      </c>
      <c r="DU168" s="100">
        <v>0.0</v>
      </c>
      <c r="DV168" s="93">
        <f t="shared" si="61"/>
        <v>3581</v>
      </c>
    </row>
    <row r="169">
      <c r="A169" s="1" t="s">
        <v>959</v>
      </c>
      <c r="B169" s="1" t="s">
        <v>960</v>
      </c>
      <c r="C169" s="76" t="str">
        <f t="array" ref="C169">_xlfn.XLOOKUP(A169,'Emp Master'!A:A,'Emp Master'!F:F)</f>
        <v>#N/A</v>
      </c>
      <c r="D169" s="76" t="str">
        <f t="array" ref="D169">_xlfn.XLOOKUP(A169,'Emp Master'!A:A,'Emp Master'!D:D)</f>
        <v>#N/A</v>
      </c>
      <c r="E169" s="76" t="str">
        <f t="shared" si="326"/>
        <v>#REF!</v>
      </c>
      <c r="F169" s="76"/>
      <c r="G169" s="79"/>
      <c r="H169" s="80"/>
      <c r="I169" s="79">
        <f>G169-H169+20000</f>
        <v>20000</v>
      </c>
      <c r="J169" s="80"/>
      <c r="K169" s="79">
        <f t="shared" ref="K169:K170" si="560">I169-J169</f>
        <v>20000</v>
      </c>
      <c r="L169" s="126">
        <v>5000.0</v>
      </c>
      <c r="M169" s="79">
        <f t="shared" ref="M169:M170" si="561">K169-L169</f>
        <v>15000</v>
      </c>
      <c r="N169" s="126">
        <v>5000.0</v>
      </c>
      <c r="O169" s="79">
        <f t="shared" ref="O169:O170" si="562">M169-N169</f>
        <v>10000</v>
      </c>
      <c r="P169" s="126">
        <v>5000.0</v>
      </c>
      <c r="Q169" s="79">
        <f t="shared" ref="Q169:Q170" si="563">O169-P169</f>
        <v>5000</v>
      </c>
      <c r="R169" s="106">
        <v>5000.0</v>
      </c>
      <c r="S169" s="79">
        <f t="shared" ref="S169:S170" si="564">Q169-R169</f>
        <v>0</v>
      </c>
      <c r="T169" s="1"/>
      <c r="U169" s="79">
        <f t="shared" ref="U169:U170" si="565">S169-T169</f>
        <v>0</v>
      </c>
      <c r="V169" s="1"/>
      <c r="W169" s="79">
        <f t="shared" ref="W169:W170" si="566">U169-V169</f>
        <v>0</v>
      </c>
      <c r="X169" s="1"/>
      <c r="Y169" s="79">
        <f t="shared" ref="Y169:Y170" si="567">W169-X169</f>
        <v>0</v>
      </c>
      <c r="Z169" s="1"/>
      <c r="AA169" s="24"/>
      <c r="AB169" s="1"/>
      <c r="AC169" s="24">
        <v>87.0</v>
      </c>
      <c r="AD169" s="106">
        <v>87.0</v>
      </c>
      <c r="AE169" s="79">
        <f t="shared" ref="AE169:AE170" si="568">AC169-AD169</f>
        <v>0</v>
      </c>
      <c r="AF169" s="1"/>
      <c r="AG169" s="79">
        <f t="shared" si="543"/>
        <v>0</v>
      </c>
      <c r="AH169" s="1"/>
      <c r="AI169" s="79">
        <f t="shared" si="544"/>
        <v>0</v>
      </c>
      <c r="AJ169" s="1"/>
      <c r="AK169" s="79">
        <f t="shared" si="545"/>
        <v>0</v>
      </c>
      <c r="AL169" s="1"/>
      <c r="AM169" s="79">
        <f t="shared" si="546"/>
        <v>0</v>
      </c>
      <c r="AN169" s="1"/>
      <c r="AO169" s="79">
        <f t="shared" si="547"/>
        <v>0</v>
      </c>
      <c r="AP169" s="1"/>
      <c r="AQ169" s="79">
        <f t="shared" si="548"/>
        <v>0</v>
      </c>
      <c r="AR169" s="1"/>
      <c r="AS169" s="79">
        <f t="shared" si="549"/>
        <v>0</v>
      </c>
      <c r="AT169" s="1"/>
      <c r="AU169" s="79">
        <f t="shared" si="550"/>
        <v>0</v>
      </c>
      <c r="AV169" s="1"/>
      <c r="AW169" s="79">
        <f t="shared" si="551"/>
        <v>0</v>
      </c>
      <c r="AX169" s="1"/>
      <c r="AY169" s="79">
        <f t="shared" si="552"/>
        <v>0</v>
      </c>
      <c r="AZ169" s="1"/>
      <c r="BA169" s="79">
        <f t="shared" si="553"/>
        <v>0</v>
      </c>
      <c r="BB169" s="1"/>
      <c r="BC169" s="79">
        <f t="shared" si="554"/>
        <v>0</v>
      </c>
      <c r="BD169" s="1"/>
      <c r="BE169" s="79">
        <f t="shared" si="555"/>
        <v>0</v>
      </c>
      <c r="BF169" s="1"/>
      <c r="BG169" s="79">
        <f t="shared" si="556"/>
        <v>0</v>
      </c>
      <c r="BH169" s="1"/>
      <c r="BI169" s="79">
        <f t="shared" si="511"/>
        <v>0</v>
      </c>
      <c r="BJ169" s="1"/>
      <c r="BK169" s="79">
        <f t="shared" si="557"/>
        <v>0</v>
      </c>
      <c r="BL169" s="1"/>
      <c r="BM169" s="79">
        <f t="shared" si="558"/>
        <v>0</v>
      </c>
      <c r="BN169" s="1"/>
      <c r="BO169" s="79">
        <f t="shared" si="559"/>
        <v>0</v>
      </c>
      <c r="BP169" s="1"/>
      <c r="BQ169" s="79">
        <f t="shared" si="515"/>
        <v>0</v>
      </c>
      <c r="BR169" s="1"/>
      <c r="BS169" s="79">
        <f t="shared" si="516"/>
        <v>0</v>
      </c>
      <c r="BT169" s="1"/>
      <c r="BU169" s="79">
        <f t="shared" si="517"/>
        <v>0</v>
      </c>
      <c r="BV169" s="1"/>
      <c r="BW169" s="79">
        <f t="shared" si="518"/>
        <v>0</v>
      </c>
      <c r="BX169" s="1"/>
      <c r="BY169" s="79">
        <f t="shared" si="519"/>
        <v>0</v>
      </c>
      <c r="BZ169" s="1"/>
      <c r="CA169" s="79">
        <f t="shared" si="539"/>
        <v>0</v>
      </c>
      <c r="CB169" s="1"/>
      <c r="CC169" s="79">
        <f t="shared" si="540"/>
        <v>0</v>
      </c>
      <c r="CD169" s="1"/>
      <c r="CE169" s="79">
        <f t="shared" si="520"/>
        <v>0</v>
      </c>
      <c r="CF169" s="1"/>
      <c r="CG169" s="79">
        <f t="shared" si="521"/>
        <v>0</v>
      </c>
      <c r="CH169" s="1"/>
      <c r="CI169" s="79">
        <f t="shared" si="522"/>
        <v>0</v>
      </c>
      <c r="CJ169" s="1"/>
      <c r="CK169" s="79">
        <f t="shared" si="523"/>
        <v>0</v>
      </c>
      <c r="CL169" s="1"/>
      <c r="CM169" s="79">
        <f t="shared" si="541"/>
        <v>0</v>
      </c>
      <c r="CN169" s="1"/>
      <c r="CO169" s="79">
        <f t="shared" si="524"/>
        <v>0</v>
      </c>
      <c r="CP169" s="1"/>
      <c r="CQ169" s="79">
        <f t="shared" si="525"/>
        <v>0</v>
      </c>
      <c r="CR169" s="1"/>
      <c r="CS169" s="79">
        <f t="shared" si="526"/>
        <v>0</v>
      </c>
      <c r="CT169" s="79"/>
      <c r="CU169" s="79">
        <f t="shared" si="527"/>
        <v>0</v>
      </c>
      <c r="CV169" s="79"/>
      <c r="CW169" s="79">
        <f t="shared" si="528"/>
        <v>0</v>
      </c>
      <c r="CX169" s="79"/>
      <c r="CY169" s="91"/>
      <c r="CZ169" s="79">
        <f t="shared" si="529"/>
        <v>0</v>
      </c>
      <c r="DA169" s="93"/>
      <c r="DB169" s="93">
        <f t="shared" si="542"/>
        <v>0</v>
      </c>
      <c r="DC169" s="96"/>
      <c r="DD169" s="93">
        <f t="shared" si="530"/>
        <v>0</v>
      </c>
      <c r="DE169" s="96"/>
      <c r="DF169" s="93">
        <f t="shared" si="531"/>
        <v>0</v>
      </c>
      <c r="DG169" s="96"/>
      <c r="DH169" s="93">
        <f t="shared" si="532"/>
        <v>0</v>
      </c>
      <c r="DI169" s="96"/>
      <c r="DJ169" s="93">
        <f t="shared" si="533"/>
        <v>0</v>
      </c>
      <c r="DK169" s="93"/>
      <c r="DL169" s="93">
        <f t="shared" si="534"/>
        <v>0</v>
      </c>
      <c r="DM169" s="100">
        <v>0.0</v>
      </c>
      <c r="DN169" s="93">
        <f t="shared" si="535"/>
        <v>0</v>
      </c>
      <c r="DO169" s="100">
        <v>0.0</v>
      </c>
      <c r="DP169" s="93">
        <f t="shared" si="536"/>
        <v>0</v>
      </c>
      <c r="DQ169" s="100">
        <v>0.0</v>
      </c>
      <c r="DR169" s="93">
        <f t="shared" si="537"/>
        <v>0</v>
      </c>
      <c r="DS169" s="100">
        <v>0.0</v>
      </c>
      <c r="DT169" s="93">
        <f t="shared" si="538"/>
        <v>0</v>
      </c>
      <c r="DU169" s="100">
        <v>0.0</v>
      </c>
      <c r="DV169" s="93">
        <f t="shared" si="61"/>
        <v>0</v>
      </c>
    </row>
    <row r="170">
      <c r="A170" s="7" t="s">
        <v>512</v>
      </c>
      <c r="B170" s="7" t="s">
        <v>513</v>
      </c>
      <c r="C170" s="76" t="str">
        <f t="array" ref="C170">_xlfn.XLOOKUP(A170,'Emp Master'!A:A,'Emp Master'!F:F)</f>
        <v>SNP</v>
      </c>
      <c r="D170" s="76" t="str">
        <f t="array" ref="D170">_xlfn.XLOOKUP(A170,'Emp Master'!A:A,'Emp Master'!D:D)</f>
        <v>Cutting</v>
      </c>
      <c r="E170" s="76" t="str">
        <f t="shared" si="326"/>
        <v>#REF!</v>
      </c>
      <c r="F170" s="76"/>
      <c r="G170" s="79"/>
      <c r="H170" s="80"/>
      <c r="I170" s="79">
        <f>G170-H170</f>
        <v>0</v>
      </c>
      <c r="J170" s="80"/>
      <c r="K170" s="79">
        <f t="shared" si="560"/>
        <v>0</v>
      </c>
      <c r="L170" s="142"/>
      <c r="M170" s="79">
        <f t="shared" si="561"/>
        <v>0</v>
      </c>
      <c r="N170" s="142"/>
      <c r="O170" s="79">
        <f t="shared" si="562"/>
        <v>0</v>
      </c>
      <c r="P170" s="142"/>
      <c r="Q170" s="79">
        <f t="shared" si="563"/>
        <v>0</v>
      </c>
      <c r="R170" s="1"/>
      <c r="S170" s="79">
        <f t="shared" si="564"/>
        <v>0</v>
      </c>
      <c r="T170" s="1"/>
      <c r="U170" s="79">
        <f t="shared" si="565"/>
        <v>0</v>
      </c>
      <c r="V170" s="1"/>
      <c r="W170" s="79">
        <f t="shared" si="566"/>
        <v>0</v>
      </c>
      <c r="X170" s="1"/>
      <c r="Y170" s="79">
        <f t="shared" si="567"/>
        <v>0</v>
      </c>
      <c r="Z170" s="1"/>
      <c r="AA170" s="79">
        <f>Y170-Z170</f>
        <v>0</v>
      </c>
      <c r="AB170" s="1"/>
      <c r="AC170" s="79">
        <f>AA170-AB170</f>
        <v>0</v>
      </c>
      <c r="AD170" s="1"/>
      <c r="AE170" s="79">
        <f t="shared" si="568"/>
        <v>0</v>
      </c>
      <c r="AF170" s="1"/>
      <c r="AG170" s="79">
        <f t="shared" si="543"/>
        <v>0</v>
      </c>
      <c r="AH170" s="1"/>
      <c r="AI170" s="79">
        <f t="shared" si="544"/>
        <v>0</v>
      </c>
      <c r="AJ170" s="1"/>
      <c r="AK170" s="79">
        <f t="shared" si="545"/>
        <v>0</v>
      </c>
      <c r="AL170" s="1"/>
      <c r="AM170" s="79">
        <f t="shared" si="546"/>
        <v>0</v>
      </c>
      <c r="AN170" s="1"/>
      <c r="AO170" s="79">
        <f t="shared" si="547"/>
        <v>0</v>
      </c>
      <c r="AP170" s="1"/>
      <c r="AQ170" s="79">
        <f t="shared" si="548"/>
        <v>0</v>
      </c>
      <c r="AR170" s="1"/>
      <c r="AS170" s="79">
        <f t="shared" si="549"/>
        <v>0</v>
      </c>
      <c r="AT170" s="1"/>
      <c r="AU170" s="79">
        <f t="shared" si="550"/>
        <v>0</v>
      </c>
      <c r="AV170" s="1"/>
      <c r="AW170" s="79">
        <f t="shared" si="551"/>
        <v>0</v>
      </c>
      <c r="AX170" s="1"/>
      <c r="AY170" s="79">
        <f>AW170-AX170+10000</f>
        <v>10000</v>
      </c>
      <c r="AZ170" s="1"/>
      <c r="BA170" s="79">
        <f t="shared" si="553"/>
        <v>10000</v>
      </c>
      <c r="BB170" s="106">
        <v>3000.0</v>
      </c>
      <c r="BC170" s="79">
        <f t="shared" si="554"/>
        <v>7000</v>
      </c>
      <c r="BD170" s="106">
        <v>3000.0</v>
      </c>
      <c r="BE170" s="79">
        <f t="shared" si="555"/>
        <v>4000</v>
      </c>
      <c r="BF170" s="106">
        <v>3000.0</v>
      </c>
      <c r="BG170" s="79">
        <f t="shared" si="556"/>
        <v>1000</v>
      </c>
      <c r="BH170" s="106">
        <v>1000.0</v>
      </c>
      <c r="BI170" s="79">
        <f>BG170-BH170+12000</f>
        <v>12000</v>
      </c>
      <c r="BJ170" s="106">
        <v>3000.0</v>
      </c>
      <c r="BK170" s="79">
        <f t="shared" si="557"/>
        <v>9000</v>
      </c>
      <c r="BL170" s="106">
        <v>3000.0</v>
      </c>
      <c r="BM170" s="79">
        <f t="shared" si="558"/>
        <v>6000</v>
      </c>
      <c r="BN170" s="106">
        <v>3000.0</v>
      </c>
      <c r="BO170" s="79">
        <f>BM170-BN170+10000</f>
        <v>13000</v>
      </c>
      <c r="BP170" s="106">
        <v>3000.0</v>
      </c>
      <c r="BQ170" s="79">
        <f t="shared" si="515"/>
        <v>10000</v>
      </c>
      <c r="BR170" s="106">
        <v>3000.0</v>
      </c>
      <c r="BS170" s="79">
        <f t="shared" si="516"/>
        <v>7000</v>
      </c>
      <c r="BT170" s="106">
        <v>3000.0</v>
      </c>
      <c r="BU170" s="79">
        <f t="shared" si="517"/>
        <v>4000</v>
      </c>
      <c r="BV170" s="106">
        <v>4000.0</v>
      </c>
      <c r="BW170" s="79">
        <f>BU170-BV170+7000</f>
        <v>7000</v>
      </c>
      <c r="BX170" s="106">
        <v>0.0</v>
      </c>
      <c r="BY170" s="79">
        <f t="shared" si="519"/>
        <v>7000</v>
      </c>
      <c r="BZ170" s="106">
        <v>3000.0</v>
      </c>
      <c r="CA170" s="79">
        <f t="shared" si="539"/>
        <v>4000</v>
      </c>
      <c r="CB170" s="106">
        <v>3000.0</v>
      </c>
      <c r="CC170" s="79">
        <f t="shared" si="540"/>
        <v>1000</v>
      </c>
      <c r="CD170" s="106">
        <v>1000.0</v>
      </c>
      <c r="CE170" s="79">
        <f t="shared" si="520"/>
        <v>0</v>
      </c>
      <c r="CF170" s="1"/>
      <c r="CG170" s="79">
        <f>10000+(CE170-CF170)</f>
        <v>10000</v>
      </c>
      <c r="CH170" s="106">
        <v>10000.0</v>
      </c>
      <c r="CI170" s="79">
        <f t="shared" si="522"/>
        <v>0</v>
      </c>
      <c r="CJ170" s="106"/>
      <c r="CK170" s="79">
        <f t="shared" si="523"/>
        <v>0</v>
      </c>
      <c r="CL170" s="106"/>
      <c r="CM170" s="79">
        <f t="shared" si="541"/>
        <v>0</v>
      </c>
      <c r="CN170" s="106"/>
      <c r="CO170" s="79">
        <f>10000+CM170-CN170</f>
        <v>10000</v>
      </c>
      <c r="CP170" s="106">
        <v>3000.0</v>
      </c>
      <c r="CQ170" s="79">
        <f t="shared" si="525"/>
        <v>7000</v>
      </c>
      <c r="CR170" s="106">
        <v>3000.0</v>
      </c>
      <c r="CS170" s="79">
        <f t="shared" si="526"/>
        <v>4000</v>
      </c>
      <c r="CT170" s="24">
        <v>2000.0</v>
      </c>
      <c r="CU170" s="79">
        <f t="shared" si="527"/>
        <v>2000</v>
      </c>
      <c r="CV170" s="24">
        <v>2000.0</v>
      </c>
      <c r="CW170" s="24">
        <v>15000.0</v>
      </c>
      <c r="CX170" s="24">
        <v>7500.0</v>
      </c>
      <c r="CY170" s="91">
        <v>7500.0</v>
      </c>
      <c r="CZ170" s="79">
        <f t="shared" ref="CZ170:CZ171" si="569">CW170-CX170-CY170</f>
        <v>0</v>
      </c>
      <c r="DA170" s="93"/>
      <c r="DB170" s="93">
        <f t="shared" si="542"/>
        <v>0</v>
      </c>
      <c r="DC170" s="96"/>
      <c r="DD170" s="93">
        <f>DB170-DC170+15000</f>
        <v>15000</v>
      </c>
      <c r="DE170" s="178">
        <v>4000.0</v>
      </c>
      <c r="DF170" s="93">
        <f t="shared" si="531"/>
        <v>11000</v>
      </c>
      <c r="DG170" s="178">
        <v>4000.0</v>
      </c>
      <c r="DH170" s="93">
        <f t="shared" si="532"/>
        <v>7000</v>
      </c>
      <c r="DI170" s="178">
        <v>3500.0</v>
      </c>
      <c r="DJ170" s="93">
        <f t="shared" si="533"/>
        <v>3500</v>
      </c>
      <c r="DK170" s="100">
        <v>3500.0</v>
      </c>
      <c r="DL170" s="93">
        <f t="shared" si="534"/>
        <v>0</v>
      </c>
      <c r="DM170" s="100">
        <v>0.0</v>
      </c>
      <c r="DN170" s="93">
        <f t="shared" si="535"/>
        <v>0</v>
      </c>
      <c r="DO170" s="100">
        <v>0.0</v>
      </c>
      <c r="DP170" s="93">
        <f>DN170-DO170+16000</f>
        <v>16000</v>
      </c>
      <c r="DQ170" s="100">
        <v>4000.0</v>
      </c>
      <c r="DR170" s="93">
        <f t="shared" si="537"/>
        <v>12000</v>
      </c>
      <c r="DS170" s="100">
        <v>4000.0</v>
      </c>
      <c r="DT170" s="93">
        <f t="shared" si="538"/>
        <v>8000</v>
      </c>
      <c r="DU170" s="100">
        <v>0.0</v>
      </c>
      <c r="DV170" s="93">
        <f t="shared" si="61"/>
        <v>8000</v>
      </c>
    </row>
    <row r="171">
      <c r="A171" s="106" t="s">
        <v>514</v>
      </c>
      <c r="B171" s="106" t="s">
        <v>961</v>
      </c>
      <c r="C171" s="76" t="str">
        <f t="array" ref="C171">_xlfn.XLOOKUP(A171,'Emp Master'!A:A,'Emp Master'!F:F)</f>
        <v>SNP</v>
      </c>
      <c r="D171" s="76" t="str">
        <f t="array" ref="D171">_xlfn.XLOOKUP(A171,'Emp Master'!A:A,'Emp Master'!D:D)</f>
        <v>Cutting</v>
      </c>
      <c r="E171" s="76" t="str">
        <f t="shared" si="326"/>
        <v>#REF!</v>
      </c>
      <c r="F171" s="76"/>
      <c r="G171" s="79"/>
      <c r="H171" s="80"/>
      <c r="I171" s="79"/>
      <c r="J171" s="80"/>
      <c r="K171" s="79"/>
      <c r="L171" s="142"/>
      <c r="M171" s="1"/>
      <c r="N171" s="142"/>
      <c r="O171" s="1"/>
      <c r="P171" s="142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79">
        <f>AI171-AJ171+10000</f>
        <v>10000</v>
      </c>
      <c r="AL171" s="106">
        <v>3000.0</v>
      </c>
      <c r="AM171" s="79">
        <f t="shared" si="546"/>
        <v>7000</v>
      </c>
      <c r="AN171" s="106">
        <v>2000.0</v>
      </c>
      <c r="AO171" s="79">
        <f t="shared" si="547"/>
        <v>5000</v>
      </c>
      <c r="AP171" s="106">
        <v>2000.0</v>
      </c>
      <c r="AQ171" s="79">
        <f t="shared" si="548"/>
        <v>3000</v>
      </c>
      <c r="AR171" s="106">
        <v>2000.0</v>
      </c>
      <c r="AS171" s="79">
        <f t="shared" si="549"/>
        <v>1000</v>
      </c>
      <c r="AT171" s="1"/>
      <c r="AU171" s="79">
        <f t="shared" si="550"/>
        <v>1000</v>
      </c>
      <c r="AV171" s="106">
        <v>1000.0</v>
      </c>
      <c r="AW171" s="79">
        <f>AU171-AV171+10000</f>
        <v>10000</v>
      </c>
      <c r="AX171" s="106">
        <v>4000.0</v>
      </c>
      <c r="AY171" s="79">
        <f>AW171-AX171</f>
        <v>6000</v>
      </c>
      <c r="AZ171" s="106">
        <v>2000.0</v>
      </c>
      <c r="BA171" s="79">
        <f t="shared" si="553"/>
        <v>4000</v>
      </c>
      <c r="BB171" s="106">
        <v>2000.0</v>
      </c>
      <c r="BC171" s="79">
        <f t="shared" si="554"/>
        <v>2000</v>
      </c>
      <c r="BD171" s="106">
        <v>2000.0</v>
      </c>
      <c r="BE171" s="79">
        <f t="shared" si="555"/>
        <v>0</v>
      </c>
      <c r="BF171" s="1"/>
      <c r="BG171" s="79">
        <f t="shared" si="556"/>
        <v>0</v>
      </c>
      <c r="BH171" s="1"/>
      <c r="BI171" s="79">
        <f>BG171-BH171+15000</f>
        <v>15000</v>
      </c>
      <c r="BJ171" s="1">
        <f>5000</f>
        <v>5000</v>
      </c>
      <c r="BK171" s="79">
        <f t="shared" si="557"/>
        <v>10000</v>
      </c>
      <c r="BL171" s="106">
        <v>2000.0</v>
      </c>
      <c r="BM171" s="79">
        <f t="shared" si="558"/>
        <v>8000</v>
      </c>
      <c r="BN171" s="106">
        <v>2000.0</v>
      </c>
      <c r="BO171" s="79">
        <f>BM171-BN171</f>
        <v>6000</v>
      </c>
      <c r="BP171" s="106">
        <v>2000.0</v>
      </c>
      <c r="BQ171" s="79">
        <f t="shared" si="515"/>
        <v>4000</v>
      </c>
      <c r="BR171" s="106">
        <v>2000.0</v>
      </c>
      <c r="BS171" s="79">
        <f t="shared" si="516"/>
        <v>2000</v>
      </c>
      <c r="BT171" s="106">
        <v>2000.0</v>
      </c>
      <c r="BU171" s="79">
        <f t="shared" si="517"/>
        <v>0</v>
      </c>
      <c r="BV171" s="1"/>
      <c r="BW171" s="79">
        <f>BU171-BV171+5000</f>
        <v>5000</v>
      </c>
      <c r="BX171" s="106">
        <v>1000.0</v>
      </c>
      <c r="BY171" s="79">
        <f>BW171-BX171+1000</f>
        <v>5000</v>
      </c>
      <c r="BZ171" s="106">
        <v>2000.0</v>
      </c>
      <c r="CA171" s="79">
        <f t="shared" si="539"/>
        <v>3000</v>
      </c>
      <c r="CB171" s="106">
        <v>2000.0</v>
      </c>
      <c r="CC171" s="79">
        <f>3700+(CA171-CB171)</f>
        <v>4700</v>
      </c>
      <c r="CD171" s="106">
        <v>4700.0</v>
      </c>
      <c r="CE171" s="24">
        <v>1000.0</v>
      </c>
      <c r="CF171" s="106">
        <v>1000.0</v>
      </c>
      <c r="CG171" s="79">
        <f>2000+(CE171-CF171)</f>
        <v>2000</v>
      </c>
      <c r="CH171" s="106">
        <v>1000.0</v>
      </c>
      <c r="CI171" s="79">
        <f t="shared" si="522"/>
        <v>1000</v>
      </c>
      <c r="CJ171" s="106">
        <v>1000.0</v>
      </c>
      <c r="CK171" s="79">
        <f t="shared" si="523"/>
        <v>0</v>
      </c>
      <c r="CL171" s="106"/>
      <c r="CM171" s="79">
        <f>8000+CK171-CL171</f>
        <v>8000</v>
      </c>
      <c r="CN171" s="106">
        <v>2000.0</v>
      </c>
      <c r="CO171" s="79">
        <f t="shared" ref="CO171:CO172" si="570">CM171-CN171</f>
        <v>6000</v>
      </c>
      <c r="CP171" s="106">
        <v>2000.0</v>
      </c>
      <c r="CQ171" s="79">
        <f t="shared" si="525"/>
        <v>4000</v>
      </c>
      <c r="CR171" s="106">
        <v>2000.0</v>
      </c>
      <c r="CS171" s="79">
        <f t="shared" si="526"/>
        <v>2000</v>
      </c>
      <c r="CT171" s="24">
        <v>2000.0</v>
      </c>
      <c r="CU171" s="79">
        <f>CS171-CT171+9000</f>
        <v>9000</v>
      </c>
      <c r="CV171" s="24">
        <v>2000.0</v>
      </c>
      <c r="CW171" s="79">
        <f>CU171-CV171+1000</f>
        <v>8000</v>
      </c>
      <c r="CX171" s="24">
        <v>3000.0</v>
      </c>
      <c r="CY171" s="91">
        <v>3000.0</v>
      </c>
      <c r="CZ171" s="79">
        <f t="shared" si="569"/>
        <v>2000</v>
      </c>
      <c r="DA171" s="100">
        <v>2000.0</v>
      </c>
      <c r="DB171" s="93">
        <f t="shared" ref="DB171:DB172" si="571">CZ171-DA171+10000</f>
        <v>10000</v>
      </c>
      <c r="DC171" s="207">
        <v>2000.0</v>
      </c>
      <c r="DD171" s="93">
        <f t="shared" ref="DD171:DD172" si="572">DB171-DC171</f>
        <v>8000</v>
      </c>
      <c r="DE171" s="207">
        <v>2000.0</v>
      </c>
      <c r="DF171" s="93">
        <f t="shared" si="531"/>
        <v>6000</v>
      </c>
      <c r="DG171" s="178">
        <v>3500.0</v>
      </c>
      <c r="DH171" s="93">
        <f>DF171-DG171+10000</f>
        <v>12500</v>
      </c>
      <c r="DI171" s="178">
        <v>0.0</v>
      </c>
      <c r="DJ171" s="93">
        <f t="shared" si="533"/>
        <v>12500</v>
      </c>
      <c r="DK171" s="100">
        <v>2000.0</v>
      </c>
      <c r="DL171" s="93">
        <f t="shared" si="534"/>
        <v>10500</v>
      </c>
      <c r="DM171" s="100">
        <v>3500.0</v>
      </c>
      <c r="DN171" s="93">
        <f t="shared" si="535"/>
        <v>7000</v>
      </c>
      <c r="DO171" s="100">
        <v>3500.0</v>
      </c>
      <c r="DP171" s="93">
        <f t="shared" ref="DP171:DP176" si="573">DN171-DO171</f>
        <v>3500</v>
      </c>
      <c r="DQ171" s="100">
        <v>2000.0</v>
      </c>
      <c r="DR171" s="93">
        <f>DP171-DQ171+8000</f>
        <v>9500</v>
      </c>
      <c r="DS171" s="100">
        <v>2500.0</v>
      </c>
      <c r="DT171" s="93">
        <f t="shared" si="538"/>
        <v>7000</v>
      </c>
      <c r="DU171" s="100">
        <v>2500.0</v>
      </c>
      <c r="DV171" s="93">
        <f t="shared" si="61"/>
        <v>4500</v>
      </c>
    </row>
    <row r="172">
      <c r="A172" s="106" t="s">
        <v>962</v>
      </c>
      <c r="B172" s="106" t="s">
        <v>492</v>
      </c>
      <c r="C172" s="76" t="str">
        <f t="array" ref="C172">_xlfn.XLOOKUP(A172,'Emp Master'!A:A,'Emp Master'!F:F)</f>
        <v>#N/A</v>
      </c>
      <c r="D172" s="76" t="str">
        <f t="array" ref="D172">_xlfn.XLOOKUP(A172,'Emp Master'!A:A,'Emp Master'!D:D)</f>
        <v>#N/A</v>
      </c>
      <c r="E172" s="76" t="str">
        <f t="shared" si="326"/>
        <v>#REF!</v>
      </c>
      <c r="F172" s="76"/>
      <c r="G172" s="79"/>
      <c r="H172" s="80"/>
      <c r="I172" s="79"/>
      <c r="J172" s="80"/>
      <c r="K172" s="79"/>
      <c r="L172" s="142"/>
      <c r="M172" s="1"/>
      <c r="N172" s="142"/>
      <c r="O172" s="1"/>
      <c r="P172" s="142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79">
        <f>BG172-BH172</f>
        <v>0</v>
      </c>
      <c r="BJ172" s="1"/>
      <c r="BK172" s="1"/>
      <c r="BL172" s="1"/>
      <c r="BM172" s="1"/>
      <c r="BN172" s="1"/>
      <c r="BO172" s="1"/>
      <c r="BP172" s="1"/>
      <c r="BQ172" s="79"/>
      <c r="BR172" s="1"/>
      <c r="BS172" s="79">
        <f t="shared" si="516"/>
        <v>0</v>
      </c>
      <c r="BT172" s="1"/>
      <c r="BU172" s="79">
        <f>BS172-BT172+7000</f>
        <v>7000</v>
      </c>
      <c r="BV172" s="106">
        <v>2000.0</v>
      </c>
      <c r="BW172" s="79">
        <f>BU172-BV172</f>
        <v>5000</v>
      </c>
      <c r="BX172" s="106">
        <v>2000.0</v>
      </c>
      <c r="BY172" s="79">
        <f t="shared" ref="BY172:BY176" si="574">BW172-BX172</f>
        <v>3000</v>
      </c>
      <c r="BZ172" s="106">
        <v>2000.0</v>
      </c>
      <c r="CA172" s="79">
        <f t="shared" si="539"/>
        <v>1000</v>
      </c>
      <c r="CB172" s="106">
        <v>1000.0</v>
      </c>
      <c r="CC172" s="79">
        <f t="shared" ref="CC172:CC176" si="575">CA172-CB172</f>
        <v>0</v>
      </c>
      <c r="CD172" s="1"/>
      <c r="CE172" s="79">
        <f t="shared" ref="CE172:CE176" si="576">CC172-CD172</f>
        <v>0</v>
      </c>
      <c r="CF172" s="1"/>
      <c r="CG172" s="79">
        <f t="shared" ref="CG172:CG173" si="577">CE172-CF172</f>
        <v>0</v>
      </c>
      <c r="CH172" s="1"/>
      <c r="CI172" s="79">
        <f t="shared" si="522"/>
        <v>0</v>
      </c>
      <c r="CJ172" s="1"/>
      <c r="CK172" s="79">
        <f t="shared" si="523"/>
        <v>0</v>
      </c>
      <c r="CL172" s="1"/>
      <c r="CM172" s="79">
        <f t="shared" ref="CM172:CM176" si="578">CK172-CL172</f>
        <v>0</v>
      </c>
      <c r="CN172" s="1"/>
      <c r="CO172" s="79">
        <f t="shared" si="570"/>
        <v>0</v>
      </c>
      <c r="CP172" s="1"/>
      <c r="CQ172" s="79">
        <f t="shared" si="525"/>
        <v>0</v>
      </c>
      <c r="CR172" s="1"/>
      <c r="CS172" s="79">
        <f t="shared" si="526"/>
        <v>0</v>
      </c>
      <c r="CT172" s="79"/>
      <c r="CU172" s="79">
        <f>CS172-CT172</f>
        <v>0</v>
      </c>
      <c r="CV172" s="79"/>
      <c r="CW172" s="79">
        <f t="shared" ref="CW172:CW174" si="579">CU172-CV172</f>
        <v>0</v>
      </c>
      <c r="CX172" s="79"/>
      <c r="CY172" s="91"/>
      <c r="CZ172" s="79">
        <f>CW172-CX172</f>
        <v>0</v>
      </c>
      <c r="DA172" s="93"/>
      <c r="DB172" s="93">
        <f t="shared" si="571"/>
        <v>10000</v>
      </c>
      <c r="DC172" s="178"/>
      <c r="DD172" s="93">
        <f t="shared" si="572"/>
        <v>10000</v>
      </c>
      <c r="DE172" s="178">
        <v>5000.0</v>
      </c>
      <c r="DF172" s="93">
        <f t="shared" si="531"/>
        <v>5000</v>
      </c>
      <c r="DG172" s="178">
        <v>5000.0</v>
      </c>
      <c r="DH172" s="100">
        <v>15000.0</v>
      </c>
      <c r="DI172" s="178">
        <v>15000.0</v>
      </c>
      <c r="DJ172" s="93">
        <f t="shared" si="533"/>
        <v>0</v>
      </c>
      <c r="DK172" s="93"/>
      <c r="DL172" s="93">
        <f t="shared" si="534"/>
        <v>0</v>
      </c>
      <c r="DM172" s="100">
        <v>0.0</v>
      </c>
      <c r="DN172" s="93">
        <f t="shared" si="535"/>
        <v>0</v>
      </c>
      <c r="DO172" s="100">
        <v>0.0</v>
      </c>
      <c r="DP172" s="93">
        <f t="shared" si="573"/>
        <v>0</v>
      </c>
      <c r="DQ172" s="100">
        <v>0.0</v>
      </c>
      <c r="DR172" s="93">
        <f>DP172-DQ172</f>
        <v>0</v>
      </c>
      <c r="DS172" s="100">
        <v>0.0</v>
      </c>
      <c r="DT172" s="93">
        <f t="shared" si="538"/>
        <v>0</v>
      </c>
      <c r="DU172" s="100">
        <v>0.0</v>
      </c>
      <c r="DV172" s="93">
        <f t="shared" si="61"/>
        <v>0</v>
      </c>
    </row>
    <row r="173">
      <c r="A173" s="106" t="s">
        <v>520</v>
      </c>
      <c r="B173" s="106" t="s">
        <v>521</v>
      </c>
      <c r="C173" s="76" t="str">
        <f t="array" ref="C173">_xlfn.XLOOKUP(A173,'Emp Master'!A:A,'Emp Master'!F:F)</f>
        <v>SNP</v>
      </c>
      <c r="D173" s="76" t="str">
        <f t="array" ref="D173">_xlfn.XLOOKUP(A173,'Emp Master'!A:A,'Emp Master'!D:D)</f>
        <v>Sales &amp; BD</v>
      </c>
      <c r="E173" s="76" t="str">
        <f t="shared" si="326"/>
        <v>#REF!</v>
      </c>
      <c r="F173" s="76"/>
      <c r="G173" s="79"/>
      <c r="H173" s="80"/>
      <c r="I173" s="79"/>
      <c r="J173" s="80"/>
      <c r="K173" s="79"/>
      <c r="L173" s="142"/>
      <c r="M173" s="1"/>
      <c r="N173" s="142"/>
      <c r="O173" s="1"/>
      <c r="P173" s="142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79">
        <f>AI173-AJ173</f>
        <v>0</v>
      </c>
      <c r="AL173" s="1"/>
      <c r="AM173" s="79">
        <f>AK173-AL173+20000</f>
        <v>20000</v>
      </c>
      <c r="AN173" s="106">
        <v>20000.0</v>
      </c>
      <c r="AO173" s="79">
        <f>AM173-AN173</f>
        <v>0</v>
      </c>
      <c r="AP173" s="106">
        <v>0.0</v>
      </c>
      <c r="AQ173" s="79">
        <f>AO173-AP173+10000</f>
        <v>10000</v>
      </c>
      <c r="AR173" s="106">
        <v>5000.0</v>
      </c>
      <c r="AS173" s="79">
        <f>AQ173-AR173</f>
        <v>5000</v>
      </c>
      <c r="AT173" s="106">
        <v>3000.0</v>
      </c>
      <c r="AU173" s="79">
        <f>AS173-AT173+4000</f>
        <v>6000</v>
      </c>
      <c r="AV173" s="106">
        <v>4000.0</v>
      </c>
      <c r="AW173" s="79">
        <f>AU173-AV173+2000</f>
        <v>4000</v>
      </c>
      <c r="AX173" s="106">
        <v>4000.0</v>
      </c>
      <c r="AY173" s="79">
        <f>AW173-AX173+10000</f>
        <v>10000</v>
      </c>
      <c r="AZ173" s="106">
        <v>10000.0</v>
      </c>
      <c r="BA173" s="79">
        <f>AY173-AZ173+21500</f>
        <v>21500</v>
      </c>
      <c r="BB173" s="106">
        <v>4000.0</v>
      </c>
      <c r="BC173" s="79">
        <f>BA173-BB173+5000</f>
        <v>22500</v>
      </c>
      <c r="BD173" s="106">
        <v>9000.0</v>
      </c>
      <c r="BE173" s="79">
        <f t="shared" ref="BE173:BE175" si="580">BC173-BD173</f>
        <v>13500</v>
      </c>
      <c r="BF173" s="106">
        <v>4500.0</v>
      </c>
      <c r="BG173" s="79">
        <f>BE173-BF173+5000</f>
        <v>14000</v>
      </c>
      <c r="BH173" s="106">
        <v>0.0</v>
      </c>
      <c r="BI173" s="79">
        <f>BG173-BH173+5000</f>
        <v>19000</v>
      </c>
      <c r="BJ173" s="106">
        <v>9000.0</v>
      </c>
      <c r="BK173" s="79">
        <f t="shared" ref="BK173:BK175" si="581">BI173-BJ173</f>
        <v>10000</v>
      </c>
      <c r="BL173" s="106">
        <v>5000.0</v>
      </c>
      <c r="BM173" s="79">
        <f t="shared" ref="BM173:BM175" si="582">BK173-BL173</f>
        <v>5000</v>
      </c>
      <c r="BN173" s="106">
        <v>2000.0</v>
      </c>
      <c r="BO173" s="79">
        <f>BM173-BN173+4000</f>
        <v>7000</v>
      </c>
      <c r="BP173" s="106">
        <v>4000.0</v>
      </c>
      <c r="BQ173" s="79">
        <f>BO173-BP173+15000</f>
        <v>18000</v>
      </c>
      <c r="BR173" s="106">
        <v>2000.0</v>
      </c>
      <c r="BS173" s="79">
        <f t="shared" si="516"/>
        <v>16000</v>
      </c>
      <c r="BT173" s="106">
        <v>2000.0</v>
      </c>
      <c r="BU173" s="79">
        <f t="shared" ref="BU173:BU176" si="583">BS173-BT173</f>
        <v>14000</v>
      </c>
      <c r="BV173" s="106">
        <v>3000.0</v>
      </c>
      <c r="BW173" s="79">
        <f>BU173-BV173+10000</f>
        <v>21000</v>
      </c>
      <c r="BX173" s="106">
        <v>3000.0</v>
      </c>
      <c r="BY173" s="79">
        <f t="shared" si="574"/>
        <v>18000</v>
      </c>
      <c r="BZ173" s="106">
        <v>3000.0</v>
      </c>
      <c r="CA173" s="80">
        <f>BY173-BZ173-5000</f>
        <v>10000</v>
      </c>
      <c r="CB173" s="106">
        <v>0.0</v>
      </c>
      <c r="CC173" s="79">
        <f t="shared" si="575"/>
        <v>10000</v>
      </c>
      <c r="CD173" s="106">
        <v>3000.0</v>
      </c>
      <c r="CE173" s="79">
        <f t="shared" si="576"/>
        <v>7000</v>
      </c>
      <c r="CF173" s="106">
        <v>3000.0</v>
      </c>
      <c r="CG173" s="79">
        <f t="shared" si="577"/>
        <v>4000</v>
      </c>
      <c r="CH173" s="106">
        <v>3000.0</v>
      </c>
      <c r="CI173" s="79">
        <f t="shared" si="522"/>
        <v>1000</v>
      </c>
      <c r="CJ173" s="106">
        <v>1000.0</v>
      </c>
      <c r="CK173" s="79">
        <f t="shared" si="523"/>
        <v>0</v>
      </c>
      <c r="CL173" s="106"/>
      <c r="CM173" s="79">
        <f t="shared" si="578"/>
        <v>0</v>
      </c>
      <c r="CN173" s="106"/>
      <c r="CO173" s="79">
        <f>CM173-CN173+12000</f>
        <v>12000</v>
      </c>
      <c r="CP173" s="106"/>
      <c r="CQ173" s="79">
        <f t="shared" si="525"/>
        <v>12000</v>
      </c>
      <c r="CR173" s="106"/>
      <c r="CS173" s="79">
        <f t="shared" si="526"/>
        <v>12000</v>
      </c>
      <c r="CT173" s="24">
        <v>2000.0</v>
      </c>
      <c r="CU173" s="79">
        <f>CS173-CT173+25000</f>
        <v>35000</v>
      </c>
      <c r="CV173" s="24">
        <v>3000.0</v>
      </c>
      <c r="CW173" s="79">
        <f t="shared" si="579"/>
        <v>32000</v>
      </c>
      <c r="CX173" s="24">
        <v>3000.0</v>
      </c>
      <c r="CY173" s="91">
        <v>15000.0</v>
      </c>
      <c r="CZ173" s="79">
        <f>CW173-CX173-CY173</f>
        <v>14000</v>
      </c>
      <c r="DA173" s="100">
        <v>3000.0</v>
      </c>
      <c r="DB173" s="93">
        <f t="shared" ref="DB173:DB176" si="584">CZ173-DA173</f>
        <v>11000</v>
      </c>
      <c r="DC173" s="207">
        <v>3000.0</v>
      </c>
      <c r="DD173" s="93">
        <f>DB173-DC173+20000</f>
        <v>28000</v>
      </c>
      <c r="DE173" s="208">
        <v>5000.0</v>
      </c>
      <c r="DF173" s="93">
        <f t="shared" si="531"/>
        <v>23000</v>
      </c>
      <c r="DG173" s="178">
        <v>5000.0</v>
      </c>
      <c r="DH173" s="93">
        <f t="shared" ref="DH173:DH176" si="585">DF173-DG173</f>
        <v>18000</v>
      </c>
      <c r="DI173" s="178">
        <v>3000.0</v>
      </c>
      <c r="DJ173" s="93">
        <f t="shared" si="533"/>
        <v>15000</v>
      </c>
      <c r="DK173" s="93"/>
      <c r="DL173" s="93">
        <f>DJ173-DK173+5000</f>
        <v>20000</v>
      </c>
      <c r="DM173" s="100">
        <v>8000.0</v>
      </c>
      <c r="DN173" s="93">
        <f>DL173-DM173+9000</f>
        <v>21000</v>
      </c>
      <c r="DO173" s="100">
        <v>9000.0</v>
      </c>
      <c r="DP173" s="93">
        <f t="shared" si="573"/>
        <v>12000</v>
      </c>
      <c r="DQ173" s="100">
        <v>3000.0</v>
      </c>
      <c r="DR173" s="93">
        <f>DP173-DQ173+10000</f>
        <v>19000</v>
      </c>
      <c r="DS173" s="100">
        <v>10000.0</v>
      </c>
      <c r="DT173" s="93">
        <f>DR173-DS173+15000</f>
        <v>24000</v>
      </c>
      <c r="DU173" s="100">
        <v>17000.0</v>
      </c>
      <c r="DV173" s="93">
        <f t="shared" si="61"/>
        <v>7000</v>
      </c>
    </row>
    <row r="174">
      <c r="A174" s="106" t="s">
        <v>963</v>
      </c>
      <c r="B174" s="106" t="s">
        <v>964</v>
      </c>
      <c r="C174" s="76" t="str">
        <f t="array" ref="C174">_xlfn.XLOOKUP(A174,'Emp Master'!A:A,'Emp Master'!F:F)</f>
        <v>#N/A</v>
      </c>
      <c r="D174" s="76" t="str">
        <f t="array" ref="D174">_xlfn.XLOOKUP(A174,'Emp Master'!A:A,'Emp Master'!D:D)</f>
        <v>#N/A</v>
      </c>
      <c r="E174" s="76" t="str">
        <f t="shared" si="326"/>
        <v>#REF!</v>
      </c>
      <c r="F174" s="76"/>
      <c r="G174" s="79"/>
      <c r="H174" s="80"/>
      <c r="I174" s="79"/>
      <c r="J174" s="80"/>
      <c r="K174" s="79"/>
      <c r="L174" s="142"/>
      <c r="M174" s="1"/>
      <c r="N174" s="142"/>
      <c r="O174" s="1"/>
      <c r="P174" s="142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79"/>
      <c r="AL174" s="1"/>
      <c r="AM174" s="79"/>
      <c r="AN174" s="1"/>
      <c r="AO174" s="79"/>
      <c r="AP174" s="106"/>
      <c r="AQ174" s="79"/>
      <c r="AR174" s="1"/>
      <c r="AS174" s="79"/>
      <c r="AT174" s="1"/>
      <c r="AU174" s="79">
        <f>AS174-AT174+8000</f>
        <v>8000</v>
      </c>
      <c r="AV174" s="106">
        <v>4000.0</v>
      </c>
      <c r="AW174" s="79">
        <f>AU174-AV174</f>
        <v>4000</v>
      </c>
      <c r="AX174" s="106">
        <v>4000.0</v>
      </c>
      <c r="AY174" s="79">
        <f>AW174-AX174</f>
        <v>0</v>
      </c>
      <c r="AZ174" s="1"/>
      <c r="BA174" s="79">
        <f t="shared" ref="BA174:BA175" si="586">AY174-AZ174</f>
        <v>0</v>
      </c>
      <c r="BB174" s="1"/>
      <c r="BC174" s="79">
        <f>BA174-BB174+10000</f>
        <v>10000</v>
      </c>
      <c r="BD174" s="106">
        <v>2500.0</v>
      </c>
      <c r="BE174" s="79">
        <f t="shared" si="580"/>
        <v>7500</v>
      </c>
      <c r="BF174" s="106">
        <v>2500.0</v>
      </c>
      <c r="BG174" s="79">
        <f t="shared" ref="BG174:BG175" si="587">BE174-BF174</f>
        <v>5000</v>
      </c>
      <c r="BH174" s="106">
        <v>2500.0</v>
      </c>
      <c r="BI174" s="79">
        <f>BG174-BH174</f>
        <v>2500</v>
      </c>
      <c r="BJ174" s="106">
        <v>2500.0</v>
      </c>
      <c r="BK174" s="79">
        <f t="shared" si="581"/>
        <v>0</v>
      </c>
      <c r="BL174" s="1"/>
      <c r="BM174" s="79">
        <f t="shared" si="582"/>
        <v>0</v>
      </c>
      <c r="BN174" s="1"/>
      <c r="BO174" s="79">
        <f t="shared" ref="BO174:BO175" si="588">BM174-BN174</f>
        <v>0</v>
      </c>
      <c r="BP174" s="1"/>
      <c r="BQ174" s="79">
        <f t="shared" ref="BQ174:BQ175" si="589">BO174-BP174</f>
        <v>0</v>
      </c>
      <c r="BR174" s="1"/>
      <c r="BS174" s="79">
        <f t="shared" si="516"/>
        <v>0</v>
      </c>
      <c r="BT174" s="1"/>
      <c r="BU174" s="79">
        <f t="shared" si="583"/>
        <v>0</v>
      </c>
      <c r="BV174" s="1"/>
      <c r="BW174" s="79">
        <f>BU174-BV174</f>
        <v>0</v>
      </c>
      <c r="BX174" s="1"/>
      <c r="BY174" s="79">
        <f t="shared" si="574"/>
        <v>0</v>
      </c>
      <c r="BZ174" s="1"/>
      <c r="CA174" s="79">
        <f t="shared" ref="CA174:CA176" si="590">BY174-BZ174</f>
        <v>0</v>
      </c>
      <c r="CB174" s="1"/>
      <c r="CC174" s="79">
        <f t="shared" si="575"/>
        <v>0</v>
      </c>
      <c r="CD174" s="1"/>
      <c r="CE174" s="79">
        <f t="shared" si="576"/>
        <v>0</v>
      </c>
      <c r="CF174" s="1"/>
      <c r="CG174" s="79"/>
      <c r="CH174" s="1"/>
      <c r="CI174" s="79">
        <f t="shared" si="522"/>
        <v>0</v>
      </c>
      <c r="CJ174" s="1"/>
      <c r="CK174" s="79">
        <f t="shared" si="523"/>
        <v>0</v>
      </c>
      <c r="CL174" s="1"/>
      <c r="CM174" s="79">
        <f t="shared" si="578"/>
        <v>0</v>
      </c>
      <c r="CN174" s="106"/>
      <c r="CO174" s="79">
        <f t="shared" ref="CO174:CO176" si="591">CM174-CN174</f>
        <v>0</v>
      </c>
      <c r="CP174" s="106"/>
      <c r="CQ174" s="79">
        <f t="shared" si="525"/>
        <v>0</v>
      </c>
      <c r="CR174" s="106"/>
      <c r="CS174" s="79">
        <f t="shared" si="526"/>
        <v>0</v>
      </c>
      <c r="CT174" s="79"/>
      <c r="CU174" s="79">
        <f t="shared" ref="CU174:CU176" si="592">CS174-CT174</f>
        <v>0</v>
      </c>
      <c r="CV174" s="79"/>
      <c r="CW174" s="79">
        <f t="shared" si="579"/>
        <v>0</v>
      </c>
      <c r="CX174" s="79"/>
      <c r="CY174" s="91"/>
      <c r="CZ174" s="79">
        <f>CW174-CX174</f>
        <v>0</v>
      </c>
      <c r="DA174" s="93"/>
      <c r="DB174" s="93">
        <f t="shared" si="584"/>
        <v>0</v>
      </c>
      <c r="DC174" s="96"/>
      <c r="DD174" s="93">
        <f t="shared" ref="DD174:DD176" si="593">DB174-DC174</f>
        <v>0</v>
      </c>
      <c r="DE174" s="96"/>
      <c r="DF174" s="93">
        <f t="shared" si="531"/>
        <v>0</v>
      </c>
      <c r="DG174" s="96"/>
      <c r="DH174" s="93">
        <f t="shared" si="585"/>
        <v>0</v>
      </c>
      <c r="DI174" s="96"/>
      <c r="DJ174" s="93">
        <f t="shared" si="533"/>
        <v>0</v>
      </c>
      <c r="DK174" s="93"/>
      <c r="DL174" s="93">
        <f t="shared" ref="DL174:DL176" si="594">DJ174-DK174</f>
        <v>0</v>
      </c>
      <c r="DM174" s="100">
        <v>0.0</v>
      </c>
      <c r="DN174" s="93">
        <f t="shared" ref="DN174:DN176" si="595">DL174-DM174</f>
        <v>0</v>
      </c>
      <c r="DO174" s="100">
        <v>0.0</v>
      </c>
      <c r="DP174" s="93">
        <f t="shared" si="573"/>
        <v>0</v>
      </c>
      <c r="DQ174" s="100">
        <v>0.0</v>
      </c>
      <c r="DR174" s="93">
        <f>DP174-DQ174</f>
        <v>0</v>
      </c>
      <c r="DS174" s="100">
        <v>0.0</v>
      </c>
      <c r="DT174" s="93">
        <f t="shared" ref="DT174:DT176" si="596">DR174-DS174</f>
        <v>0</v>
      </c>
      <c r="DU174" s="100">
        <v>0.0</v>
      </c>
      <c r="DV174" s="93">
        <f t="shared" si="61"/>
        <v>0</v>
      </c>
    </row>
    <row r="175">
      <c r="A175" s="1" t="s">
        <v>525</v>
      </c>
      <c r="B175" s="1" t="s">
        <v>526</v>
      </c>
      <c r="C175" s="76" t="str">
        <f t="array" ref="C175">_xlfn.XLOOKUP(A175,'Emp Master'!A:A,'Emp Master'!F:F)</f>
        <v>SNP</v>
      </c>
      <c r="D175" s="76" t="str">
        <f t="array" ref="D175">_xlfn.XLOOKUP(A175,'Emp Master'!A:A,'Emp Master'!D:D)</f>
        <v>Purchase</v>
      </c>
      <c r="E175" s="76" t="str">
        <f t="shared" si="326"/>
        <v>#REF!</v>
      </c>
      <c r="F175" s="76"/>
      <c r="G175" s="79"/>
      <c r="H175" s="80"/>
      <c r="I175" s="79"/>
      <c r="J175" s="80"/>
      <c r="K175" s="79"/>
      <c r="L175" s="142"/>
      <c r="M175" s="1"/>
      <c r="N175" s="142"/>
      <c r="O175" s="1"/>
      <c r="P175" s="142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79">
        <f>AI175-AJ175</f>
        <v>0</v>
      </c>
      <c r="AL175" s="1"/>
      <c r="AM175" s="79">
        <f>AK175-AL175+1000</f>
        <v>1000</v>
      </c>
      <c r="AN175" s="1"/>
      <c r="AO175" s="79">
        <f>AM175-AN175+1000</f>
        <v>2000</v>
      </c>
      <c r="AP175" s="106">
        <v>0.0</v>
      </c>
      <c r="AQ175" s="79">
        <f>AO175-AP175+1000</f>
        <v>3000</v>
      </c>
      <c r="AR175" s="1"/>
      <c r="AS175" s="79">
        <f>AQ175-AR175</f>
        <v>3000</v>
      </c>
      <c r="AT175" s="1"/>
      <c r="AU175" s="79">
        <f>AS175-AT175+1000</f>
        <v>4000</v>
      </c>
      <c r="AV175" s="1"/>
      <c r="AW175" s="79">
        <f>AU175-AV175+1000</f>
        <v>5000</v>
      </c>
      <c r="AX175" s="1"/>
      <c r="AY175" s="79">
        <f>AW175-AX175+1000+30000</f>
        <v>36000</v>
      </c>
      <c r="AZ175" s="106">
        <v>2000.0</v>
      </c>
      <c r="BA175" s="79">
        <f t="shared" si="586"/>
        <v>34000</v>
      </c>
      <c r="BB175" s="106">
        <v>2000.0</v>
      </c>
      <c r="BC175" s="79">
        <f>BA175-BB175</f>
        <v>32000</v>
      </c>
      <c r="BD175" s="106">
        <v>2000.0</v>
      </c>
      <c r="BE175" s="79">
        <f t="shared" si="580"/>
        <v>30000</v>
      </c>
      <c r="BF175" s="106">
        <v>4000.0</v>
      </c>
      <c r="BG175" s="79">
        <f t="shared" si="587"/>
        <v>26000</v>
      </c>
      <c r="BH175" s="106">
        <v>2000.0</v>
      </c>
      <c r="BI175" s="79">
        <f>BG175-BH175+10000</f>
        <v>34000</v>
      </c>
      <c r="BJ175" s="106">
        <v>2000.0</v>
      </c>
      <c r="BK175" s="79">
        <f t="shared" si="581"/>
        <v>32000</v>
      </c>
      <c r="BL175" s="106">
        <v>2000.0</v>
      </c>
      <c r="BM175" s="79">
        <f t="shared" si="582"/>
        <v>30000</v>
      </c>
      <c r="BN175" s="106">
        <v>2000.0</v>
      </c>
      <c r="BO175" s="79">
        <f t="shared" si="588"/>
        <v>28000</v>
      </c>
      <c r="BP175" s="106">
        <v>2000.0</v>
      </c>
      <c r="BQ175" s="79">
        <f t="shared" si="589"/>
        <v>26000</v>
      </c>
      <c r="BR175" s="106">
        <v>2000.0</v>
      </c>
      <c r="BS175" s="79">
        <f t="shared" si="516"/>
        <v>24000</v>
      </c>
      <c r="BT175" s="106">
        <v>2000.0</v>
      </c>
      <c r="BU175" s="79">
        <f t="shared" si="583"/>
        <v>22000</v>
      </c>
      <c r="BV175" s="106">
        <v>2000.0</v>
      </c>
      <c r="BW175" s="79">
        <f>BU175-BV175+20000</f>
        <v>40000</v>
      </c>
      <c r="BX175" s="106">
        <v>3000.0</v>
      </c>
      <c r="BY175" s="79">
        <f t="shared" si="574"/>
        <v>37000</v>
      </c>
      <c r="BZ175" s="106">
        <v>3000.0</v>
      </c>
      <c r="CA175" s="79">
        <f t="shared" si="590"/>
        <v>34000</v>
      </c>
      <c r="CB175" s="106">
        <v>3000.0</v>
      </c>
      <c r="CC175" s="79">
        <f t="shared" si="575"/>
        <v>31000</v>
      </c>
      <c r="CD175" s="106">
        <v>3000.0</v>
      </c>
      <c r="CE175" s="79">
        <f t="shared" si="576"/>
        <v>28000</v>
      </c>
      <c r="CF175" s="106">
        <v>3000.0</v>
      </c>
      <c r="CG175" s="79">
        <f t="shared" ref="CG175:CG176" si="597">CE175-CF175</f>
        <v>25000</v>
      </c>
      <c r="CH175" s="106">
        <v>3000.0</v>
      </c>
      <c r="CI175" s="79">
        <f t="shared" si="522"/>
        <v>22000</v>
      </c>
      <c r="CJ175" s="106">
        <v>3000.0</v>
      </c>
      <c r="CK175" s="79">
        <f t="shared" si="523"/>
        <v>19000</v>
      </c>
      <c r="CL175" s="106">
        <v>3000.0</v>
      </c>
      <c r="CM175" s="79">
        <f t="shared" si="578"/>
        <v>16000</v>
      </c>
      <c r="CN175" s="106">
        <v>3000.0</v>
      </c>
      <c r="CO175" s="79">
        <f t="shared" si="591"/>
        <v>13000</v>
      </c>
      <c r="CP175" s="106">
        <v>3000.0</v>
      </c>
      <c r="CQ175" s="79">
        <f t="shared" si="525"/>
        <v>10000</v>
      </c>
      <c r="CR175" s="106">
        <v>3000.0</v>
      </c>
      <c r="CS175" s="79">
        <f t="shared" si="526"/>
        <v>7000</v>
      </c>
      <c r="CT175" s="24">
        <v>3000.0</v>
      </c>
      <c r="CU175" s="79">
        <f t="shared" si="592"/>
        <v>4000</v>
      </c>
      <c r="CV175" s="24">
        <v>3000.0</v>
      </c>
      <c r="CW175" s="79">
        <f>CU175-CV175+40000</f>
        <v>41000</v>
      </c>
      <c r="CX175" s="24">
        <v>0.0</v>
      </c>
      <c r="CY175" s="91">
        <v>41000.0</v>
      </c>
      <c r="CZ175" s="79">
        <f>CW175-CX175-CY175</f>
        <v>0</v>
      </c>
      <c r="DA175" s="93"/>
      <c r="DB175" s="93">
        <f t="shared" si="584"/>
        <v>0</v>
      </c>
      <c r="DC175" s="96"/>
      <c r="DD175" s="93">
        <f t="shared" si="593"/>
        <v>0</v>
      </c>
      <c r="DE175" s="96"/>
      <c r="DF175" s="93">
        <f t="shared" si="531"/>
        <v>0</v>
      </c>
      <c r="DG175" s="96"/>
      <c r="DH175" s="93">
        <f t="shared" si="585"/>
        <v>0</v>
      </c>
      <c r="DI175" s="96"/>
      <c r="DJ175" s="93">
        <f t="shared" si="533"/>
        <v>0</v>
      </c>
      <c r="DK175" s="93"/>
      <c r="DL175" s="93">
        <f t="shared" si="594"/>
        <v>0</v>
      </c>
      <c r="DM175" s="100">
        <v>0.0</v>
      </c>
      <c r="DN175" s="93">
        <f t="shared" si="595"/>
        <v>0</v>
      </c>
      <c r="DO175" s="100">
        <v>0.0</v>
      </c>
      <c r="DP175" s="93">
        <f t="shared" si="573"/>
        <v>0</v>
      </c>
      <c r="DQ175" s="100">
        <v>0.0</v>
      </c>
      <c r="DR175" s="93">
        <f>DP175-DQ175+20000</f>
        <v>20000</v>
      </c>
      <c r="DS175" s="100">
        <v>10000.0</v>
      </c>
      <c r="DT175" s="93">
        <f t="shared" si="596"/>
        <v>10000</v>
      </c>
      <c r="DU175" s="100">
        <v>10000.0</v>
      </c>
      <c r="DV175" s="93">
        <f t="shared" si="61"/>
        <v>0</v>
      </c>
    </row>
    <row r="176">
      <c r="A176" s="7" t="s">
        <v>528</v>
      </c>
      <c r="B176" s="7" t="s">
        <v>529</v>
      </c>
      <c r="C176" s="76" t="str">
        <f t="array" ref="C176">_xlfn.XLOOKUP(A176,'Emp Master'!A:A,'Emp Master'!F:F)</f>
        <v>SNP</v>
      </c>
      <c r="D176" s="76" t="str">
        <f t="array" ref="D176">_xlfn.XLOOKUP(A176,'Emp Master'!A:A,'Emp Master'!D:D)</f>
        <v>Machining</v>
      </c>
      <c r="E176" s="76" t="str">
        <f t="shared" si="326"/>
        <v>#REF!</v>
      </c>
      <c r="F176" s="76"/>
      <c r="G176" s="79"/>
      <c r="H176" s="80"/>
      <c r="I176" s="79"/>
      <c r="J176" s="80"/>
      <c r="K176" s="79"/>
      <c r="L176" s="142"/>
      <c r="M176" s="1"/>
      <c r="N176" s="142"/>
      <c r="O176" s="1"/>
      <c r="P176" s="142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79">
        <f>BG176-BH176</f>
        <v>0</v>
      </c>
      <c r="BJ176" s="1"/>
      <c r="BK176" s="1"/>
      <c r="BL176" s="1"/>
      <c r="BM176" s="1"/>
      <c r="BN176" s="1"/>
      <c r="BO176" s="1"/>
      <c r="BP176" s="1"/>
      <c r="BQ176" s="79"/>
      <c r="BR176" s="1"/>
      <c r="BS176" s="79">
        <f t="shared" si="516"/>
        <v>0</v>
      </c>
      <c r="BT176" s="1"/>
      <c r="BU176" s="79">
        <f t="shared" si="583"/>
        <v>0</v>
      </c>
      <c r="BV176" s="1"/>
      <c r="BW176" s="79">
        <f>BU176-BV176</f>
        <v>0</v>
      </c>
      <c r="BX176" s="1"/>
      <c r="BY176" s="79">
        <f t="shared" si="574"/>
        <v>0</v>
      </c>
      <c r="BZ176" s="1"/>
      <c r="CA176" s="79">
        <f t="shared" si="590"/>
        <v>0</v>
      </c>
      <c r="CB176" s="1"/>
      <c r="CC176" s="79">
        <f t="shared" si="575"/>
        <v>0</v>
      </c>
      <c r="CD176" s="1"/>
      <c r="CE176" s="79">
        <f t="shared" si="576"/>
        <v>0</v>
      </c>
      <c r="CF176" s="1"/>
      <c r="CG176" s="79">
        <f t="shared" si="597"/>
        <v>0</v>
      </c>
      <c r="CH176" s="1"/>
      <c r="CI176" s="79">
        <f t="shared" si="522"/>
        <v>0</v>
      </c>
      <c r="CJ176" s="1"/>
      <c r="CK176" s="79">
        <f t="shared" si="523"/>
        <v>0</v>
      </c>
      <c r="CL176" s="1"/>
      <c r="CM176" s="79">
        <f t="shared" si="578"/>
        <v>0</v>
      </c>
      <c r="CN176" s="1"/>
      <c r="CO176" s="79">
        <f t="shared" si="591"/>
        <v>0</v>
      </c>
      <c r="CP176" s="1"/>
      <c r="CQ176" s="79">
        <f t="shared" si="525"/>
        <v>0</v>
      </c>
      <c r="CR176" s="1"/>
      <c r="CS176" s="79">
        <f t="shared" si="526"/>
        <v>0</v>
      </c>
      <c r="CT176" s="79"/>
      <c r="CU176" s="79">
        <f t="shared" si="592"/>
        <v>0</v>
      </c>
      <c r="CV176" s="79"/>
      <c r="CW176" s="79">
        <f>CU176-CV176</f>
        <v>0</v>
      </c>
      <c r="CX176" s="79"/>
      <c r="CY176" s="91"/>
      <c r="CZ176" s="79">
        <f>CW176-CX176</f>
        <v>0</v>
      </c>
      <c r="DA176" s="93"/>
      <c r="DB176" s="93">
        <f t="shared" si="584"/>
        <v>0</v>
      </c>
      <c r="DC176" s="96"/>
      <c r="DD176" s="93">
        <f t="shared" si="593"/>
        <v>0</v>
      </c>
      <c r="DE176" s="96"/>
      <c r="DF176" s="93">
        <f t="shared" si="531"/>
        <v>0</v>
      </c>
      <c r="DG176" s="96"/>
      <c r="DH176" s="93">
        <f t="shared" si="585"/>
        <v>0</v>
      </c>
      <c r="DI176" s="96"/>
      <c r="DJ176" s="93">
        <f t="shared" si="533"/>
        <v>0</v>
      </c>
      <c r="DK176" s="93"/>
      <c r="DL176" s="93">
        <f t="shared" si="594"/>
        <v>0</v>
      </c>
      <c r="DM176" s="100">
        <v>0.0</v>
      </c>
      <c r="DN176" s="93">
        <f t="shared" si="595"/>
        <v>0</v>
      </c>
      <c r="DO176" s="100">
        <v>0.0</v>
      </c>
      <c r="DP176" s="93">
        <f t="shared" si="573"/>
        <v>0</v>
      </c>
      <c r="DQ176" s="100">
        <v>0.0</v>
      </c>
      <c r="DR176" s="93">
        <f>DP176-DQ176</f>
        <v>0</v>
      </c>
      <c r="DS176" s="100">
        <v>0.0</v>
      </c>
      <c r="DT176" s="93">
        <f t="shared" si="596"/>
        <v>0</v>
      </c>
      <c r="DU176" s="100">
        <v>0.0</v>
      </c>
      <c r="DV176" s="93">
        <f t="shared" si="61"/>
        <v>0</v>
      </c>
    </row>
    <row r="177">
      <c r="A177" s="1" t="s">
        <v>535</v>
      </c>
      <c r="B177" s="1" t="s">
        <v>536</v>
      </c>
      <c r="C177" s="76" t="str">
        <f t="array" ref="C177">_xlfn.XLOOKUP(A177,'Emp Master'!A:A,'Emp Master'!F:F)</f>
        <v>SNP</v>
      </c>
      <c r="D177" s="76" t="str">
        <f t="array" ref="D177">_xlfn.XLOOKUP(A177,'Emp Master'!A:A,'Emp Master'!D:D)</f>
        <v>Backend Sales &amp; Ops</v>
      </c>
      <c r="E177" s="76" t="str">
        <f t="shared" si="326"/>
        <v>#REF!</v>
      </c>
      <c r="F177" s="76"/>
      <c r="G177" s="79"/>
      <c r="H177" s="80"/>
      <c r="I177" s="79"/>
      <c r="J177" s="80"/>
      <c r="K177" s="79"/>
      <c r="L177" s="142"/>
      <c r="M177" s="1"/>
      <c r="N177" s="142"/>
      <c r="O177" s="1"/>
      <c r="P177" s="142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79">
        <f t="shared" ref="AK177:AK181" si="598">AI177-AJ177</f>
        <v>0</v>
      </c>
      <c r="AL177" s="1"/>
      <c r="AM177" s="79">
        <f>AK177-AL177+1000</f>
        <v>1000</v>
      </c>
      <c r="AN177" s="1"/>
      <c r="AO177" s="79">
        <f>AM177-AN177+2000</f>
        <v>3000</v>
      </c>
      <c r="AP177" s="106">
        <v>0.0</v>
      </c>
      <c r="AQ177" s="79">
        <f>AO177-AP177+2000</f>
        <v>5000</v>
      </c>
      <c r="AR177" s="1"/>
      <c r="AS177" s="79">
        <f t="shared" ref="AS177:AS179" si="599">AQ177-AR177</f>
        <v>5000</v>
      </c>
      <c r="AT177" s="1"/>
      <c r="AU177" s="79">
        <f>AS177-AT177+2000</f>
        <v>7000</v>
      </c>
      <c r="AV177" s="1"/>
      <c r="AW177" s="79">
        <f>AU177-AV177+2000</f>
        <v>9000</v>
      </c>
      <c r="AX177" s="1"/>
      <c r="AY177" s="79">
        <f>AW177-AX177+2000</f>
        <v>11000</v>
      </c>
      <c r="AZ177" s="1"/>
      <c r="BA177" s="79">
        <f>AY177-AZ177+2000</f>
        <v>13000</v>
      </c>
      <c r="BB177" s="1"/>
      <c r="BC177" s="79">
        <f>BA177-BB177+2000</f>
        <v>15000</v>
      </c>
      <c r="BD177" s="1"/>
      <c r="BE177" s="79">
        <f>BC177-BD177-13000</f>
        <v>2000</v>
      </c>
      <c r="BF177" s="1"/>
      <c r="BG177" s="79">
        <f>BE177-BF177+2000</f>
        <v>4000</v>
      </c>
      <c r="BH177" s="1"/>
      <c r="BI177" s="79">
        <f>BG177-BH177+2000</f>
        <v>6000</v>
      </c>
      <c r="BJ177" s="1"/>
      <c r="BK177" s="79">
        <f>BI177-BJ177+2000</f>
        <v>8000</v>
      </c>
      <c r="BL177" s="1"/>
      <c r="BM177" s="79">
        <f>BK177-BL177+2000</f>
        <v>10000</v>
      </c>
      <c r="BN177" s="1"/>
      <c r="BO177" s="79">
        <f>BM177-BN177+2000</f>
        <v>12000</v>
      </c>
      <c r="BP177" s="1"/>
      <c r="BQ177" s="79">
        <f>BO177-BP177+2000</f>
        <v>14000</v>
      </c>
      <c r="BR177" s="1"/>
      <c r="BS177" s="79">
        <f>BQ177-BR177+2000</f>
        <v>16000</v>
      </c>
      <c r="BT177" s="1"/>
      <c r="BU177" s="79">
        <f>BS177-BT177+2000</f>
        <v>18000</v>
      </c>
      <c r="BV177" s="1"/>
      <c r="BW177" s="79">
        <f>BU177-BV177+2000</f>
        <v>20000</v>
      </c>
      <c r="BX177" s="1"/>
      <c r="BY177" s="79">
        <f>BW177-BX177+2000</f>
        <v>22000</v>
      </c>
      <c r="BZ177" s="1"/>
      <c r="CA177" s="80">
        <f>BY177-BZ177+2000-24000+2000</f>
        <v>2000</v>
      </c>
      <c r="CB177" s="1"/>
      <c r="CC177" s="79">
        <f>CA177-CB177+2000</f>
        <v>4000</v>
      </c>
      <c r="CD177" s="1"/>
      <c r="CE177" s="79">
        <f>CC177-CD177+2000</f>
        <v>6000</v>
      </c>
      <c r="CF177" s="1"/>
      <c r="CG177" s="79">
        <f>CE177-CF177+2000</f>
        <v>8000</v>
      </c>
      <c r="CH177" s="1"/>
      <c r="CI177" s="79">
        <f>CG177-CH177+2000</f>
        <v>10000</v>
      </c>
      <c r="CJ177" s="1"/>
      <c r="CK177" s="79">
        <f>CI177-CJ177+2000</f>
        <v>12000</v>
      </c>
      <c r="CL177" s="1"/>
      <c r="CM177" s="79">
        <f>CK177-CL177+2000</f>
        <v>14000</v>
      </c>
      <c r="CN177" s="1"/>
      <c r="CO177" s="79">
        <f>CM177-CN177+2000</f>
        <v>16000</v>
      </c>
      <c r="CP177" s="1"/>
      <c r="CQ177" s="79">
        <f>CO177-CP177+2000</f>
        <v>18000</v>
      </c>
      <c r="CR177" s="1"/>
      <c r="CS177" s="79">
        <f>CQ177-CR177+2000</f>
        <v>20000</v>
      </c>
      <c r="CT177" s="79"/>
      <c r="CU177" s="79">
        <f>CS177-CT177+2000</f>
        <v>22000</v>
      </c>
      <c r="CV177" s="79"/>
      <c r="CW177" s="79">
        <f>CU177-CV177+2000</f>
        <v>24000</v>
      </c>
      <c r="CX177" s="79"/>
      <c r="CY177" s="91">
        <v>24000.0</v>
      </c>
      <c r="CZ177" s="79">
        <f t="shared" ref="CZ177:CZ179" si="600">CW177-CX177-CY177</f>
        <v>0</v>
      </c>
      <c r="DA177" s="93"/>
      <c r="DB177" s="93">
        <f>CZ177-DA177+2000</f>
        <v>2000</v>
      </c>
      <c r="DC177" s="96"/>
      <c r="DD177" s="93">
        <f>DB177-DC177+2000</f>
        <v>4000</v>
      </c>
      <c r="DE177" s="96"/>
      <c r="DF177" s="93">
        <f>DD177-DE177+2000</f>
        <v>6000</v>
      </c>
      <c r="DG177" s="96"/>
      <c r="DH177" s="93">
        <f>DF177-DG177+2000</f>
        <v>8000</v>
      </c>
      <c r="DI177" s="96"/>
      <c r="DJ177" s="93">
        <f>DH177-DI177+2000</f>
        <v>10000</v>
      </c>
      <c r="DK177" s="93"/>
      <c r="DL177" s="93">
        <f>DJ177-DK177+2000</f>
        <v>12000</v>
      </c>
      <c r="DM177" s="100">
        <v>0.0</v>
      </c>
      <c r="DN177" s="93">
        <f>DL177-DM177+2000</f>
        <v>14000</v>
      </c>
      <c r="DO177" s="100">
        <v>0.0</v>
      </c>
      <c r="DP177" s="93">
        <f>DN177-DO177+2000</f>
        <v>16000</v>
      </c>
      <c r="DQ177" s="100">
        <v>0.0</v>
      </c>
      <c r="DR177" s="93">
        <f>DP177-DQ177+2000</f>
        <v>18000</v>
      </c>
      <c r="DS177" s="100">
        <v>0.0</v>
      </c>
      <c r="DT177" s="93">
        <f>DR177-DS177+2000</f>
        <v>20000</v>
      </c>
      <c r="DU177" s="100">
        <v>0.0</v>
      </c>
      <c r="DV177" s="93">
        <f t="shared" si="61"/>
        <v>20000</v>
      </c>
    </row>
    <row r="178">
      <c r="A178" s="7" t="s">
        <v>541</v>
      </c>
      <c r="B178" s="7" t="s">
        <v>442</v>
      </c>
      <c r="C178" s="76" t="str">
        <f t="array" ref="C178">_xlfn.XLOOKUP(A178,'Emp Master'!A:A,'Emp Master'!F:F)</f>
        <v>SNP</v>
      </c>
      <c r="D178" s="76" t="str">
        <f t="array" ref="D178">_xlfn.XLOOKUP(A178,'Emp Master'!A:A,'Emp Master'!D:D)</f>
        <v>Cutting</v>
      </c>
      <c r="E178" s="76" t="str">
        <f t="shared" si="326"/>
        <v>#REF!</v>
      </c>
      <c r="F178" s="76"/>
      <c r="G178" s="79"/>
      <c r="H178" s="80"/>
      <c r="I178" s="79"/>
      <c r="J178" s="80"/>
      <c r="K178" s="79"/>
      <c r="L178" s="142"/>
      <c r="M178" s="1"/>
      <c r="N178" s="142"/>
      <c r="O178" s="1"/>
      <c r="P178" s="142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79">
        <f t="shared" si="598"/>
        <v>0</v>
      </c>
      <c r="AL178" s="1"/>
      <c r="AM178" s="79">
        <f t="shared" ref="AM178:AM181" si="601">AK178-AL178</f>
        <v>0</v>
      </c>
      <c r="AN178" s="1"/>
      <c r="AO178" s="79">
        <f t="shared" ref="AO178:AO181" si="602">AM178-AN178</f>
        <v>0</v>
      </c>
      <c r="AP178" s="106">
        <v>0.0</v>
      </c>
      <c r="AQ178" s="79">
        <f>AO178-AP178+10000</f>
        <v>10000</v>
      </c>
      <c r="AR178" s="106">
        <v>5000.0</v>
      </c>
      <c r="AS178" s="79">
        <f t="shared" si="599"/>
        <v>5000</v>
      </c>
      <c r="AT178" s="106">
        <v>5000.0</v>
      </c>
      <c r="AU178" s="79">
        <f t="shared" ref="AU178:AU180" si="603">AS178-AT178</f>
        <v>0</v>
      </c>
      <c r="AV178" s="1"/>
      <c r="AW178" s="79">
        <f>AU178-AV178+10000</f>
        <v>10000</v>
      </c>
      <c r="AX178" s="106">
        <v>5000.0</v>
      </c>
      <c r="AY178" s="79">
        <f t="shared" ref="AY178:AY179" si="604">AW178-AX178</f>
        <v>5000</v>
      </c>
      <c r="AZ178" s="1"/>
      <c r="BA178" s="79">
        <f t="shared" ref="BA178:BA179" si="605">AY178-AZ178</f>
        <v>5000</v>
      </c>
      <c r="BB178" s="106">
        <v>1000.0</v>
      </c>
      <c r="BC178" s="79">
        <f>BA178-BB178</f>
        <v>4000</v>
      </c>
      <c r="BD178" s="106">
        <v>2000.0</v>
      </c>
      <c r="BE178" s="79">
        <f t="shared" ref="BE178:BE179" si="606">BC178-BD178</f>
        <v>2000</v>
      </c>
      <c r="BF178" s="106">
        <v>2000.0</v>
      </c>
      <c r="BG178" s="79">
        <f t="shared" ref="BG178:BG179" si="607">BE178-BF178</f>
        <v>0</v>
      </c>
      <c r="BH178" s="1"/>
      <c r="BI178" s="79">
        <f t="shared" ref="BI178:BI179" si="608">BG178-BH178</f>
        <v>0</v>
      </c>
      <c r="BJ178" s="1"/>
      <c r="BK178" s="79">
        <f>BI178-BJ178+10000</f>
        <v>10000</v>
      </c>
      <c r="BL178" s="106">
        <v>2500.0</v>
      </c>
      <c r="BM178" s="79">
        <f t="shared" ref="BM178:BM181" si="609">BK178-BL178</f>
        <v>7500</v>
      </c>
      <c r="BN178" s="106">
        <v>2500.0</v>
      </c>
      <c r="BO178" s="79">
        <f t="shared" ref="BO178:BO179" si="610">BM178-BN178</f>
        <v>5000</v>
      </c>
      <c r="BP178" s="106">
        <v>2500.0</v>
      </c>
      <c r="BQ178" s="79">
        <f t="shared" ref="BQ178:BQ179" si="611">BO178-BP178</f>
        <v>2500</v>
      </c>
      <c r="BR178" s="106">
        <v>2500.0</v>
      </c>
      <c r="BS178" s="79">
        <f>BQ178-BR178+10000</f>
        <v>10000</v>
      </c>
      <c r="BT178" s="106">
        <v>10000.0</v>
      </c>
      <c r="BU178" s="79">
        <f t="shared" ref="BU178:BU179" si="612">BS178-BT178</f>
        <v>0</v>
      </c>
      <c r="BV178" s="1"/>
      <c r="BW178" s="79">
        <f t="shared" ref="BW178:BW179" si="613">BU178-BV178</f>
        <v>0</v>
      </c>
      <c r="BX178" s="1"/>
      <c r="BY178" s="79">
        <f>BW178-BX178+5000</f>
        <v>5000</v>
      </c>
      <c r="BZ178" s="106">
        <v>5000.0</v>
      </c>
      <c r="CA178" s="79">
        <f t="shared" ref="CA178:CA179" si="614">BY178-BZ178</f>
        <v>0</v>
      </c>
      <c r="CB178" s="1"/>
      <c r="CC178" s="24">
        <v>6000.0</v>
      </c>
      <c r="CD178" s="106">
        <v>3000.0</v>
      </c>
      <c r="CE178" s="79">
        <f t="shared" ref="CE178:CE181" si="615">CC178-CD178</f>
        <v>3000</v>
      </c>
      <c r="CF178" s="106">
        <v>3000.0</v>
      </c>
      <c r="CG178" s="79">
        <f>10000+(CE178-CF178)</f>
        <v>10000</v>
      </c>
      <c r="CH178" s="106">
        <v>2500.0</v>
      </c>
      <c r="CI178" s="79">
        <f t="shared" ref="CI178:CI179" si="616">CG178-CH178</f>
        <v>7500</v>
      </c>
      <c r="CJ178" s="106">
        <v>2500.0</v>
      </c>
      <c r="CK178" s="79">
        <f t="shared" ref="CK178:CK179" si="617">CI178-CJ178</f>
        <v>5000</v>
      </c>
      <c r="CL178" s="106"/>
      <c r="CM178" s="79">
        <f>CK178-CL178</f>
        <v>5000</v>
      </c>
      <c r="CN178" s="106">
        <v>2500.0</v>
      </c>
      <c r="CO178" s="79">
        <f t="shared" ref="CO178:CO179" si="618">CM178-CN178</f>
        <v>2500</v>
      </c>
      <c r="CP178" s="106">
        <v>0.0</v>
      </c>
      <c r="CQ178" s="79">
        <f t="shared" ref="CQ178:CQ198" si="619">CO178-CP178</f>
        <v>2500</v>
      </c>
      <c r="CR178" s="106">
        <v>2500.0</v>
      </c>
      <c r="CS178" s="79">
        <f>CQ178-CR178+10000</f>
        <v>10000</v>
      </c>
      <c r="CT178" s="24">
        <v>2500.0</v>
      </c>
      <c r="CU178" s="79">
        <f t="shared" ref="CU178:CU179" si="620">CS178-CT178</f>
        <v>7500</v>
      </c>
      <c r="CV178" s="24">
        <v>2500.0</v>
      </c>
      <c r="CW178" s="79">
        <f>CU178-CV178</f>
        <v>5000</v>
      </c>
      <c r="CX178" s="24">
        <v>0.0</v>
      </c>
      <c r="CY178" s="91">
        <v>5000.0</v>
      </c>
      <c r="CZ178" s="79">
        <f t="shared" si="600"/>
        <v>0</v>
      </c>
      <c r="DA178" s="93"/>
      <c r="DB178" s="93">
        <f t="shared" ref="DB178:DB179" si="621">CZ178-DA178</f>
        <v>0</v>
      </c>
      <c r="DC178" s="96"/>
      <c r="DD178" s="93">
        <f>DB178-DC178+8000</f>
        <v>8000</v>
      </c>
      <c r="DE178" s="178">
        <v>8000.0</v>
      </c>
      <c r="DF178" s="93">
        <f t="shared" ref="DF178:DF179" si="622">DD178-DE178</f>
        <v>0</v>
      </c>
      <c r="DG178" s="96"/>
      <c r="DH178" s="93">
        <f t="shared" ref="DH178:DH179" si="623">DF178-DG178</f>
        <v>0</v>
      </c>
      <c r="DI178" s="96"/>
      <c r="DJ178" s="93">
        <f t="shared" ref="DJ178:DJ179" si="624">DH178-DI178</f>
        <v>0</v>
      </c>
      <c r="DK178" s="93"/>
      <c r="DL178" s="93">
        <f t="shared" ref="DL178:DL179" si="625">DJ178-DK178</f>
        <v>0</v>
      </c>
      <c r="DM178" s="100">
        <v>0.0</v>
      </c>
      <c r="DN178" s="93">
        <f t="shared" ref="DN178:DN179" si="626">DL178-DM178</f>
        <v>0</v>
      </c>
      <c r="DO178" s="100">
        <v>0.0</v>
      </c>
      <c r="DP178" s="93">
        <f t="shared" ref="DP178:DP179" si="627">DN178-DO178</f>
        <v>0</v>
      </c>
      <c r="DQ178" s="100">
        <v>0.0</v>
      </c>
      <c r="DR178" s="93">
        <f t="shared" ref="DR178:DR179" si="628">DP178-DQ178</f>
        <v>0</v>
      </c>
      <c r="DS178" s="100">
        <v>0.0</v>
      </c>
      <c r="DT178" s="93">
        <f>DR178-DS178+20000</f>
        <v>20000</v>
      </c>
      <c r="DU178" s="100">
        <v>2500.0</v>
      </c>
      <c r="DV178" s="93">
        <f t="shared" si="61"/>
        <v>17500</v>
      </c>
    </row>
    <row r="179">
      <c r="A179" s="7" t="s">
        <v>543</v>
      </c>
      <c r="B179" s="7" t="s">
        <v>965</v>
      </c>
      <c r="C179" s="76" t="str">
        <f t="array" ref="C179">_xlfn.XLOOKUP(A179,'Emp Master'!A:A,'Emp Master'!F:F)</f>
        <v>SNP</v>
      </c>
      <c r="D179" s="76" t="str">
        <f t="array" ref="D179">_xlfn.XLOOKUP(A179,'Emp Master'!A:A,'Emp Master'!D:D)</f>
        <v>Machining</v>
      </c>
      <c r="E179" s="76" t="str">
        <f t="shared" si="326"/>
        <v>#REF!</v>
      </c>
      <c r="F179" s="76"/>
      <c r="G179" s="79"/>
      <c r="H179" s="80"/>
      <c r="I179" s="79"/>
      <c r="J179" s="80"/>
      <c r="K179" s="79"/>
      <c r="L179" s="142"/>
      <c r="M179" s="1"/>
      <c r="N179" s="142"/>
      <c r="O179" s="1"/>
      <c r="P179" s="142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06"/>
      <c r="AE179" s="1"/>
      <c r="AF179" s="1"/>
      <c r="AG179" s="1"/>
      <c r="AH179" s="1"/>
      <c r="AI179" s="1"/>
      <c r="AJ179" s="1"/>
      <c r="AK179" s="79">
        <f t="shared" si="598"/>
        <v>0</v>
      </c>
      <c r="AL179" s="1"/>
      <c r="AM179" s="79">
        <f t="shared" si="601"/>
        <v>0</v>
      </c>
      <c r="AN179" s="1"/>
      <c r="AO179" s="79">
        <f t="shared" si="602"/>
        <v>0</v>
      </c>
      <c r="AP179" s="106">
        <v>0.0</v>
      </c>
      <c r="AQ179" s="79">
        <f t="shared" ref="AQ179:AQ181" si="629">AO179-AP179</f>
        <v>0</v>
      </c>
      <c r="AR179" s="1"/>
      <c r="AS179" s="79">
        <f t="shared" si="599"/>
        <v>0</v>
      </c>
      <c r="AT179" s="106">
        <v>0.0</v>
      </c>
      <c r="AU179" s="79">
        <f t="shared" si="603"/>
        <v>0</v>
      </c>
      <c r="AV179" s="106">
        <v>0.0</v>
      </c>
      <c r="AW179" s="79">
        <f>AU179-AV179</f>
        <v>0</v>
      </c>
      <c r="AX179" s="1"/>
      <c r="AY179" s="79">
        <f t="shared" si="604"/>
        <v>0</v>
      </c>
      <c r="AZ179" s="1"/>
      <c r="BA179" s="79">
        <f t="shared" si="605"/>
        <v>0</v>
      </c>
      <c r="BB179" s="1"/>
      <c r="BC179" s="79">
        <f>BA179-BB179+10000</f>
        <v>10000</v>
      </c>
      <c r="BD179" s="106">
        <v>2000.0</v>
      </c>
      <c r="BE179" s="79">
        <f t="shared" si="606"/>
        <v>8000</v>
      </c>
      <c r="BF179" s="106">
        <v>2000.0</v>
      </c>
      <c r="BG179" s="79">
        <f t="shared" si="607"/>
        <v>6000</v>
      </c>
      <c r="BH179" s="106">
        <v>2000.0</v>
      </c>
      <c r="BI179" s="79">
        <f t="shared" si="608"/>
        <v>4000</v>
      </c>
      <c r="BJ179" s="106">
        <v>2000.0</v>
      </c>
      <c r="BK179" s="79">
        <f>BI179-BJ179</f>
        <v>2000</v>
      </c>
      <c r="BL179" s="106">
        <v>2000.0</v>
      </c>
      <c r="BM179" s="79">
        <f t="shared" si="609"/>
        <v>0</v>
      </c>
      <c r="BN179" s="1"/>
      <c r="BO179" s="79">
        <f t="shared" si="610"/>
        <v>0</v>
      </c>
      <c r="BP179" s="1"/>
      <c r="BQ179" s="79">
        <f t="shared" si="611"/>
        <v>0</v>
      </c>
      <c r="BR179" s="1"/>
      <c r="BS179" s="79">
        <f>BQ179-BR179+5500</f>
        <v>5500</v>
      </c>
      <c r="BT179" s="106">
        <v>1500.0</v>
      </c>
      <c r="BU179" s="79">
        <f t="shared" si="612"/>
        <v>4000</v>
      </c>
      <c r="BV179" s="106">
        <v>1500.0</v>
      </c>
      <c r="BW179" s="79">
        <f t="shared" si="613"/>
        <v>2500</v>
      </c>
      <c r="BX179" s="106">
        <v>1500.0</v>
      </c>
      <c r="BY179" s="79">
        <f>BW179-BX179</f>
        <v>1000</v>
      </c>
      <c r="BZ179" s="106">
        <v>1000.0</v>
      </c>
      <c r="CA179" s="79">
        <f t="shared" si="614"/>
        <v>0</v>
      </c>
      <c r="CB179" s="1"/>
      <c r="CC179" s="79">
        <f>CA179-CB179</f>
        <v>0</v>
      </c>
      <c r="CD179" s="1"/>
      <c r="CE179" s="79">
        <f t="shared" si="615"/>
        <v>0</v>
      </c>
      <c r="CF179" s="1"/>
      <c r="CG179" s="79">
        <f>CE179-CF179</f>
        <v>0</v>
      </c>
      <c r="CH179" s="1"/>
      <c r="CI179" s="79">
        <f t="shared" si="616"/>
        <v>0</v>
      </c>
      <c r="CJ179" s="1"/>
      <c r="CK179" s="79">
        <f t="shared" si="617"/>
        <v>0</v>
      </c>
      <c r="CL179" s="1"/>
      <c r="CM179" s="79">
        <f>8000+CK179-CL179</f>
        <v>8000</v>
      </c>
      <c r="CN179" s="106">
        <v>2000.0</v>
      </c>
      <c r="CO179" s="79">
        <f t="shared" si="618"/>
        <v>6000</v>
      </c>
      <c r="CP179" s="106">
        <v>2000.0</v>
      </c>
      <c r="CQ179" s="79">
        <f t="shared" si="619"/>
        <v>4000</v>
      </c>
      <c r="CR179" s="106">
        <v>2000.0</v>
      </c>
      <c r="CS179" s="79">
        <f>CQ179-CR179</f>
        <v>2000</v>
      </c>
      <c r="CT179" s="24">
        <v>2000.0</v>
      </c>
      <c r="CU179" s="79">
        <f t="shared" si="620"/>
        <v>0</v>
      </c>
      <c r="CV179" s="79"/>
      <c r="CW179" s="79">
        <f>CU179-CV179+12000</f>
        <v>12000</v>
      </c>
      <c r="CX179" s="24">
        <v>2000.0</v>
      </c>
      <c r="CY179" s="91">
        <v>10000.0</v>
      </c>
      <c r="CZ179" s="79">
        <f t="shared" si="600"/>
        <v>0</v>
      </c>
      <c r="DA179" s="93"/>
      <c r="DB179" s="93">
        <f t="shared" si="621"/>
        <v>0</v>
      </c>
      <c r="DC179" s="96"/>
      <c r="DD179" s="93">
        <f>DB179-DC179</f>
        <v>0</v>
      </c>
      <c r="DE179" s="96"/>
      <c r="DF179" s="93">
        <f t="shared" si="622"/>
        <v>0</v>
      </c>
      <c r="DG179" s="96"/>
      <c r="DH179" s="93">
        <f t="shared" si="623"/>
        <v>0</v>
      </c>
      <c r="DI179" s="96"/>
      <c r="DJ179" s="93">
        <f t="shared" si="624"/>
        <v>0</v>
      </c>
      <c r="DK179" s="93"/>
      <c r="DL179" s="93">
        <f t="shared" si="625"/>
        <v>0</v>
      </c>
      <c r="DM179" s="100">
        <v>0.0</v>
      </c>
      <c r="DN179" s="93">
        <f t="shared" si="626"/>
        <v>0</v>
      </c>
      <c r="DO179" s="100">
        <v>0.0</v>
      </c>
      <c r="DP179" s="93">
        <f t="shared" si="627"/>
        <v>0</v>
      </c>
      <c r="DQ179" s="100">
        <v>0.0</v>
      </c>
      <c r="DR179" s="93">
        <f t="shared" si="628"/>
        <v>0</v>
      </c>
      <c r="DS179" s="100">
        <v>0.0</v>
      </c>
      <c r="DT179" s="93">
        <f>DR179-DS179</f>
        <v>0</v>
      </c>
      <c r="DU179" s="100">
        <v>0.0</v>
      </c>
      <c r="DV179" s="93">
        <f t="shared" si="61"/>
        <v>0</v>
      </c>
    </row>
    <row r="180">
      <c r="A180" s="106" t="s">
        <v>548</v>
      </c>
      <c r="B180" s="106" t="s">
        <v>549</v>
      </c>
      <c r="C180" s="76" t="str">
        <f t="array" ref="C180">_xlfn.XLOOKUP(A180,'Emp Master'!A:A,'Emp Master'!F:F)</f>
        <v>DEL</v>
      </c>
      <c r="D180" s="76" t="str">
        <f t="array" ref="D180">_xlfn.XLOOKUP(A180,'Emp Master'!A:A,'Emp Master'!D:D)</f>
        <v>Sales &amp; Marketing</v>
      </c>
      <c r="E180" s="76" t="str">
        <f t="shared" si="326"/>
        <v>#REF!</v>
      </c>
      <c r="F180" s="76"/>
      <c r="G180" s="79"/>
      <c r="H180" s="80"/>
      <c r="I180" s="79"/>
      <c r="J180" s="80"/>
      <c r="K180" s="79"/>
      <c r="L180" s="142"/>
      <c r="M180" s="1"/>
      <c r="N180" s="142"/>
      <c r="O180" s="1"/>
      <c r="P180" s="142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79">
        <f t="shared" si="598"/>
        <v>0</v>
      </c>
      <c r="AL180" s="1"/>
      <c r="AM180" s="79">
        <f t="shared" si="601"/>
        <v>0</v>
      </c>
      <c r="AN180" s="1"/>
      <c r="AO180" s="79">
        <f t="shared" si="602"/>
        <v>0</v>
      </c>
      <c r="AP180" s="106">
        <v>0.0</v>
      </c>
      <c r="AQ180" s="79">
        <f t="shared" si="629"/>
        <v>0</v>
      </c>
      <c r="AR180" s="1"/>
      <c r="AS180" s="79">
        <f>AQ180-AR180+15000</f>
        <v>15000</v>
      </c>
      <c r="AT180" s="106">
        <v>15000.0</v>
      </c>
      <c r="AU180" s="79">
        <f t="shared" si="603"/>
        <v>0</v>
      </c>
      <c r="AV180" s="1"/>
      <c r="AW180" s="79">
        <f>AU180-AV180+15000</f>
        <v>15000</v>
      </c>
      <c r="AX180" s="106">
        <v>15000.0</v>
      </c>
      <c r="AY180" s="79">
        <f>AW180-AX180+15000</f>
        <v>15000</v>
      </c>
      <c r="AZ180" s="106">
        <v>15000.0</v>
      </c>
      <c r="BA180" s="79">
        <f>AY180-AZ180+15000</f>
        <v>15000</v>
      </c>
      <c r="BB180" s="106">
        <v>15000.0</v>
      </c>
      <c r="BC180" s="79">
        <f>BA180-BB180+15000</f>
        <v>15000</v>
      </c>
      <c r="BD180" s="106">
        <v>15000.0</v>
      </c>
      <c r="BE180" s="79">
        <f>BC180-BD180+15000</f>
        <v>15000</v>
      </c>
      <c r="BF180" s="106">
        <v>15000.0</v>
      </c>
      <c r="BG180" s="79">
        <f>BE180-BF180+15000</f>
        <v>15000</v>
      </c>
      <c r="BH180" s="106">
        <v>15000.0</v>
      </c>
      <c r="BI180" s="79">
        <f>BG180-BH180+10000</f>
        <v>10000</v>
      </c>
      <c r="BJ180" s="106">
        <v>10000.0</v>
      </c>
      <c r="BK180" s="79">
        <f>BI180-BJ180+15000</f>
        <v>15000</v>
      </c>
      <c r="BL180" s="106">
        <v>15000.0</v>
      </c>
      <c r="BM180" s="79">
        <f t="shared" si="609"/>
        <v>0</v>
      </c>
      <c r="BN180" s="1"/>
      <c r="BO180" s="79">
        <f>BM180-BN180+15000</f>
        <v>15000</v>
      </c>
      <c r="BP180" s="106">
        <v>15000.0</v>
      </c>
      <c r="BQ180" s="79">
        <f>BO180-BP180+15000</f>
        <v>15000</v>
      </c>
      <c r="BR180" s="106">
        <v>15000.0</v>
      </c>
      <c r="BS180" s="79">
        <f>BQ180-BR180+15000</f>
        <v>15000</v>
      </c>
      <c r="BT180" s="106">
        <v>15000.0</v>
      </c>
      <c r="BU180" s="79">
        <f>BS180-BT180+15000+20000</f>
        <v>35000</v>
      </c>
      <c r="BV180" s="106">
        <v>15000.0</v>
      </c>
      <c r="BW180" s="79">
        <f>BU180-BV180+10000</f>
        <v>30000</v>
      </c>
      <c r="BX180" s="106">
        <v>10000.0</v>
      </c>
      <c r="BY180" s="79">
        <f>BW180-BX180+15000</f>
        <v>35000</v>
      </c>
      <c r="BZ180" s="106">
        <v>18000.0</v>
      </c>
      <c r="CA180" s="79">
        <f>BY180-BZ180+15000</f>
        <v>32000</v>
      </c>
      <c r="CB180" s="106">
        <v>18000.0</v>
      </c>
      <c r="CC180" s="79">
        <f>CA180-CB180+15000</f>
        <v>29000</v>
      </c>
      <c r="CD180" s="1"/>
      <c r="CE180" s="79">
        <f t="shared" si="615"/>
        <v>29000</v>
      </c>
      <c r="CF180" s="106">
        <v>14000.0</v>
      </c>
      <c r="CG180" s="79">
        <f>15000+(CE180-CF180)</f>
        <v>30000</v>
      </c>
      <c r="CH180" s="106">
        <v>15000.0</v>
      </c>
      <c r="CI180" s="79">
        <f>(CG180-CH180)+15000</f>
        <v>30000</v>
      </c>
      <c r="CJ180" s="106">
        <v>15000.0</v>
      </c>
      <c r="CK180" s="79">
        <f>15000+(CI180-CJ180)</f>
        <v>30000</v>
      </c>
      <c r="CL180" s="106">
        <v>15000.0</v>
      </c>
      <c r="CM180" s="79">
        <f>15000+CK180-CL180</f>
        <v>30000</v>
      </c>
      <c r="CN180" s="106">
        <v>15000.0</v>
      </c>
      <c r="CO180" s="79">
        <f>15000+CM180-CN180</f>
        <v>30000</v>
      </c>
      <c r="CP180" s="106">
        <v>15000.0</v>
      </c>
      <c r="CQ180" s="79">
        <f t="shared" si="619"/>
        <v>15000</v>
      </c>
      <c r="CR180" s="106"/>
      <c r="CS180" s="79">
        <f>CQ180-CR180+15000+10000+25000</f>
        <v>65000</v>
      </c>
      <c r="CT180" s="24">
        <v>25000.0</v>
      </c>
      <c r="CU180" s="79">
        <f>CS180-CT180+15000</f>
        <v>55000</v>
      </c>
      <c r="CV180" s="24">
        <v>15000.0</v>
      </c>
      <c r="CW180" s="79">
        <f>CU180-CV180+15000</f>
        <v>55000</v>
      </c>
      <c r="CX180" s="24">
        <v>15000.0</v>
      </c>
      <c r="CY180" s="91">
        <v>20000.0</v>
      </c>
      <c r="CZ180" s="79">
        <f>CW180-CX180-CY180+15000</f>
        <v>35000</v>
      </c>
      <c r="DA180" s="100">
        <v>20000.0</v>
      </c>
      <c r="DB180" s="93">
        <f>CZ180-DA180+22000</f>
        <v>37000</v>
      </c>
      <c r="DC180" s="207">
        <v>20000.0</v>
      </c>
      <c r="DD180" s="93">
        <f>DB180-DC180+17000</f>
        <v>34000</v>
      </c>
      <c r="DE180" s="208">
        <v>20000.0</v>
      </c>
      <c r="DF180" s="93">
        <f>DD180-DE180+17000</f>
        <v>31000</v>
      </c>
      <c r="DG180" s="178">
        <v>20000.0</v>
      </c>
      <c r="DH180" s="93">
        <f>DF180-DG180+15000</f>
        <v>26000</v>
      </c>
      <c r="DI180" s="178">
        <v>18000.0</v>
      </c>
      <c r="DJ180" s="93">
        <f>DH180-DI180+17000</f>
        <v>25000</v>
      </c>
      <c r="DK180" s="100">
        <v>20000.0</v>
      </c>
      <c r="DL180" s="93">
        <f>DJ180-DK180+27000</f>
        <v>32000</v>
      </c>
      <c r="DM180" s="100">
        <f>5000+17000</f>
        <v>22000</v>
      </c>
      <c r="DN180" s="93">
        <f>DL180-DM180+17500</f>
        <v>27500</v>
      </c>
      <c r="DO180" s="100">
        <v>15000.0</v>
      </c>
      <c r="DP180" s="93">
        <f>DN180-DO180+17500</f>
        <v>30000</v>
      </c>
      <c r="DQ180" s="100">
        <v>20000.0</v>
      </c>
      <c r="DR180" s="93">
        <f>DP180-DQ180+18000</f>
        <v>28000</v>
      </c>
      <c r="DS180" s="100">
        <v>18000.0</v>
      </c>
      <c r="DT180" s="93">
        <f>DR180-DS180+16000</f>
        <v>26000</v>
      </c>
      <c r="DU180" s="100">
        <v>17000.0</v>
      </c>
      <c r="DV180" s="93">
        <f t="shared" si="61"/>
        <v>9000</v>
      </c>
    </row>
    <row r="181">
      <c r="A181" s="1" t="s">
        <v>966</v>
      </c>
      <c r="B181" s="1" t="s">
        <v>967</v>
      </c>
      <c r="C181" s="76" t="str">
        <f t="array" ref="C181">_xlfn.XLOOKUP(A181,'Emp Master'!A:A,'Emp Master'!F:F)</f>
        <v>#N/A</v>
      </c>
      <c r="D181" s="76" t="str">
        <f t="array" ref="D181">_xlfn.XLOOKUP(A181,'Emp Master'!A:A,'Emp Master'!D:D)</f>
        <v>#N/A</v>
      </c>
      <c r="E181" s="76" t="str">
        <f t="shared" si="326"/>
        <v>#REF!</v>
      </c>
      <c r="F181" s="76"/>
      <c r="G181" s="79"/>
      <c r="H181" s="80"/>
      <c r="I181" s="79"/>
      <c r="J181" s="80"/>
      <c r="K181" s="79"/>
      <c r="L181" s="142"/>
      <c r="M181" s="1"/>
      <c r="N181" s="142"/>
      <c r="O181" s="1"/>
      <c r="P181" s="142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79">
        <f t="shared" si="598"/>
        <v>0</v>
      </c>
      <c r="AL181" s="1"/>
      <c r="AM181" s="79">
        <f t="shared" si="601"/>
        <v>0</v>
      </c>
      <c r="AN181" s="1"/>
      <c r="AO181" s="79">
        <f t="shared" si="602"/>
        <v>0</v>
      </c>
      <c r="AP181" s="106">
        <v>0.0</v>
      </c>
      <c r="AQ181" s="79">
        <f t="shared" si="629"/>
        <v>0</v>
      </c>
      <c r="AR181" s="1"/>
      <c r="AS181" s="79">
        <f>AQ181-AR181+2500</f>
        <v>2500</v>
      </c>
      <c r="AT181" s="1"/>
      <c r="AU181" s="79">
        <f>AS181-AT181+2500</f>
        <v>5000</v>
      </c>
      <c r="AV181" s="1"/>
      <c r="AW181" s="79">
        <f>AU181-AV181</f>
        <v>5000</v>
      </c>
      <c r="AX181" s="1"/>
      <c r="AY181" s="79">
        <f>AW181-AX181+1000</f>
        <v>6000</v>
      </c>
      <c r="AZ181" s="1"/>
      <c r="BA181" s="79">
        <f>AY181-AZ181</f>
        <v>6000</v>
      </c>
      <c r="BB181" s="1"/>
      <c r="BC181" s="79">
        <f>BA181-BB181</f>
        <v>6000</v>
      </c>
      <c r="BD181" s="1"/>
      <c r="BE181" s="79">
        <f>BC181-BD181-6000</f>
        <v>0</v>
      </c>
      <c r="BF181" s="1"/>
      <c r="BG181" s="79">
        <f>BE181-BF181+2000</f>
        <v>2000</v>
      </c>
      <c r="BH181" s="1"/>
      <c r="BI181" s="79">
        <f>BG181-BH181</f>
        <v>2000</v>
      </c>
      <c r="BJ181" s="1"/>
      <c r="BK181" s="79">
        <f>BI181-BJ181</f>
        <v>2000</v>
      </c>
      <c r="BL181" s="1"/>
      <c r="BM181" s="79">
        <f t="shared" si="609"/>
        <v>2000</v>
      </c>
      <c r="BN181" s="1"/>
      <c r="BO181" s="79">
        <f>BM181-BN181</f>
        <v>2000</v>
      </c>
      <c r="BP181" s="1"/>
      <c r="BQ181" s="79">
        <f>BO181-BP181</f>
        <v>2000</v>
      </c>
      <c r="BR181" s="106">
        <v>2000.0</v>
      </c>
      <c r="BS181" s="79">
        <f>BQ181-BR181</f>
        <v>0</v>
      </c>
      <c r="BT181" s="1"/>
      <c r="BU181" s="79">
        <f>BS181-BT181</f>
        <v>0</v>
      </c>
      <c r="BV181" s="1"/>
      <c r="BW181" s="79">
        <f>BU181-BV181</f>
        <v>0</v>
      </c>
      <c r="BX181" s="1"/>
      <c r="BY181" s="79">
        <f>BW181-BX181</f>
        <v>0</v>
      </c>
      <c r="BZ181" s="1"/>
      <c r="CA181" s="79">
        <f>BY181-BZ181</f>
        <v>0</v>
      </c>
      <c r="CB181" s="1"/>
      <c r="CC181" s="79">
        <f>CA181-CB181</f>
        <v>0</v>
      </c>
      <c r="CD181" s="1"/>
      <c r="CE181" s="79">
        <f t="shared" si="615"/>
        <v>0</v>
      </c>
      <c r="CF181" s="1"/>
      <c r="CG181" s="79">
        <f>CE181-CF181</f>
        <v>0</v>
      </c>
      <c r="CH181" s="1"/>
      <c r="CI181" s="79">
        <f>CG181-CH181</f>
        <v>0</v>
      </c>
      <c r="CJ181" s="1"/>
      <c r="CK181" s="79">
        <f>CI181-CJ181</f>
        <v>0</v>
      </c>
      <c r="CL181" s="1"/>
      <c r="CM181" s="79">
        <f>CK181-CL181</f>
        <v>0</v>
      </c>
      <c r="CN181" s="1"/>
      <c r="CO181" s="79">
        <f>CM181-CN181</f>
        <v>0</v>
      </c>
      <c r="CP181" s="1"/>
      <c r="CQ181" s="79">
        <f t="shared" si="619"/>
        <v>0</v>
      </c>
      <c r="CR181" s="1"/>
      <c r="CS181" s="79">
        <f t="shared" ref="CS181:CS220" si="630">CQ181-CR181</f>
        <v>0</v>
      </c>
      <c r="CT181" s="79"/>
      <c r="CU181" s="79">
        <f t="shared" ref="CU181:CU196" si="631">CS181-CT181</f>
        <v>0</v>
      </c>
      <c r="CV181" s="79"/>
      <c r="CW181" s="79">
        <f t="shared" ref="CW181:CW227" si="632">CU181-CV181</f>
        <v>0</v>
      </c>
      <c r="CX181" s="79"/>
      <c r="CY181" s="91"/>
      <c r="CZ181" s="79">
        <f t="shared" ref="CZ181:CZ189" si="633">CW181-CX181</f>
        <v>0</v>
      </c>
      <c r="DA181" s="93"/>
      <c r="DB181" s="93">
        <f t="shared" ref="DB181:DB196" si="634">CZ181-DA181</f>
        <v>0</v>
      </c>
      <c r="DC181" s="96"/>
      <c r="DD181" s="93">
        <f t="shared" ref="DD181:DD218" si="635">DB181-DC181</f>
        <v>0</v>
      </c>
      <c r="DE181" s="96"/>
      <c r="DF181" s="93">
        <f t="shared" ref="DF181:DF212" si="636">DD181-DE181</f>
        <v>0</v>
      </c>
      <c r="DG181" s="96"/>
      <c r="DH181" s="93">
        <f t="shared" ref="DH181:DH203" si="637">DF181-DG181</f>
        <v>0</v>
      </c>
      <c r="DI181" s="96"/>
      <c r="DJ181" s="93">
        <f t="shared" ref="DJ181:DJ189" si="638">DH181-DI181</f>
        <v>0</v>
      </c>
      <c r="DK181" s="93"/>
      <c r="DL181" s="93">
        <f t="shared" ref="DL181:DL196" si="639">DJ181-DK181</f>
        <v>0</v>
      </c>
      <c r="DM181" s="100">
        <v>0.0</v>
      </c>
      <c r="DN181" s="93">
        <f t="shared" ref="DN181:DN187" si="640">DL181-DM181</f>
        <v>0</v>
      </c>
      <c r="DO181" s="100">
        <v>0.0</v>
      </c>
      <c r="DP181" s="93">
        <f t="shared" ref="DP181:DP202" si="641">DN181-DO181</f>
        <v>0</v>
      </c>
      <c r="DQ181" s="100">
        <v>0.0</v>
      </c>
      <c r="DR181" s="93">
        <f t="shared" ref="DR181:DR189" si="642">DP181-DQ181</f>
        <v>0</v>
      </c>
      <c r="DS181" s="100">
        <v>0.0</v>
      </c>
      <c r="DT181" s="93">
        <f t="shared" ref="DT181:DT212" si="643">DR181-DS181</f>
        <v>0</v>
      </c>
      <c r="DU181" s="100">
        <v>0.0</v>
      </c>
      <c r="DV181" s="93">
        <f t="shared" si="61"/>
        <v>0</v>
      </c>
    </row>
    <row r="182">
      <c r="A182" s="7" t="s">
        <v>968</v>
      </c>
      <c r="B182" s="306" t="s">
        <v>697</v>
      </c>
      <c r="C182" s="76" t="str">
        <f t="array" ref="C182">_xlfn.XLOOKUP(A182,'Emp Master'!A:A,'Emp Master'!F:F)</f>
        <v>#N/A</v>
      </c>
      <c r="D182" s="76" t="str">
        <f t="array" ref="D182">_xlfn.XLOOKUP(A182,'Emp Master'!A:A,'Emp Master'!D:D)</f>
        <v>#N/A</v>
      </c>
      <c r="E182" s="76" t="str">
        <f t="shared" si="326"/>
        <v>#REF!</v>
      </c>
      <c r="F182" s="76"/>
      <c r="G182" s="79"/>
      <c r="H182" s="80"/>
      <c r="I182" s="79"/>
      <c r="J182" s="126"/>
      <c r="K182" s="79"/>
      <c r="L182" s="126"/>
      <c r="M182" s="79"/>
      <c r="N182" s="80"/>
      <c r="O182" s="79"/>
      <c r="P182" s="80"/>
      <c r="Q182" s="79"/>
      <c r="R182" s="106"/>
      <c r="S182" s="79"/>
      <c r="T182" s="106"/>
      <c r="U182" s="79"/>
      <c r="V182" s="106"/>
      <c r="W182" s="79"/>
      <c r="X182" s="106"/>
      <c r="Y182" s="79"/>
      <c r="Z182" s="106"/>
      <c r="AA182" s="79"/>
      <c r="AB182" s="106"/>
      <c r="AC182" s="79"/>
      <c r="AD182" s="106"/>
      <c r="AE182" s="79"/>
      <c r="AF182" s="1"/>
      <c r="AG182" s="79"/>
      <c r="AH182" s="1"/>
      <c r="AI182" s="79"/>
      <c r="AJ182" s="1"/>
      <c r="AK182" s="79"/>
      <c r="AL182" s="1"/>
      <c r="AM182" s="79"/>
      <c r="AN182" s="1"/>
      <c r="AO182" s="79"/>
      <c r="AP182" s="1"/>
      <c r="AQ182" s="79"/>
      <c r="AR182" s="1"/>
      <c r="AS182" s="79"/>
      <c r="AT182" s="1"/>
      <c r="AU182" s="79"/>
      <c r="AV182" s="1"/>
      <c r="AW182" s="79"/>
      <c r="AX182" s="1"/>
      <c r="AY182" s="79"/>
      <c r="AZ182" s="1"/>
      <c r="BA182" s="79"/>
      <c r="BB182" s="1"/>
      <c r="BC182" s="79"/>
      <c r="BD182" s="1"/>
      <c r="BE182" s="79"/>
      <c r="BF182" s="1"/>
      <c r="BG182" s="79"/>
      <c r="BH182" s="1"/>
      <c r="BI182" s="79"/>
      <c r="BJ182" s="1"/>
      <c r="BK182" s="79"/>
      <c r="BL182" s="106"/>
      <c r="BM182" s="79"/>
      <c r="BN182" s="106"/>
      <c r="BO182" s="79"/>
      <c r="BP182" s="106"/>
      <c r="BQ182" s="79"/>
      <c r="BR182" s="106"/>
      <c r="BS182" s="79"/>
      <c r="BT182" s="106"/>
      <c r="BU182" s="79"/>
      <c r="BV182" s="106"/>
      <c r="BW182" s="79"/>
      <c r="BX182" s="1"/>
      <c r="BY182" s="79"/>
      <c r="BZ182" s="106"/>
      <c r="CA182" s="80"/>
      <c r="CB182" s="106"/>
      <c r="CC182" s="79"/>
      <c r="CD182" s="106"/>
      <c r="CE182" s="79"/>
      <c r="CF182" s="1"/>
      <c r="CG182" s="79"/>
      <c r="CH182" s="1"/>
      <c r="CI182" s="79"/>
      <c r="CJ182" s="1"/>
      <c r="CK182" s="79"/>
      <c r="CL182" s="1"/>
      <c r="CM182" s="79"/>
      <c r="CN182" s="1"/>
      <c r="CO182" s="79">
        <f>10000+CM182-CN182</f>
        <v>10000</v>
      </c>
      <c r="CP182" s="106">
        <v>2500.0</v>
      </c>
      <c r="CQ182" s="79">
        <f t="shared" si="619"/>
        <v>7500</v>
      </c>
      <c r="CR182" s="106">
        <v>2500.0</v>
      </c>
      <c r="CS182" s="79">
        <f t="shared" si="630"/>
        <v>5000</v>
      </c>
      <c r="CT182" s="24">
        <v>2500.0</v>
      </c>
      <c r="CU182" s="79">
        <f t="shared" si="631"/>
        <v>2500</v>
      </c>
      <c r="CV182" s="24">
        <v>2500.0</v>
      </c>
      <c r="CW182" s="79">
        <f t="shared" si="632"/>
        <v>0</v>
      </c>
      <c r="CX182" s="24"/>
      <c r="CY182" s="91"/>
      <c r="CZ182" s="79">
        <f t="shared" si="633"/>
        <v>0</v>
      </c>
      <c r="DA182" s="93"/>
      <c r="DB182" s="93">
        <f t="shared" si="634"/>
        <v>0</v>
      </c>
      <c r="DC182" s="96"/>
      <c r="DD182" s="93">
        <f t="shared" si="635"/>
        <v>0</v>
      </c>
      <c r="DE182" s="96"/>
      <c r="DF182" s="93">
        <f t="shared" si="636"/>
        <v>0</v>
      </c>
      <c r="DG182" s="96"/>
      <c r="DH182" s="93">
        <f t="shared" si="637"/>
        <v>0</v>
      </c>
      <c r="DI182" s="96"/>
      <c r="DJ182" s="93">
        <f t="shared" si="638"/>
        <v>0</v>
      </c>
      <c r="DK182" s="93"/>
      <c r="DL182" s="93">
        <f t="shared" si="639"/>
        <v>0</v>
      </c>
      <c r="DM182" s="100">
        <v>0.0</v>
      </c>
      <c r="DN182" s="93">
        <f t="shared" si="640"/>
        <v>0</v>
      </c>
      <c r="DO182" s="100">
        <v>0.0</v>
      </c>
      <c r="DP182" s="93">
        <f t="shared" si="641"/>
        <v>0</v>
      </c>
      <c r="DQ182" s="100">
        <v>0.0</v>
      </c>
      <c r="DR182" s="93">
        <f t="shared" si="642"/>
        <v>0</v>
      </c>
      <c r="DS182" s="100">
        <v>0.0</v>
      </c>
      <c r="DT182" s="93">
        <f t="shared" si="643"/>
        <v>0</v>
      </c>
      <c r="DU182" s="100">
        <v>0.0</v>
      </c>
      <c r="DV182" s="93">
        <f t="shared" si="61"/>
        <v>0</v>
      </c>
    </row>
    <row r="183">
      <c r="A183" s="7" t="s">
        <v>969</v>
      </c>
      <c r="B183" s="7" t="s">
        <v>686</v>
      </c>
      <c r="C183" s="76" t="str">
        <f t="array" ref="C183">_xlfn.XLOOKUP(A183,'Emp Master'!A:A,'Emp Master'!F:F)</f>
        <v>#N/A</v>
      </c>
      <c r="D183" s="76" t="str">
        <f t="array" ref="D183">_xlfn.XLOOKUP(A183,'Emp Master'!A:A,'Emp Master'!D:D)</f>
        <v>#N/A</v>
      </c>
      <c r="E183" s="76" t="str">
        <f t="shared" si="326"/>
        <v>#REF!</v>
      </c>
      <c r="F183" s="76"/>
      <c r="G183" s="79"/>
      <c r="H183" s="80"/>
      <c r="I183" s="79">
        <f t="shared" ref="I183:I185" si="644">G183-H183</f>
        <v>0</v>
      </c>
      <c r="J183" s="126"/>
      <c r="K183" s="79">
        <f t="shared" ref="K183:K185" si="645">I183-J183</f>
        <v>0</v>
      </c>
      <c r="L183" s="126">
        <v>0.0</v>
      </c>
      <c r="M183" s="79">
        <f t="shared" ref="M183:M185" si="646">K183-L183</f>
        <v>0</v>
      </c>
      <c r="N183" s="80"/>
      <c r="O183" s="79">
        <f t="shared" ref="O183:O185" si="647">M183-N183</f>
        <v>0</v>
      </c>
      <c r="P183" s="80"/>
      <c r="Q183" s="79">
        <f t="shared" ref="Q183:Q185" si="648">O183-P183</f>
        <v>0</v>
      </c>
      <c r="R183" s="106"/>
      <c r="S183" s="79">
        <f t="shared" ref="S183:S185" si="649">Q183-R183</f>
        <v>0</v>
      </c>
      <c r="T183" s="106"/>
      <c r="U183" s="79">
        <f t="shared" ref="U183:U185" si="650">S183-T183</f>
        <v>0</v>
      </c>
      <c r="V183" s="106"/>
      <c r="W183" s="79">
        <f t="shared" ref="W183:W185" si="651">U183-V183</f>
        <v>0</v>
      </c>
      <c r="X183" s="106"/>
      <c r="Y183" s="79">
        <f t="shared" ref="Y183:Y185" si="652">W183-X183</f>
        <v>0</v>
      </c>
      <c r="Z183" s="106"/>
      <c r="AA183" s="79">
        <f t="shared" ref="AA183:AA185" si="653">Y183-Z183</f>
        <v>0</v>
      </c>
      <c r="AB183" s="106"/>
      <c r="AC183" s="79">
        <f t="shared" ref="AC183:AC185" si="654">AA183-AB183</f>
        <v>0</v>
      </c>
      <c r="AD183" s="106"/>
      <c r="AE183" s="79">
        <f t="shared" ref="AE183:AE185" si="655">AC183-AD183</f>
        <v>0</v>
      </c>
      <c r="AF183" s="1"/>
      <c r="AG183" s="79">
        <f t="shared" ref="AG183:AG185" si="656">AE183-AF183</f>
        <v>0</v>
      </c>
      <c r="AH183" s="1"/>
      <c r="AI183" s="79">
        <f t="shared" ref="AI183:AI185" si="657">AG183-AH183</f>
        <v>0</v>
      </c>
      <c r="AJ183" s="1"/>
      <c r="AK183" s="79">
        <f t="shared" ref="AK183:AK187" si="658">AI183-AJ183</f>
        <v>0</v>
      </c>
      <c r="AL183" s="1"/>
      <c r="AM183" s="79">
        <f t="shared" ref="AM183:AM187" si="659">AK183-AL183</f>
        <v>0</v>
      </c>
      <c r="AN183" s="1"/>
      <c r="AO183" s="79">
        <f t="shared" ref="AO183:AO187" si="660">AM183-AN183</f>
        <v>0</v>
      </c>
      <c r="AP183" s="1"/>
      <c r="AQ183" s="79">
        <f t="shared" ref="AQ183:AQ187" si="661">AO183-AP183</f>
        <v>0</v>
      </c>
      <c r="AR183" s="1"/>
      <c r="AS183" s="79">
        <f t="shared" ref="AS183:AS187" si="662">AQ183-AR183</f>
        <v>0</v>
      </c>
      <c r="AT183" s="1"/>
      <c r="AU183" s="79">
        <f t="shared" ref="AU183:AU187" si="663">AS183-AT183</f>
        <v>0</v>
      </c>
      <c r="AV183" s="1"/>
      <c r="AW183" s="79">
        <f t="shared" ref="AW183:AW185" si="664">AU183-AV183</f>
        <v>0</v>
      </c>
      <c r="AX183" s="1"/>
      <c r="AY183" s="79">
        <f t="shared" ref="AY183:AY186" si="665">AW183-AX183</f>
        <v>0</v>
      </c>
      <c r="AZ183" s="1"/>
      <c r="BA183" s="79">
        <f>AY183-AZ183</f>
        <v>0</v>
      </c>
      <c r="BB183" s="1"/>
      <c r="BC183" s="79">
        <f t="shared" ref="BC183:BC186" si="666">BA183-BB183</f>
        <v>0</v>
      </c>
      <c r="BD183" s="1"/>
      <c r="BE183" s="79">
        <f t="shared" ref="BE183:BE186" si="667">BC183-BD183</f>
        <v>0</v>
      </c>
      <c r="BF183" s="1"/>
      <c r="BG183" s="79">
        <f>BE183-BF183</f>
        <v>0</v>
      </c>
      <c r="BH183" s="1"/>
      <c r="BI183" s="79">
        <f>BG183-BH183</f>
        <v>0</v>
      </c>
      <c r="BJ183" s="1"/>
      <c r="BK183" s="79">
        <f>BI183-BJ183+20000</f>
        <v>20000</v>
      </c>
      <c r="BL183" s="106">
        <v>2000.0</v>
      </c>
      <c r="BM183" s="79">
        <f t="shared" ref="BM183:BM187" si="668">BK183-BL183</f>
        <v>18000</v>
      </c>
      <c r="BN183" s="106">
        <v>2000.0</v>
      </c>
      <c r="BO183" s="79">
        <f>BM183-BN183</f>
        <v>16000</v>
      </c>
      <c r="BP183" s="106">
        <v>2000.0</v>
      </c>
      <c r="BQ183" s="79">
        <f t="shared" ref="BQ183:BQ187" si="669">BO183-BP183</f>
        <v>14000</v>
      </c>
      <c r="BR183" s="106">
        <v>2000.0</v>
      </c>
      <c r="BS183" s="79">
        <f t="shared" ref="BS183:BS190" si="670">BQ183-BR183</f>
        <v>12000</v>
      </c>
      <c r="BT183" s="106">
        <v>2000.0</v>
      </c>
      <c r="BU183" s="79">
        <f t="shared" ref="BU183:BU195" si="671">BS183-BT183</f>
        <v>10000</v>
      </c>
      <c r="BV183" s="106">
        <v>2000.0</v>
      </c>
      <c r="BW183" s="79">
        <f t="shared" ref="BW183:BW184" si="672">BU183-BV183+5000</f>
        <v>13000</v>
      </c>
      <c r="BX183" s="1">
        <f>5000+2000</f>
        <v>7000</v>
      </c>
      <c r="BY183" s="79">
        <f t="shared" ref="BY183:BY189" si="673">BW183-BX183</f>
        <v>6000</v>
      </c>
      <c r="BZ183" s="106">
        <v>2000.0</v>
      </c>
      <c r="CA183" s="80">
        <f>BY183-BZ183+10000-10000</f>
        <v>4000</v>
      </c>
      <c r="CB183" s="106">
        <v>2000.0</v>
      </c>
      <c r="CC183" s="79">
        <f t="shared" ref="CC183:CC195" si="674">CA183-CB183</f>
        <v>2000</v>
      </c>
      <c r="CD183" s="106">
        <v>2000.0</v>
      </c>
      <c r="CE183" s="79">
        <f t="shared" ref="CE183:CE195" si="675">CC183-CD183</f>
        <v>0</v>
      </c>
      <c r="CF183" s="1"/>
      <c r="CG183" s="79">
        <f t="shared" ref="CG183:CG195" si="676">CE183-CF183</f>
        <v>0</v>
      </c>
      <c r="CH183" s="1"/>
      <c r="CI183" s="79">
        <f t="shared" ref="CI183:CI195" si="677">CG183-CH183</f>
        <v>0</v>
      </c>
      <c r="CJ183" s="1"/>
      <c r="CK183" s="79">
        <f t="shared" ref="CK183:CK203" si="678">CI183-CJ183</f>
        <v>0</v>
      </c>
      <c r="CL183" s="1"/>
      <c r="CM183" s="79">
        <f t="shared" ref="CM183:CM196" si="679">CK183-CL183</f>
        <v>0</v>
      </c>
      <c r="CN183" s="1"/>
      <c r="CO183" s="79">
        <f t="shared" ref="CO183:CO231" si="680">CM183-CN183</f>
        <v>0</v>
      </c>
      <c r="CP183" s="1"/>
      <c r="CQ183" s="79">
        <f t="shared" si="619"/>
        <v>0</v>
      </c>
      <c r="CR183" s="1"/>
      <c r="CS183" s="79">
        <f t="shared" si="630"/>
        <v>0</v>
      </c>
      <c r="CT183" s="79"/>
      <c r="CU183" s="79">
        <f t="shared" si="631"/>
        <v>0</v>
      </c>
      <c r="CV183" s="79"/>
      <c r="CW183" s="79">
        <f t="shared" si="632"/>
        <v>0</v>
      </c>
      <c r="CX183" s="79"/>
      <c r="CY183" s="91"/>
      <c r="CZ183" s="79">
        <f t="shared" si="633"/>
        <v>0</v>
      </c>
      <c r="DA183" s="93"/>
      <c r="DB183" s="93">
        <f t="shared" si="634"/>
        <v>0</v>
      </c>
      <c r="DC183" s="96"/>
      <c r="DD183" s="93">
        <f t="shared" si="635"/>
        <v>0</v>
      </c>
      <c r="DE183" s="96"/>
      <c r="DF183" s="93">
        <f t="shared" si="636"/>
        <v>0</v>
      </c>
      <c r="DG183" s="96"/>
      <c r="DH183" s="93">
        <f t="shared" si="637"/>
        <v>0</v>
      </c>
      <c r="DI183" s="96"/>
      <c r="DJ183" s="93">
        <f t="shared" si="638"/>
        <v>0</v>
      </c>
      <c r="DK183" s="93"/>
      <c r="DL183" s="93">
        <f t="shared" si="639"/>
        <v>0</v>
      </c>
      <c r="DM183" s="100">
        <v>0.0</v>
      </c>
      <c r="DN183" s="93">
        <f t="shared" si="640"/>
        <v>0</v>
      </c>
      <c r="DO183" s="100">
        <v>0.0</v>
      </c>
      <c r="DP183" s="93">
        <f t="shared" si="641"/>
        <v>0</v>
      </c>
      <c r="DQ183" s="100">
        <v>0.0</v>
      </c>
      <c r="DR183" s="93">
        <f t="shared" si="642"/>
        <v>0</v>
      </c>
      <c r="DS183" s="100">
        <v>0.0</v>
      </c>
      <c r="DT183" s="93">
        <f t="shared" si="643"/>
        <v>0</v>
      </c>
      <c r="DU183" s="100">
        <v>0.0</v>
      </c>
      <c r="DV183" s="93">
        <f t="shared" si="61"/>
        <v>0</v>
      </c>
    </row>
    <row r="184">
      <c r="A184" s="7" t="s">
        <v>970</v>
      </c>
      <c r="B184" s="7" t="s">
        <v>745</v>
      </c>
      <c r="C184" s="76" t="str">
        <f t="array" ref="C184">_xlfn.XLOOKUP(A184,'Emp Master'!A:A,'Emp Master'!F:F)</f>
        <v>#N/A</v>
      </c>
      <c r="D184" s="76" t="str">
        <f t="array" ref="D184">_xlfn.XLOOKUP(A184,'Emp Master'!A:A,'Emp Master'!D:D)</f>
        <v>#N/A</v>
      </c>
      <c r="E184" s="76" t="str">
        <f t="shared" si="326"/>
        <v>#REF!</v>
      </c>
      <c r="F184" s="76" t="s">
        <v>70</v>
      </c>
      <c r="G184" s="79" t="s">
        <v>70</v>
      </c>
      <c r="H184" s="80" t="s">
        <v>70</v>
      </c>
      <c r="I184" s="79">
        <f t="shared" si="644"/>
        <v>0</v>
      </c>
      <c r="J184" s="80" t="s">
        <v>70</v>
      </c>
      <c r="K184" s="79">
        <f t="shared" si="645"/>
        <v>0</v>
      </c>
      <c r="L184" s="80" t="s">
        <v>70</v>
      </c>
      <c r="M184" s="79">
        <f t="shared" si="646"/>
        <v>0</v>
      </c>
      <c r="N184" s="80" t="s">
        <v>70</v>
      </c>
      <c r="O184" s="79">
        <f t="shared" si="647"/>
        <v>0</v>
      </c>
      <c r="P184" s="80" t="s">
        <v>70</v>
      </c>
      <c r="Q184" s="79">
        <f t="shared" si="648"/>
        <v>0</v>
      </c>
      <c r="R184" s="1"/>
      <c r="S184" s="79">
        <f t="shared" si="649"/>
        <v>0</v>
      </c>
      <c r="T184" s="1"/>
      <c r="U184" s="79">
        <f t="shared" si="650"/>
        <v>0</v>
      </c>
      <c r="V184" s="1"/>
      <c r="W184" s="79">
        <f t="shared" si="651"/>
        <v>0</v>
      </c>
      <c r="X184" s="1"/>
      <c r="Y184" s="79">
        <f t="shared" si="652"/>
        <v>0</v>
      </c>
      <c r="Z184" s="1"/>
      <c r="AA184" s="79">
        <f t="shared" si="653"/>
        <v>0</v>
      </c>
      <c r="AB184" s="1"/>
      <c r="AC184" s="79">
        <f t="shared" si="654"/>
        <v>0</v>
      </c>
      <c r="AD184" s="1"/>
      <c r="AE184" s="79">
        <f t="shared" si="655"/>
        <v>0</v>
      </c>
      <c r="AF184" s="1"/>
      <c r="AG184" s="79">
        <f t="shared" si="656"/>
        <v>0</v>
      </c>
      <c r="AH184" s="1"/>
      <c r="AI184" s="79">
        <f t="shared" si="657"/>
        <v>0</v>
      </c>
      <c r="AJ184" s="1"/>
      <c r="AK184" s="79">
        <f t="shared" si="658"/>
        <v>0</v>
      </c>
      <c r="AL184" s="1"/>
      <c r="AM184" s="79">
        <f t="shared" si="659"/>
        <v>0</v>
      </c>
      <c r="AN184" s="1"/>
      <c r="AO184" s="79">
        <f t="shared" si="660"/>
        <v>0</v>
      </c>
      <c r="AP184" s="1"/>
      <c r="AQ184" s="79">
        <f t="shared" si="661"/>
        <v>0</v>
      </c>
      <c r="AR184" s="1"/>
      <c r="AS184" s="79">
        <f t="shared" si="662"/>
        <v>0</v>
      </c>
      <c r="AT184" s="1"/>
      <c r="AU184" s="79">
        <f t="shared" si="663"/>
        <v>0</v>
      </c>
      <c r="AV184" s="1"/>
      <c r="AW184" s="79">
        <f t="shared" si="664"/>
        <v>0</v>
      </c>
      <c r="AX184" s="1"/>
      <c r="AY184" s="79">
        <f t="shared" si="665"/>
        <v>0</v>
      </c>
      <c r="AZ184" s="1"/>
      <c r="BA184" s="79">
        <f>AY184-AZ184+5000</f>
        <v>5000</v>
      </c>
      <c r="BB184" s="106">
        <v>2500.0</v>
      </c>
      <c r="BC184" s="79">
        <f t="shared" si="666"/>
        <v>2500</v>
      </c>
      <c r="BD184" s="106">
        <v>2500.0</v>
      </c>
      <c r="BE184" s="79">
        <f t="shared" si="667"/>
        <v>0</v>
      </c>
      <c r="BF184" s="1"/>
      <c r="BG184" s="79">
        <f>BE184-BF184+2000</f>
        <v>2000</v>
      </c>
      <c r="BH184" s="106">
        <v>2000.0</v>
      </c>
      <c r="BI184" s="79">
        <f>BG184-BH184+6000</f>
        <v>6000</v>
      </c>
      <c r="BJ184" s="106">
        <v>2000.0</v>
      </c>
      <c r="BK184" s="79">
        <f>BI184-BJ184</f>
        <v>4000</v>
      </c>
      <c r="BL184" s="106">
        <v>2000.0</v>
      </c>
      <c r="BM184" s="79">
        <f t="shared" si="668"/>
        <v>2000</v>
      </c>
      <c r="BN184" s="106">
        <v>2000.0</v>
      </c>
      <c r="BO184" s="176">
        <f>BM184-BN184+5000</f>
        <v>5000</v>
      </c>
      <c r="BP184" s="106">
        <v>2000.0</v>
      </c>
      <c r="BQ184" s="79">
        <f t="shared" si="669"/>
        <v>3000</v>
      </c>
      <c r="BR184" s="106">
        <v>2000.0</v>
      </c>
      <c r="BS184" s="79">
        <f t="shared" si="670"/>
        <v>1000</v>
      </c>
      <c r="BT184" s="106">
        <v>1000.0</v>
      </c>
      <c r="BU184" s="79">
        <f t="shared" si="671"/>
        <v>0</v>
      </c>
      <c r="BV184" s="1"/>
      <c r="BW184" s="79">
        <f t="shared" si="672"/>
        <v>5000</v>
      </c>
      <c r="BX184" s="106">
        <v>2500.0</v>
      </c>
      <c r="BY184" s="79">
        <f t="shared" si="673"/>
        <v>2500</v>
      </c>
      <c r="BZ184" s="106">
        <v>2500.0</v>
      </c>
      <c r="CA184" s="79">
        <f t="shared" ref="CA184:CA195" si="681">BY184-BZ184</f>
        <v>0</v>
      </c>
      <c r="CB184" s="1"/>
      <c r="CC184" s="79">
        <f t="shared" si="674"/>
        <v>0</v>
      </c>
      <c r="CD184" s="1"/>
      <c r="CE184" s="79">
        <f t="shared" si="675"/>
        <v>0</v>
      </c>
      <c r="CF184" s="1"/>
      <c r="CG184" s="79">
        <f t="shared" si="676"/>
        <v>0</v>
      </c>
      <c r="CH184" s="1"/>
      <c r="CI184" s="79">
        <f t="shared" si="677"/>
        <v>0</v>
      </c>
      <c r="CJ184" s="1"/>
      <c r="CK184" s="79">
        <f t="shared" si="678"/>
        <v>0</v>
      </c>
      <c r="CL184" s="1"/>
      <c r="CM184" s="79">
        <f t="shared" si="679"/>
        <v>0</v>
      </c>
      <c r="CN184" s="1"/>
      <c r="CO184" s="79">
        <f t="shared" si="680"/>
        <v>0</v>
      </c>
      <c r="CP184" s="1"/>
      <c r="CQ184" s="79">
        <f t="shared" si="619"/>
        <v>0</v>
      </c>
      <c r="CR184" s="1"/>
      <c r="CS184" s="79">
        <f t="shared" si="630"/>
        <v>0</v>
      </c>
      <c r="CT184" s="79"/>
      <c r="CU184" s="79">
        <f t="shared" si="631"/>
        <v>0</v>
      </c>
      <c r="CV184" s="79"/>
      <c r="CW184" s="79">
        <f t="shared" si="632"/>
        <v>0</v>
      </c>
      <c r="CX184" s="79"/>
      <c r="CY184" s="91"/>
      <c r="CZ184" s="79">
        <f t="shared" si="633"/>
        <v>0</v>
      </c>
      <c r="DA184" s="93"/>
      <c r="DB184" s="93">
        <f t="shared" si="634"/>
        <v>0</v>
      </c>
      <c r="DC184" s="96"/>
      <c r="DD184" s="93">
        <f t="shared" si="635"/>
        <v>0</v>
      </c>
      <c r="DE184" s="96"/>
      <c r="DF184" s="93">
        <f t="shared" si="636"/>
        <v>0</v>
      </c>
      <c r="DG184" s="96"/>
      <c r="DH184" s="93">
        <f t="shared" si="637"/>
        <v>0</v>
      </c>
      <c r="DI184" s="96"/>
      <c r="DJ184" s="93">
        <f t="shared" si="638"/>
        <v>0</v>
      </c>
      <c r="DK184" s="93"/>
      <c r="DL184" s="93">
        <f t="shared" si="639"/>
        <v>0</v>
      </c>
      <c r="DM184" s="100">
        <v>0.0</v>
      </c>
      <c r="DN184" s="93">
        <f t="shared" si="640"/>
        <v>0</v>
      </c>
      <c r="DO184" s="100">
        <v>0.0</v>
      </c>
      <c r="DP184" s="93">
        <f t="shared" si="641"/>
        <v>0</v>
      </c>
      <c r="DQ184" s="100">
        <v>0.0</v>
      </c>
      <c r="DR184" s="93">
        <f t="shared" si="642"/>
        <v>0</v>
      </c>
      <c r="DS184" s="100">
        <v>0.0</v>
      </c>
      <c r="DT184" s="93">
        <f t="shared" si="643"/>
        <v>0</v>
      </c>
      <c r="DU184" s="100">
        <v>0.0</v>
      </c>
      <c r="DV184" s="93">
        <f t="shared" si="61"/>
        <v>0</v>
      </c>
    </row>
    <row r="185">
      <c r="A185" s="7" t="s">
        <v>971</v>
      </c>
      <c r="B185" s="7" t="s">
        <v>972</v>
      </c>
      <c r="C185" s="76" t="str">
        <f t="array" ref="C185">_xlfn.XLOOKUP(A185,'Emp Master'!A:A,'Emp Master'!F:F)</f>
        <v>#N/A</v>
      </c>
      <c r="D185" s="76" t="str">
        <f t="array" ref="D185">_xlfn.XLOOKUP(A185,'Emp Master'!A:A,'Emp Master'!D:D)</f>
        <v>#N/A</v>
      </c>
      <c r="E185" s="76" t="str">
        <f t="shared" si="326"/>
        <v>#REF!</v>
      </c>
      <c r="F185" s="76"/>
      <c r="G185" s="79"/>
      <c r="H185" s="80"/>
      <c r="I185" s="79">
        <f t="shared" si="644"/>
        <v>0</v>
      </c>
      <c r="J185" s="126"/>
      <c r="K185" s="79">
        <f t="shared" si="645"/>
        <v>0</v>
      </c>
      <c r="L185" s="126">
        <v>0.0</v>
      </c>
      <c r="M185" s="79">
        <f t="shared" si="646"/>
        <v>0</v>
      </c>
      <c r="N185" s="80"/>
      <c r="O185" s="79">
        <f t="shared" si="647"/>
        <v>0</v>
      </c>
      <c r="P185" s="80"/>
      <c r="Q185" s="79">
        <f t="shared" si="648"/>
        <v>0</v>
      </c>
      <c r="R185" s="106"/>
      <c r="S185" s="79">
        <f t="shared" si="649"/>
        <v>0</v>
      </c>
      <c r="T185" s="106"/>
      <c r="U185" s="79">
        <f t="shared" si="650"/>
        <v>0</v>
      </c>
      <c r="V185" s="106"/>
      <c r="W185" s="79">
        <f t="shared" si="651"/>
        <v>0</v>
      </c>
      <c r="X185" s="106"/>
      <c r="Y185" s="79">
        <f t="shared" si="652"/>
        <v>0</v>
      </c>
      <c r="Z185" s="106"/>
      <c r="AA185" s="79">
        <f t="shared" si="653"/>
        <v>0</v>
      </c>
      <c r="AB185" s="106"/>
      <c r="AC185" s="79">
        <f t="shared" si="654"/>
        <v>0</v>
      </c>
      <c r="AD185" s="106"/>
      <c r="AE185" s="79">
        <f t="shared" si="655"/>
        <v>0</v>
      </c>
      <c r="AF185" s="1"/>
      <c r="AG185" s="79">
        <f t="shared" si="656"/>
        <v>0</v>
      </c>
      <c r="AH185" s="1"/>
      <c r="AI185" s="79">
        <f t="shared" si="657"/>
        <v>0</v>
      </c>
      <c r="AJ185" s="1"/>
      <c r="AK185" s="79">
        <f t="shared" si="658"/>
        <v>0</v>
      </c>
      <c r="AL185" s="1"/>
      <c r="AM185" s="79">
        <f t="shared" si="659"/>
        <v>0</v>
      </c>
      <c r="AN185" s="1"/>
      <c r="AO185" s="79">
        <f t="shared" si="660"/>
        <v>0</v>
      </c>
      <c r="AP185" s="1"/>
      <c r="AQ185" s="79">
        <f t="shared" si="661"/>
        <v>0</v>
      </c>
      <c r="AR185" s="1"/>
      <c r="AS185" s="79">
        <f t="shared" si="662"/>
        <v>0</v>
      </c>
      <c r="AT185" s="1"/>
      <c r="AU185" s="79">
        <f t="shared" si="663"/>
        <v>0</v>
      </c>
      <c r="AV185" s="1"/>
      <c r="AW185" s="79">
        <f t="shared" si="664"/>
        <v>0</v>
      </c>
      <c r="AX185" s="1"/>
      <c r="AY185" s="79">
        <f t="shared" si="665"/>
        <v>0</v>
      </c>
      <c r="AZ185" s="1"/>
      <c r="BA185" s="79">
        <f t="shared" ref="BA185:BA187" si="682">AY185-AZ185</f>
        <v>0</v>
      </c>
      <c r="BB185" s="1"/>
      <c r="BC185" s="79">
        <f t="shared" si="666"/>
        <v>0</v>
      </c>
      <c r="BD185" s="1"/>
      <c r="BE185" s="79">
        <f t="shared" si="667"/>
        <v>0</v>
      </c>
      <c r="BF185" s="1"/>
      <c r="BG185" s="79">
        <f t="shared" ref="BG185:BG186" si="683">BE185-BF185</f>
        <v>0</v>
      </c>
      <c r="BH185" s="1"/>
      <c r="BI185" s="79">
        <f t="shared" ref="BI185:BI193" si="684">BG185-BH185</f>
        <v>0</v>
      </c>
      <c r="BJ185" s="1"/>
      <c r="BK185" s="79">
        <f>BI185-BJ185+20000</f>
        <v>20000</v>
      </c>
      <c r="BL185" s="106">
        <v>5000.0</v>
      </c>
      <c r="BM185" s="79">
        <f t="shared" si="668"/>
        <v>15000</v>
      </c>
      <c r="BN185" s="106">
        <v>5000.0</v>
      </c>
      <c r="BO185" s="79">
        <f t="shared" ref="BO185:BO187" si="685">BM185-BN185</f>
        <v>10000</v>
      </c>
      <c r="BP185" s="106">
        <v>5000.0</v>
      </c>
      <c r="BQ185" s="79">
        <f t="shared" si="669"/>
        <v>5000</v>
      </c>
      <c r="BR185" s="106">
        <v>5000.0</v>
      </c>
      <c r="BS185" s="79">
        <f t="shared" si="670"/>
        <v>0</v>
      </c>
      <c r="BT185" s="1"/>
      <c r="BU185" s="79">
        <f t="shared" si="671"/>
        <v>0</v>
      </c>
      <c r="BV185" s="1"/>
      <c r="BW185" s="79">
        <f t="shared" ref="BW185:BW195" si="686">BU185-BV185</f>
        <v>0</v>
      </c>
      <c r="BX185" s="1"/>
      <c r="BY185" s="79">
        <f t="shared" si="673"/>
        <v>0</v>
      </c>
      <c r="BZ185" s="1"/>
      <c r="CA185" s="79">
        <f t="shared" si="681"/>
        <v>0</v>
      </c>
      <c r="CB185" s="1"/>
      <c r="CC185" s="79">
        <f t="shared" si="674"/>
        <v>0</v>
      </c>
      <c r="CD185" s="1"/>
      <c r="CE185" s="79">
        <f t="shared" si="675"/>
        <v>0</v>
      </c>
      <c r="CF185" s="1"/>
      <c r="CG185" s="79">
        <f t="shared" si="676"/>
        <v>0</v>
      </c>
      <c r="CH185" s="1"/>
      <c r="CI185" s="79">
        <f t="shared" si="677"/>
        <v>0</v>
      </c>
      <c r="CJ185" s="1"/>
      <c r="CK185" s="79">
        <f t="shared" si="678"/>
        <v>0</v>
      </c>
      <c r="CL185" s="1"/>
      <c r="CM185" s="79">
        <f t="shared" si="679"/>
        <v>0</v>
      </c>
      <c r="CN185" s="1"/>
      <c r="CO185" s="79">
        <f t="shared" si="680"/>
        <v>0</v>
      </c>
      <c r="CP185" s="1"/>
      <c r="CQ185" s="79">
        <f t="shared" si="619"/>
        <v>0</v>
      </c>
      <c r="CR185" s="1"/>
      <c r="CS185" s="79">
        <f t="shared" si="630"/>
        <v>0</v>
      </c>
      <c r="CT185" s="79"/>
      <c r="CU185" s="79">
        <f t="shared" si="631"/>
        <v>0</v>
      </c>
      <c r="CV185" s="79"/>
      <c r="CW185" s="79">
        <f t="shared" si="632"/>
        <v>0</v>
      </c>
      <c r="CX185" s="79"/>
      <c r="CY185" s="91"/>
      <c r="CZ185" s="79">
        <f t="shared" si="633"/>
        <v>0</v>
      </c>
      <c r="DA185" s="93"/>
      <c r="DB185" s="93">
        <f t="shared" si="634"/>
        <v>0</v>
      </c>
      <c r="DC185" s="96"/>
      <c r="DD185" s="93">
        <f t="shared" si="635"/>
        <v>0</v>
      </c>
      <c r="DE185" s="96"/>
      <c r="DF185" s="93">
        <f t="shared" si="636"/>
        <v>0</v>
      </c>
      <c r="DG185" s="96"/>
      <c r="DH185" s="93">
        <f t="shared" si="637"/>
        <v>0</v>
      </c>
      <c r="DI185" s="96"/>
      <c r="DJ185" s="93">
        <f t="shared" si="638"/>
        <v>0</v>
      </c>
      <c r="DK185" s="93"/>
      <c r="DL185" s="93">
        <f t="shared" si="639"/>
        <v>0</v>
      </c>
      <c r="DM185" s="100">
        <v>0.0</v>
      </c>
      <c r="DN185" s="93">
        <f t="shared" si="640"/>
        <v>0</v>
      </c>
      <c r="DO185" s="100">
        <v>0.0</v>
      </c>
      <c r="DP185" s="93">
        <f t="shared" si="641"/>
        <v>0</v>
      </c>
      <c r="DQ185" s="100">
        <v>0.0</v>
      </c>
      <c r="DR185" s="93">
        <f t="shared" si="642"/>
        <v>0</v>
      </c>
      <c r="DS185" s="100">
        <v>0.0</v>
      </c>
      <c r="DT185" s="93">
        <f t="shared" si="643"/>
        <v>0</v>
      </c>
      <c r="DU185" s="100">
        <v>0.0</v>
      </c>
      <c r="DV185" s="93">
        <f t="shared" si="61"/>
        <v>0</v>
      </c>
    </row>
    <row r="186">
      <c r="A186" s="7" t="s">
        <v>973</v>
      </c>
      <c r="B186" s="7" t="s">
        <v>974</v>
      </c>
      <c r="C186" s="76" t="str">
        <f t="array" ref="C186">_xlfn.XLOOKUP(A186,'Emp Master'!A:A,'Emp Master'!F:F)</f>
        <v>#N/A</v>
      </c>
      <c r="D186" s="76" t="str">
        <f t="array" ref="D186">_xlfn.XLOOKUP(A186,'Emp Master'!A:A,'Emp Master'!D:D)</f>
        <v>#N/A</v>
      </c>
      <c r="E186" s="76" t="str">
        <f t="shared" si="326"/>
        <v>#REF!</v>
      </c>
      <c r="F186" s="76"/>
      <c r="G186" s="79"/>
      <c r="H186" s="80"/>
      <c r="I186" s="79"/>
      <c r="J186" s="80"/>
      <c r="K186" s="79"/>
      <c r="L186" s="142"/>
      <c r="M186" s="1"/>
      <c r="N186" s="142"/>
      <c r="O186" s="1"/>
      <c r="P186" s="142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79">
        <f t="shared" si="658"/>
        <v>0</v>
      </c>
      <c r="AL186" s="1"/>
      <c r="AM186" s="79">
        <f t="shared" si="659"/>
        <v>0</v>
      </c>
      <c r="AN186" s="1"/>
      <c r="AO186" s="79">
        <f t="shared" si="660"/>
        <v>0</v>
      </c>
      <c r="AP186" s="106">
        <v>0.0</v>
      </c>
      <c r="AQ186" s="79">
        <f t="shared" si="661"/>
        <v>0</v>
      </c>
      <c r="AR186" s="1"/>
      <c r="AS186" s="79">
        <f t="shared" si="662"/>
        <v>0</v>
      </c>
      <c r="AT186" s="106">
        <v>0.0</v>
      </c>
      <c r="AU186" s="79">
        <f t="shared" si="663"/>
        <v>0</v>
      </c>
      <c r="AV186" s="106">
        <v>0.0</v>
      </c>
      <c r="AW186" s="79">
        <f>AU186-AV186+8000</f>
        <v>8000</v>
      </c>
      <c r="AX186" s="106">
        <v>4000.0</v>
      </c>
      <c r="AY186" s="79">
        <f t="shared" si="665"/>
        <v>4000</v>
      </c>
      <c r="AZ186" s="106">
        <v>4000.0</v>
      </c>
      <c r="BA186" s="79">
        <f t="shared" si="682"/>
        <v>0</v>
      </c>
      <c r="BB186" s="1"/>
      <c r="BC186" s="79">
        <f t="shared" si="666"/>
        <v>0</v>
      </c>
      <c r="BD186" s="1"/>
      <c r="BE186" s="79">
        <f t="shared" si="667"/>
        <v>0</v>
      </c>
      <c r="BF186" s="1"/>
      <c r="BG186" s="79">
        <f t="shared" si="683"/>
        <v>0</v>
      </c>
      <c r="BH186" s="1"/>
      <c r="BI186" s="79">
        <f t="shared" si="684"/>
        <v>0</v>
      </c>
      <c r="BJ186" s="1"/>
      <c r="BK186" s="79">
        <f t="shared" ref="BK186:BK187" si="687">BI186-BJ186</f>
        <v>0</v>
      </c>
      <c r="BL186" s="1"/>
      <c r="BM186" s="79">
        <f t="shared" si="668"/>
        <v>0</v>
      </c>
      <c r="BN186" s="1"/>
      <c r="BO186" s="79">
        <f t="shared" si="685"/>
        <v>0</v>
      </c>
      <c r="BP186" s="1"/>
      <c r="BQ186" s="79">
        <f t="shared" si="669"/>
        <v>0</v>
      </c>
      <c r="BR186" s="1"/>
      <c r="BS186" s="79">
        <f t="shared" si="670"/>
        <v>0</v>
      </c>
      <c r="BT186" s="1"/>
      <c r="BU186" s="79">
        <f t="shared" si="671"/>
        <v>0</v>
      </c>
      <c r="BV186" s="1"/>
      <c r="BW186" s="79">
        <f t="shared" si="686"/>
        <v>0</v>
      </c>
      <c r="BX186" s="1"/>
      <c r="BY186" s="79">
        <f t="shared" si="673"/>
        <v>0</v>
      </c>
      <c r="BZ186" s="1"/>
      <c r="CA186" s="79">
        <f t="shared" si="681"/>
        <v>0</v>
      </c>
      <c r="CB186" s="1"/>
      <c r="CC186" s="79">
        <f t="shared" si="674"/>
        <v>0</v>
      </c>
      <c r="CD186" s="1"/>
      <c r="CE186" s="79">
        <f t="shared" si="675"/>
        <v>0</v>
      </c>
      <c r="CF186" s="1"/>
      <c r="CG186" s="79">
        <f t="shared" si="676"/>
        <v>0</v>
      </c>
      <c r="CH186" s="1"/>
      <c r="CI186" s="79">
        <f t="shared" si="677"/>
        <v>0</v>
      </c>
      <c r="CJ186" s="1"/>
      <c r="CK186" s="79">
        <f t="shared" si="678"/>
        <v>0</v>
      </c>
      <c r="CL186" s="1"/>
      <c r="CM186" s="79">
        <f t="shared" si="679"/>
        <v>0</v>
      </c>
      <c r="CN186" s="1"/>
      <c r="CO186" s="79">
        <f t="shared" si="680"/>
        <v>0</v>
      </c>
      <c r="CP186" s="1"/>
      <c r="CQ186" s="79">
        <f t="shared" si="619"/>
        <v>0</v>
      </c>
      <c r="CR186" s="1"/>
      <c r="CS186" s="79">
        <f t="shared" si="630"/>
        <v>0</v>
      </c>
      <c r="CT186" s="79"/>
      <c r="CU186" s="79">
        <f t="shared" si="631"/>
        <v>0</v>
      </c>
      <c r="CV186" s="79"/>
      <c r="CW186" s="79">
        <f t="shared" si="632"/>
        <v>0</v>
      </c>
      <c r="CX186" s="79"/>
      <c r="CY186" s="91"/>
      <c r="CZ186" s="79">
        <f t="shared" si="633"/>
        <v>0</v>
      </c>
      <c r="DA186" s="93"/>
      <c r="DB186" s="93">
        <f t="shared" si="634"/>
        <v>0</v>
      </c>
      <c r="DC186" s="96"/>
      <c r="DD186" s="93">
        <f t="shared" si="635"/>
        <v>0</v>
      </c>
      <c r="DE186" s="96"/>
      <c r="DF186" s="93">
        <f t="shared" si="636"/>
        <v>0</v>
      </c>
      <c r="DG186" s="96"/>
      <c r="DH186" s="93">
        <f t="shared" si="637"/>
        <v>0</v>
      </c>
      <c r="DI186" s="96"/>
      <c r="DJ186" s="93">
        <f t="shared" si="638"/>
        <v>0</v>
      </c>
      <c r="DK186" s="93"/>
      <c r="DL186" s="93">
        <f t="shared" si="639"/>
        <v>0</v>
      </c>
      <c r="DM186" s="100">
        <v>0.0</v>
      </c>
      <c r="DN186" s="93">
        <f t="shared" si="640"/>
        <v>0</v>
      </c>
      <c r="DO186" s="100">
        <v>0.0</v>
      </c>
      <c r="DP186" s="93">
        <f t="shared" si="641"/>
        <v>0</v>
      </c>
      <c r="DQ186" s="100">
        <v>0.0</v>
      </c>
      <c r="DR186" s="93">
        <f t="shared" si="642"/>
        <v>0</v>
      </c>
      <c r="DS186" s="100">
        <v>0.0</v>
      </c>
      <c r="DT186" s="93">
        <f t="shared" si="643"/>
        <v>0</v>
      </c>
      <c r="DU186" s="100">
        <v>0.0</v>
      </c>
      <c r="DV186" s="93">
        <f t="shared" si="61"/>
        <v>0</v>
      </c>
    </row>
    <row r="187">
      <c r="A187" s="106" t="s">
        <v>975</v>
      </c>
      <c r="B187" s="106" t="s">
        <v>913</v>
      </c>
      <c r="C187" s="76" t="str">
        <f t="array" ref="C187">_xlfn.XLOOKUP(A187,'Emp Master'!A:A,'Emp Master'!F:F)</f>
        <v>#N/A</v>
      </c>
      <c r="D187" s="76" t="str">
        <f t="array" ref="D187">_xlfn.XLOOKUP(A187,'Emp Master'!A:A,'Emp Master'!D:D)</f>
        <v>#N/A</v>
      </c>
      <c r="E187" s="76" t="str">
        <f t="shared" si="326"/>
        <v>#REF!</v>
      </c>
      <c r="F187" s="76"/>
      <c r="G187" s="79"/>
      <c r="H187" s="80"/>
      <c r="I187" s="79"/>
      <c r="J187" s="80"/>
      <c r="K187" s="79"/>
      <c r="L187" s="142"/>
      <c r="M187" s="1"/>
      <c r="N187" s="142"/>
      <c r="O187" s="1"/>
      <c r="P187" s="142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79">
        <f t="shared" si="658"/>
        <v>0</v>
      </c>
      <c r="AL187" s="1"/>
      <c r="AM187" s="79">
        <f t="shared" si="659"/>
        <v>0</v>
      </c>
      <c r="AN187" s="1"/>
      <c r="AO187" s="79">
        <f t="shared" si="660"/>
        <v>0</v>
      </c>
      <c r="AP187" s="106">
        <v>0.0</v>
      </c>
      <c r="AQ187" s="79">
        <f t="shared" si="661"/>
        <v>0</v>
      </c>
      <c r="AR187" s="1"/>
      <c r="AS187" s="79">
        <f t="shared" si="662"/>
        <v>0</v>
      </c>
      <c r="AT187" s="106">
        <v>0.0</v>
      </c>
      <c r="AU187" s="79">
        <f t="shared" si="663"/>
        <v>0</v>
      </c>
      <c r="AV187" s="106">
        <v>0.0</v>
      </c>
      <c r="AW187" s="79">
        <f>AU187-AV187</f>
        <v>0</v>
      </c>
      <c r="AX187" s="1"/>
      <c r="AY187" s="79">
        <f>AW187-AX187+5000</f>
        <v>5000</v>
      </c>
      <c r="AZ187" s="106">
        <v>5000.0</v>
      </c>
      <c r="BA187" s="79">
        <f t="shared" si="682"/>
        <v>0</v>
      </c>
      <c r="BB187" s="1"/>
      <c r="BC187" s="79">
        <f>BA187-BB187+5000</f>
        <v>5000</v>
      </c>
      <c r="BD187" s="106">
        <v>5000.0</v>
      </c>
      <c r="BE187" s="79">
        <f>BC187-BD187+15000</f>
        <v>15000</v>
      </c>
      <c r="BF187" s="106">
        <v>5000.0</v>
      </c>
      <c r="BG187" s="79">
        <f>BE187-BF187+5000</f>
        <v>15000</v>
      </c>
      <c r="BH187" s="106">
        <v>10000.0</v>
      </c>
      <c r="BI187" s="79">
        <f t="shared" si="684"/>
        <v>5000</v>
      </c>
      <c r="BJ187" s="106">
        <v>5000.0</v>
      </c>
      <c r="BK187" s="79">
        <f t="shared" si="687"/>
        <v>0</v>
      </c>
      <c r="BL187" s="1"/>
      <c r="BM187" s="79">
        <f t="shared" si="668"/>
        <v>0</v>
      </c>
      <c r="BN187" s="1"/>
      <c r="BO187" s="79">
        <f t="shared" si="685"/>
        <v>0</v>
      </c>
      <c r="BP187" s="1"/>
      <c r="BQ187" s="79">
        <f t="shared" si="669"/>
        <v>0</v>
      </c>
      <c r="BR187" s="1"/>
      <c r="BS187" s="79">
        <f t="shared" si="670"/>
        <v>0</v>
      </c>
      <c r="BT187" s="1"/>
      <c r="BU187" s="79">
        <f t="shared" si="671"/>
        <v>0</v>
      </c>
      <c r="BV187" s="1"/>
      <c r="BW187" s="79">
        <f t="shared" si="686"/>
        <v>0</v>
      </c>
      <c r="BX187" s="1"/>
      <c r="BY187" s="79">
        <f t="shared" si="673"/>
        <v>0</v>
      </c>
      <c r="BZ187" s="1"/>
      <c r="CA187" s="79">
        <f t="shared" si="681"/>
        <v>0</v>
      </c>
      <c r="CB187" s="1"/>
      <c r="CC187" s="79">
        <f t="shared" si="674"/>
        <v>0</v>
      </c>
      <c r="CD187" s="1"/>
      <c r="CE187" s="79">
        <f t="shared" si="675"/>
        <v>0</v>
      </c>
      <c r="CF187" s="1"/>
      <c r="CG187" s="79">
        <f t="shared" si="676"/>
        <v>0</v>
      </c>
      <c r="CH187" s="1"/>
      <c r="CI187" s="79">
        <f t="shared" si="677"/>
        <v>0</v>
      </c>
      <c r="CJ187" s="1"/>
      <c r="CK187" s="79">
        <f t="shared" si="678"/>
        <v>0</v>
      </c>
      <c r="CL187" s="1"/>
      <c r="CM187" s="79">
        <f t="shared" si="679"/>
        <v>0</v>
      </c>
      <c r="CN187" s="1"/>
      <c r="CO187" s="79">
        <f t="shared" si="680"/>
        <v>0</v>
      </c>
      <c r="CP187" s="1"/>
      <c r="CQ187" s="79">
        <f t="shared" si="619"/>
        <v>0</v>
      </c>
      <c r="CR187" s="1"/>
      <c r="CS187" s="79">
        <f t="shared" si="630"/>
        <v>0</v>
      </c>
      <c r="CT187" s="79"/>
      <c r="CU187" s="79">
        <f t="shared" si="631"/>
        <v>0</v>
      </c>
      <c r="CV187" s="79"/>
      <c r="CW187" s="79">
        <f t="shared" si="632"/>
        <v>0</v>
      </c>
      <c r="CX187" s="79"/>
      <c r="CY187" s="91"/>
      <c r="CZ187" s="79">
        <f t="shared" si="633"/>
        <v>0</v>
      </c>
      <c r="DA187" s="93"/>
      <c r="DB187" s="93">
        <f t="shared" si="634"/>
        <v>0</v>
      </c>
      <c r="DC187" s="96"/>
      <c r="DD187" s="93">
        <f t="shared" si="635"/>
        <v>0</v>
      </c>
      <c r="DE187" s="96"/>
      <c r="DF187" s="93">
        <f t="shared" si="636"/>
        <v>0</v>
      </c>
      <c r="DG187" s="96"/>
      <c r="DH187" s="93">
        <f t="shared" si="637"/>
        <v>0</v>
      </c>
      <c r="DI187" s="96"/>
      <c r="DJ187" s="93">
        <f t="shared" si="638"/>
        <v>0</v>
      </c>
      <c r="DK187" s="93"/>
      <c r="DL187" s="93">
        <f t="shared" si="639"/>
        <v>0</v>
      </c>
      <c r="DM187" s="100">
        <v>0.0</v>
      </c>
      <c r="DN187" s="93">
        <f t="shared" si="640"/>
        <v>0</v>
      </c>
      <c r="DO187" s="100">
        <v>0.0</v>
      </c>
      <c r="DP187" s="93">
        <f t="shared" si="641"/>
        <v>0</v>
      </c>
      <c r="DQ187" s="100">
        <v>0.0</v>
      </c>
      <c r="DR187" s="93">
        <f t="shared" si="642"/>
        <v>0</v>
      </c>
      <c r="DS187" s="100">
        <v>0.0</v>
      </c>
      <c r="DT187" s="93">
        <f t="shared" si="643"/>
        <v>0</v>
      </c>
      <c r="DU187" s="100">
        <v>0.0</v>
      </c>
      <c r="DV187" s="93">
        <f t="shared" si="61"/>
        <v>0</v>
      </c>
    </row>
    <row r="188">
      <c r="A188" s="7" t="s">
        <v>554</v>
      </c>
      <c r="B188" s="7" t="s">
        <v>555</v>
      </c>
      <c r="C188" s="76" t="str">
        <f t="array" ref="C188">_xlfn.XLOOKUP(A188,'Emp Master'!A:A,'Emp Master'!F:F)</f>
        <v>SNP</v>
      </c>
      <c r="D188" s="76" t="str">
        <f t="array" ref="D188">_xlfn.XLOOKUP(A188,'Emp Master'!A:A,'Emp Master'!D:D)</f>
        <v>Machining</v>
      </c>
      <c r="E188" s="76" t="str">
        <f t="shared" si="326"/>
        <v>#REF!</v>
      </c>
      <c r="F188" s="76"/>
      <c r="G188" s="79"/>
      <c r="H188" s="80"/>
      <c r="I188" s="79"/>
      <c r="J188" s="80"/>
      <c r="K188" s="79"/>
      <c r="L188" s="142"/>
      <c r="M188" s="1"/>
      <c r="N188" s="142"/>
      <c r="O188" s="1"/>
      <c r="P188" s="142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79">
        <f t="shared" si="684"/>
        <v>0</v>
      </c>
      <c r="BJ188" s="1"/>
      <c r="BK188" s="1"/>
      <c r="BL188" s="1"/>
      <c r="BM188" s="1"/>
      <c r="BN188" s="1"/>
      <c r="BO188" s="1"/>
      <c r="BP188" s="1"/>
      <c r="BQ188" s="79"/>
      <c r="BR188" s="1"/>
      <c r="BS188" s="79">
        <f t="shared" si="670"/>
        <v>0</v>
      </c>
      <c r="BT188" s="1"/>
      <c r="BU188" s="79">
        <f t="shared" si="671"/>
        <v>0</v>
      </c>
      <c r="BV188" s="1"/>
      <c r="BW188" s="79">
        <f t="shared" si="686"/>
        <v>0</v>
      </c>
      <c r="BX188" s="1"/>
      <c r="BY188" s="79">
        <f t="shared" si="673"/>
        <v>0</v>
      </c>
      <c r="BZ188" s="1"/>
      <c r="CA188" s="79">
        <f t="shared" si="681"/>
        <v>0</v>
      </c>
      <c r="CB188" s="1"/>
      <c r="CC188" s="79">
        <f t="shared" si="674"/>
        <v>0</v>
      </c>
      <c r="CD188" s="1"/>
      <c r="CE188" s="79">
        <f t="shared" si="675"/>
        <v>0</v>
      </c>
      <c r="CF188" s="1"/>
      <c r="CG188" s="79">
        <f t="shared" si="676"/>
        <v>0</v>
      </c>
      <c r="CH188" s="1"/>
      <c r="CI188" s="79">
        <f t="shared" si="677"/>
        <v>0</v>
      </c>
      <c r="CJ188" s="1"/>
      <c r="CK188" s="79">
        <f t="shared" si="678"/>
        <v>0</v>
      </c>
      <c r="CL188" s="1"/>
      <c r="CM188" s="79">
        <f t="shared" si="679"/>
        <v>0</v>
      </c>
      <c r="CN188" s="1"/>
      <c r="CO188" s="79">
        <f t="shared" si="680"/>
        <v>0</v>
      </c>
      <c r="CP188" s="1"/>
      <c r="CQ188" s="79">
        <f t="shared" si="619"/>
        <v>0</v>
      </c>
      <c r="CR188" s="1"/>
      <c r="CS188" s="79">
        <f t="shared" si="630"/>
        <v>0</v>
      </c>
      <c r="CT188" s="79"/>
      <c r="CU188" s="79">
        <f t="shared" si="631"/>
        <v>0</v>
      </c>
      <c r="CV188" s="79"/>
      <c r="CW188" s="79">
        <f t="shared" si="632"/>
        <v>0</v>
      </c>
      <c r="CX188" s="79"/>
      <c r="CY188" s="91"/>
      <c r="CZ188" s="79">
        <f t="shared" si="633"/>
        <v>0</v>
      </c>
      <c r="DA188" s="93"/>
      <c r="DB188" s="93">
        <f t="shared" si="634"/>
        <v>0</v>
      </c>
      <c r="DC188" s="96"/>
      <c r="DD188" s="93">
        <f t="shared" si="635"/>
        <v>0</v>
      </c>
      <c r="DE188" s="96"/>
      <c r="DF188" s="93">
        <f t="shared" si="636"/>
        <v>0</v>
      </c>
      <c r="DG188" s="96"/>
      <c r="DH188" s="93">
        <f t="shared" si="637"/>
        <v>0</v>
      </c>
      <c r="DI188" s="96"/>
      <c r="DJ188" s="93">
        <f t="shared" si="638"/>
        <v>0</v>
      </c>
      <c r="DK188" s="93"/>
      <c r="DL188" s="93">
        <f t="shared" si="639"/>
        <v>0</v>
      </c>
      <c r="DM188" s="100">
        <v>0.0</v>
      </c>
      <c r="DN188" s="93">
        <f>DL188-DM188+8000</f>
        <v>8000</v>
      </c>
      <c r="DO188" s="100">
        <v>2000.0</v>
      </c>
      <c r="DP188" s="93">
        <f t="shared" si="641"/>
        <v>6000</v>
      </c>
      <c r="DQ188" s="100">
        <v>2000.0</v>
      </c>
      <c r="DR188" s="93">
        <f t="shared" si="642"/>
        <v>4000</v>
      </c>
      <c r="DS188" s="100">
        <v>2000.0</v>
      </c>
      <c r="DT188" s="93">
        <f t="shared" si="643"/>
        <v>2000</v>
      </c>
      <c r="DU188" s="100">
        <v>2000.0</v>
      </c>
      <c r="DV188" s="93">
        <f t="shared" si="61"/>
        <v>0</v>
      </c>
    </row>
    <row r="189">
      <c r="A189" s="7" t="s">
        <v>557</v>
      </c>
      <c r="B189" s="7" t="s">
        <v>558</v>
      </c>
      <c r="C189" s="76" t="str">
        <f t="array" ref="C189">_xlfn.XLOOKUP(A189,'Emp Master'!A:A,'Emp Master'!F:F)</f>
        <v>SNP</v>
      </c>
      <c r="D189" s="76" t="str">
        <f t="array" ref="D189">_xlfn.XLOOKUP(A189,'Emp Master'!A:A,'Emp Master'!D:D)</f>
        <v>Machining</v>
      </c>
      <c r="E189" s="76" t="str">
        <f t="shared" si="326"/>
        <v>#REF!</v>
      </c>
      <c r="F189" s="76"/>
      <c r="G189" s="79"/>
      <c r="H189" s="80"/>
      <c r="I189" s="79"/>
      <c r="J189" s="80"/>
      <c r="K189" s="79"/>
      <c r="L189" s="142"/>
      <c r="M189" s="1"/>
      <c r="N189" s="142"/>
      <c r="O189" s="1"/>
      <c r="P189" s="142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79">
        <f t="shared" si="684"/>
        <v>0</v>
      </c>
      <c r="BJ189" s="1"/>
      <c r="BK189" s="1"/>
      <c r="BL189" s="1"/>
      <c r="BM189" s="1"/>
      <c r="BN189" s="1"/>
      <c r="BO189" s="1"/>
      <c r="BP189" s="1"/>
      <c r="BQ189" s="79"/>
      <c r="BR189" s="1"/>
      <c r="BS189" s="79">
        <f t="shared" si="670"/>
        <v>0</v>
      </c>
      <c r="BT189" s="1"/>
      <c r="BU189" s="79">
        <f t="shared" si="671"/>
        <v>0</v>
      </c>
      <c r="BV189" s="1"/>
      <c r="BW189" s="79">
        <f t="shared" si="686"/>
        <v>0</v>
      </c>
      <c r="BX189" s="1"/>
      <c r="BY189" s="79">
        <f t="shared" si="673"/>
        <v>0</v>
      </c>
      <c r="BZ189" s="1"/>
      <c r="CA189" s="79">
        <f t="shared" si="681"/>
        <v>0</v>
      </c>
      <c r="CB189" s="1"/>
      <c r="CC189" s="79">
        <f t="shared" si="674"/>
        <v>0</v>
      </c>
      <c r="CD189" s="1"/>
      <c r="CE189" s="79">
        <f t="shared" si="675"/>
        <v>0</v>
      </c>
      <c r="CF189" s="1"/>
      <c r="CG189" s="79">
        <f t="shared" si="676"/>
        <v>0</v>
      </c>
      <c r="CH189" s="1"/>
      <c r="CI189" s="79">
        <f t="shared" si="677"/>
        <v>0</v>
      </c>
      <c r="CJ189" s="1"/>
      <c r="CK189" s="79">
        <f t="shared" si="678"/>
        <v>0</v>
      </c>
      <c r="CL189" s="1"/>
      <c r="CM189" s="79">
        <f t="shared" si="679"/>
        <v>0</v>
      </c>
      <c r="CN189" s="1"/>
      <c r="CO189" s="79">
        <f t="shared" si="680"/>
        <v>0</v>
      </c>
      <c r="CP189" s="1"/>
      <c r="CQ189" s="79">
        <f t="shared" si="619"/>
        <v>0</v>
      </c>
      <c r="CR189" s="1"/>
      <c r="CS189" s="79">
        <f t="shared" si="630"/>
        <v>0</v>
      </c>
      <c r="CT189" s="79"/>
      <c r="CU189" s="79">
        <f t="shared" si="631"/>
        <v>0</v>
      </c>
      <c r="CV189" s="79"/>
      <c r="CW189" s="79">
        <f t="shared" si="632"/>
        <v>0</v>
      </c>
      <c r="CX189" s="79"/>
      <c r="CY189" s="91"/>
      <c r="CZ189" s="79">
        <f t="shared" si="633"/>
        <v>0</v>
      </c>
      <c r="DA189" s="93"/>
      <c r="DB189" s="93">
        <f t="shared" si="634"/>
        <v>0</v>
      </c>
      <c r="DC189" s="96"/>
      <c r="DD189" s="93">
        <f t="shared" si="635"/>
        <v>0</v>
      </c>
      <c r="DE189" s="96"/>
      <c r="DF189" s="93">
        <f t="shared" si="636"/>
        <v>0</v>
      </c>
      <c r="DG189" s="96"/>
      <c r="DH189" s="93">
        <f t="shared" si="637"/>
        <v>0</v>
      </c>
      <c r="DI189" s="96"/>
      <c r="DJ189" s="93">
        <f t="shared" si="638"/>
        <v>0</v>
      </c>
      <c r="DK189" s="93"/>
      <c r="DL189" s="93">
        <f t="shared" si="639"/>
        <v>0</v>
      </c>
      <c r="DM189" s="100">
        <v>0.0</v>
      </c>
      <c r="DN189" s="93">
        <f t="shared" ref="DN189:DN221" si="688">DL189-DM189</f>
        <v>0</v>
      </c>
      <c r="DO189" s="100">
        <v>0.0</v>
      </c>
      <c r="DP189" s="93">
        <f t="shared" si="641"/>
        <v>0</v>
      </c>
      <c r="DQ189" s="100">
        <v>0.0</v>
      </c>
      <c r="DR189" s="93">
        <f t="shared" si="642"/>
        <v>0</v>
      </c>
      <c r="DS189" s="100">
        <v>0.0</v>
      </c>
      <c r="DT189" s="93">
        <f t="shared" si="643"/>
        <v>0</v>
      </c>
      <c r="DU189" s="100">
        <v>0.0</v>
      </c>
      <c r="DV189" s="93">
        <f t="shared" si="61"/>
        <v>0</v>
      </c>
    </row>
    <row r="190">
      <c r="A190" s="106" t="s">
        <v>559</v>
      </c>
      <c r="B190" s="106" t="s">
        <v>407</v>
      </c>
      <c r="C190" s="76" t="str">
        <f t="array" ref="C190">_xlfn.XLOOKUP(A190,'Emp Master'!A:A,'Emp Master'!F:F)</f>
        <v>SNP</v>
      </c>
      <c r="D190" s="76" t="str">
        <f t="array" ref="D190">_xlfn.XLOOKUP(A190,'Emp Master'!A:A,'Emp Master'!D:D)</f>
        <v>Maintenance</v>
      </c>
      <c r="E190" s="76" t="str">
        <f t="shared" si="326"/>
        <v>#REF!</v>
      </c>
      <c r="F190" s="76"/>
      <c r="G190" s="79"/>
      <c r="H190" s="80"/>
      <c r="I190" s="79"/>
      <c r="J190" s="80"/>
      <c r="K190" s="79"/>
      <c r="L190" s="142"/>
      <c r="M190" s="1"/>
      <c r="N190" s="142"/>
      <c r="O190" s="1"/>
      <c r="P190" s="142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79">
        <f t="shared" si="684"/>
        <v>0</v>
      </c>
      <c r="BJ190" s="1"/>
      <c r="BK190" s="1"/>
      <c r="BL190" s="1"/>
      <c r="BM190" s="79">
        <f>BK190-BL190+10000</f>
        <v>10000</v>
      </c>
      <c r="BN190" s="106">
        <v>3000.0</v>
      </c>
      <c r="BO190" s="79">
        <f t="shared" ref="BO190:BO191" si="689">BM190-BN190</f>
        <v>7000</v>
      </c>
      <c r="BP190" s="106">
        <v>3000.0</v>
      </c>
      <c r="BQ190" s="79">
        <f>BO190-BP190</f>
        <v>4000</v>
      </c>
      <c r="BR190" s="106">
        <v>3000.0</v>
      </c>
      <c r="BS190" s="79">
        <f t="shared" si="670"/>
        <v>1000</v>
      </c>
      <c r="BT190" s="106">
        <v>1000.0</v>
      </c>
      <c r="BU190" s="79">
        <f t="shared" si="671"/>
        <v>0</v>
      </c>
      <c r="BV190" s="1"/>
      <c r="BW190" s="79">
        <f t="shared" si="686"/>
        <v>0</v>
      </c>
      <c r="BX190" s="1"/>
      <c r="BY190" s="79">
        <f>BW190-BX190+8000</f>
        <v>8000</v>
      </c>
      <c r="BZ190" s="106">
        <v>2000.0</v>
      </c>
      <c r="CA190" s="79">
        <f t="shared" si="681"/>
        <v>6000</v>
      </c>
      <c r="CB190" s="106">
        <v>2000.0</v>
      </c>
      <c r="CC190" s="79">
        <f t="shared" si="674"/>
        <v>4000</v>
      </c>
      <c r="CD190" s="106">
        <v>2000.0</v>
      </c>
      <c r="CE190" s="79">
        <f t="shared" si="675"/>
        <v>2000</v>
      </c>
      <c r="CF190" s="106">
        <v>2000.0</v>
      </c>
      <c r="CG190" s="79">
        <f t="shared" si="676"/>
        <v>0</v>
      </c>
      <c r="CH190" s="106"/>
      <c r="CI190" s="79">
        <f t="shared" si="677"/>
        <v>0</v>
      </c>
      <c r="CJ190" s="106"/>
      <c r="CK190" s="79">
        <f t="shared" si="678"/>
        <v>0</v>
      </c>
      <c r="CL190" s="106"/>
      <c r="CM190" s="79">
        <f t="shared" si="679"/>
        <v>0</v>
      </c>
      <c r="CN190" s="106"/>
      <c r="CO190" s="79">
        <f t="shared" si="680"/>
        <v>0</v>
      </c>
      <c r="CP190" s="106"/>
      <c r="CQ190" s="79">
        <f t="shared" si="619"/>
        <v>0</v>
      </c>
      <c r="CR190" s="106"/>
      <c r="CS190" s="79">
        <f t="shared" si="630"/>
        <v>0</v>
      </c>
      <c r="CT190" s="79"/>
      <c r="CU190" s="79">
        <f t="shared" si="631"/>
        <v>0</v>
      </c>
      <c r="CV190" s="79"/>
      <c r="CW190" s="79">
        <f t="shared" si="632"/>
        <v>0</v>
      </c>
      <c r="CX190" s="79"/>
      <c r="CY190" s="91"/>
      <c r="CZ190" s="79">
        <f>CW190-CX190+10000</f>
        <v>10000</v>
      </c>
      <c r="DA190" s="100">
        <v>2000.0</v>
      </c>
      <c r="DB190" s="93">
        <f t="shared" si="634"/>
        <v>8000</v>
      </c>
      <c r="DC190" s="207">
        <v>2000.0</v>
      </c>
      <c r="DD190" s="93">
        <f t="shared" si="635"/>
        <v>6000</v>
      </c>
      <c r="DE190" s="207">
        <v>2000.0</v>
      </c>
      <c r="DF190" s="93">
        <f t="shared" si="636"/>
        <v>4000</v>
      </c>
      <c r="DG190" s="178">
        <v>2000.0</v>
      </c>
      <c r="DH190" s="93">
        <f t="shared" si="637"/>
        <v>2000</v>
      </c>
      <c r="DI190" s="178">
        <v>2000.0</v>
      </c>
      <c r="DJ190" s="100">
        <v>10000.0</v>
      </c>
      <c r="DK190" s="100">
        <v>2000.0</v>
      </c>
      <c r="DL190" s="93">
        <f t="shared" si="639"/>
        <v>8000</v>
      </c>
      <c r="DM190" s="100">
        <v>2000.0</v>
      </c>
      <c r="DN190" s="93">
        <f t="shared" si="688"/>
        <v>6000</v>
      </c>
      <c r="DO190" s="100">
        <v>2000.0</v>
      </c>
      <c r="DP190" s="93">
        <f t="shared" si="641"/>
        <v>4000</v>
      </c>
      <c r="DQ190" s="100">
        <v>2000.0</v>
      </c>
      <c r="DR190" s="93">
        <f>DP190-DQ190+10000</f>
        <v>12000</v>
      </c>
      <c r="DS190" s="100">
        <v>2000.0</v>
      </c>
      <c r="DT190" s="93">
        <f t="shared" si="643"/>
        <v>10000</v>
      </c>
      <c r="DU190" s="100">
        <v>2000.0</v>
      </c>
      <c r="DV190" s="93">
        <f t="shared" si="61"/>
        <v>8000</v>
      </c>
    </row>
    <row r="191">
      <c r="A191" s="106" t="s">
        <v>976</v>
      </c>
      <c r="B191" s="106" t="s">
        <v>977</v>
      </c>
      <c r="C191" s="76" t="str">
        <f t="array" ref="C191">_xlfn.XLOOKUP(A191,'Emp Master'!A:A,'Emp Master'!F:F)</f>
        <v>#N/A</v>
      </c>
      <c r="D191" s="76" t="str">
        <f t="array" ref="D191">_xlfn.XLOOKUP(A191,'Emp Master'!A:A,'Emp Master'!D:D)</f>
        <v>#N/A</v>
      </c>
      <c r="E191" s="76" t="str">
        <f t="shared" si="326"/>
        <v>#REF!</v>
      </c>
      <c r="F191" s="76"/>
      <c r="G191" s="79"/>
      <c r="H191" s="80"/>
      <c r="I191" s="79"/>
      <c r="J191" s="80"/>
      <c r="K191" s="79"/>
      <c r="L191" s="142"/>
      <c r="M191" s="1"/>
      <c r="N191" s="142"/>
      <c r="O191" s="1"/>
      <c r="P191" s="142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79">
        <f>BE191-BF191+12000</f>
        <v>12000</v>
      </c>
      <c r="BH191" s="106">
        <v>3000.0</v>
      </c>
      <c r="BI191" s="79">
        <f t="shared" si="684"/>
        <v>9000</v>
      </c>
      <c r="BJ191" s="106">
        <v>3000.0</v>
      </c>
      <c r="BK191" s="79">
        <f>BI191-BJ191</f>
        <v>6000</v>
      </c>
      <c r="BL191" s="106">
        <v>3000.0</v>
      </c>
      <c r="BM191" s="79">
        <f>BK191-BL191</f>
        <v>3000</v>
      </c>
      <c r="BN191" s="106">
        <v>3000.0</v>
      </c>
      <c r="BO191" s="79">
        <f t="shared" si="689"/>
        <v>0</v>
      </c>
      <c r="BP191" s="1"/>
      <c r="BQ191" s="79"/>
      <c r="BR191" s="1"/>
      <c r="BS191" s="79">
        <f>BQ191-BR191+7000</f>
        <v>7000</v>
      </c>
      <c r="BT191" s="106">
        <v>2000.0</v>
      </c>
      <c r="BU191" s="79">
        <f t="shared" si="671"/>
        <v>5000</v>
      </c>
      <c r="BV191" s="106">
        <v>5000.0</v>
      </c>
      <c r="BW191" s="79">
        <f t="shared" si="686"/>
        <v>0</v>
      </c>
      <c r="BX191" s="1"/>
      <c r="BY191" s="79">
        <f t="shared" ref="BY191:BY195" si="690">BW191-BX191</f>
        <v>0</v>
      </c>
      <c r="BZ191" s="1"/>
      <c r="CA191" s="79">
        <f t="shared" si="681"/>
        <v>0</v>
      </c>
      <c r="CB191" s="1"/>
      <c r="CC191" s="79">
        <f t="shared" si="674"/>
        <v>0</v>
      </c>
      <c r="CD191" s="1"/>
      <c r="CE191" s="79">
        <f t="shared" si="675"/>
        <v>0</v>
      </c>
      <c r="CF191" s="1"/>
      <c r="CG191" s="79">
        <f t="shared" si="676"/>
        <v>0</v>
      </c>
      <c r="CH191" s="1"/>
      <c r="CI191" s="79">
        <f t="shared" si="677"/>
        <v>0</v>
      </c>
      <c r="CJ191" s="1"/>
      <c r="CK191" s="79">
        <f t="shared" si="678"/>
        <v>0</v>
      </c>
      <c r="CL191" s="1"/>
      <c r="CM191" s="79">
        <f t="shared" si="679"/>
        <v>0</v>
      </c>
      <c r="CN191" s="1"/>
      <c r="CO191" s="79">
        <f t="shared" si="680"/>
        <v>0</v>
      </c>
      <c r="CP191" s="1"/>
      <c r="CQ191" s="79">
        <f t="shared" si="619"/>
        <v>0</v>
      </c>
      <c r="CR191" s="1"/>
      <c r="CS191" s="79">
        <f t="shared" si="630"/>
        <v>0</v>
      </c>
      <c r="CT191" s="79"/>
      <c r="CU191" s="79">
        <f t="shared" si="631"/>
        <v>0</v>
      </c>
      <c r="CV191" s="79"/>
      <c r="CW191" s="79">
        <f t="shared" si="632"/>
        <v>0</v>
      </c>
      <c r="CX191" s="79"/>
      <c r="CY191" s="91"/>
      <c r="CZ191" s="79">
        <f t="shared" ref="CZ191:CZ196" si="691">CW191-CX191</f>
        <v>0</v>
      </c>
      <c r="DA191" s="93"/>
      <c r="DB191" s="93">
        <f t="shared" si="634"/>
        <v>0</v>
      </c>
      <c r="DC191" s="96"/>
      <c r="DD191" s="93">
        <f t="shared" si="635"/>
        <v>0</v>
      </c>
      <c r="DE191" s="96"/>
      <c r="DF191" s="93">
        <f t="shared" si="636"/>
        <v>0</v>
      </c>
      <c r="DG191" s="96"/>
      <c r="DH191" s="93">
        <f t="shared" si="637"/>
        <v>0</v>
      </c>
      <c r="DI191" s="96"/>
      <c r="DJ191" s="93">
        <f t="shared" ref="DJ191:DJ203" si="692">DH191-DI191</f>
        <v>0</v>
      </c>
      <c r="DK191" s="93"/>
      <c r="DL191" s="93">
        <f t="shared" si="639"/>
        <v>0</v>
      </c>
      <c r="DM191" s="100">
        <v>0.0</v>
      </c>
      <c r="DN191" s="93">
        <f t="shared" si="688"/>
        <v>0</v>
      </c>
      <c r="DO191" s="100">
        <v>0.0</v>
      </c>
      <c r="DP191" s="93">
        <f t="shared" si="641"/>
        <v>0</v>
      </c>
      <c r="DQ191" s="100">
        <v>0.0</v>
      </c>
      <c r="DR191" s="93">
        <f t="shared" ref="DR191:DR223" si="693">DP191-DQ191</f>
        <v>0</v>
      </c>
      <c r="DS191" s="100">
        <v>0.0</v>
      </c>
      <c r="DT191" s="93">
        <f t="shared" si="643"/>
        <v>0</v>
      </c>
      <c r="DU191" s="100">
        <v>0.0</v>
      </c>
      <c r="DV191" s="93">
        <f t="shared" si="61"/>
        <v>0</v>
      </c>
    </row>
    <row r="192">
      <c r="A192" s="7" t="s">
        <v>978</v>
      </c>
      <c r="B192" s="7" t="s">
        <v>979</v>
      </c>
      <c r="C192" s="76" t="str">
        <f t="array" ref="C192">_xlfn.XLOOKUP(A192,'Emp Master'!A:A,'Emp Master'!F:F)</f>
        <v>#N/A</v>
      </c>
      <c r="D192" s="76" t="str">
        <f t="array" ref="D192">_xlfn.XLOOKUP(A192,'Emp Master'!A:A,'Emp Master'!D:D)</f>
        <v>#N/A</v>
      </c>
      <c r="E192" s="76" t="str">
        <f t="shared" si="326"/>
        <v>#REF!</v>
      </c>
      <c r="F192" s="76"/>
      <c r="G192" s="79"/>
      <c r="H192" s="80"/>
      <c r="I192" s="79"/>
      <c r="J192" s="80"/>
      <c r="K192" s="79"/>
      <c r="L192" s="142"/>
      <c r="M192" s="1"/>
      <c r="N192" s="142"/>
      <c r="O192" s="1"/>
      <c r="P192" s="142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79">
        <f t="shared" si="684"/>
        <v>0</v>
      </c>
      <c r="BJ192" s="1"/>
      <c r="BK192" s="1"/>
      <c r="BL192" s="1"/>
      <c r="BM192" s="1"/>
      <c r="BN192" s="1"/>
      <c r="BO192" s="1"/>
      <c r="BP192" s="1"/>
      <c r="BQ192" s="79"/>
      <c r="BR192" s="1"/>
      <c r="BS192" s="79">
        <f t="shared" ref="BS192:BS195" si="694">BQ192-BR192</f>
        <v>0</v>
      </c>
      <c r="BT192" s="1"/>
      <c r="BU192" s="79">
        <f t="shared" si="671"/>
        <v>0</v>
      </c>
      <c r="BV192" s="1"/>
      <c r="BW192" s="79">
        <f t="shared" si="686"/>
        <v>0</v>
      </c>
      <c r="BX192" s="1"/>
      <c r="BY192" s="79">
        <f t="shared" si="690"/>
        <v>0</v>
      </c>
      <c r="BZ192" s="1"/>
      <c r="CA192" s="79">
        <f t="shared" si="681"/>
        <v>0</v>
      </c>
      <c r="CB192" s="1"/>
      <c r="CC192" s="79">
        <f t="shared" si="674"/>
        <v>0</v>
      </c>
      <c r="CD192" s="1"/>
      <c r="CE192" s="79">
        <f t="shared" si="675"/>
        <v>0</v>
      </c>
      <c r="CF192" s="1"/>
      <c r="CG192" s="79">
        <f t="shared" si="676"/>
        <v>0</v>
      </c>
      <c r="CH192" s="1"/>
      <c r="CI192" s="79">
        <f t="shared" si="677"/>
        <v>0</v>
      </c>
      <c r="CJ192" s="1"/>
      <c r="CK192" s="79">
        <f t="shared" si="678"/>
        <v>0</v>
      </c>
      <c r="CL192" s="1"/>
      <c r="CM192" s="79">
        <f t="shared" si="679"/>
        <v>0</v>
      </c>
      <c r="CN192" s="1"/>
      <c r="CO192" s="79">
        <f t="shared" si="680"/>
        <v>0</v>
      </c>
      <c r="CP192" s="1"/>
      <c r="CQ192" s="79">
        <f t="shared" si="619"/>
        <v>0</v>
      </c>
      <c r="CR192" s="1"/>
      <c r="CS192" s="79">
        <f t="shared" si="630"/>
        <v>0</v>
      </c>
      <c r="CT192" s="79"/>
      <c r="CU192" s="79">
        <f t="shared" si="631"/>
        <v>0</v>
      </c>
      <c r="CV192" s="79"/>
      <c r="CW192" s="79">
        <f t="shared" si="632"/>
        <v>0</v>
      </c>
      <c r="CX192" s="79"/>
      <c r="CY192" s="91"/>
      <c r="CZ192" s="79">
        <f t="shared" si="691"/>
        <v>0</v>
      </c>
      <c r="DA192" s="93"/>
      <c r="DB192" s="93">
        <f t="shared" si="634"/>
        <v>0</v>
      </c>
      <c r="DC192" s="96"/>
      <c r="DD192" s="93">
        <f t="shared" si="635"/>
        <v>0</v>
      </c>
      <c r="DE192" s="96"/>
      <c r="DF192" s="93">
        <f t="shared" si="636"/>
        <v>0</v>
      </c>
      <c r="DG192" s="96"/>
      <c r="DH192" s="93">
        <f t="shared" si="637"/>
        <v>0</v>
      </c>
      <c r="DI192" s="96"/>
      <c r="DJ192" s="93">
        <f t="shared" si="692"/>
        <v>0</v>
      </c>
      <c r="DK192" s="93"/>
      <c r="DL192" s="93">
        <f t="shared" si="639"/>
        <v>0</v>
      </c>
      <c r="DM192" s="100">
        <v>0.0</v>
      </c>
      <c r="DN192" s="93">
        <f t="shared" si="688"/>
        <v>0</v>
      </c>
      <c r="DO192" s="100">
        <v>0.0</v>
      </c>
      <c r="DP192" s="93">
        <f t="shared" si="641"/>
        <v>0</v>
      </c>
      <c r="DQ192" s="100">
        <v>0.0</v>
      </c>
      <c r="DR192" s="93">
        <f t="shared" si="693"/>
        <v>0</v>
      </c>
      <c r="DS192" s="100">
        <v>0.0</v>
      </c>
      <c r="DT192" s="93">
        <f t="shared" si="643"/>
        <v>0</v>
      </c>
      <c r="DU192" s="100">
        <v>0.0</v>
      </c>
      <c r="DV192" s="93">
        <f t="shared" si="61"/>
        <v>0</v>
      </c>
    </row>
    <row r="193">
      <c r="A193" s="106" t="s">
        <v>980</v>
      </c>
      <c r="B193" s="106" t="s">
        <v>981</v>
      </c>
      <c r="C193" s="76" t="str">
        <f t="array" ref="C193">_xlfn.XLOOKUP(A193,'Emp Master'!A:A,'Emp Master'!F:F)</f>
        <v>#N/A</v>
      </c>
      <c r="D193" s="76" t="str">
        <f t="array" ref="D193">_xlfn.XLOOKUP(A193,'Emp Master'!A:A,'Emp Master'!D:D)</f>
        <v>#N/A</v>
      </c>
      <c r="E193" s="76" t="str">
        <f t="shared" si="326"/>
        <v>#REF!</v>
      </c>
      <c r="F193" s="76"/>
      <c r="G193" s="79"/>
      <c r="H193" s="80"/>
      <c r="I193" s="79"/>
      <c r="J193" s="80"/>
      <c r="K193" s="79"/>
      <c r="L193" s="142"/>
      <c r="M193" s="1"/>
      <c r="N193" s="142"/>
      <c r="O193" s="1"/>
      <c r="P193" s="142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79">
        <f t="shared" si="684"/>
        <v>0</v>
      </c>
      <c r="BJ193" s="1"/>
      <c r="BK193" s="1"/>
      <c r="BL193" s="1"/>
      <c r="BM193" s="1"/>
      <c r="BN193" s="1"/>
      <c r="BO193" s="79">
        <f>BM193-BN193+10000</f>
        <v>10000</v>
      </c>
      <c r="BP193" s="106">
        <v>2500.0</v>
      </c>
      <c r="BQ193" s="79">
        <f t="shared" ref="BQ193:BQ195" si="695">BO193-BP193</f>
        <v>7500</v>
      </c>
      <c r="BR193" s="106">
        <f>2500</f>
        <v>2500</v>
      </c>
      <c r="BS193" s="79">
        <f t="shared" si="694"/>
        <v>5000</v>
      </c>
      <c r="BT193" s="106">
        <v>2500.0</v>
      </c>
      <c r="BU193" s="79">
        <f t="shared" si="671"/>
        <v>2500</v>
      </c>
      <c r="BV193" s="106">
        <v>2400.0</v>
      </c>
      <c r="BW193" s="79">
        <f t="shared" si="686"/>
        <v>100</v>
      </c>
      <c r="BX193" s="106">
        <v>100.0</v>
      </c>
      <c r="BY193" s="79">
        <f t="shared" si="690"/>
        <v>0</v>
      </c>
      <c r="BZ193" s="1"/>
      <c r="CA193" s="79">
        <f t="shared" si="681"/>
        <v>0</v>
      </c>
      <c r="CB193" s="1"/>
      <c r="CC193" s="79">
        <f t="shared" si="674"/>
        <v>0</v>
      </c>
      <c r="CD193" s="1"/>
      <c r="CE193" s="79">
        <f t="shared" si="675"/>
        <v>0</v>
      </c>
      <c r="CF193" s="1"/>
      <c r="CG193" s="79">
        <f t="shared" si="676"/>
        <v>0</v>
      </c>
      <c r="CH193" s="1"/>
      <c r="CI193" s="79">
        <f t="shared" si="677"/>
        <v>0</v>
      </c>
      <c r="CJ193" s="1"/>
      <c r="CK193" s="79">
        <f t="shared" si="678"/>
        <v>0</v>
      </c>
      <c r="CL193" s="1"/>
      <c r="CM193" s="79">
        <f t="shared" si="679"/>
        <v>0</v>
      </c>
      <c r="CN193" s="1"/>
      <c r="CO193" s="79">
        <f t="shared" si="680"/>
        <v>0</v>
      </c>
      <c r="CP193" s="1"/>
      <c r="CQ193" s="79">
        <f t="shared" si="619"/>
        <v>0</v>
      </c>
      <c r="CR193" s="1"/>
      <c r="CS193" s="79">
        <f t="shared" si="630"/>
        <v>0</v>
      </c>
      <c r="CT193" s="79"/>
      <c r="CU193" s="79">
        <f t="shared" si="631"/>
        <v>0</v>
      </c>
      <c r="CV193" s="79"/>
      <c r="CW193" s="79">
        <f t="shared" si="632"/>
        <v>0</v>
      </c>
      <c r="CX193" s="79"/>
      <c r="CY193" s="91"/>
      <c r="CZ193" s="79">
        <f t="shared" si="691"/>
        <v>0</v>
      </c>
      <c r="DA193" s="93"/>
      <c r="DB193" s="93">
        <f t="shared" si="634"/>
        <v>0</v>
      </c>
      <c r="DC193" s="96"/>
      <c r="DD193" s="93">
        <f t="shared" si="635"/>
        <v>0</v>
      </c>
      <c r="DE193" s="96"/>
      <c r="DF193" s="93">
        <f t="shared" si="636"/>
        <v>0</v>
      </c>
      <c r="DG193" s="96"/>
      <c r="DH193" s="93">
        <f t="shared" si="637"/>
        <v>0</v>
      </c>
      <c r="DI193" s="96"/>
      <c r="DJ193" s="93">
        <f t="shared" si="692"/>
        <v>0</v>
      </c>
      <c r="DK193" s="93"/>
      <c r="DL193" s="93">
        <f t="shared" si="639"/>
        <v>0</v>
      </c>
      <c r="DM193" s="100">
        <v>0.0</v>
      </c>
      <c r="DN193" s="93">
        <f t="shared" si="688"/>
        <v>0</v>
      </c>
      <c r="DO193" s="100">
        <v>0.0</v>
      </c>
      <c r="DP193" s="93">
        <f t="shared" si="641"/>
        <v>0</v>
      </c>
      <c r="DQ193" s="100">
        <v>0.0</v>
      </c>
      <c r="DR193" s="93">
        <f t="shared" si="693"/>
        <v>0</v>
      </c>
      <c r="DS193" s="100">
        <v>0.0</v>
      </c>
      <c r="DT193" s="93">
        <f t="shared" si="643"/>
        <v>0</v>
      </c>
      <c r="DU193" s="100">
        <v>0.0</v>
      </c>
      <c r="DV193" s="93">
        <f t="shared" si="61"/>
        <v>0</v>
      </c>
    </row>
    <row r="194">
      <c r="A194" s="7" t="s">
        <v>562</v>
      </c>
      <c r="B194" s="7" t="s">
        <v>563</v>
      </c>
      <c r="C194" s="76" t="str">
        <f t="array" ref="C194">_xlfn.XLOOKUP(A194,'Emp Master'!A:A,'Emp Master'!F:F)</f>
        <v>SNP</v>
      </c>
      <c r="D194" s="76" t="str">
        <f t="array" ref="D194">_xlfn.XLOOKUP(A194,'Emp Master'!A:A,'Emp Master'!D:D)</f>
        <v>Cutting</v>
      </c>
      <c r="E194" s="76" t="str">
        <f t="shared" si="326"/>
        <v>#REF!</v>
      </c>
      <c r="F194" s="76"/>
      <c r="G194" s="79"/>
      <c r="H194" s="80"/>
      <c r="I194" s="79"/>
      <c r="J194" s="80"/>
      <c r="K194" s="79"/>
      <c r="L194" s="142"/>
      <c r="M194" s="1"/>
      <c r="N194" s="142"/>
      <c r="O194" s="1"/>
      <c r="P194" s="142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79"/>
      <c r="BJ194" s="1"/>
      <c r="BK194" s="1"/>
      <c r="BL194" s="1"/>
      <c r="BM194" s="106">
        <v>9044.0</v>
      </c>
      <c r="BN194" s="1"/>
      <c r="BO194" s="79">
        <f t="shared" ref="BO194:BO195" si="696">BM194-BN194</f>
        <v>9044</v>
      </c>
      <c r="BP194" s="106">
        <v>2571.0</v>
      </c>
      <c r="BQ194" s="79">
        <f t="shared" si="695"/>
        <v>6473</v>
      </c>
      <c r="BR194" s="1"/>
      <c r="BS194" s="79">
        <f t="shared" si="694"/>
        <v>6473</v>
      </c>
      <c r="BT194" s="106">
        <v>3473.0</v>
      </c>
      <c r="BU194" s="79">
        <f t="shared" si="671"/>
        <v>3000</v>
      </c>
      <c r="BV194" s="106">
        <v>3000.0</v>
      </c>
      <c r="BW194" s="79">
        <f t="shared" si="686"/>
        <v>0</v>
      </c>
      <c r="BX194" s="1"/>
      <c r="BY194" s="79">
        <f t="shared" si="690"/>
        <v>0</v>
      </c>
      <c r="BZ194" s="1"/>
      <c r="CA194" s="79">
        <f t="shared" si="681"/>
        <v>0</v>
      </c>
      <c r="CB194" s="1"/>
      <c r="CC194" s="79">
        <f t="shared" si="674"/>
        <v>0</v>
      </c>
      <c r="CD194" s="1"/>
      <c r="CE194" s="79">
        <f t="shared" si="675"/>
        <v>0</v>
      </c>
      <c r="CF194" s="1"/>
      <c r="CG194" s="79">
        <f t="shared" si="676"/>
        <v>0</v>
      </c>
      <c r="CH194" s="1"/>
      <c r="CI194" s="79">
        <f t="shared" si="677"/>
        <v>0</v>
      </c>
      <c r="CJ194" s="1"/>
      <c r="CK194" s="79">
        <f t="shared" si="678"/>
        <v>0</v>
      </c>
      <c r="CL194" s="1"/>
      <c r="CM194" s="79">
        <f t="shared" si="679"/>
        <v>0</v>
      </c>
      <c r="CN194" s="1"/>
      <c r="CO194" s="79">
        <f t="shared" si="680"/>
        <v>0</v>
      </c>
      <c r="CP194" s="1"/>
      <c r="CQ194" s="79">
        <f t="shared" si="619"/>
        <v>0</v>
      </c>
      <c r="CR194" s="1"/>
      <c r="CS194" s="79">
        <f t="shared" si="630"/>
        <v>0</v>
      </c>
      <c r="CT194" s="79"/>
      <c r="CU194" s="79">
        <f t="shared" si="631"/>
        <v>0</v>
      </c>
      <c r="CV194" s="79"/>
      <c r="CW194" s="79">
        <f t="shared" si="632"/>
        <v>0</v>
      </c>
      <c r="CX194" s="79"/>
      <c r="CY194" s="91"/>
      <c r="CZ194" s="79">
        <f t="shared" si="691"/>
        <v>0</v>
      </c>
      <c r="DA194" s="93"/>
      <c r="DB194" s="93">
        <f t="shared" si="634"/>
        <v>0</v>
      </c>
      <c r="DC194" s="96"/>
      <c r="DD194" s="93">
        <f t="shared" si="635"/>
        <v>0</v>
      </c>
      <c r="DE194" s="96"/>
      <c r="DF194" s="93">
        <f t="shared" si="636"/>
        <v>0</v>
      </c>
      <c r="DG194" s="96"/>
      <c r="DH194" s="93">
        <f t="shared" si="637"/>
        <v>0</v>
      </c>
      <c r="DI194" s="96"/>
      <c r="DJ194" s="93">
        <f t="shared" si="692"/>
        <v>0</v>
      </c>
      <c r="DK194" s="93"/>
      <c r="DL194" s="93">
        <f t="shared" si="639"/>
        <v>0</v>
      </c>
      <c r="DM194" s="100">
        <v>0.0</v>
      </c>
      <c r="DN194" s="93">
        <f t="shared" si="688"/>
        <v>0</v>
      </c>
      <c r="DO194" s="100">
        <v>0.0</v>
      </c>
      <c r="DP194" s="93">
        <f t="shared" si="641"/>
        <v>0</v>
      </c>
      <c r="DQ194" s="100">
        <v>0.0</v>
      </c>
      <c r="DR194" s="93">
        <f t="shared" si="693"/>
        <v>0</v>
      </c>
      <c r="DS194" s="100">
        <v>0.0</v>
      </c>
      <c r="DT194" s="93">
        <f t="shared" si="643"/>
        <v>0</v>
      </c>
      <c r="DU194" s="100">
        <v>0.0</v>
      </c>
      <c r="DV194" s="93">
        <f t="shared" si="61"/>
        <v>0</v>
      </c>
    </row>
    <row r="195">
      <c r="A195" s="106" t="s">
        <v>982</v>
      </c>
      <c r="B195" s="106" t="s">
        <v>983</v>
      </c>
      <c r="C195" s="76" t="str">
        <f t="array" ref="C195">_xlfn.XLOOKUP(A195,'Emp Master'!A:A,'Emp Master'!F:F)</f>
        <v>#N/A</v>
      </c>
      <c r="D195" s="76" t="str">
        <f t="array" ref="D195">_xlfn.XLOOKUP(A195,'Emp Master'!A:A,'Emp Master'!D:D)</f>
        <v>#N/A</v>
      </c>
      <c r="E195" s="76" t="str">
        <f t="shared" si="326"/>
        <v>#REF!</v>
      </c>
      <c r="F195" s="76"/>
      <c r="G195" s="79"/>
      <c r="H195" s="80"/>
      <c r="I195" s="79"/>
      <c r="J195" s="80"/>
      <c r="K195" s="79"/>
      <c r="L195" s="142"/>
      <c r="M195" s="1"/>
      <c r="N195" s="142"/>
      <c r="O195" s="1"/>
      <c r="P195" s="142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79">
        <f>AI195-AJ195</f>
        <v>0</v>
      </c>
      <c r="AL195" s="1"/>
      <c r="AM195" s="79">
        <f>AK195-AL195</f>
        <v>0</v>
      </c>
      <c r="AN195" s="1"/>
      <c r="AO195" s="79">
        <f>AM195-AN195</f>
        <v>0</v>
      </c>
      <c r="AP195" s="106">
        <v>0.0</v>
      </c>
      <c r="AQ195" s="79">
        <f>AO195-AP195</f>
        <v>0</v>
      </c>
      <c r="AR195" s="1"/>
      <c r="AS195" s="79">
        <f>AQ195-AR195</f>
        <v>0</v>
      </c>
      <c r="AT195" s="106">
        <v>0.0</v>
      </c>
      <c r="AU195" s="79">
        <f>AS195-AT195</f>
        <v>0</v>
      </c>
      <c r="AV195" s="106">
        <v>0.0</v>
      </c>
      <c r="AW195" s="79">
        <f>AU195-AV195</f>
        <v>0</v>
      </c>
      <c r="AX195" s="1"/>
      <c r="AY195" s="79">
        <f>AW195-AX195</f>
        <v>0</v>
      </c>
      <c r="AZ195" s="1"/>
      <c r="BA195" s="79">
        <f>AY195-AZ195</f>
        <v>0</v>
      </c>
      <c r="BB195" s="1"/>
      <c r="BC195" s="79">
        <f>BA195-BB195</f>
        <v>0</v>
      </c>
      <c r="BD195" s="1"/>
      <c r="BE195" s="79">
        <f>BC195-BD195+5000</f>
        <v>5000</v>
      </c>
      <c r="BF195" s="106">
        <v>1500.0</v>
      </c>
      <c r="BG195" s="79">
        <f>BE195-BF195</f>
        <v>3500</v>
      </c>
      <c r="BH195" s="106">
        <v>1500.0</v>
      </c>
      <c r="BI195" s="79">
        <f>BG195-BH195</f>
        <v>2000</v>
      </c>
      <c r="BJ195" s="1"/>
      <c r="BK195" s="79">
        <f>BI195-BJ195</f>
        <v>2000</v>
      </c>
      <c r="BL195" s="1"/>
      <c r="BM195" s="79">
        <f>BK195-BL195</f>
        <v>2000</v>
      </c>
      <c r="BN195" s="1"/>
      <c r="BO195" s="79">
        <f t="shared" si="696"/>
        <v>2000</v>
      </c>
      <c r="BP195" s="1"/>
      <c r="BQ195" s="79">
        <f t="shared" si="695"/>
        <v>2000</v>
      </c>
      <c r="BR195" s="1"/>
      <c r="BS195" s="79">
        <f t="shared" si="694"/>
        <v>2000</v>
      </c>
      <c r="BT195" s="1"/>
      <c r="BU195" s="79">
        <f t="shared" si="671"/>
        <v>2000</v>
      </c>
      <c r="BV195" s="1"/>
      <c r="BW195" s="79">
        <f t="shared" si="686"/>
        <v>2000</v>
      </c>
      <c r="BX195" s="1"/>
      <c r="BY195" s="79">
        <f t="shared" si="690"/>
        <v>2000</v>
      </c>
      <c r="BZ195" s="1"/>
      <c r="CA195" s="79">
        <f t="shared" si="681"/>
        <v>2000</v>
      </c>
      <c r="CB195" s="106">
        <v>0.0</v>
      </c>
      <c r="CC195" s="79">
        <f t="shared" si="674"/>
        <v>2000</v>
      </c>
      <c r="CD195" s="1"/>
      <c r="CE195" s="79">
        <f t="shared" si="675"/>
        <v>2000</v>
      </c>
      <c r="CF195" s="1"/>
      <c r="CG195" s="79">
        <f t="shared" si="676"/>
        <v>2000</v>
      </c>
      <c r="CH195" s="1"/>
      <c r="CI195" s="79">
        <f t="shared" si="677"/>
        <v>2000</v>
      </c>
      <c r="CJ195" s="1"/>
      <c r="CK195" s="79">
        <f t="shared" si="678"/>
        <v>2000</v>
      </c>
      <c r="CL195" s="1"/>
      <c r="CM195" s="79">
        <f t="shared" si="679"/>
        <v>2000</v>
      </c>
      <c r="CN195" s="1"/>
      <c r="CO195" s="79">
        <f t="shared" si="680"/>
        <v>2000</v>
      </c>
      <c r="CP195" s="1"/>
      <c r="CQ195" s="79">
        <f t="shared" si="619"/>
        <v>2000</v>
      </c>
      <c r="CR195" s="1"/>
      <c r="CS195" s="79">
        <f t="shared" si="630"/>
        <v>2000</v>
      </c>
      <c r="CT195" s="79"/>
      <c r="CU195" s="79">
        <f t="shared" si="631"/>
        <v>2000</v>
      </c>
      <c r="CV195" s="79"/>
      <c r="CW195" s="79">
        <f t="shared" si="632"/>
        <v>2000</v>
      </c>
      <c r="CX195" s="79"/>
      <c r="CY195" s="91"/>
      <c r="CZ195" s="79">
        <f t="shared" si="691"/>
        <v>2000</v>
      </c>
      <c r="DA195" s="93"/>
      <c r="DB195" s="93">
        <f t="shared" si="634"/>
        <v>2000</v>
      </c>
      <c r="DC195" s="96"/>
      <c r="DD195" s="93">
        <f t="shared" si="635"/>
        <v>2000</v>
      </c>
      <c r="DE195" s="96"/>
      <c r="DF195" s="93">
        <f t="shared" si="636"/>
        <v>2000</v>
      </c>
      <c r="DG195" s="96"/>
      <c r="DH195" s="93">
        <f t="shared" si="637"/>
        <v>2000</v>
      </c>
      <c r="DI195" s="96"/>
      <c r="DJ195" s="93">
        <f t="shared" si="692"/>
        <v>2000</v>
      </c>
      <c r="DK195" s="93"/>
      <c r="DL195" s="93">
        <f t="shared" si="639"/>
        <v>2000</v>
      </c>
      <c r="DM195" s="100">
        <v>0.0</v>
      </c>
      <c r="DN195" s="93">
        <f t="shared" si="688"/>
        <v>2000</v>
      </c>
      <c r="DO195" s="100">
        <v>0.0</v>
      </c>
      <c r="DP195" s="93">
        <f t="shared" si="641"/>
        <v>2000</v>
      </c>
      <c r="DQ195" s="100">
        <v>0.0</v>
      </c>
      <c r="DR195" s="93">
        <f t="shared" si="693"/>
        <v>2000</v>
      </c>
      <c r="DS195" s="100">
        <v>0.0</v>
      </c>
      <c r="DT195" s="93">
        <f t="shared" si="643"/>
        <v>2000</v>
      </c>
      <c r="DU195" s="100">
        <v>0.0</v>
      </c>
      <c r="DV195" s="93">
        <f t="shared" si="61"/>
        <v>2000</v>
      </c>
    </row>
    <row r="196">
      <c r="A196" s="222" t="s">
        <v>564</v>
      </c>
      <c r="B196" s="222" t="s">
        <v>984</v>
      </c>
      <c r="C196" s="76" t="str">
        <f t="array" ref="C196">_xlfn.XLOOKUP(A196,'Emp Master'!A:A,'Emp Master'!F:F)</f>
        <v>SNP</v>
      </c>
      <c r="D196" s="76" t="str">
        <f t="array" ref="D196">_xlfn.XLOOKUP(A196,'Emp Master'!A:A,'Emp Master'!D:D)</f>
        <v>Cutting</v>
      </c>
      <c r="E196" s="76" t="str">
        <f t="shared" si="326"/>
        <v>#REF!</v>
      </c>
      <c r="F196" s="76"/>
      <c r="G196" s="79"/>
      <c r="H196" s="80"/>
      <c r="I196" s="79"/>
      <c r="J196" s="80"/>
      <c r="K196" s="79"/>
      <c r="L196" s="142"/>
      <c r="M196" s="1"/>
      <c r="N196" s="142"/>
      <c r="O196" s="1"/>
      <c r="P196" s="142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79"/>
      <c r="BJ196" s="1"/>
      <c r="BK196" s="1"/>
      <c r="BL196" s="1"/>
      <c r="BM196" s="79"/>
      <c r="BN196" s="106"/>
      <c r="BO196" s="79"/>
      <c r="BP196" s="106"/>
      <c r="BQ196" s="79"/>
      <c r="BR196" s="106"/>
      <c r="BS196" s="79"/>
      <c r="BT196" s="106"/>
      <c r="BU196" s="79"/>
      <c r="BV196" s="106"/>
      <c r="BW196" s="79"/>
      <c r="BX196" s="1"/>
      <c r="BY196" s="79"/>
      <c r="BZ196" s="106"/>
      <c r="CA196" s="79"/>
      <c r="CB196" s="106"/>
      <c r="CC196" s="79"/>
      <c r="CD196" s="1"/>
      <c r="CE196" s="79"/>
      <c r="CF196" s="106"/>
      <c r="CG196" s="79"/>
      <c r="CH196" s="106"/>
      <c r="CI196" s="79">
        <f>(CG196-CH196)+12000</f>
        <v>12000</v>
      </c>
      <c r="CJ196" s="106">
        <v>3000.0</v>
      </c>
      <c r="CK196" s="79">
        <f t="shared" si="678"/>
        <v>9000</v>
      </c>
      <c r="CL196" s="106"/>
      <c r="CM196" s="79">
        <f t="shared" si="679"/>
        <v>9000</v>
      </c>
      <c r="CN196" s="106">
        <v>3000.0</v>
      </c>
      <c r="CO196" s="79">
        <f t="shared" si="680"/>
        <v>6000</v>
      </c>
      <c r="CP196" s="106">
        <v>3000.0</v>
      </c>
      <c r="CQ196" s="79">
        <f t="shared" si="619"/>
        <v>3000</v>
      </c>
      <c r="CR196" s="106">
        <v>3000.0</v>
      </c>
      <c r="CS196" s="79">
        <f t="shared" si="630"/>
        <v>0</v>
      </c>
      <c r="CT196" s="79"/>
      <c r="CU196" s="79">
        <f t="shared" si="631"/>
        <v>0</v>
      </c>
      <c r="CV196" s="79"/>
      <c r="CW196" s="79">
        <f t="shared" si="632"/>
        <v>0</v>
      </c>
      <c r="CX196" s="79"/>
      <c r="CY196" s="91"/>
      <c r="CZ196" s="79">
        <f t="shared" si="691"/>
        <v>0</v>
      </c>
      <c r="DA196" s="93"/>
      <c r="DB196" s="93">
        <f t="shared" si="634"/>
        <v>0</v>
      </c>
      <c r="DC196" s="96"/>
      <c r="DD196" s="93">
        <f t="shared" si="635"/>
        <v>0</v>
      </c>
      <c r="DE196" s="96"/>
      <c r="DF196" s="93">
        <f t="shared" si="636"/>
        <v>0</v>
      </c>
      <c r="DG196" s="96"/>
      <c r="DH196" s="93">
        <f t="shared" si="637"/>
        <v>0</v>
      </c>
      <c r="DI196" s="96"/>
      <c r="DJ196" s="93">
        <f t="shared" si="692"/>
        <v>0</v>
      </c>
      <c r="DK196" s="93"/>
      <c r="DL196" s="93">
        <f t="shared" si="639"/>
        <v>0</v>
      </c>
      <c r="DM196" s="100">
        <v>0.0</v>
      </c>
      <c r="DN196" s="93">
        <f t="shared" si="688"/>
        <v>0</v>
      </c>
      <c r="DO196" s="100">
        <v>0.0</v>
      </c>
      <c r="DP196" s="93">
        <f t="shared" si="641"/>
        <v>0</v>
      </c>
      <c r="DQ196" s="100">
        <v>0.0</v>
      </c>
      <c r="DR196" s="93">
        <f t="shared" si="693"/>
        <v>0</v>
      </c>
      <c r="DS196" s="100">
        <v>0.0</v>
      </c>
      <c r="DT196" s="93">
        <f t="shared" si="643"/>
        <v>0</v>
      </c>
      <c r="DU196" s="100">
        <v>0.0</v>
      </c>
      <c r="DV196" s="93">
        <f t="shared" si="61"/>
        <v>0</v>
      </c>
    </row>
    <row r="197">
      <c r="A197" s="106" t="s">
        <v>565</v>
      </c>
      <c r="B197" s="106" t="s">
        <v>566</v>
      </c>
      <c r="C197" s="76" t="str">
        <f t="array" ref="C197">_xlfn.XLOOKUP(A197,'Emp Master'!A:A,'Emp Master'!F:F)</f>
        <v>SNP</v>
      </c>
      <c r="D197" s="76" t="str">
        <f t="array" ref="D197">_xlfn.XLOOKUP(A197,'Emp Master'!A:A,'Emp Master'!D:D)</f>
        <v>Cutting</v>
      </c>
      <c r="E197" s="76" t="str">
        <f t="shared" si="326"/>
        <v>#REF!</v>
      </c>
      <c r="F197" s="76"/>
      <c r="G197" s="79"/>
      <c r="H197" s="80"/>
      <c r="I197" s="79"/>
      <c r="J197" s="80"/>
      <c r="K197" s="79"/>
      <c r="L197" s="142"/>
      <c r="M197" s="1"/>
      <c r="N197" s="142"/>
      <c r="O197" s="1"/>
      <c r="P197" s="142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79">
        <f t="shared" ref="BI197:BI200" si="697">BG197-BH197</f>
        <v>0</v>
      </c>
      <c r="BJ197" s="1"/>
      <c r="BK197" s="1"/>
      <c r="BL197" s="1"/>
      <c r="BM197" s="79">
        <f>BK197-BL197+5000</f>
        <v>5000</v>
      </c>
      <c r="BN197" s="106">
        <v>1000.0</v>
      </c>
      <c r="BO197" s="79">
        <f>BM197-BN197</f>
        <v>4000</v>
      </c>
      <c r="BP197" s="106">
        <v>1000.0</v>
      </c>
      <c r="BQ197" s="79">
        <f t="shared" ref="BQ197:BQ199" si="698">BO197-BP197</f>
        <v>3000</v>
      </c>
      <c r="BR197" s="106">
        <v>1000.0</v>
      </c>
      <c r="BS197" s="79">
        <f>BQ197-BR197</f>
        <v>2000</v>
      </c>
      <c r="BT197" s="106">
        <v>1000.0</v>
      </c>
      <c r="BU197" s="79">
        <f t="shared" ref="BU197:BU199" si="699">BS197-BT197</f>
        <v>1000</v>
      </c>
      <c r="BV197" s="106">
        <v>1000.0</v>
      </c>
      <c r="BW197" s="79">
        <f t="shared" ref="BW197:BW199" si="700">BU197-BV197</f>
        <v>0</v>
      </c>
      <c r="BX197" s="1"/>
      <c r="BY197" s="79">
        <f>BW197-BX197+6000</f>
        <v>6000</v>
      </c>
      <c r="BZ197" s="106">
        <v>2000.0</v>
      </c>
      <c r="CA197" s="79">
        <f t="shared" ref="CA197:CA200" si="701">BY197-BZ197</f>
        <v>4000</v>
      </c>
      <c r="CB197" s="106">
        <v>2000.0</v>
      </c>
      <c r="CC197" s="79">
        <f t="shared" ref="CC197:CC203" si="702">CA197-CB197</f>
        <v>2000</v>
      </c>
      <c r="CD197" s="1"/>
      <c r="CE197" s="79">
        <f t="shared" ref="CE197:CE202" si="703">CC197-CD197</f>
        <v>2000</v>
      </c>
      <c r="CF197" s="106">
        <v>2000.0</v>
      </c>
      <c r="CG197" s="79">
        <f>2000+(CE197-CF197)</f>
        <v>2000</v>
      </c>
      <c r="CH197" s="106">
        <v>2000.0</v>
      </c>
      <c r="CI197" s="79">
        <f t="shared" ref="CI197:CI203" si="704">CG197-CH197</f>
        <v>0</v>
      </c>
      <c r="CJ197" s="106"/>
      <c r="CK197" s="79">
        <f t="shared" si="678"/>
        <v>0</v>
      </c>
      <c r="CL197" s="106"/>
      <c r="CM197" s="79">
        <f>6000+CK197-CL197</f>
        <v>6000</v>
      </c>
      <c r="CN197" s="106">
        <v>1500.0</v>
      </c>
      <c r="CO197" s="79">
        <f t="shared" si="680"/>
        <v>4500</v>
      </c>
      <c r="CP197" s="106">
        <v>1500.0</v>
      </c>
      <c r="CQ197" s="79">
        <f t="shared" si="619"/>
        <v>3000</v>
      </c>
      <c r="CR197" s="106">
        <v>1500.0</v>
      </c>
      <c r="CS197" s="79">
        <f t="shared" si="630"/>
        <v>1500</v>
      </c>
      <c r="CT197" s="24">
        <v>1500.0</v>
      </c>
      <c r="CU197" s="79">
        <f>CS197-CT197+6000</f>
        <v>6000</v>
      </c>
      <c r="CV197" s="24">
        <v>2000.0</v>
      </c>
      <c r="CW197" s="79">
        <f t="shared" si="632"/>
        <v>4000</v>
      </c>
      <c r="CX197" s="24">
        <v>2000.0</v>
      </c>
      <c r="CY197" s="91">
        <v>2000.0</v>
      </c>
      <c r="CZ197" s="79">
        <f>CW197-CX197-CY197</f>
        <v>0</v>
      </c>
      <c r="DA197" s="93"/>
      <c r="DB197" s="93">
        <f>CZ197-DA197+8000</f>
        <v>8000</v>
      </c>
      <c r="DC197" s="178">
        <v>2000.0</v>
      </c>
      <c r="DD197" s="93">
        <f t="shared" si="635"/>
        <v>6000</v>
      </c>
      <c r="DE197" s="178">
        <v>2000.0</v>
      </c>
      <c r="DF197" s="93">
        <f t="shared" si="636"/>
        <v>4000</v>
      </c>
      <c r="DG197" s="178">
        <v>2000.0</v>
      </c>
      <c r="DH197" s="93">
        <f t="shared" si="637"/>
        <v>2000</v>
      </c>
      <c r="DI197" s="178">
        <v>2000.0</v>
      </c>
      <c r="DJ197" s="93">
        <f t="shared" si="692"/>
        <v>0</v>
      </c>
      <c r="DK197" s="93"/>
      <c r="DL197" s="100">
        <v>6000.0</v>
      </c>
      <c r="DM197" s="100">
        <v>2000.0</v>
      </c>
      <c r="DN197" s="93">
        <f t="shared" si="688"/>
        <v>4000</v>
      </c>
      <c r="DO197" s="100">
        <v>2000.0</v>
      </c>
      <c r="DP197" s="93">
        <f t="shared" si="641"/>
        <v>2000</v>
      </c>
      <c r="DQ197" s="100">
        <v>2000.0</v>
      </c>
      <c r="DR197" s="93">
        <f t="shared" si="693"/>
        <v>0</v>
      </c>
      <c r="DS197" s="100">
        <v>0.0</v>
      </c>
      <c r="DT197" s="93">
        <f t="shared" si="643"/>
        <v>0</v>
      </c>
      <c r="DU197" s="100">
        <v>0.0</v>
      </c>
      <c r="DV197" s="93">
        <f t="shared" si="61"/>
        <v>0</v>
      </c>
    </row>
    <row r="198">
      <c r="A198" s="106" t="s">
        <v>985</v>
      </c>
      <c r="B198" s="106" t="s">
        <v>986</v>
      </c>
      <c r="C198" s="76" t="str">
        <f t="array" ref="C198">_xlfn.XLOOKUP(A198,'Emp Master'!A:A,'Emp Master'!F:F)</f>
        <v>#N/A</v>
      </c>
      <c r="D198" s="76" t="str">
        <f t="array" ref="D198">_xlfn.XLOOKUP(A198,'Emp Master'!A:A,'Emp Master'!D:D)</f>
        <v>#N/A</v>
      </c>
      <c r="E198" s="76" t="str">
        <f t="shared" si="326"/>
        <v>#REF!</v>
      </c>
      <c r="F198" s="76"/>
      <c r="G198" s="79"/>
      <c r="H198" s="80"/>
      <c r="I198" s="79"/>
      <c r="J198" s="80"/>
      <c r="K198" s="79"/>
      <c r="L198" s="142"/>
      <c r="M198" s="1"/>
      <c r="N198" s="142"/>
      <c r="O198" s="1"/>
      <c r="P198" s="142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79">
        <f t="shared" si="697"/>
        <v>0</v>
      </c>
      <c r="BJ198" s="1"/>
      <c r="BK198" s="1"/>
      <c r="BL198" s="1"/>
      <c r="BM198" s="1"/>
      <c r="BN198" s="1"/>
      <c r="BO198" s="79">
        <f t="shared" ref="BO198:BO199" si="705">BM198-BN198+10000</f>
        <v>10000</v>
      </c>
      <c r="BP198" s="106">
        <v>10000.0</v>
      </c>
      <c r="BQ198" s="79">
        <f t="shared" si="698"/>
        <v>0</v>
      </c>
      <c r="BR198" s="1"/>
      <c r="BS198" s="79">
        <f>BQ198-BR198+3500</f>
        <v>3500</v>
      </c>
      <c r="BT198" s="106">
        <v>3500.0</v>
      </c>
      <c r="BU198" s="79">
        <f t="shared" si="699"/>
        <v>0</v>
      </c>
      <c r="BV198" s="1"/>
      <c r="BW198" s="79">
        <f t="shared" si="700"/>
        <v>0</v>
      </c>
      <c r="BX198" s="1"/>
      <c r="BY198" s="79">
        <f t="shared" ref="BY198:BY200" si="706">BW198-BX198</f>
        <v>0</v>
      </c>
      <c r="BZ198" s="1"/>
      <c r="CA198" s="79">
        <f t="shared" si="701"/>
        <v>0</v>
      </c>
      <c r="CB198" s="1"/>
      <c r="CC198" s="79">
        <f t="shared" si="702"/>
        <v>0</v>
      </c>
      <c r="CD198" s="1"/>
      <c r="CE198" s="79">
        <f t="shared" si="703"/>
        <v>0</v>
      </c>
      <c r="CF198" s="1"/>
      <c r="CG198" s="79">
        <f t="shared" ref="CG198:CG203" si="707">CE198-CF198</f>
        <v>0</v>
      </c>
      <c r="CH198" s="1"/>
      <c r="CI198" s="79">
        <f t="shared" si="704"/>
        <v>0</v>
      </c>
      <c r="CJ198" s="1"/>
      <c r="CK198" s="79">
        <f t="shared" si="678"/>
        <v>0</v>
      </c>
      <c r="CL198" s="1"/>
      <c r="CM198" s="79">
        <f t="shared" ref="CM198:CM202" si="708">CK198-CL198</f>
        <v>0</v>
      </c>
      <c r="CN198" s="1"/>
      <c r="CO198" s="79">
        <f t="shared" si="680"/>
        <v>0</v>
      </c>
      <c r="CP198" s="1"/>
      <c r="CQ198" s="79">
        <f t="shared" si="619"/>
        <v>0</v>
      </c>
      <c r="CR198" s="1"/>
      <c r="CS198" s="79">
        <f t="shared" si="630"/>
        <v>0</v>
      </c>
      <c r="CT198" s="79"/>
      <c r="CU198" s="79">
        <f t="shared" ref="CU198:CU232" si="709">CS198-CT198</f>
        <v>0</v>
      </c>
      <c r="CV198" s="79"/>
      <c r="CW198" s="79">
        <f t="shared" si="632"/>
        <v>0</v>
      </c>
      <c r="CX198" s="79"/>
      <c r="CY198" s="91"/>
      <c r="CZ198" s="79">
        <f t="shared" ref="CZ198:CZ202" si="710">CW198-CX198</f>
        <v>0</v>
      </c>
      <c r="DA198" s="93"/>
      <c r="DB198" s="93">
        <f t="shared" ref="DB198:DB200" si="711">CZ198-DA198</f>
        <v>0</v>
      </c>
      <c r="DC198" s="96"/>
      <c r="DD198" s="93">
        <f t="shared" si="635"/>
        <v>0</v>
      </c>
      <c r="DE198" s="96"/>
      <c r="DF198" s="93">
        <f t="shared" si="636"/>
        <v>0</v>
      </c>
      <c r="DG198" s="96"/>
      <c r="DH198" s="93">
        <f t="shared" si="637"/>
        <v>0</v>
      </c>
      <c r="DI198" s="96"/>
      <c r="DJ198" s="93">
        <f t="shared" si="692"/>
        <v>0</v>
      </c>
      <c r="DK198" s="93"/>
      <c r="DL198" s="93">
        <f>DJ198-DK198</f>
        <v>0</v>
      </c>
      <c r="DM198" s="100">
        <v>0.0</v>
      </c>
      <c r="DN198" s="93">
        <f t="shared" si="688"/>
        <v>0</v>
      </c>
      <c r="DO198" s="100">
        <v>0.0</v>
      </c>
      <c r="DP198" s="93">
        <f t="shared" si="641"/>
        <v>0</v>
      </c>
      <c r="DQ198" s="100">
        <v>0.0</v>
      </c>
      <c r="DR198" s="93">
        <f t="shared" si="693"/>
        <v>0</v>
      </c>
      <c r="DS198" s="100">
        <v>0.0</v>
      </c>
      <c r="DT198" s="93">
        <f t="shared" si="643"/>
        <v>0</v>
      </c>
      <c r="DU198" s="100">
        <v>0.0</v>
      </c>
      <c r="DV198" s="93">
        <f t="shared" si="61"/>
        <v>0</v>
      </c>
    </row>
    <row r="199">
      <c r="A199" s="106" t="s">
        <v>574</v>
      </c>
      <c r="B199" s="106" t="s">
        <v>575</v>
      </c>
      <c r="C199" s="76" t="str">
        <f t="array" ref="C199">_xlfn.XLOOKUP(A199,'Emp Master'!A:A,'Emp Master'!F:F)</f>
        <v>SNP</v>
      </c>
      <c r="D199" s="76" t="str">
        <f t="array" ref="D199">_xlfn.XLOOKUP(A199,'Emp Master'!A:A,'Emp Master'!D:D)</f>
        <v>Machining</v>
      </c>
      <c r="E199" s="76" t="str">
        <f t="shared" si="326"/>
        <v>#REF!</v>
      </c>
      <c r="F199" s="76"/>
      <c r="G199" s="79"/>
      <c r="H199" s="80"/>
      <c r="I199" s="79"/>
      <c r="J199" s="80"/>
      <c r="K199" s="79"/>
      <c r="L199" s="142"/>
      <c r="M199" s="1"/>
      <c r="N199" s="142"/>
      <c r="O199" s="1"/>
      <c r="P199" s="142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79">
        <f t="shared" si="697"/>
        <v>0</v>
      </c>
      <c r="BJ199" s="1"/>
      <c r="BK199" s="1"/>
      <c r="BL199" s="1"/>
      <c r="BM199" s="1"/>
      <c r="BN199" s="1"/>
      <c r="BO199" s="79">
        <f t="shared" si="705"/>
        <v>10000</v>
      </c>
      <c r="BP199" s="106">
        <v>2500.0</v>
      </c>
      <c r="BQ199" s="79">
        <f t="shared" si="698"/>
        <v>7500</v>
      </c>
      <c r="BR199" s="106">
        <v>2500.0</v>
      </c>
      <c r="BS199" s="79">
        <f>BQ199-BR199</f>
        <v>5000</v>
      </c>
      <c r="BT199" s="106">
        <v>2500.0</v>
      </c>
      <c r="BU199" s="79">
        <f t="shared" si="699"/>
        <v>2500</v>
      </c>
      <c r="BV199" s="106">
        <v>2500.0</v>
      </c>
      <c r="BW199" s="79">
        <f t="shared" si="700"/>
        <v>0</v>
      </c>
      <c r="BX199" s="1"/>
      <c r="BY199" s="79">
        <f t="shared" si="706"/>
        <v>0</v>
      </c>
      <c r="BZ199" s="1"/>
      <c r="CA199" s="79">
        <f t="shared" si="701"/>
        <v>0</v>
      </c>
      <c r="CB199" s="1"/>
      <c r="CC199" s="79">
        <f t="shared" si="702"/>
        <v>0</v>
      </c>
      <c r="CD199" s="1"/>
      <c r="CE199" s="79">
        <f t="shared" si="703"/>
        <v>0</v>
      </c>
      <c r="CF199" s="1"/>
      <c r="CG199" s="79">
        <f t="shared" si="707"/>
        <v>0</v>
      </c>
      <c r="CH199" s="1"/>
      <c r="CI199" s="79">
        <f t="shared" si="704"/>
        <v>0</v>
      </c>
      <c r="CJ199" s="1"/>
      <c r="CK199" s="79">
        <f t="shared" si="678"/>
        <v>0</v>
      </c>
      <c r="CL199" s="1"/>
      <c r="CM199" s="79">
        <f t="shared" si="708"/>
        <v>0</v>
      </c>
      <c r="CN199" s="1"/>
      <c r="CO199" s="79">
        <f t="shared" si="680"/>
        <v>0</v>
      </c>
      <c r="CP199" s="1"/>
      <c r="CQ199" s="79">
        <f>CO199-CP199+7500</f>
        <v>7500</v>
      </c>
      <c r="CR199" s="106">
        <v>2000.0</v>
      </c>
      <c r="CS199" s="79">
        <f t="shared" si="630"/>
        <v>5500</v>
      </c>
      <c r="CT199" s="24">
        <v>2000.0</v>
      </c>
      <c r="CU199" s="79">
        <f t="shared" si="709"/>
        <v>3500</v>
      </c>
      <c r="CV199" s="24">
        <v>2000.0</v>
      </c>
      <c r="CW199" s="79">
        <f t="shared" si="632"/>
        <v>1500</v>
      </c>
      <c r="CX199" s="24">
        <v>1500.0</v>
      </c>
      <c r="CY199" s="91"/>
      <c r="CZ199" s="79">
        <f t="shared" si="710"/>
        <v>0</v>
      </c>
      <c r="DA199" s="93"/>
      <c r="DB199" s="93">
        <f t="shared" si="711"/>
        <v>0</v>
      </c>
      <c r="DC199" s="96"/>
      <c r="DD199" s="93">
        <f t="shared" si="635"/>
        <v>0</v>
      </c>
      <c r="DE199" s="96"/>
      <c r="DF199" s="93">
        <f t="shared" si="636"/>
        <v>0</v>
      </c>
      <c r="DG199" s="96"/>
      <c r="DH199" s="93">
        <f t="shared" si="637"/>
        <v>0</v>
      </c>
      <c r="DI199" s="96"/>
      <c r="DJ199" s="93">
        <f t="shared" si="692"/>
        <v>0</v>
      </c>
      <c r="DK199" s="93"/>
      <c r="DL199" s="100">
        <v>10000.0</v>
      </c>
      <c r="DM199" s="100">
        <v>2500.0</v>
      </c>
      <c r="DN199" s="93">
        <f t="shared" si="688"/>
        <v>7500</v>
      </c>
      <c r="DO199" s="100">
        <v>2500.0</v>
      </c>
      <c r="DP199" s="93">
        <f t="shared" si="641"/>
        <v>5000</v>
      </c>
      <c r="DQ199" s="100">
        <v>2500.0</v>
      </c>
      <c r="DR199" s="93">
        <f t="shared" si="693"/>
        <v>2500</v>
      </c>
      <c r="DS199" s="100">
        <v>2500.0</v>
      </c>
      <c r="DT199" s="93">
        <f t="shared" si="643"/>
        <v>0</v>
      </c>
      <c r="DU199" s="100">
        <v>0.0</v>
      </c>
      <c r="DV199" s="93">
        <f t="shared" si="61"/>
        <v>0</v>
      </c>
    </row>
    <row r="200">
      <c r="A200" s="106" t="s">
        <v>987</v>
      </c>
      <c r="B200" s="106" t="s">
        <v>988</v>
      </c>
      <c r="C200" s="76" t="str">
        <f t="array" ref="C200">_xlfn.XLOOKUP(A200,'Emp Master'!A:A,'Emp Master'!F:F)</f>
        <v>#N/A</v>
      </c>
      <c r="D200" s="76" t="str">
        <f t="array" ref="D200">_xlfn.XLOOKUP(A200,'Emp Master'!A:A,'Emp Master'!D:D)</f>
        <v>#N/A</v>
      </c>
      <c r="E200" s="76" t="str">
        <f t="shared" si="326"/>
        <v>#REF!</v>
      </c>
      <c r="F200" s="76"/>
      <c r="G200" s="79"/>
      <c r="H200" s="80"/>
      <c r="I200" s="79"/>
      <c r="J200" s="80"/>
      <c r="K200" s="79"/>
      <c r="L200" s="142"/>
      <c r="M200" s="1"/>
      <c r="N200" s="142"/>
      <c r="O200" s="1"/>
      <c r="P200" s="142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79">
        <f t="shared" si="697"/>
        <v>0</v>
      </c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79">
        <f>BU200-BV200+5000</f>
        <v>5000</v>
      </c>
      <c r="BX200" s="106">
        <v>2500.0</v>
      </c>
      <c r="BY200" s="79">
        <f t="shared" si="706"/>
        <v>2500</v>
      </c>
      <c r="BZ200" s="106">
        <v>2500.0</v>
      </c>
      <c r="CA200" s="79">
        <f t="shared" si="701"/>
        <v>0</v>
      </c>
      <c r="CB200" s="1"/>
      <c r="CC200" s="79">
        <f t="shared" si="702"/>
        <v>0</v>
      </c>
      <c r="CD200" s="1"/>
      <c r="CE200" s="79">
        <f t="shared" si="703"/>
        <v>0</v>
      </c>
      <c r="CF200" s="1"/>
      <c r="CG200" s="79">
        <f t="shared" si="707"/>
        <v>0</v>
      </c>
      <c r="CH200" s="1"/>
      <c r="CI200" s="79">
        <f t="shared" si="704"/>
        <v>0</v>
      </c>
      <c r="CJ200" s="1"/>
      <c r="CK200" s="79">
        <f t="shared" si="678"/>
        <v>0</v>
      </c>
      <c r="CL200" s="1"/>
      <c r="CM200" s="79">
        <f t="shared" si="708"/>
        <v>0</v>
      </c>
      <c r="CN200" s="1"/>
      <c r="CO200" s="79">
        <f t="shared" si="680"/>
        <v>0</v>
      </c>
      <c r="CP200" s="1"/>
      <c r="CQ200" s="79">
        <f t="shared" ref="CQ200:CQ221" si="712">CO200-CP200</f>
        <v>0</v>
      </c>
      <c r="CR200" s="1"/>
      <c r="CS200" s="79">
        <f t="shared" si="630"/>
        <v>0</v>
      </c>
      <c r="CT200" s="79"/>
      <c r="CU200" s="79">
        <f t="shared" si="709"/>
        <v>0</v>
      </c>
      <c r="CV200" s="79"/>
      <c r="CW200" s="79">
        <f t="shared" si="632"/>
        <v>0</v>
      </c>
      <c r="CX200" s="79"/>
      <c r="CY200" s="91"/>
      <c r="CZ200" s="79">
        <f t="shared" si="710"/>
        <v>0</v>
      </c>
      <c r="DA200" s="93"/>
      <c r="DB200" s="93">
        <f t="shared" si="711"/>
        <v>0</v>
      </c>
      <c r="DC200" s="96"/>
      <c r="DD200" s="93">
        <f t="shared" si="635"/>
        <v>0</v>
      </c>
      <c r="DE200" s="96"/>
      <c r="DF200" s="93">
        <f t="shared" si="636"/>
        <v>0</v>
      </c>
      <c r="DG200" s="96"/>
      <c r="DH200" s="93">
        <f t="shared" si="637"/>
        <v>0</v>
      </c>
      <c r="DI200" s="96"/>
      <c r="DJ200" s="93">
        <f t="shared" si="692"/>
        <v>0</v>
      </c>
      <c r="DK200" s="93"/>
      <c r="DL200" s="93">
        <f t="shared" ref="DL200:DL210" si="713">DJ200-DK200</f>
        <v>0</v>
      </c>
      <c r="DM200" s="100">
        <v>0.0</v>
      </c>
      <c r="DN200" s="93">
        <f t="shared" si="688"/>
        <v>0</v>
      </c>
      <c r="DO200" s="100">
        <v>0.0</v>
      </c>
      <c r="DP200" s="93">
        <f t="shared" si="641"/>
        <v>0</v>
      </c>
      <c r="DQ200" s="100">
        <v>0.0</v>
      </c>
      <c r="DR200" s="93">
        <f t="shared" si="693"/>
        <v>0</v>
      </c>
      <c r="DS200" s="100">
        <v>0.0</v>
      </c>
      <c r="DT200" s="93">
        <f t="shared" si="643"/>
        <v>0</v>
      </c>
      <c r="DU200" s="100">
        <v>0.0</v>
      </c>
      <c r="DV200" s="93">
        <f t="shared" si="61"/>
        <v>0</v>
      </c>
    </row>
    <row r="201">
      <c r="A201" s="7" t="s">
        <v>581</v>
      </c>
      <c r="B201" s="7" t="s">
        <v>582</v>
      </c>
      <c r="C201" s="223" t="s">
        <v>213</v>
      </c>
      <c r="D201" s="223" t="s">
        <v>223</v>
      </c>
      <c r="E201" s="76" t="str">
        <f t="shared" si="326"/>
        <v>#REF!</v>
      </c>
      <c r="F201" s="76"/>
      <c r="G201" s="79"/>
      <c r="H201" s="80"/>
      <c r="I201" s="79"/>
      <c r="J201" s="80"/>
      <c r="K201" s="79"/>
      <c r="L201" s="142"/>
      <c r="M201" s="1"/>
      <c r="N201" s="142"/>
      <c r="O201" s="1"/>
      <c r="P201" s="142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79"/>
      <c r="BJ201" s="1"/>
      <c r="BK201" s="1"/>
      <c r="BL201" s="1"/>
      <c r="BM201" s="1"/>
      <c r="BN201" s="1"/>
      <c r="BO201" s="79"/>
      <c r="BP201" s="106"/>
      <c r="BQ201" s="79"/>
      <c r="BR201" s="1"/>
      <c r="BS201" s="79"/>
      <c r="BT201" s="1"/>
      <c r="BU201" s="79"/>
      <c r="BV201" s="1"/>
      <c r="BW201" s="79"/>
      <c r="BX201" s="106"/>
      <c r="BY201" s="79"/>
      <c r="BZ201" s="106"/>
      <c r="CA201" s="80">
        <f>BY201-BZ201+20000</f>
        <v>20000</v>
      </c>
      <c r="CB201" s="106">
        <v>3000.0</v>
      </c>
      <c r="CC201" s="79">
        <f t="shared" si="702"/>
        <v>17000</v>
      </c>
      <c r="CD201" s="1"/>
      <c r="CE201" s="79">
        <f t="shared" si="703"/>
        <v>17000</v>
      </c>
      <c r="CF201" s="106">
        <v>4000.0</v>
      </c>
      <c r="CG201" s="79">
        <f t="shared" si="707"/>
        <v>13000</v>
      </c>
      <c r="CH201" s="106">
        <v>4000.0</v>
      </c>
      <c r="CI201" s="79">
        <f t="shared" si="704"/>
        <v>9000</v>
      </c>
      <c r="CJ201" s="106">
        <v>4000.0</v>
      </c>
      <c r="CK201" s="79">
        <f t="shared" si="678"/>
        <v>5000</v>
      </c>
      <c r="CL201" s="106">
        <v>4000.0</v>
      </c>
      <c r="CM201" s="79">
        <f t="shared" si="708"/>
        <v>1000</v>
      </c>
      <c r="CN201" s="106">
        <v>1000.0</v>
      </c>
      <c r="CO201" s="79">
        <f t="shared" si="680"/>
        <v>0</v>
      </c>
      <c r="CP201" s="106"/>
      <c r="CQ201" s="79">
        <f t="shared" si="712"/>
        <v>0</v>
      </c>
      <c r="CR201" s="106"/>
      <c r="CS201" s="79">
        <f t="shared" si="630"/>
        <v>0</v>
      </c>
      <c r="CT201" s="79"/>
      <c r="CU201" s="79">
        <f t="shared" si="709"/>
        <v>0</v>
      </c>
      <c r="CV201" s="79"/>
      <c r="CW201" s="79">
        <f t="shared" si="632"/>
        <v>0</v>
      </c>
      <c r="CX201" s="79"/>
      <c r="CY201" s="91"/>
      <c r="CZ201" s="79">
        <f t="shared" si="710"/>
        <v>0</v>
      </c>
      <c r="DA201" s="93"/>
      <c r="DB201" s="93">
        <f>CZ201-DA201+20000</f>
        <v>20000</v>
      </c>
      <c r="DC201" s="178">
        <v>4000.0</v>
      </c>
      <c r="DD201" s="93">
        <f t="shared" si="635"/>
        <v>16000</v>
      </c>
      <c r="DE201" s="178">
        <v>4000.0</v>
      </c>
      <c r="DF201" s="93">
        <f t="shared" si="636"/>
        <v>12000</v>
      </c>
      <c r="DG201" s="178">
        <v>4000.0</v>
      </c>
      <c r="DH201" s="93">
        <f t="shared" si="637"/>
        <v>8000</v>
      </c>
      <c r="DI201" s="178">
        <v>4000.0</v>
      </c>
      <c r="DJ201" s="93">
        <f t="shared" si="692"/>
        <v>4000</v>
      </c>
      <c r="DK201" s="100">
        <v>4000.0</v>
      </c>
      <c r="DL201" s="93">
        <f t="shared" si="713"/>
        <v>0</v>
      </c>
      <c r="DM201" s="100">
        <v>0.0</v>
      </c>
      <c r="DN201" s="93">
        <f t="shared" si="688"/>
        <v>0</v>
      </c>
      <c r="DO201" s="100">
        <v>0.0</v>
      </c>
      <c r="DP201" s="93">
        <f t="shared" si="641"/>
        <v>0</v>
      </c>
      <c r="DQ201" s="100">
        <v>0.0</v>
      </c>
      <c r="DR201" s="93">
        <f t="shared" si="693"/>
        <v>0</v>
      </c>
      <c r="DS201" s="100">
        <v>0.0</v>
      </c>
      <c r="DT201" s="93">
        <f t="shared" si="643"/>
        <v>0</v>
      </c>
      <c r="DU201" s="100">
        <v>0.0</v>
      </c>
      <c r="DV201" s="93">
        <f t="shared" si="61"/>
        <v>0</v>
      </c>
    </row>
    <row r="202">
      <c r="A202" s="7" t="s">
        <v>989</v>
      </c>
      <c r="B202" s="7" t="s">
        <v>503</v>
      </c>
      <c r="C202" s="76" t="str">
        <f t="array" ref="C202">_xlfn.XLOOKUP(A202,'Emp Master'!A:A,'Emp Master'!F:F)</f>
        <v>#N/A</v>
      </c>
      <c r="D202" s="76" t="str">
        <f t="array" ref="D202">_xlfn.XLOOKUP(A202,'Emp Master'!A:A,'Emp Master'!D:D)</f>
        <v>#N/A</v>
      </c>
      <c r="E202" s="76" t="str">
        <f t="shared" si="326"/>
        <v>#REF!</v>
      </c>
      <c r="F202" s="76"/>
      <c r="G202" s="79"/>
      <c r="H202" s="80"/>
      <c r="I202" s="79"/>
      <c r="J202" s="80"/>
      <c r="K202" s="79"/>
      <c r="L202" s="142"/>
      <c r="M202" s="1"/>
      <c r="N202" s="142"/>
      <c r="O202" s="1"/>
      <c r="P202" s="142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79">
        <f t="shared" ref="BI202:BI203" si="714">BG202-BH202</f>
        <v>0</v>
      </c>
      <c r="BJ202" s="1"/>
      <c r="BK202" s="1"/>
      <c r="BL202" s="1"/>
      <c r="BM202" s="1"/>
      <c r="BN202" s="1"/>
      <c r="BO202" s="1"/>
      <c r="BP202" s="1"/>
      <c r="BQ202" s="79"/>
      <c r="BR202" s="1"/>
      <c r="BS202" s="79">
        <f t="shared" ref="BS202:BS203" si="715">BQ202-BR202</f>
        <v>0</v>
      </c>
      <c r="BT202" s="1"/>
      <c r="BU202" s="79">
        <f t="shared" ref="BU202:BU203" si="716">BS202-BT202</f>
        <v>0</v>
      </c>
      <c r="BV202" s="1"/>
      <c r="BW202" s="79">
        <f>BU202-BV202</f>
        <v>0</v>
      </c>
      <c r="BX202" s="1"/>
      <c r="BY202" s="79">
        <f>BW202-BX202</f>
        <v>0</v>
      </c>
      <c r="BZ202" s="1"/>
      <c r="CA202" s="79">
        <f t="shared" ref="CA202:CA203" si="717">BY202-BZ202</f>
        <v>0</v>
      </c>
      <c r="CB202" s="1"/>
      <c r="CC202" s="79">
        <f t="shared" si="702"/>
        <v>0</v>
      </c>
      <c r="CD202" s="1"/>
      <c r="CE202" s="79">
        <f t="shared" si="703"/>
        <v>0</v>
      </c>
      <c r="CF202" s="1"/>
      <c r="CG202" s="79">
        <f t="shared" si="707"/>
        <v>0</v>
      </c>
      <c r="CH202" s="1"/>
      <c r="CI202" s="79">
        <f t="shared" si="704"/>
        <v>0</v>
      </c>
      <c r="CJ202" s="1"/>
      <c r="CK202" s="79">
        <f t="shared" si="678"/>
        <v>0</v>
      </c>
      <c r="CL202" s="1"/>
      <c r="CM202" s="79">
        <f t="shared" si="708"/>
        <v>0</v>
      </c>
      <c r="CN202" s="1"/>
      <c r="CO202" s="79">
        <f t="shared" si="680"/>
        <v>0</v>
      </c>
      <c r="CP202" s="1"/>
      <c r="CQ202" s="79">
        <f t="shared" si="712"/>
        <v>0</v>
      </c>
      <c r="CR202" s="1"/>
      <c r="CS202" s="79">
        <f t="shared" si="630"/>
        <v>0</v>
      </c>
      <c r="CT202" s="79"/>
      <c r="CU202" s="79">
        <f t="shared" si="709"/>
        <v>0</v>
      </c>
      <c r="CV202" s="79"/>
      <c r="CW202" s="79">
        <f t="shared" si="632"/>
        <v>0</v>
      </c>
      <c r="CX202" s="79"/>
      <c r="CY202" s="91"/>
      <c r="CZ202" s="79">
        <f t="shared" si="710"/>
        <v>0</v>
      </c>
      <c r="DA202" s="93"/>
      <c r="DB202" s="93">
        <f t="shared" ref="DB202:DB203" si="718">CZ202-DA202</f>
        <v>0</v>
      </c>
      <c r="DC202" s="96"/>
      <c r="DD202" s="93">
        <f t="shared" si="635"/>
        <v>0</v>
      </c>
      <c r="DE202" s="96"/>
      <c r="DF202" s="93">
        <f t="shared" si="636"/>
        <v>0</v>
      </c>
      <c r="DG202" s="96"/>
      <c r="DH202" s="93">
        <f t="shared" si="637"/>
        <v>0</v>
      </c>
      <c r="DI202" s="96"/>
      <c r="DJ202" s="93">
        <f t="shared" si="692"/>
        <v>0</v>
      </c>
      <c r="DK202" s="93"/>
      <c r="DL202" s="93">
        <f t="shared" si="713"/>
        <v>0</v>
      </c>
      <c r="DM202" s="100">
        <v>0.0</v>
      </c>
      <c r="DN202" s="93">
        <f t="shared" si="688"/>
        <v>0</v>
      </c>
      <c r="DO202" s="100">
        <v>0.0</v>
      </c>
      <c r="DP202" s="93">
        <f t="shared" si="641"/>
        <v>0</v>
      </c>
      <c r="DQ202" s="100">
        <v>0.0</v>
      </c>
      <c r="DR202" s="93">
        <f t="shared" si="693"/>
        <v>0</v>
      </c>
      <c r="DS202" s="100">
        <v>0.0</v>
      </c>
      <c r="DT202" s="93">
        <f t="shared" si="643"/>
        <v>0</v>
      </c>
      <c r="DU202" s="100">
        <v>0.0</v>
      </c>
      <c r="DV202" s="93">
        <f t="shared" si="61"/>
        <v>0</v>
      </c>
    </row>
    <row r="203">
      <c r="A203" s="106" t="s">
        <v>585</v>
      </c>
      <c r="B203" s="106" t="s">
        <v>586</v>
      </c>
      <c r="C203" s="76" t="str">
        <f t="array" ref="C203">_xlfn.XLOOKUP(A203,'Emp Master'!A:A,'Emp Master'!F:F)</f>
        <v>SNP</v>
      </c>
      <c r="D203" s="76" t="str">
        <f t="array" ref="D203">_xlfn.XLOOKUP(A203,'Emp Master'!A:A,'Emp Master'!D:D)</f>
        <v>Housekeeping</v>
      </c>
      <c r="E203" s="76" t="str">
        <f t="shared" si="326"/>
        <v>#REF!</v>
      </c>
      <c r="F203" s="76"/>
      <c r="G203" s="79"/>
      <c r="H203" s="80"/>
      <c r="I203" s="79"/>
      <c r="J203" s="80"/>
      <c r="K203" s="79"/>
      <c r="L203" s="142"/>
      <c r="M203" s="1"/>
      <c r="N203" s="142"/>
      <c r="O203" s="1"/>
      <c r="P203" s="142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79">
        <f t="shared" si="714"/>
        <v>0</v>
      </c>
      <c r="BJ203" s="1"/>
      <c r="BK203" s="1"/>
      <c r="BL203" s="1"/>
      <c r="BM203" s="1"/>
      <c r="BN203" s="1"/>
      <c r="BO203" s="79">
        <f>BM203-BN203+500</f>
        <v>500</v>
      </c>
      <c r="BP203" s="106">
        <v>500.0</v>
      </c>
      <c r="BQ203" s="79">
        <f>BO203-BP203</f>
        <v>0</v>
      </c>
      <c r="BR203" s="1"/>
      <c r="BS203" s="79">
        <f t="shared" si="715"/>
        <v>0</v>
      </c>
      <c r="BT203" s="1"/>
      <c r="BU203" s="79">
        <f t="shared" si="716"/>
        <v>0</v>
      </c>
      <c r="BV203" s="1"/>
      <c r="BW203" s="79">
        <f>BU203-BV203+7500</f>
        <v>7500</v>
      </c>
      <c r="BX203" s="106">
        <v>2500.0</v>
      </c>
      <c r="BY203" s="79">
        <f>BW203-BX203+1800</f>
        <v>6800</v>
      </c>
      <c r="BZ203" s="106">
        <v>4300.0</v>
      </c>
      <c r="CA203" s="79">
        <f t="shared" si="717"/>
        <v>2500</v>
      </c>
      <c r="CB203" s="106">
        <v>2500.0</v>
      </c>
      <c r="CC203" s="79">
        <f t="shared" si="702"/>
        <v>0</v>
      </c>
      <c r="CD203" s="1"/>
      <c r="CE203" s="24">
        <v>5000.0</v>
      </c>
      <c r="CF203" s="106">
        <v>2500.0</v>
      </c>
      <c r="CG203" s="79">
        <f t="shared" si="707"/>
        <v>2500</v>
      </c>
      <c r="CH203" s="106">
        <v>2500.0</v>
      </c>
      <c r="CI203" s="79">
        <f t="shared" si="704"/>
        <v>0</v>
      </c>
      <c r="CJ203" s="106">
        <v>0.0</v>
      </c>
      <c r="CK203" s="79">
        <f t="shared" si="678"/>
        <v>0</v>
      </c>
      <c r="CL203" s="106"/>
      <c r="CM203" s="79">
        <f>CK203-CL203+10000</f>
        <v>10000</v>
      </c>
      <c r="CN203" s="106"/>
      <c r="CO203" s="79">
        <f t="shared" si="680"/>
        <v>10000</v>
      </c>
      <c r="CP203" s="106"/>
      <c r="CQ203" s="79">
        <f t="shared" si="712"/>
        <v>10000</v>
      </c>
      <c r="CR203" s="106">
        <v>2500.0</v>
      </c>
      <c r="CS203" s="79">
        <f t="shared" si="630"/>
        <v>7500</v>
      </c>
      <c r="CT203" s="24">
        <v>2500.0</v>
      </c>
      <c r="CU203" s="79">
        <f t="shared" si="709"/>
        <v>5000</v>
      </c>
      <c r="CV203" s="24">
        <v>2500.0</v>
      </c>
      <c r="CW203" s="79">
        <f t="shared" si="632"/>
        <v>2500</v>
      </c>
      <c r="CX203" s="24">
        <v>2500.0</v>
      </c>
      <c r="CY203" s="91"/>
      <c r="CZ203" s="79">
        <f>CW203-CX203+20000</f>
        <v>20000</v>
      </c>
      <c r="DA203" s="100">
        <v>2500.0</v>
      </c>
      <c r="DB203" s="93">
        <f t="shared" si="718"/>
        <v>17500</v>
      </c>
      <c r="DC203" s="207">
        <v>2500.0</v>
      </c>
      <c r="DD203" s="93">
        <f t="shared" si="635"/>
        <v>15000</v>
      </c>
      <c r="DE203" s="207"/>
      <c r="DF203" s="93">
        <f t="shared" si="636"/>
        <v>15000</v>
      </c>
      <c r="DG203" s="178">
        <v>2500.0</v>
      </c>
      <c r="DH203" s="93">
        <f t="shared" si="637"/>
        <v>12500</v>
      </c>
      <c r="DI203" s="178">
        <v>2500.0</v>
      </c>
      <c r="DJ203" s="93">
        <f t="shared" si="692"/>
        <v>10000</v>
      </c>
      <c r="DK203" s="100">
        <v>2500.0</v>
      </c>
      <c r="DL203" s="93">
        <f t="shared" si="713"/>
        <v>7500</v>
      </c>
      <c r="DM203" s="100">
        <v>2500.0</v>
      </c>
      <c r="DN203" s="93">
        <f t="shared" si="688"/>
        <v>5000</v>
      </c>
      <c r="DO203" s="100">
        <v>2500.0</v>
      </c>
      <c r="DP203" s="93">
        <f>DN203-DO203+16000</f>
        <v>18500</v>
      </c>
      <c r="DQ203" s="100">
        <v>3000.0</v>
      </c>
      <c r="DR203" s="93">
        <f t="shared" si="693"/>
        <v>15500</v>
      </c>
      <c r="DS203" s="100">
        <v>3000.0</v>
      </c>
      <c r="DT203" s="93">
        <f t="shared" si="643"/>
        <v>12500</v>
      </c>
      <c r="DU203" s="100">
        <v>2500.0</v>
      </c>
      <c r="DV203" s="93">
        <f t="shared" si="61"/>
        <v>10000</v>
      </c>
    </row>
    <row r="204">
      <c r="A204" s="7" t="s">
        <v>990</v>
      </c>
      <c r="B204" s="222" t="s">
        <v>991</v>
      </c>
      <c r="C204" s="76" t="str">
        <f t="array" ref="C204">_xlfn.XLOOKUP(A204,'Emp Master'!A:A,'Emp Master'!F:F)</f>
        <v>#N/A</v>
      </c>
      <c r="D204" s="76" t="str">
        <f t="array" ref="D204">_xlfn.XLOOKUP(A204,'Emp Master'!A:A,'Emp Master'!D:D)</f>
        <v>#N/A</v>
      </c>
      <c r="E204" s="76" t="str">
        <f t="shared" si="326"/>
        <v>#REF!</v>
      </c>
      <c r="F204" s="76"/>
      <c r="G204" s="79"/>
      <c r="H204" s="80"/>
      <c r="I204" s="79"/>
      <c r="J204" s="80"/>
      <c r="K204" s="79"/>
      <c r="L204" s="142"/>
      <c r="M204" s="1"/>
      <c r="N204" s="142"/>
      <c r="O204" s="1"/>
      <c r="P204" s="142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79"/>
      <c r="BJ204" s="1"/>
      <c r="BK204" s="1"/>
      <c r="BL204" s="1"/>
      <c r="BM204" s="1"/>
      <c r="BN204" s="1"/>
      <c r="BO204" s="1"/>
      <c r="BP204" s="1"/>
      <c r="BQ204" s="79"/>
      <c r="BR204" s="1"/>
      <c r="BS204" s="79"/>
      <c r="BT204" s="1"/>
      <c r="BU204" s="79"/>
      <c r="BV204" s="1"/>
      <c r="BW204" s="79"/>
      <c r="BX204" s="1"/>
      <c r="BY204" s="79"/>
      <c r="BZ204" s="1"/>
      <c r="CA204" s="79"/>
      <c r="CB204" s="1"/>
      <c r="CC204" s="79"/>
      <c r="CD204" s="1"/>
      <c r="CE204" s="79"/>
      <c r="CF204" s="1"/>
      <c r="CG204" s="79"/>
      <c r="CH204" s="1"/>
      <c r="CI204" s="79"/>
      <c r="CJ204" s="1"/>
      <c r="CK204" s="24">
        <v>11000.0</v>
      </c>
      <c r="CL204" s="106">
        <v>3000.0</v>
      </c>
      <c r="CM204" s="79">
        <f t="shared" ref="CM204:CM210" si="719">CK204-CL204</f>
        <v>8000</v>
      </c>
      <c r="CN204" s="106">
        <v>3000.0</v>
      </c>
      <c r="CO204" s="79">
        <f t="shared" si="680"/>
        <v>5000</v>
      </c>
      <c r="CP204" s="106">
        <v>3000.0</v>
      </c>
      <c r="CQ204" s="79">
        <f t="shared" si="712"/>
        <v>2000</v>
      </c>
      <c r="CR204" s="106">
        <v>2000.0</v>
      </c>
      <c r="CS204" s="79">
        <f t="shared" si="630"/>
        <v>0</v>
      </c>
      <c r="CT204" s="79"/>
      <c r="CU204" s="79">
        <f t="shared" si="709"/>
        <v>0</v>
      </c>
      <c r="CV204" s="79"/>
      <c r="CW204" s="79">
        <f t="shared" si="632"/>
        <v>0</v>
      </c>
      <c r="CX204" s="79"/>
      <c r="CY204" s="91"/>
      <c r="CZ204" s="79">
        <f t="shared" ref="CZ204:CZ220" si="720">CW204-CX204</f>
        <v>0</v>
      </c>
      <c r="DA204" s="93"/>
      <c r="DB204" s="93">
        <f>CZ204-DA204+5000</f>
        <v>5000</v>
      </c>
      <c r="DC204" s="178">
        <v>2000.0</v>
      </c>
      <c r="DD204" s="93">
        <f t="shared" si="635"/>
        <v>3000</v>
      </c>
      <c r="DE204" s="178">
        <v>2000.0</v>
      </c>
      <c r="DF204" s="93">
        <f t="shared" si="636"/>
        <v>1000</v>
      </c>
      <c r="DG204" s="178">
        <v>1000.0</v>
      </c>
      <c r="DH204" s="100">
        <v>5000.0</v>
      </c>
      <c r="DI204" s="178">
        <v>5000.0</v>
      </c>
      <c r="DJ204" s="100">
        <v>8000.0</v>
      </c>
      <c r="DK204" s="100">
        <v>8000.0</v>
      </c>
      <c r="DL204" s="93">
        <f t="shared" si="713"/>
        <v>0</v>
      </c>
      <c r="DM204" s="100">
        <v>0.0</v>
      </c>
      <c r="DN204" s="93">
        <f t="shared" si="688"/>
        <v>0</v>
      </c>
      <c r="DO204" s="100">
        <v>0.0</v>
      </c>
      <c r="DP204" s="93">
        <f t="shared" ref="DP204:DP257" si="721">DN204-DO204</f>
        <v>0</v>
      </c>
      <c r="DQ204" s="100">
        <v>0.0</v>
      </c>
      <c r="DR204" s="93">
        <f t="shared" si="693"/>
        <v>0</v>
      </c>
      <c r="DS204" s="100">
        <v>0.0</v>
      </c>
      <c r="DT204" s="93">
        <f t="shared" si="643"/>
        <v>0</v>
      </c>
      <c r="DU204" s="100">
        <v>0.0</v>
      </c>
      <c r="DV204" s="93">
        <f t="shared" si="61"/>
        <v>0</v>
      </c>
    </row>
    <row r="205">
      <c r="A205" s="7" t="s">
        <v>992</v>
      </c>
      <c r="B205" s="7" t="s">
        <v>993</v>
      </c>
      <c r="C205" s="76" t="str">
        <f t="array" ref="C205">_xlfn.XLOOKUP(A205,'Emp Master'!A:A,'Emp Master'!F:F)</f>
        <v>#N/A</v>
      </c>
      <c r="D205" s="76" t="str">
        <f t="array" ref="D205">_xlfn.XLOOKUP(A205,'Emp Master'!A:A,'Emp Master'!D:D)</f>
        <v>#N/A</v>
      </c>
      <c r="E205" s="76" t="str">
        <f t="shared" si="326"/>
        <v>#REF!</v>
      </c>
      <c r="F205" s="76"/>
      <c r="G205" s="79"/>
      <c r="H205" s="80"/>
      <c r="I205" s="79"/>
      <c r="J205" s="80"/>
      <c r="K205" s="79"/>
      <c r="L205" s="142"/>
      <c r="M205" s="1"/>
      <c r="N205" s="142"/>
      <c r="O205" s="1"/>
      <c r="P205" s="142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79">
        <f t="shared" ref="BI205:BI208" si="722">BG205-BH205</f>
        <v>0</v>
      </c>
      <c r="BJ205" s="1"/>
      <c r="BK205" s="1"/>
      <c r="BL205" s="1"/>
      <c r="BM205" s="1"/>
      <c r="BN205" s="1"/>
      <c r="BO205" s="1"/>
      <c r="BP205" s="1"/>
      <c r="BQ205" s="79"/>
      <c r="BR205" s="1"/>
      <c r="BS205" s="79">
        <f t="shared" ref="BS205:BS206" si="723">BQ205-BR205</f>
        <v>0</v>
      </c>
      <c r="BT205" s="1"/>
      <c r="BU205" s="79">
        <f t="shared" ref="BU205:BU208" si="724">BS205-BT205</f>
        <v>0</v>
      </c>
      <c r="BV205" s="1"/>
      <c r="BW205" s="79">
        <f t="shared" ref="BW205:BW208" si="725">BU205-BV205</f>
        <v>0</v>
      </c>
      <c r="BX205" s="1"/>
      <c r="BY205" s="79">
        <f t="shared" ref="BY205:BY208" si="726">BW205-BX205</f>
        <v>0</v>
      </c>
      <c r="BZ205" s="1"/>
      <c r="CA205" s="79">
        <f t="shared" ref="CA205:CA208" si="727">BY205-BZ205</f>
        <v>0</v>
      </c>
      <c r="CB205" s="1"/>
      <c r="CC205" s="79">
        <f t="shared" ref="CC205:CC209" si="728">CA205-CB205</f>
        <v>0</v>
      </c>
      <c r="CD205" s="1"/>
      <c r="CE205" s="79">
        <f t="shared" ref="CE205:CE209" si="729">CC205-CD205</f>
        <v>0</v>
      </c>
      <c r="CF205" s="1"/>
      <c r="CG205" s="79">
        <f t="shared" ref="CG205:CG209" si="730">CE205-CF205</f>
        <v>0</v>
      </c>
      <c r="CH205" s="1"/>
      <c r="CI205" s="79">
        <f t="shared" ref="CI205:CI206" si="731">CG205-CH205</f>
        <v>0</v>
      </c>
      <c r="CJ205" s="1"/>
      <c r="CK205" s="79">
        <f t="shared" ref="CK205:CK210" si="732">CI205-CJ205</f>
        <v>0</v>
      </c>
      <c r="CL205" s="1"/>
      <c r="CM205" s="79">
        <f t="shared" si="719"/>
        <v>0</v>
      </c>
      <c r="CN205" s="1"/>
      <c r="CO205" s="79">
        <f t="shared" si="680"/>
        <v>0</v>
      </c>
      <c r="CP205" s="1"/>
      <c r="CQ205" s="79">
        <f t="shared" si="712"/>
        <v>0</v>
      </c>
      <c r="CR205" s="1"/>
      <c r="CS205" s="79">
        <f t="shared" si="630"/>
        <v>0</v>
      </c>
      <c r="CT205" s="79"/>
      <c r="CU205" s="79">
        <f t="shared" si="709"/>
        <v>0</v>
      </c>
      <c r="CV205" s="79"/>
      <c r="CW205" s="79">
        <f t="shared" si="632"/>
        <v>0</v>
      </c>
      <c r="CX205" s="79"/>
      <c r="CY205" s="91"/>
      <c r="CZ205" s="79">
        <f t="shared" si="720"/>
        <v>0</v>
      </c>
      <c r="DA205" s="93"/>
      <c r="DB205" s="93">
        <f t="shared" ref="DB205:DB219" si="733">CZ205-DA205</f>
        <v>0</v>
      </c>
      <c r="DC205" s="96"/>
      <c r="DD205" s="93">
        <f t="shared" si="635"/>
        <v>0</v>
      </c>
      <c r="DE205" s="96"/>
      <c r="DF205" s="93">
        <f t="shared" si="636"/>
        <v>0</v>
      </c>
      <c r="DG205" s="96"/>
      <c r="DH205" s="93">
        <f t="shared" ref="DH205:DH241" si="734">DF205-DG205</f>
        <v>0</v>
      </c>
      <c r="DI205" s="96"/>
      <c r="DJ205" s="93">
        <f t="shared" ref="DJ205:DJ214" si="735">DH205-DI205</f>
        <v>0</v>
      </c>
      <c r="DK205" s="93"/>
      <c r="DL205" s="93">
        <f t="shared" si="713"/>
        <v>0</v>
      </c>
      <c r="DM205" s="100">
        <v>0.0</v>
      </c>
      <c r="DN205" s="93">
        <f t="shared" si="688"/>
        <v>0</v>
      </c>
      <c r="DO205" s="100">
        <v>0.0</v>
      </c>
      <c r="DP205" s="93">
        <f t="shared" si="721"/>
        <v>0</v>
      </c>
      <c r="DQ205" s="100">
        <v>0.0</v>
      </c>
      <c r="DR205" s="93">
        <f t="shared" si="693"/>
        <v>0</v>
      </c>
      <c r="DS205" s="100">
        <v>0.0</v>
      </c>
      <c r="DT205" s="93">
        <f t="shared" si="643"/>
        <v>0</v>
      </c>
      <c r="DU205" s="100">
        <v>0.0</v>
      </c>
      <c r="DV205" s="93">
        <f t="shared" si="61"/>
        <v>0</v>
      </c>
    </row>
    <row r="206">
      <c r="A206" s="7" t="s">
        <v>994</v>
      </c>
      <c r="B206" s="7" t="s">
        <v>995</v>
      </c>
      <c r="C206" s="76" t="str">
        <f t="array" ref="C206">_xlfn.XLOOKUP(A206,'Emp Master'!A:A,'Emp Master'!F:F)</f>
        <v>#N/A</v>
      </c>
      <c r="D206" s="76" t="str">
        <f t="array" ref="D206">_xlfn.XLOOKUP(A206,'Emp Master'!A:A,'Emp Master'!D:D)</f>
        <v>#N/A</v>
      </c>
      <c r="E206" s="76" t="str">
        <f t="shared" si="326"/>
        <v>#REF!</v>
      </c>
      <c r="F206" s="76"/>
      <c r="G206" s="79"/>
      <c r="H206" s="80"/>
      <c r="I206" s="79"/>
      <c r="J206" s="80"/>
      <c r="K206" s="79"/>
      <c r="L206" s="142"/>
      <c r="M206" s="1"/>
      <c r="N206" s="142"/>
      <c r="O206" s="1"/>
      <c r="P206" s="142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79">
        <f t="shared" si="722"/>
        <v>0</v>
      </c>
      <c r="BJ206" s="1"/>
      <c r="BK206" s="1"/>
      <c r="BL206" s="1"/>
      <c r="BM206" s="1"/>
      <c r="BN206" s="1"/>
      <c r="BO206" s="1"/>
      <c r="BP206" s="1"/>
      <c r="BQ206" s="79"/>
      <c r="BR206" s="1"/>
      <c r="BS206" s="79">
        <f t="shared" si="723"/>
        <v>0</v>
      </c>
      <c r="BT206" s="1"/>
      <c r="BU206" s="79">
        <f t="shared" si="724"/>
        <v>0</v>
      </c>
      <c r="BV206" s="1"/>
      <c r="BW206" s="79">
        <f t="shared" si="725"/>
        <v>0</v>
      </c>
      <c r="BX206" s="1"/>
      <c r="BY206" s="79">
        <f t="shared" si="726"/>
        <v>0</v>
      </c>
      <c r="BZ206" s="1"/>
      <c r="CA206" s="79">
        <f t="shared" si="727"/>
        <v>0</v>
      </c>
      <c r="CB206" s="1"/>
      <c r="CC206" s="79">
        <f t="shared" si="728"/>
        <v>0</v>
      </c>
      <c r="CD206" s="1"/>
      <c r="CE206" s="79">
        <f t="shared" si="729"/>
        <v>0</v>
      </c>
      <c r="CF206" s="1"/>
      <c r="CG206" s="79">
        <f t="shared" si="730"/>
        <v>0</v>
      </c>
      <c r="CH206" s="1"/>
      <c r="CI206" s="79">
        <f t="shared" si="731"/>
        <v>0</v>
      </c>
      <c r="CJ206" s="1"/>
      <c r="CK206" s="79">
        <f t="shared" si="732"/>
        <v>0</v>
      </c>
      <c r="CL206" s="1"/>
      <c r="CM206" s="79">
        <f t="shared" si="719"/>
        <v>0</v>
      </c>
      <c r="CN206" s="1"/>
      <c r="CO206" s="79">
        <f t="shared" si="680"/>
        <v>0</v>
      </c>
      <c r="CP206" s="1"/>
      <c r="CQ206" s="79">
        <f t="shared" si="712"/>
        <v>0</v>
      </c>
      <c r="CR206" s="1"/>
      <c r="CS206" s="79">
        <f t="shared" si="630"/>
        <v>0</v>
      </c>
      <c r="CT206" s="79"/>
      <c r="CU206" s="79">
        <f t="shared" si="709"/>
        <v>0</v>
      </c>
      <c r="CV206" s="79"/>
      <c r="CW206" s="79">
        <f t="shared" si="632"/>
        <v>0</v>
      </c>
      <c r="CX206" s="79"/>
      <c r="CY206" s="91"/>
      <c r="CZ206" s="79">
        <f t="shared" si="720"/>
        <v>0</v>
      </c>
      <c r="DA206" s="93"/>
      <c r="DB206" s="93">
        <f t="shared" si="733"/>
        <v>0</v>
      </c>
      <c r="DC206" s="96"/>
      <c r="DD206" s="93">
        <f t="shared" si="635"/>
        <v>0</v>
      </c>
      <c r="DE206" s="96"/>
      <c r="DF206" s="93">
        <f t="shared" si="636"/>
        <v>0</v>
      </c>
      <c r="DG206" s="96"/>
      <c r="DH206" s="93">
        <f t="shared" si="734"/>
        <v>0</v>
      </c>
      <c r="DI206" s="96"/>
      <c r="DJ206" s="93">
        <f t="shared" si="735"/>
        <v>0</v>
      </c>
      <c r="DK206" s="93"/>
      <c r="DL206" s="93">
        <f t="shared" si="713"/>
        <v>0</v>
      </c>
      <c r="DM206" s="100">
        <v>0.0</v>
      </c>
      <c r="DN206" s="93">
        <f t="shared" si="688"/>
        <v>0</v>
      </c>
      <c r="DO206" s="100">
        <v>0.0</v>
      </c>
      <c r="DP206" s="93">
        <f t="shared" si="721"/>
        <v>0</v>
      </c>
      <c r="DQ206" s="100">
        <v>0.0</v>
      </c>
      <c r="DR206" s="93">
        <f t="shared" si="693"/>
        <v>0</v>
      </c>
      <c r="DS206" s="100">
        <v>0.0</v>
      </c>
      <c r="DT206" s="93">
        <f t="shared" si="643"/>
        <v>0</v>
      </c>
      <c r="DU206" s="100">
        <v>0.0</v>
      </c>
      <c r="DV206" s="93">
        <f t="shared" si="61"/>
        <v>0</v>
      </c>
    </row>
    <row r="207">
      <c r="A207" s="25" t="s">
        <v>588</v>
      </c>
      <c r="B207" s="25" t="s">
        <v>589</v>
      </c>
      <c r="C207" s="76" t="str">
        <f t="array" ref="C207">_xlfn.XLOOKUP(A207,'Emp Master'!A:A,'Emp Master'!F:F)</f>
        <v>SNP</v>
      </c>
      <c r="D207" s="76" t="str">
        <f t="array" ref="D207">_xlfn.XLOOKUP(A207,'Emp Master'!A:A,'Emp Master'!D:D)</f>
        <v>Machining</v>
      </c>
      <c r="E207" s="76" t="str">
        <f t="shared" si="326"/>
        <v>#REF!</v>
      </c>
      <c r="F207" s="76"/>
      <c r="G207" s="79"/>
      <c r="H207" s="80"/>
      <c r="I207" s="79"/>
      <c r="J207" s="80"/>
      <c r="K207" s="79"/>
      <c r="L207" s="142"/>
      <c r="M207" s="1"/>
      <c r="N207" s="142"/>
      <c r="O207" s="1"/>
      <c r="P207" s="142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79">
        <f t="shared" si="722"/>
        <v>0</v>
      </c>
      <c r="BJ207" s="1"/>
      <c r="BK207" s="1"/>
      <c r="BL207" s="1"/>
      <c r="BM207" s="1"/>
      <c r="BN207" s="1"/>
      <c r="BO207" s="1"/>
      <c r="BP207" s="1"/>
      <c r="BQ207" s="79"/>
      <c r="BR207" s="1"/>
      <c r="BS207" s="79">
        <f>BQ207-BR207+7500</f>
        <v>7500</v>
      </c>
      <c r="BT207" s="1"/>
      <c r="BU207" s="79">
        <f t="shared" si="724"/>
        <v>7500</v>
      </c>
      <c r="BV207" s="106">
        <v>2000.0</v>
      </c>
      <c r="BW207" s="79">
        <f t="shared" si="725"/>
        <v>5500</v>
      </c>
      <c r="BX207" s="106">
        <v>2000.0</v>
      </c>
      <c r="BY207" s="79">
        <f t="shared" si="726"/>
        <v>3500</v>
      </c>
      <c r="BZ207" s="106">
        <v>2000.0</v>
      </c>
      <c r="CA207" s="79">
        <f t="shared" si="727"/>
        <v>1500</v>
      </c>
      <c r="CB207" s="106">
        <v>1500.0</v>
      </c>
      <c r="CC207" s="79">
        <f t="shared" si="728"/>
        <v>0</v>
      </c>
      <c r="CD207" s="1"/>
      <c r="CE207" s="79">
        <f t="shared" si="729"/>
        <v>0</v>
      </c>
      <c r="CF207" s="1"/>
      <c r="CG207" s="79">
        <f t="shared" si="730"/>
        <v>0</v>
      </c>
      <c r="CH207" s="1"/>
      <c r="CI207" s="79">
        <f>(CG207-CH207)+10000</f>
        <v>10000</v>
      </c>
      <c r="CJ207" s="106">
        <v>2500.0</v>
      </c>
      <c r="CK207" s="79">
        <f t="shared" si="732"/>
        <v>7500</v>
      </c>
      <c r="CL207" s="106">
        <v>2500.0</v>
      </c>
      <c r="CM207" s="79">
        <f t="shared" si="719"/>
        <v>5000</v>
      </c>
      <c r="CN207" s="106">
        <v>2500.0</v>
      </c>
      <c r="CO207" s="79">
        <f t="shared" si="680"/>
        <v>2500</v>
      </c>
      <c r="CP207" s="106">
        <v>2500.0</v>
      </c>
      <c r="CQ207" s="79">
        <f t="shared" si="712"/>
        <v>0</v>
      </c>
      <c r="CR207" s="106"/>
      <c r="CS207" s="79">
        <f t="shared" si="630"/>
        <v>0</v>
      </c>
      <c r="CT207" s="79"/>
      <c r="CU207" s="79">
        <f t="shared" si="709"/>
        <v>0</v>
      </c>
      <c r="CV207" s="79"/>
      <c r="CW207" s="79">
        <f t="shared" si="632"/>
        <v>0</v>
      </c>
      <c r="CX207" s="79"/>
      <c r="CY207" s="91"/>
      <c r="CZ207" s="79">
        <f t="shared" si="720"/>
        <v>0</v>
      </c>
      <c r="DA207" s="93"/>
      <c r="DB207" s="93">
        <f t="shared" si="733"/>
        <v>0</v>
      </c>
      <c r="DC207" s="96"/>
      <c r="DD207" s="93">
        <f t="shared" si="635"/>
        <v>0</v>
      </c>
      <c r="DE207" s="96"/>
      <c r="DF207" s="93">
        <f t="shared" si="636"/>
        <v>0</v>
      </c>
      <c r="DG207" s="96"/>
      <c r="DH207" s="93">
        <f t="shared" si="734"/>
        <v>0</v>
      </c>
      <c r="DI207" s="96"/>
      <c r="DJ207" s="93">
        <f t="shared" si="735"/>
        <v>0</v>
      </c>
      <c r="DK207" s="93"/>
      <c r="DL207" s="93">
        <f t="shared" si="713"/>
        <v>0</v>
      </c>
      <c r="DM207" s="100">
        <v>0.0</v>
      </c>
      <c r="DN207" s="93">
        <f t="shared" si="688"/>
        <v>0</v>
      </c>
      <c r="DO207" s="100">
        <v>0.0</v>
      </c>
      <c r="DP207" s="93">
        <f t="shared" si="721"/>
        <v>0</v>
      </c>
      <c r="DQ207" s="100">
        <v>0.0</v>
      </c>
      <c r="DR207" s="93">
        <f t="shared" si="693"/>
        <v>0</v>
      </c>
      <c r="DS207" s="100">
        <v>0.0</v>
      </c>
      <c r="DT207" s="93">
        <f t="shared" si="643"/>
        <v>0</v>
      </c>
      <c r="DU207" s="100">
        <v>0.0</v>
      </c>
      <c r="DV207" s="93">
        <f t="shared" si="61"/>
        <v>0</v>
      </c>
    </row>
    <row r="208">
      <c r="A208" s="7" t="s">
        <v>590</v>
      </c>
      <c r="B208" s="7" t="s">
        <v>591</v>
      </c>
      <c r="C208" s="76" t="str">
        <f t="array" ref="C208">_xlfn.XLOOKUP(A208,'Emp Master'!A:A,'Emp Master'!F:F)</f>
        <v>SNP</v>
      </c>
      <c r="D208" s="76" t="str">
        <f t="array" ref="D208">_xlfn.XLOOKUP(A208,'Emp Master'!A:A,'Emp Master'!D:D)</f>
        <v>Machining</v>
      </c>
      <c r="E208" s="76" t="str">
        <f t="shared" si="326"/>
        <v>#REF!</v>
      </c>
      <c r="F208" s="76"/>
      <c r="G208" s="79"/>
      <c r="H208" s="80"/>
      <c r="I208" s="79"/>
      <c r="J208" s="80"/>
      <c r="K208" s="79"/>
      <c r="L208" s="142"/>
      <c r="M208" s="1"/>
      <c r="N208" s="142"/>
      <c r="O208" s="1"/>
      <c r="P208" s="142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79">
        <f t="shared" si="722"/>
        <v>0</v>
      </c>
      <c r="BJ208" s="1"/>
      <c r="BK208" s="1"/>
      <c r="BL208" s="1"/>
      <c r="BM208" s="1"/>
      <c r="BN208" s="1"/>
      <c r="BO208" s="1"/>
      <c r="BP208" s="1"/>
      <c r="BQ208" s="79"/>
      <c r="BR208" s="1"/>
      <c r="BS208" s="79">
        <f>BQ208-BR208</f>
        <v>0</v>
      </c>
      <c r="BT208" s="1"/>
      <c r="BU208" s="79">
        <f t="shared" si="724"/>
        <v>0</v>
      </c>
      <c r="BV208" s="1"/>
      <c r="BW208" s="79">
        <f t="shared" si="725"/>
        <v>0</v>
      </c>
      <c r="BX208" s="1"/>
      <c r="BY208" s="79">
        <f t="shared" si="726"/>
        <v>0</v>
      </c>
      <c r="BZ208" s="1"/>
      <c r="CA208" s="79">
        <f t="shared" si="727"/>
        <v>0</v>
      </c>
      <c r="CB208" s="1"/>
      <c r="CC208" s="79">
        <f t="shared" si="728"/>
        <v>0</v>
      </c>
      <c r="CD208" s="1"/>
      <c r="CE208" s="79">
        <f t="shared" si="729"/>
        <v>0</v>
      </c>
      <c r="CF208" s="1"/>
      <c r="CG208" s="79">
        <f t="shared" si="730"/>
        <v>0</v>
      </c>
      <c r="CH208" s="1"/>
      <c r="CI208" s="79">
        <f t="shared" ref="CI208:CI210" si="736">CG208-CH208</f>
        <v>0</v>
      </c>
      <c r="CJ208" s="1"/>
      <c r="CK208" s="79">
        <f t="shared" si="732"/>
        <v>0</v>
      </c>
      <c r="CL208" s="1"/>
      <c r="CM208" s="79">
        <f t="shared" si="719"/>
        <v>0</v>
      </c>
      <c r="CN208" s="1"/>
      <c r="CO208" s="79">
        <f t="shared" si="680"/>
        <v>0</v>
      </c>
      <c r="CP208" s="1"/>
      <c r="CQ208" s="79">
        <f t="shared" si="712"/>
        <v>0</v>
      </c>
      <c r="CR208" s="1"/>
      <c r="CS208" s="79">
        <f t="shared" si="630"/>
        <v>0</v>
      </c>
      <c r="CT208" s="79"/>
      <c r="CU208" s="79">
        <f t="shared" si="709"/>
        <v>0</v>
      </c>
      <c r="CV208" s="79"/>
      <c r="CW208" s="79">
        <f t="shared" si="632"/>
        <v>0</v>
      </c>
      <c r="CX208" s="79"/>
      <c r="CY208" s="91"/>
      <c r="CZ208" s="79">
        <f t="shared" si="720"/>
        <v>0</v>
      </c>
      <c r="DA208" s="93"/>
      <c r="DB208" s="93">
        <f t="shared" si="733"/>
        <v>0</v>
      </c>
      <c r="DC208" s="96"/>
      <c r="DD208" s="93">
        <f t="shared" si="635"/>
        <v>0</v>
      </c>
      <c r="DE208" s="96"/>
      <c r="DF208" s="93">
        <f t="shared" si="636"/>
        <v>0</v>
      </c>
      <c r="DG208" s="96"/>
      <c r="DH208" s="93">
        <f t="shared" si="734"/>
        <v>0</v>
      </c>
      <c r="DI208" s="96"/>
      <c r="DJ208" s="93">
        <f t="shared" si="735"/>
        <v>0</v>
      </c>
      <c r="DK208" s="93"/>
      <c r="DL208" s="93">
        <f t="shared" si="713"/>
        <v>0</v>
      </c>
      <c r="DM208" s="100">
        <v>0.0</v>
      </c>
      <c r="DN208" s="93">
        <f t="shared" si="688"/>
        <v>0</v>
      </c>
      <c r="DO208" s="100">
        <v>0.0</v>
      </c>
      <c r="DP208" s="93">
        <f t="shared" si="721"/>
        <v>0</v>
      </c>
      <c r="DQ208" s="100">
        <v>0.0</v>
      </c>
      <c r="DR208" s="93">
        <f t="shared" si="693"/>
        <v>0</v>
      </c>
      <c r="DS208" s="100">
        <v>0.0</v>
      </c>
      <c r="DT208" s="93">
        <f t="shared" si="643"/>
        <v>0</v>
      </c>
      <c r="DU208" s="100">
        <v>0.0</v>
      </c>
      <c r="DV208" s="93">
        <f t="shared" si="61"/>
        <v>0</v>
      </c>
    </row>
    <row r="209">
      <c r="A209" s="7" t="s">
        <v>996</v>
      </c>
      <c r="B209" s="7" t="s">
        <v>997</v>
      </c>
      <c r="C209" s="76" t="str">
        <f t="array" ref="C209">_xlfn.XLOOKUP(A209,'Emp Master'!A:A,'Emp Master'!F:F)</f>
        <v>#N/A</v>
      </c>
      <c r="D209" s="76" t="str">
        <f t="array" ref="D209">_xlfn.XLOOKUP(A209,'Emp Master'!A:A,'Emp Master'!D:D)</f>
        <v>#N/A</v>
      </c>
      <c r="E209" s="76" t="str">
        <f t="shared" si="326"/>
        <v>#REF!</v>
      </c>
      <c r="F209" s="76"/>
      <c r="G209" s="79"/>
      <c r="H209" s="80"/>
      <c r="I209" s="79"/>
      <c r="J209" s="80"/>
      <c r="K209" s="79"/>
      <c r="L209" s="142"/>
      <c r="M209" s="1"/>
      <c r="N209" s="142"/>
      <c r="O209" s="1"/>
      <c r="P209" s="142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79"/>
      <c r="BJ209" s="1"/>
      <c r="BK209" s="1"/>
      <c r="BL209" s="1"/>
      <c r="BM209" s="1"/>
      <c r="BN209" s="1"/>
      <c r="BO209" s="1"/>
      <c r="BP209" s="1"/>
      <c r="BQ209" s="24"/>
      <c r="BR209" s="106"/>
      <c r="BS209" s="79">
        <f>BQ209-BR209+2000</f>
        <v>2000</v>
      </c>
      <c r="BT209" s="1"/>
      <c r="BU209" s="79">
        <f>BS209-BT209+2000</f>
        <v>4000</v>
      </c>
      <c r="BV209" s="1"/>
      <c r="BW209" s="79">
        <f>BU209-BV209+2000</f>
        <v>6000</v>
      </c>
      <c r="BX209" s="1"/>
      <c r="BY209" s="79">
        <f>BW209-BX209+2000</f>
        <v>8000</v>
      </c>
      <c r="BZ209" s="1"/>
      <c r="CA209" s="80">
        <f>BY209-BZ209+2000-10000</f>
        <v>0</v>
      </c>
      <c r="CB209" s="1"/>
      <c r="CC209" s="79">
        <f t="shared" si="728"/>
        <v>0</v>
      </c>
      <c r="CD209" s="1"/>
      <c r="CE209" s="79">
        <f t="shared" si="729"/>
        <v>0</v>
      </c>
      <c r="CF209" s="1"/>
      <c r="CG209" s="79">
        <f t="shared" si="730"/>
        <v>0</v>
      </c>
      <c r="CH209" s="1"/>
      <c r="CI209" s="79">
        <f t="shared" si="736"/>
        <v>0</v>
      </c>
      <c r="CJ209" s="1"/>
      <c r="CK209" s="79">
        <f t="shared" si="732"/>
        <v>0</v>
      </c>
      <c r="CL209" s="1"/>
      <c r="CM209" s="79">
        <f t="shared" si="719"/>
        <v>0</v>
      </c>
      <c r="CN209" s="1"/>
      <c r="CO209" s="79">
        <f t="shared" si="680"/>
        <v>0</v>
      </c>
      <c r="CP209" s="1"/>
      <c r="CQ209" s="79">
        <f t="shared" si="712"/>
        <v>0</v>
      </c>
      <c r="CR209" s="1"/>
      <c r="CS209" s="79">
        <f t="shared" si="630"/>
        <v>0</v>
      </c>
      <c r="CT209" s="79"/>
      <c r="CU209" s="79">
        <f t="shared" si="709"/>
        <v>0</v>
      </c>
      <c r="CV209" s="79"/>
      <c r="CW209" s="79">
        <f t="shared" si="632"/>
        <v>0</v>
      </c>
      <c r="CX209" s="79"/>
      <c r="CY209" s="91"/>
      <c r="CZ209" s="79">
        <f t="shared" si="720"/>
        <v>0</v>
      </c>
      <c r="DA209" s="93"/>
      <c r="DB209" s="93">
        <f t="shared" si="733"/>
        <v>0</v>
      </c>
      <c r="DC209" s="96"/>
      <c r="DD209" s="93">
        <f t="shared" si="635"/>
        <v>0</v>
      </c>
      <c r="DE209" s="96"/>
      <c r="DF209" s="93">
        <f t="shared" si="636"/>
        <v>0</v>
      </c>
      <c r="DG209" s="96"/>
      <c r="DH209" s="93">
        <f t="shared" si="734"/>
        <v>0</v>
      </c>
      <c r="DI209" s="96"/>
      <c r="DJ209" s="93">
        <f t="shared" si="735"/>
        <v>0</v>
      </c>
      <c r="DK209" s="93"/>
      <c r="DL209" s="93">
        <f t="shared" si="713"/>
        <v>0</v>
      </c>
      <c r="DM209" s="100">
        <v>0.0</v>
      </c>
      <c r="DN209" s="93">
        <f t="shared" si="688"/>
        <v>0</v>
      </c>
      <c r="DO209" s="100">
        <v>0.0</v>
      </c>
      <c r="DP209" s="93">
        <f t="shared" si="721"/>
        <v>0</v>
      </c>
      <c r="DQ209" s="100">
        <v>0.0</v>
      </c>
      <c r="DR209" s="93">
        <f t="shared" si="693"/>
        <v>0</v>
      </c>
      <c r="DS209" s="100">
        <v>0.0</v>
      </c>
      <c r="DT209" s="93">
        <f t="shared" si="643"/>
        <v>0</v>
      </c>
      <c r="DU209" s="100">
        <v>0.0</v>
      </c>
      <c r="DV209" s="93">
        <f t="shared" si="61"/>
        <v>0</v>
      </c>
    </row>
    <row r="210">
      <c r="A210" s="7" t="s">
        <v>998</v>
      </c>
      <c r="B210" s="7" t="s">
        <v>999</v>
      </c>
      <c r="C210" s="76" t="str">
        <f t="array" ref="C210">_xlfn.XLOOKUP(A210,'Emp Master'!A:A,'Emp Master'!F:F)</f>
        <v>#N/A</v>
      </c>
      <c r="D210" s="76" t="str">
        <f t="array" ref="D210">_xlfn.XLOOKUP(A210,'Emp Master'!A:A,'Emp Master'!D:D)</f>
        <v>#N/A</v>
      </c>
      <c r="E210" s="76" t="str">
        <f t="shared" si="326"/>
        <v>#REF!</v>
      </c>
      <c r="F210" s="76"/>
      <c r="G210" s="79"/>
      <c r="H210" s="80"/>
      <c r="I210" s="79"/>
      <c r="J210" s="80"/>
      <c r="K210" s="79"/>
      <c r="L210" s="142"/>
      <c r="M210" s="1"/>
      <c r="N210" s="142"/>
      <c r="O210" s="1"/>
      <c r="P210" s="142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79">
        <f>BG210-BH210</f>
        <v>0</v>
      </c>
      <c r="BJ210" s="1"/>
      <c r="BK210" s="1"/>
      <c r="BL210" s="1"/>
      <c r="BM210" s="1"/>
      <c r="BN210" s="1"/>
      <c r="BO210" s="1"/>
      <c r="BP210" s="1"/>
      <c r="BQ210" s="79"/>
      <c r="BR210" s="1"/>
      <c r="BS210" s="79">
        <f>BQ210-BR210+10000</f>
        <v>10000</v>
      </c>
      <c r="BT210" s="106">
        <v>10000.0</v>
      </c>
      <c r="BU210" s="79">
        <f>BS210-BT210</f>
        <v>0</v>
      </c>
      <c r="BV210" s="1"/>
      <c r="BW210" s="79">
        <f>BU210-BV210+8000</f>
        <v>8000</v>
      </c>
      <c r="BX210" s="106">
        <v>8000.0</v>
      </c>
      <c r="BY210" s="79">
        <f>BW210-BX210</f>
        <v>0</v>
      </c>
      <c r="BZ210" s="1"/>
      <c r="CA210" s="79">
        <f>BY210-BZ210</f>
        <v>0</v>
      </c>
      <c r="CB210" s="1"/>
      <c r="CC210" s="24">
        <v>15000.0</v>
      </c>
      <c r="CD210" s="106">
        <v>3750.0</v>
      </c>
      <c r="CE210" s="79">
        <f>(CC210-CD210)</f>
        <v>11250</v>
      </c>
      <c r="CF210" s="106">
        <v>3750.0</v>
      </c>
      <c r="CG210" s="79">
        <f>15000+CE210-CF210</f>
        <v>22500</v>
      </c>
      <c r="CH210" s="106">
        <v>3750.0</v>
      </c>
      <c r="CI210" s="79">
        <f t="shared" si="736"/>
        <v>18750</v>
      </c>
      <c r="CJ210" s="106">
        <v>0.0</v>
      </c>
      <c r="CK210" s="79">
        <f t="shared" si="732"/>
        <v>18750</v>
      </c>
      <c r="CL210" s="106"/>
      <c r="CM210" s="79">
        <f t="shared" si="719"/>
        <v>18750</v>
      </c>
      <c r="CN210" s="106"/>
      <c r="CO210" s="79">
        <f t="shared" si="680"/>
        <v>18750</v>
      </c>
      <c r="CP210" s="106">
        <v>0.0</v>
      </c>
      <c r="CQ210" s="79">
        <f t="shared" si="712"/>
        <v>18750</v>
      </c>
      <c r="CR210" s="106"/>
      <c r="CS210" s="79">
        <f t="shared" si="630"/>
        <v>18750</v>
      </c>
      <c r="CT210" s="79"/>
      <c r="CU210" s="79">
        <f t="shared" si="709"/>
        <v>18750</v>
      </c>
      <c r="CV210" s="79"/>
      <c r="CW210" s="79">
        <f t="shared" si="632"/>
        <v>18750</v>
      </c>
      <c r="CX210" s="79"/>
      <c r="CY210" s="91"/>
      <c r="CZ210" s="79">
        <f t="shared" si="720"/>
        <v>18750</v>
      </c>
      <c r="DA210" s="93"/>
      <c r="DB210" s="93">
        <f t="shared" si="733"/>
        <v>18750</v>
      </c>
      <c r="DC210" s="96"/>
      <c r="DD210" s="93">
        <f t="shared" si="635"/>
        <v>18750</v>
      </c>
      <c r="DE210" s="96"/>
      <c r="DF210" s="93">
        <f t="shared" si="636"/>
        <v>18750</v>
      </c>
      <c r="DG210" s="96"/>
      <c r="DH210" s="93">
        <f t="shared" si="734"/>
        <v>18750</v>
      </c>
      <c r="DI210" s="96"/>
      <c r="DJ210" s="93">
        <f t="shared" si="735"/>
        <v>18750</v>
      </c>
      <c r="DK210" s="93"/>
      <c r="DL210" s="93">
        <f t="shared" si="713"/>
        <v>18750</v>
      </c>
      <c r="DM210" s="100">
        <v>0.0</v>
      </c>
      <c r="DN210" s="93">
        <f t="shared" si="688"/>
        <v>18750</v>
      </c>
      <c r="DO210" s="100">
        <v>0.0</v>
      </c>
      <c r="DP210" s="93">
        <f t="shared" si="721"/>
        <v>18750</v>
      </c>
      <c r="DQ210" s="100">
        <v>0.0</v>
      </c>
      <c r="DR210" s="93">
        <f t="shared" si="693"/>
        <v>18750</v>
      </c>
      <c r="DS210" s="100">
        <v>0.0</v>
      </c>
      <c r="DT210" s="93">
        <f t="shared" si="643"/>
        <v>18750</v>
      </c>
      <c r="DU210" s="100">
        <v>0.0</v>
      </c>
      <c r="DV210" s="93">
        <f t="shared" si="61"/>
        <v>18750</v>
      </c>
    </row>
    <row r="211">
      <c r="A211" s="307" t="s">
        <v>593</v>
      </c>
      <c r="B211" s="307" t="s">
        <v>821</v>
      </c>
      <c r="C211" s="76" t="s">
        <v>213</v>
      </c>
      <c r="D211" s="76" t="str">
        <f t="array" ref="D211">_xlfn.XLOOKUP(A211,'Emp Master'!A:A,'Emp Master'!D:D)</f>
        <v>Cutting</v>
      </c>
      <c r="E211" s="76" t="str">
        <f t="shared" si="326"/>
        <v>#REF!</v>
      </c>
      <c r="F211" s="76"/>
      <c r="G211" s="79"/>
      <c r="H211" s="80"/>
      <c r="I211" s="79"/>
      <c r="J211" s="80"/>
      <c r="K211" s="79"/>
      <c r="L211" s="142"/>
      <c r="M211" s="1"/>
      <c r="N211" s="142"/>
      <c r="O211" s="1"/>
      <c r="P211" s="142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79"/>
      <c r="BJ211" s="1"/>
      <c r="BK211" s="1"/>
      <c r="BL211" s="1"/>
      <c r="BM211" s="1"/>
      <c r="BN211" s="1"/>
      <c r="BO211" s="1"/>
      <c r="BP211" s="1"/>
      <c r="BQ211" s="79"/>
      <c r="BR211" s="1"/>
      <c r="BS211" s="79"/>
      <c r="BT211" s="1"/>
      <c r="BU211" s="79"/>
      <c r="BV211" s="1"/>
      <c r="BW211" s="79"/>
      <c r="BX211" s="1"/>
      <c r="BY211" s="79"/>
      <c r="BZ211" s="1"/>
      <c r="CA211" s="79"/>
      <c r="CB211" s="1"/>
      <c r="CC211" s="79"/>
      <c r="CD211" s="1"/>
      <c r="CE211" s="79"/>
      <c r="CF211" s="1"/>
      <c r="CG211" s="79"/>
      <c r="CH211" s="1"/>
      <c r="CI211" s="79"/>
      <c r="CJ211" s="1"/>
      <c r="CK211" s="79"/>
      <c r="CL211" s="1"/>
      <c r="CM211" s="79">
        <f>10000+CK211-CL211</f>
        <v>10000</v>
      </c>
      <c r="CN211" s="106">
        <v>10000.0</v>
      </c>
      <c r="CO211" s="79">
        <f t="shared" si="680"/>
        <v>0</v>
      </c>
      <c r="CP211" s="106"/>
      <c r="CQ211" s="79">
        <f t="shared" si="712"/>
        <v>0</v>
      </c>
      <c r="CR211" s="106"/>
      <c r="CS211" s="79">
        <f t="shared" si="630"/>
        <v>0</v>
      </c>
      <c r="CT211" s="79"/>
      <c r="CU211" s="79">
        <f t="shared" si="709"/>
        <v>0</v>
      </c>
      <c r="CV211" s="79"/>
      <c r="CW211" s="79">
        <f t="shared" si="632"/>
        <v>0</v>
      </c>
      <c r="CX211" s="79"/>
      <c r="CY211" s="91"/>
      <c r="CZ211" s="79">
        <f t="shared" si="720"/>
        <v>0</v>
      </c>
      <c r="DA211" s="93"/>
      <c r="DB211" s="93">
        <f t="shared" si="733"/>
        <v>0</v>
      </c>
      <c r="DC211" s="96"/>
      <c r="DD211" s="93">
        <f t="shared" si="635"/>
        <v>0</v>
      </c>
      <c r="DE211" s="96"/>
      <c r="DF211" s="93">
        <f t="shared" si="636"/>
        <v>0</v>
      </c>
      <c r="DG211" s="96"/>
      <c r="DH211" s="93">
        <f t="shared" si="734"/>
        <v>0</v>
      </c>
      <c r="DI211" s="96"/>
      <c r="DJ211" s="93">
        <f t="shared" si="735"/>
        <v>0</v>
      </c>
      <c r="DK211" s="93"/>
      <c r="DL211" s="100">
        <v>1572.0</v>
      </c>
      <c r="DM211" s="100">
        <v>200.0</v>
      </c>
      <c r="DN211" s="93">
        <f t="shared" si="688"/>
        <v>1372</v>
      </c>
      <c r="DO211" s="100">
        <v>500.0</v>
      </c>
      <c r="DP211" s="93">
        <f t="shared" si="721"/>
        <v>872</v>
      </c>
      <c r="DQ211" s="100">
        <v>500.0</v>
      </c>
      <c r="DR211" s="93">
        <f t="shared" si="693"/>
        <v>372</v>
      </c>
      <c r="DS211" s="100">
        <v>372.0</v>
      </c>
      <c r="DT211" s="93">
        <f t="shared" si="643"/>
        <v>0</v>
      </c>
      <c r="DU211" s="100">
        <v>0.0</v>
      </c>
      <c r="DV211" s="93">
        <f t="shared" si="61"/>
        <v>0</v>
      </c>
    </row>
    <row r="212">
      <c r="A212" s="7" t="s">
        <v>595</v>
      </c>
      <c r="B212" s="7" t="s">
        <v>596</v>
      </c>
      <c r="C212" s="76" t="str">
        <f t="array" ref="C212">_xlfn.XLOOKUP(A212,'Emp Master'!A:A,'Emp Master'!F:F)</f>
        <v>SNP</v>
      </c>
      <c r="D212" s="76" t="str">
        <f t="array" ref="D212">_xlfn.XLOOKUP(A212,'Emp Master'!A:A,'Emp Master'!D:D)</f>
        <v>Machining</v>
      </c>
      <c r="E212" s="76" t="str">
        <f t="shared" si="326"/>
        <v>#REF!</v>
      </c>
      <c r="F212" s="76"/>
      <c r="G212" s="79"/>
      <c r="H212" s="80"/>
      <c r="I212" s="79"/>
      <c r="J212" s="80"/>
      <c r="K212" s="79"/>
      <c r="L212" s="142"/>
      <c r="M212" s="1"/>
      <c r="N212" s="142"/>
      <c r="O212" s="1"/>
      <c r="P212" s="142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79">
        <f>BG212-BH212</f>
        <v>0</v>
      </c>
      <c r="BJ212" s="1"/>
      <c r="BK212" s="1"/>
      <c r="BL212" s="1"/>
      <c r="BM212" s="1"/>
      <c r="BN212" s="1"/>
      <c r="BO212" s="1"/>
      <c r="BP212" s="1"/>
      <c r="BQ212" s="79"/>
      <c r="BR212" s="1"/>
      <c r="BS212" s="79">
        <f>BQ212-BR212</f>
        <v>0</v>
      </c>
      <c r="BT212" s="1"/>
      <c r="BU212" s="79">
        <f>BS212-BT212</f>
        <v>0</v>
      </c>
      <c r="BV212" s="1"/>
      <c r="BW212" s="79">
        <f>BU212-BV212</f>
        <v>0</v>
      </c>
      <c r="BX212" s="1"/>
      <c r="BY212" s="79">
        <f>BW212-BX212</f>
        <v>0</v>
      </c>
      <c r="BZ212" s="1"/>
      <c r="CA212" s="79">
        <f>BY212-BZ212</f>
        <v>0</v>
      </c>
      <c r="CB212" s="1"/>
      <c r="CC212" s="79">
        <f>CA212-CB212</f>
        <v>0</v>
      </c>
      <c r="CD212" s="1"/>
      <c r="CE212" s="79">
        <f>CC212-CD212</f>
        <v>0</v>
      </c>
      <c r="CF212" s="1"/>
      <c r="CG212" s="79">
        <f>CE212-CF212</f>
        <v>0</v>
      </c>
      <c r="CH212" s="1"/>
      <c r="CI212" s="79">
        <f>CG212-CH212</f>
        <v>0</v>
      </c>
      <c r="CJ212" s="1"/>
      <c r="CK212" s="79">
        <f t="shared" ref="CK212:CK223" si="737">CI212-CJ212</f>
        <v>0</v>
      </c>
      <c r="CL212" s="1"/>
      <c r="CM212" s="79">
        <f t="shared" ref="CM212:CM227" si="738">CK212-CL212</f>
        <v>0</v>
      </c>
      <c r="CN212" s="1"/>
      <c r="CO212" s="79">
        <f t="shared" si="680"/>
        <v>0</v>
      </c>
      <c r="CP212" s="1"/>
      <c r="CQ212" s="79">
        <f t="shared" si="712"/>
        <v>0</v>
      </c>
      <c r="CR212" s="1"/>
      <c r="CS212" s="79">
        <f t="shared" si="630"/>
        <v>0</v>
      </c>
      <c r="CT212" s="79"/>
      <c r="CU212" s="79">
        <f t="shared" si="709"/>
        <v>0</v>
      </c>
      <c r="CV212" s="79"/>
      <c r="CW212" s="79">
        <f t="shared" si="632"/>
        <v>0</v>
      </c>
      <c r="CX212" s="79"/>
      <c r="CY212" s="91"/>
      <c r="CZ212" s="79">
        <f t="shared" si="720"/>
        <v>0</v>
      </c>
      <c r="DA212" s="93"/>
      <c r="DB212" s="93">
        <f t="shared" si="733"/>
        <v>0</v>
      </c>
      <c r="DC212" s="96"/>
      <c r="DD212" s="93">
        <f t="shared" si="635"/>
        <v>0</v>
      </c>
      <c r="DE212" s="96"/>
      <c r="DF212" s="93">
        <f t="shared" si="636"/>
        <v>0</v>
      </c>
      <c r="DG212" s="96"/>
      <c r="DH212" s="93">
        <f t="shared" si="734"/>
        <v>0</v>
      </c>
      <c r="DI212" s="96"/>
      <c r="DJ212" s="93">
        <f t="shared" si="735"/>
        <v>0</v>
      </c>
      <c r="DK212" s="93"/>
      <c r="DL212" s="93">
        <f t="shared" ref="DL212:DL219" si="739">DJ212-DK212</f>
        <v>0</v>
      </c>
      <c r="DM212" s="100">
        <v>0.0</v>
      </c>
      <c r="DN212" s="93">
        <f t="shared" si="688"/>
        <v>0</v>
      </c>
      <c r="DO212" s="100">
        <v>0.0</v>
      </c>
      <c r="DP212" s="93">
        <f t="shared" si="721"/>
        <v>0</v>
      </c>
      <c r="DQ212" s="100">
        <v>0.0</v>
      </c>
      <c r="DR212" s="93">
        <f t="shared" si="693"/>
        <v>0</v>
      </c>
      <c r="DS212" s="100">
        <v>0.0</v>
      </c>
      <c r="DT212" s="93">
        <f t="shared" si="643"/>
        <v>0</v>
      </c>
      <c r="DU212" s="100">
        <v>0.0</v>
      </c>
      <c r="DV212" s="93">
        <f t="shared" si="61"/>
        <v>0</v>
      </c>
    </row>
    <row r="213">
      <c r="A213" s="1" t="s">
        <v>597</v>
      </c>
      <c r="B213" s="1" t="s">
        <v>553</v>
      </c>
      <c r="C213" s="76" t="str">
        <f t="array" ref="C213">_xlfn.XLOOKUP(A213,'Emp Master'!A:A,'Emp Master'!F:F)</f>
        <v>SNP</v>
      </c>
      <c r="D213" s="76" t="str">
        <f t="array" ref="D213">_xlfn.XLOOKUP(A213,'Emp Master'!A:A,'Emp Master'!D:D)</f>
        <v>Machining</v>
      </c>
      <c r="E213" s="76" t="str">
        <f t="shared" si="326"/>
        <v>#REF!</v>
      </c>
      <c r="F213" s="76"/>
      <c r="G213" s="79"/>
      <c r="H213" s="80"/>
      <c r="I213" s="79"/>
      <c r="J213" s="80"/>
      <c r="K213" s="79"/>
      <c r="L213" s="142"/>
      <c r="M213" s="1"/>
      <c r="N213" s="142"/>
      <c r="O213" s="1"/>
      <c r="P213" s="142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79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79"/>
      <c r="BX213" s="106"/>
      <c r="BY213" s="79"/>
      <c r="BZ213" s="1"/>
      <c r="CA213" s="79"/>
      <c r="CB213" s="1"/>
      <c r="CC213" s="79"/>
      <c r="CD213" s="1"/>
      <c r="CE213" s="24"/>
      <c r="CF213" s="106"/>
      <c r="CG213" s="79"/>
      <c r="CH213" s="106"/>
      <c r="CI213" s="79">
        <f>(CG213-CH213)+12000</f>
        <v>12000</v>
      </c>
      <c r="CJ213" s="106">
        <v>3000.0</v>
      </c>
      <c r="CK213" s="79">
        <f t="shared" si="737"/>
        <v>9000</v>
      </c>
      <c r="CL213" s="106">
        <v>3000.0</v>
      </c>
      <c r="CM213" s="79">
        <f t="shared" si="738"/>
        <v>6000</v>
      </c>
      <c r="CN213" s="106">
        <v>3000.0</v>
      </c>
      <c r="CO213" s="79">
        <f t="shared" si="680"/>
        <v>3000</v>
      </c>
      <c r="CP213" s="106">
        <v>3000.0</v>
      </c>
      <c r="CQ213" s="79">
        <f t="shared" si="712"/>
        <v>0</v>
      </c>
      <c r="CR213" s="106"/>
      <c r="CS213" s="79">
        <f t="shared" si="630"/>
        <v>0</v>
      </c>
      <c r="CT213" s="79"/>
      <c r="CU213" s="79">
        <f t="shared" si="709"/>
        <v>0</v>
      </c>
      <c r="CV213" s="79"/>
      <c r="CW213" s="79">
        <f t="shared" si="632"/>
        <v>0</v>
      </c>
      <c r="CX213" s="79"/>
      <c r="CY213" s="91"/>
      <c r="CZ213" s="79">
        <f t="shared" si="720"/>
        <v>0</v>
      </c>
      <c r="DA213" s="93"/>
      <c r="DB213" s="93">
        <f t="shared" si="733"/>
        <v>0</v>
      </c>
      <c r="DC213" s="96"/>
      <c r="DD213" s="93">
        <f t="shared" si="635"/>
        <v>0</v>
      </c>
      <c r="DE213" s="96"/>
      <c r="DF213" s="100">
        <v>12000.0</v>
      </c>
      <c r="DG213" s="178">
        <v>3000.0</v>
      </c>
      <c r="DH213" s="93">
        <f t="shared" si="734"/>
        <v>9000</v>
      </c>
      <c r="DI213" s="178">
        <v>3000.0</v>
      </c>
      <c r="DJ213" s="93">
        <f t="shared" si="735"/>
        <v>6000</v>
      </c>
      <c r="DK213" s="100">
        <v>3000.0</v>
      </c>
      <c r="DL213" s="93">
        <f t="shared" si="739"/>
        <v>3000</v>
      </c>
      <c r="DM213" s="100">
        <v>3000.0</v>
      </c>
      <c r="DN213" s="93">
        <f t="shared" si="688"/>
        <v>0</v>
      </c>
      <c r="DO213" s="100">
        <v>0.0</v>
      </c>
      <c r="DP213" s="93">
        <f t="shared" si="721"/>
        <v>0</v>
      </c>
      <c r="DQ213" s="100">
        <v>0.0</v>
      </c>
      <c r="DR213" s="93">
        <f t="shared" si="693"/>
        <v>0</v>
      </c>
      <c r="DS213" s="100">
        <v>0.0</v>
      </c>
      <c r="DT213" s="93">
        <f>DR213-DS213+12000</f>
        <v>12000</v>
      </c>
      <c r="DU213" s="100">
        <v>2000.0</v>
      </c>
      <c r="DV213" s="93">
        <f t="shared" si="61"/>
        <v>10000</v>
      </c>
    </row>
    <row r="214">
      <c r="A214" s="7" t="s">
        <v>1000</v>
      </c>
      <c r="B214" s="7" t="s">
        <v>1001</v>
      </c>
      <c r="C214" s="76" t="str">
        <f t="array" ref="C214">_xlfn.XLOOKUP(A214,'Emp Master'!A:A,'Emp Master'!F:F)</f>
        <v>#N/A</v>
      </c>
      <c r="D214" s="76" t="str">
        <f t="array" ref="D214">_xlfn.XLOOKUP(A214,'Emp Master'!A:A,'Emp Master'!D:D)</f>
        <v>#N/A</v>
      </c>
      <c r="E214" s="76" t="str">
        <f t="shared" si="326"/>
        <v>#REF!</v>
      </c>
      <c r="F214" s="76"/>
      <c r="G214" s="79"/>
      <c r="H214" s="80"/>
      <c r="I214" s="24">
        <v>30000.0</v>
      </c>
      <c r="J214" s="126">
        <v>3000.0</v>
      </c>
      <c r="K214" s="79">
        <f t="shared" ref="K214:K220" si="740">I214-J214</f>
        <v>27000</v>
      </c>
      <c r="L214" s="126">
        <v>3000.0</v>
      </c>
      <c r="M214" s="79">
        <f t="shared" ref="M214:M220" si="741">K214-L214</f>
        <v>24000</v>
      </c>
      <c r="N214" s="126">
        <v>3000.0</v>
      </c>
      <c r="O214" s="79">
        <f t="shared" ref="O214:O220" si="742">M214-N214</f>
        <v>21000</v>
      </c>
      <c r="P214" s="126">
        <v>3000.0</v>
      </c>
      <c r="Q214" s="79">
        <f t="shared" ref="Q214:Q220" si="743">O214-P214</f>
        <v>18000</v>
      </c>
      <c r="R214" s="106">
        <v>3000.0</v>
      </c>
      <c r="S214" s="79">
        <f t="shared" ref="S214:S220" si="744">Q214-R214</f>
        <v>15000</v>
      </c>
      <c r="T214" s="106">
        <v>3000.0</v>
      </c>
      <c r="U214" s="79">
        <f>S214-T214</f>
        <v>12000</v>
      </c>
      <c r="V214" s="106">
        <v>3000.0</v>
      </c>
      <c r="W214" s="79">
        <f t="shared" ref="W214:W220" si="745">U214-V214</f>
        <v>9000</v>
      </c>
      <c r="X214" s="106">
        <v>3000.0</v>
      </c>
      <c r="Y214" s="79">
        <f t="shared" ref="Y214:Y219" si="746">W214-X214</f>
        <v>6000</v>
      </c>
      <c r="Z214" s="106">
        <v>0.0</v>
      </c>
      <c r="AA214" s="79">
        <f t="shared" ref="AA214:AA220" si="747">Y214-Z214</f>
        <v>6000</v>
      </c>
      <c r="AB214" s="106">
        <v>3000.0</v>
      </c>
      <c r="AC214" s="79">
        <f t="shared" ref="AC214:AC220" si="748">AA214-AB214</f>
        <v>3000</v>
      </c>
      <c r="AD214" s="106">
        <v>3000.0</v>
      </c>
      <c r="AE214" s="79">
        <f>AC214-AD214</f>
        <v>0</v>
      </c>
      <c r="AF214" s="1"/>
      <c r="AG214" s="79">
        <f t="shared" ref="AG214:AG220" si="749">AE214-AF214</f>
        <v>0</v>
      </c>
      <c r="AH214" s="1"/>
      <c r="AI214" s="79">
        <f>AG214-AH214+5000</f>
        <v>5000</v>
      </c>
      <c r="AJ214" s="1"/>
      <c r="AK214" s="79">
        <f t="shared" ref="AK214:AK220" si="750">AI214-AJ214</f>
        <v>5000</v>
      </c>
      <c r="AL214" s="1"/>
      <c r="AM214" s="79">
        <f t="shared" ref="AM214:AM220" si="751">AK214-AL214</f>
        <v>5000</v>
      </c>
      <c r="AN214" s="106">
        <v>1000.0</v>
      </c>
      <c r="AO214" s="79">
        <f t="shared" ref="AO214:AO217" si="752">AM214-AN214</f>
        <v>4000</v>
      </c>
      <c r="AP214" s="106">
        <v>1000.0</v>
      </c>
      <c r="AQ214" s="79">
        <f>AO214-AP214</f>
        <v>3000</v>
      </c>
      <c r="AR214" s="106">
        <v>0.0</v>
      </c>
      <c r="AS214" s="79">
        <f t="shared" ref="AS214:AS220" si="753">AQ214-AR214</f>
        <v>3000</v>
      </c>
      <c r="AT214" s="106">
        <v>0.0</v>
      </c>
      <c r="AU214" s="79">
        <f>AS214-AT214-3000</f>
        <v>0</v>
      </c>
      <c r="AV214" s="106">
        <v>0.0</v>
      </c>
      <c r="AW214" s="79">
        <f t="shared" ref="AW214:AW219" si="754">AU214-AV214</f>
        <v>0</v>
      </c>
      <c r="AX214" s="1"/>
      <c r="AY214" s="79">
        <f t="shared" ref="AY214:AY220" si="755">AW214-AX214</f>
        <v>0</v>
      </c>
      <c r="AZ214" s="1"/>
      <c r="BA214" s="79">
        <f t="shared" ref="BA214:BA220" si="756">AY214-AZ214</f>
        <v>0</v>
      </c>
      <c r="BB214" s="1"/>
      <c r="BC214" s="79">
        <f t="shared" ref="BC214:BC220" si="757">BA214-BB214</f>
        <v>0</v>
      </c>
      <c r="BD214" s="1"/>
      <c r="BE214" s="79">
        <f t="shared" ref="BE214:BE220" si="758">BC214-BD214</f>
        <v>0</v>
      </c>
      <c r="BF214" s="1"/>
      <c r="BG214" s="79">
        <f t="shared" ref="BG214:BG220" si="759">BE214-BF214</f>
        <v>0</v>
      </c>
      <c r="BH214" s="1"/>
      <c r="BI214" s="79">
        <f t="shared" ref="BI214:BI224" si="760">BG214-BH214</f>
        <v>0</v>
      </c>
      <c r="BJ214" s="1"/>
      <c r="BK214" s="79">
        <f t="shared" ref="BK214:BK220" si="761">BI214-BJ214</f>
        <v>0</v>
      </c>
      <c r="BL214" s="1"/>
      <c r="BM214" s="79">
        <f t="shared" ref="BM214:BM220" si="762">BK214-BL214</f>
        <v>0</v>
      </c>
      <c r="BN214" s="1"/>
      <c r="BO214" s="79">
        <f t="shared" ref="BO214:BO221" si="763">BM214-BN214</f>
        <v>0</v>
      </c>
      <c r="BP214" s="1"/>
      <c r="BQ214" s="79">
        <f t="shared" ref="BQ214:BQ221" si="764">BO214-BP214</f>
        <v>0</v>
      </c>
      <c r="BR214" s="1"/>
      <c r="BS214" s="79">
        <f t="shared" ref="BS214:BS221" si="765">BQ214-BR214</f>
        <v>0</v>
      </c>
      <c r="BT214" s="1"/>
      <c r="BU214" s="79">
        <f t="shared" ref="BU214:BU220" si="766">BS214-BT214</f>
        <v>0</v>
      </c>
      <c r="BV214" s="1"/>
      <c r="BW214" s="79">
        <f t="shared" ref="BW214:BW221" si="767">BU214-BV214</f>
        <v>0</v>
      </c>
      <c r="BX214" s="1"/>
      <c r="BY214" s="79">
        <f t="shared" ref="BY214:BY219" si="768">BW214-BX214</f>
        <v>0</v>
      </c>
      <c r="BZ214" s="1"/>
      <c r="CA214" s="79">
        <f t="shared" ref="CA214:CA219" si="769">BY214-BZ214</f>
        <v>0</v>
      </c>
      <c r="CB214" s="1"/>
      <c r="CC214" s="79">
        <f t="shared" ref="CC214:CC222" si="770">CA214-CB214</f>
        <v>0</v>
      </c>
      <c r="CD214" s="1"/>
      <c r="CE214" s="79">
        <f t="shared" ref="CE214:CE221" si="771">CC214-CD214</f>
        <v>0</v>
      </c>
      <c r="CF214" s="1"/>
      <c r="CG214" s="79">
        <f>CE214-CF214</f>
        <v>0</v>
      </c>
      <c r="CH214" s="1"/>
      <c r="CI214" s="79">
        <f t="shared" ref="CI214:CI227" si="772">CG214-CH214</f>
        <v>0</v>
      </c>
      <c r="CJ214" s="1"/>
      <c r="CK214" s="79">
        <f t="shared" si="737"/>
        <v>0</v>
      </c>
      <c r="CL214" s="1"/>
      <c r="CM214" s="79">
        <f t="shared" si="738"/>
        <v>0</v>
      </c>
      <c r="CN214" s="1"/>
      <c r="CO214" s="79">
        <f t="shared" si="680"/>
        <v>0</v>
      </c>
      <c r="CP214" s="1"/>
      <c r="CQ214" s="79">
        <f t="shared" si="712"/>
        <v>0</v>
      </c>
      <c r="CR214" s="1"/>
      <c r="CS214" s="79">
        <f t="shared" si="630"/>
        <v>0</v>
      </c>
      <c r="CT214" s="79"/>
      <c r="CU214" s="79">
        <f t="shared" si="709"/>
        <v>0</v>
      </c>
      <c r="CV214" s="79"/>
      <c r="CW214" s="79">
        <f t="shared" si="632"/>
        <v>0</v>
      </c>
      <c r="CX214" s="79"/>
      <c r="CY214" s="91"/>
      <c r="CZ214" s="79">
        <f t="shared" si="720"/>
        <v>0</v>
      </c>
      <c r="DA214" s="93"/>
      <c r="DB214" s="93">
        <f t="shared" si="733"/>
        <v>0</v>
      </c>
      <c r="DC214" s="96"/>
      <c r="DD214" s="93">
        <f t="shared" si="635"/>
        <v>0</v>
      </c>
      <c r="DE214" s="96"/>
      <c r="DF214" s="93">
        <f t="shared" ref="DF214:DF249" si="773">DD214-DE214</f>
        <v>0</v>
      </c>
      <c r="DG214" s="96"/>
      <c r="DH214" s="93">
        <f t="shared" si="734"/>
        <v>0</v>
      </c>
      <c r="DI214" s="96"/>
      <c r="DJ214" s="93">
        <f t="shared" si="735"/>
        <v>0</v>
      </c>
      <c r="DK214" s="93"/>
      <c r="DL214" s="93">
        <f t="shared" si="739"/>
        <v>0</v>
      </c>
      <c r="DM214" s="100">
        <v>0.0</v>
      </c>
      <c r="DN214" s="93">
        <f t="shared" si="688"/>
        <v>0</v>
      </c>
      <c r="DO214" s="100">
        <v>0.0</v>
      </c>
      <c r="DP214" s="93">
        <f t="shared" si="721"/>
        <v>0</v>
      </c>
      <c r="DQ214" s="100">
        <v>0.0</v>
      </c>
      <c r="DR214" s="93">
        <f t="shared" si="693"/>
        <v>0</v>
      </c>
      <c r="DS214" s="100">
        <v>0.0</v>
      </c>
      <c r="DT214" s="93">
        <f t="shared" ref="DT214:DT235" si="774">DR214-DS214</f>
        <v>0</v>
      </c>
      <c r="DU214" s="100">
        <v>0.0</v>
      </c>
      <c r="DV214" s="93">
        <f t="shared" si="61"/>
        <v>0</v>
      </c>
    </row>
    <row r="215">
      <c r="A215" s="7" t="s">
        <v>862</v>
      </c>
      <c r="B215" s="7" t="s">
        <v>863</v>
      </c>
      <c r="C215" s="76" t="str">
        <f t="array" ref="C215">_xlfn.XLOOKUP(A215,'Emp Master'!A:A,'Emp Master'!F:F)</f>
        <v>DEL</v>
      </c>
      <c r="D215" s="76" t="str">
        <f t="array" ref="D215">_xlfn.XLOOKUP(A215,'Emp Master'!A:A,'Emp Master'!D:D)</f>
        <v>Backend Ops</v>
      </c>
      <c r="E215" s="76" t="str">
        <f t="shared" si="326"/>
        <v>#REF!</v>
      </c>
      <c r="F215" s="76"/>
      <c r="G215" s="79"/>
      <c r="H215" s="80"/>
      <c r="I215" s="24">
        <v>15000.0</v>
      </c>
      <c r="J215" s="126">
        <v>2000.0</v>
      </c>
      <c r="K215" s="79">
        <f t="shared" si="740"/>
        <v>13000</v>
      </c>
      <c r="L215" s="126">
        <v>3000.0</v>
      </c>
      <c r="M215" s="79">
        <f t="shared" si="741"/>
        <v>10000</v>
      </c>
      <c r="N215" s="126">
        <v>3000.0</v>
      </c>
      <c r="O215" s="79">
        <f t="shared" si="742"/>
        <v>7000</v>
      </c>
      <c r="P215" s="126">
        <v>3000.0</v>
      </c>
      <c r="Q215" s="79">
        <f t="shared" si="743"/>
        <v>4000</v>
      </c>
      <c r="R215" s="106">
        <v>3000.0</v>
      </c>
      <c r="S215" s="79">
        <f t="shared" si="744"/>
        <v>1000</v>
      </c>
      <c r="T215" s="106">
        <v>1000.0</v>
      </c>
      <c r="U215" s="79">
        <f>S215-T215+15000</f>
        <v>15000</v>
      </c>
      <c r="V215" s="106">
        <v>5000.0</v>
      </c>
      <c r="W215" s="79">
        <f t="shared" si="745"/>
        <v>10000</v>
      </c>
      <c r="X215" s="106">
        <v>3000.0</v>
      </c>
      <c r="Y215" s="79">
        <f t="shared" si="746"/>
        <v>7000</v>
      </c>
      <c r="Z215" s="106">
        <v>3000.0</v>
      </c>
      <c r="AA215" s="79">
        <f t="shared" si="747"/>
        <v>4000</v>
      </c>
      <c r="AB215" s="106">
        <v>3000.0</v>
      </c>
      <c r="AC215" s="79">
        <f t="shared" si="748"/>
        <v>1000</v>
      </c>
      <c r="AD215" s="106">
        <v>1000.0</v>
      </c>
      <c r="AE215" s="79">
        <f>AC215-AD215+10000</f>
        <v>10000</v>
      </c>
      <c r="AF215" s="106">
        <v>1000.0</v>
      </c>
      <c r="AG215" s="79">
        <f t="shared" si="749"/>
        <v>9000</v>
      </c>
      <c r="AH215" s="106">
        <v>1000.0</v>
      </c>
      <c r="AI215" s="79">
        <f t="shared" ref="AI215:AI220" si="775">AG215-AH215</f>
        <v>8000</v>
      </c>
      <c r="AJ215" s="106">
        <v>1000.0</v>
      </c>
      <c r="AK215" s="79">
        <f t="shared" si="750"/>
        <v>7000</v>
      </c>
      <c r="AL215" s="106">
        <v>1000.0</v>
      </c>
      <c r="AM215" s="79">
        <f t="shared" si="751"/>
        <v>6000</v>
      </c>
      <c r="AN215" s="106">
        <v>1000.0</v>
      </c>
      <c r="AO215" s="79">
        <f t="shared" si="752"/>
        <v>5000</v>
      </c>
      <c r="AP215" s="106">
        <v>1000.0</v>
      </c>
      <c r="AQ215" s="79">
        <f>AO215-AP215+10000</f>
        <v>14000</v>
      </c>
      <c r="AR215" s="106">
        <v>1000.0</v>
      </c>
      <c r="AS215" s="79">
        <f t="shared" si="753"/>
        <v>13000</v>
      </c>
      <c r="AT215" s="106">
        <v>1000.0</v>
      </c>
      <c r="AU215" s="79">
        <f t="shared" ref="AU215:AU220" si="776">AS215-AT215</f>
        <v>12000</v>
      </c>
      <c r="AV215" s="106">
        <v>1000.0</v>
      </c>
      <c r="AW215" s="79">
        <f t="shared" si="754"/>
        <v>11000</v>
      </c>
      <c r="AX215" s="106">
        <v>1000.0</v>
      </c>
      <c r="AY215" s="79">
        <f t="shared" si="755"/>
        <v>10000</v>
      </c>
      <c r="AZ215" s="106">
        <v>1000.0</v>
      </c>
      <c r="BA215" s="79">
        <f t="shared" si="756"/>
        <v>9000</v>
      </c>
      <c r="BB215" s="106">
        <v>1000.0</v>
      </c>
      <c r="BC215" s="79">
        <f t="shared" si="757"/>
        <v>8000</v>
      </c>
      <c r="BD215" s="106">
        <v>1000.0</v>
      </c>
      <c r="BE215" s="79">
        <f t="shared" si="758"/>
        <v>7000</v>
      </c>
      <c r="BF215" s="106">
        <v>1000.0</v>
      </c>
      <c r="BG215" s="79">
        <f t="shared" si="759"/>
        <v>6000</v>
      </c>
      <c r="BH215" s="106">
        <v>1000.0</v>
      </c>
      <c r="BI215" s="79">
        <f t="shared" si="760"/>
        <v>5000</v>
      </c>
      <c r="BJ215" s="106">
        <v>1000.0</v>
      </c>
      <c r="BK215" s="79">
        <f t="shared" si="761"/>
        <v>4000</v>
      </c>
      <c r="BL215" s="106">
        <v>1000.0</v>
      </c>
      <c r="BM215" s="79">
        <f t="shared" si="762"/>
        <v>3000</v>
      </c>
      <c r="BN215" s="106">
        <v>1000.0</v>
      </c>
      <c r="BO215" s="79">
        <f t="shared" si="763"/>
        <v>2000</v>
      </c>
      <c r="BP215" s="106">
        <v>1000.0</v>
      </c>
      <c r="BQ215" s="79">
        <f t="shared" si="764"/>
        <v>1000</v>
      </c>
      <c r="BR215" s="106">
        <v>1000.0</v>
      </c>
      <c r="BS215" s="79">
        <f t="shared" si="765"/>
        <v>0</v>
      </c>
      <c r="BT215" s="1"/>
      <c r="BU215" s="79">
        <f t="shared" si="766"/>
        <v>0</v>
      </c>
      <c r="BV215" s="1"/>
      <c r="BW215" s="79">
        <f t="shared" si="767"/>
        <v>0</v>
      </c>
      <c r="BX215" s="1"/>
      <c r="BY215" s="79">
        <f t="shared" si="768"/>
        <v>0</v>
      </c>
      <c r="BZ215" s="1"/>
      <c r="CA215" s="79">
        <f t="shared" si="769"/>
        <v>0</v>
      </c>
      <c r="CB215" s="1"/>
      <c r="CC215" s="79">
        <f t="shared" si="770"/>
        <v>0</v>
      </c>
      <c r="CD215" s="1"/>
      <c r="CE215" s="79">
        <f t="shared" si="771"/>
        <v>0</v>
      </c>
      <c r="CF215" s="1"/>
      <c r="CG215" s="79">
        <f>25000+(CE215-CF215)</f>
        <v>25000</v>
      </c>
      <c r="CH215" s="106">
        <v>4000.0</v>
      </c>
      <c r="CI215" s="79">
        <f t="shared" si="772"/>
        <v>21000</v>
      </c>
      <c r="CJ215" s="106">
        <v>4000.0</v>
      </c>
      <c r="CK215" s="79">
        <f t="shared" si="737"/>
        <v>17000</v>
      </c>
      <c r="CL215" s="106">
        <v>4000.0</v>
      </c>
      <c r="CM215" s="79">
        <f t="shared" si="738"/>
        <v>13000</v>
      </c>
      <c r="CN215" s="106">
        <v>4000.0</v>
      </c>
      <c r="CO215" s="79">
        <f t="shared" si="680"/>
        <v>9000</v>
      </c>
      <c r="CP215" s="106">
        <v>4000.0</v>
      </c>
      <c r="CQ215" s="79">
        <f t="shared" si="712"/>
        <v>5000</v>
      </c>
      <c r="CR215" s="106">
        <v>4000.0</v>
      </c>
      <c r="CS215" s="79">
        <f t="shared" si="630"/>
        <v>1000</v>
      </c>
      <c r="CT215" s="24">
        <v>1000.0</v>
      </c>
      <c r="CU215" s="79">
        <f t="shared" si="709"/>
        <v>0</v>
      </c>
      <c r="CV215" s="79"/>
      <c r="CW215" s="79">
        <f t="shared" si="632"/>
        <v>0</v>
      </c>
      <c r="CX215" s="79"/>
      <c r="CY215" s="91"/>
      <c r="CZ215" s="79">
        <f t="shared" si="720"/>
        <v>0</v>
      </c>
      <c r="DA215" s="93"/>
      <c r="DB215" s="93">
        <f t="shared" si="733"/>
        <v>0</v>
      </c>
      <c r="DC215" s="96"/>
      <c r="DD215" s="93">
        <f t="shared" si="635"/>
        <v>0</v>
      </c>
      <c r="DE215" s="96"/>
      <c r="DF215" s="93">
        <f t="shared" si="773"/>
        <v>0</v>
      </c>
      <c r="DG215" s="96"/>
      <c r="DH215" s="93">
        <f t="shared" si="734"/>
        <v>0</v>
      </c>
      <c r="DI215" s="96"/>
      <c r="DJ215" s="100">
        <v>30000.0</v>
      </c>
      <c r="DK215" s="100">
        <v>2500.0</v>
      </c>
      <c r="DL215" s="93">
        <f t="shared" si="739"/>
        <v>27500</v>
      </c>
      <c r="DM215" s="100">
        <v>2500.0</v>
      </c>
      <c r="DN215" s="93">
        <f t="shared" si="688"/>
        <v>25000</v>
      </c>
      <c r="DO215" s="100">
        <v>2500.0</v>
      </c>
      <c r="DP215" s="93">
        <f t="shared" si="721"/>
        <v>22500</v>
      </c>
      <c r="DQ215" s="100">
        <v>0.0</v>
      </c>
      <c r="DR215" s="93">
        <f t="shared" si="693"/>
        <v>22500</v>
      </c>
      <c r="DS215" s="100">
        <v>2500.0</v>
      </c>
      <c r="DT215" s="93">
        <f t="shared" si="774"/>
        <v>20000</v>
      </c>
      <c r="DU215" s="100">
        <v>2500.0</v>
      </c>
      <c r="DV215" s="93">
        <f t="shared" si="61"/>
        <v>17500</v>
      </c>
    </row>
    <row r="216">
      <c r="A216" s="7" t="s">
        <v>1002</v>
      </c>
      <c r="B216" s="7" t="s">
        <v>371</v>
      </c>
      <c r="C216" s="76" t="str">
        <f t="array" ref="C216">_xlfn.XLOOKUP(A216,'Emp Master'!A:A,'Emp Master'!F:F)</f>
        <v>#N/A</v>
      </c>
      <c r="D216" s="76" t="str">
        <f t="array" ref="D216">_xlfn.XLOOKUP(A216,'Emp Master'!A:A,'Emp Master'!D:D)</f>
        <v>#N/A</v>
      </c>
      <c r="E216" s="76" t="str">
        <f t="shared" si="326"/>
        <v>#REF!</v>
      </c>
      <c r="F216" s="76">
        <v>5000.0</v>
      </c>
      <c r="G216" s="79">
        <v>25000.0</v>
      </c>
      <c r="H216" s="80">
        <v>5000.0</v>
      </c>
      <c r="I216" s="79">
        <f t="shared" ref="I216:I220" si="777">G216-H216</f>
        <v>20000</v>
      </c>
      <c r="J216" s="126">
        <v>20000.0</v>
      </c>
      <c r="K216" s="79">
        <f t="shared" si="740"/>
        <v>0</v>
      </c>
      <c r="L216" s="126">
        <v>0.0</v>
      </c>
      <c r="M216" s="79">
        <f t="shared" si="741"/>
        <v>0</v>
      </c>
      <c r="N216" s="126">
        <v>0.0</v>
      </c>
      <c r="O216" s="79">
        <f t="shared" si="742"/>
        <v>0</v>
      </c>
      <c r="P216" s="126">
        <v>0.0</v>
      </c>
      <c r="Q216" s="79">
        <f t="shared" si="743"/>
        <v>0</v>
      </c>
      <c r="R216" s="1"/>
      <c r="S216" s="79">
        <f t="shared" si="744"/>
        <v>0</v>
      </c>
      <c r="T216" s="1"/>
      <c r="U216" s="79">
        <f t="shared" ref="U216:U220" si="778">S216-T216</f>
        <v>0</v>
      </c>
      <c r="V216" s="1"/>
      <c r="W216" s="79">
        <f t="shared" si="745"/>
        <v>0</v>
      </c>
      <c r="X216" s="1"/>
      <c r="Y216" s="79">
        <f t="shared" si="746"/>
        <v>0</v>
      </c>
      <c r="Z216" s="1"/>
      <c r="AA216" s="79">
        <f t="shared" si="747"/>
        <v>0</v>
      </c>
      <c r="AB216" s="1"/>
      <c r="AC216" s="79">
        <f t="shared" si="748"/>
        <v>0</v>
      </c>
      <c r="AD216" s="1"/>
      <c r="AE216" s="79">
        <f t="shared" ref="AE216:AE220" si="779">AC216-AD216</f>
        <v>0</v>
      </c>
      <c r="AF216" s="1"/>
      <c r="AG216" s="79">
        <f t="shared" si="749"/>
        <v>0</v>
      </c>
      <c r="AH216" s="1"/>
      <c r="AI216" s="79">
        <f t="shared" si="775"/>
        <v>0</v>
      </c>
      <c r="AJ216" s="1"/>
      <c r="AK216" s="79">
        <f t="shared" si="750"/>
        <v>0</v>
      </c>
      <c r="AL216" s="1"/>
      <c r="AM216" s="79">
        <f t="shared" si="751"/>
        <v>0</v>
      </c>
      <c r="AN216" s="1"/>
      <c r="AO216" s="79">
        <f t="shared" si="752"/>
        <v>0</v>
      </c>
      <c r="AP216" s="1"/>
      <c r="AQ216" s="79">
        <f t="shared" ref="AQ216:AQ218" si="780">AO216-AP216</f>
        <v>0</v>
      </c>
      <c r="AR216" s="1"/>
      <c r="AS216" s="79">
        <f t="shared" si="753"/>
        <v>0</v>
      </c>
      <c r="AT216" s="1"/>
      <c r="AU216" s="79">
        <f t="shared" si="776"/>
        <v>0</v>
      </c>
      <c r="AV216" s="1"/>
      <c r="AW216" s="79">
        <f t="shared" si="754"/>
        <v>0</v>
      </c>
      <c r="AX216" s="1"/>
      <c r="AY216" s="79">
        <f t="shared" si="755"/>
        <v>0</v>
      </c>
      <c r="AZ216" s="1"/>
      <c r="BA216" s="79">
        <f t="shared" si="756"/>
        <v>0</v>
      </c>
      <c r="BB216" s="1"/>
      <c r="BC216" s="79">
        <f t="shared" si="757"/>
        <v>0</v>
      </c>
      <c r="BD216" s="1"/>
      <c r="BE216" s="79">
        <f t="shared" si="758"/>
        <v>0</v>
      </c>
      <c r="BF216" s="1"/>
      <c r="BG216" s="79">
        <f t="shared" si="759"/>
        <v>0</v>
      </c>
      <c r="BH216" s="1"/>
      <c r="BI216" s="79">
        <f t="shared" si="760"/>
        <v>0</v>
      </c>
      <c r="BJ216" s="1"/>
      <c r="BK216" s="79">
        <f t="shared" si="761"/>
        <v>0</v>
      </c>
      <c r="BL216" s="1"/>
      <c r="BM216" s="79">
        <f t="shared" si="762"/>
        <v>0</v>
      </c>
      <c r="BN216" s="1"/>
      <c r="BO216" s="79">
        <f t="shared" si="763"/>
        <v>0</v>
      </c>
      <c r="BP216" s="1"/>
      <c r="BQ216" s="79">
        <f t="shared" si="764"/>
        <v>0</v>
      </c>
      <c r="BR216" s="1"/>
      <c r="BS216" s="79">
        <f t="shared" si="765"/>
        <v>0</v>
      </c>
      <c r="BT216" s="1"/>
      <c r="BU216" s="79">
        <f t="shared" si="766"/>
        <v>0</v>
      </c>
      <c r="BV216" s="1"/>
      <c r="BW216" s="79">
        <f t="shared" si="767"/>
        <v>0</v>
      </c>
      <c r="BX216" s="1"/>
      <c r="BY216" s="79">
        <f t="shared" si="768"/>
        <v>0</v>
      </c>
      <c r="BZ216" s="1"/>
      <c r="CA216" s="79">
        <f t="shared" si="769"/>
        <v>0</v>
      </c>
      <c r="CB216" s="1"/>
      <c r="CC216" s="79">
        <f t="shared" si="770"/>
        <v>0</v>
      </c>
      <c r="CD216" s="1"/>
      <c r="CE216" s="79">
        <f t="shared" si="771"/>
        <v>0</v>
      </c>
      <c r="CF216" s="1"/>
      <c r="CG216" s="79">
        <f t="shared" ref="CG216:CG222" si="781">CE216-CF216</f>
        <v>0</v>
      </c>
      <c r="CH216" s="1"/>
      <c r="CI216" s="79">
        <f t="shared" si="772"/>
        <v>0</v>
      </c>
      <c r="CJ216" s="1"/>
      <c r="CK216" s="79">
        <f t="shared" si="737"/>
        <v>0</v>
      </c>
      <c r="CL216" s="1"/>
      <c r="CM216" s="79">
        <f t="shared" si="738"/>
        <v>0</v>
      </c>
      <c r="CN216" s="1"/>
      <c r="CO216" s="79">
        <f t="shared" si="680"/>
        <v>0</v>
      </c>
      <c r="CP216" s="1"/>
      <c r="CQ216" s="79">
        <f t="shared" si="712"/>
        <v>0</v>
      </c>
      <c r="CR216" s="1"/>
      <c r="CS216" s="79">
        <f t="shared" si="630"/>
        <v>0</v>
      </c>
      <c r="CT216" s="79"/>
      <c r="CU216" s="79">
        <f t="shared" si="709"/>
        <v>0</v>
      </c>
      <c r="CV216" s="79"/>
      <c r="CW216" s="79">
        <f t="shared" si="632"/>
        <v>0</v>
      </c>
      <c r="CX216" s="79"/>
      <c r="CY216" s="91"/>
      <c r="CZ216" s="79">
        <f t="shared" si="720"/>
        <v>0</v>
      </c>
      <c r="DA216" s="93"/>
      <c r="DB216" s="93">
        <f t="shared" si="733"/>
        <v>0</v>
      </c>
      <c r="DC216" s="96"/>
      <c r="DD216" s="93">
        <f t="shared" si="635"/>
        <v>0</v>
      </c>
      <c r="DE216" s="96"/>
      <c r="DF216" s="93">
        <f t="shared" si="773"/>
        <v>0</v>
      </c>
      <c r="DG216" s="96"/>
      <c r="DH216" s="93">
        <f t="shared" si="734"/>
        <v>0</v>
      </c>
      <c r="DI216" s="96"/>
      <c r="DJ216" s="93">
        <f t="shared" ref="DJ216:DJ236" si="782">DH216-DI216</f>
        <v>0</v>
      </c>
      <c r="DK216" s="93"/>
      <c r="DL216" s="93">
        <f t="shared" si="739"/>
        <v>0</v>
      </c>
      <c r="DM216" s="100">
        <v>0.0</v>
      </c>
      <c r="DN216" s="93">
        <f t="shared" si="688"/>
        <v>0</v>
      </c>
      <c r="DO216" s="100">
        <v>0.0</v>
      </c>
      <c r="DP216" s="93">
        <f t="shared" si="721"/>
        <v>0</v>
      </c>
      <c r="DQ216" s="100">
        <v>0.0</v>
      </c>
      <c r="DR216" s="93">
        <f t="shared" si="693"/>
        <v>0</v>
      </c>
      <c r="DS216" s="100">
        <v>0.0</v>
      </c>
      <c r="DT216" s="93">
        <f t="shared" si="774"/>
        <v>0</v>
      </c>
      <c r="DU216" s="100">
        <v>0.0</v>
      </c>
      <c r="DV216" s="93">
        <f t="shared" si="61"/>
        <v>0</v>
      </c>
    </row>
    <row r="217">
      <c r="A217" s="7" t="s">
        <v>1003</v>
      </c>
      <c r="B217" s="7" t="s">
        <v>1004</v>
      </c>
      <c r="C217" s="76" t="str">
        <f t="array" ref="C217">_xlfn.XLOOKUP(A217,'Emp Master'!A:A,'Emp Master'!F:F)</f>
        <v>#N/A</v>
      </c>
      <c r="D217" s="76" t="str">
        <f t="array" ref="D217">_xlfn.XLOOKUP(A217,'Emp Master'!A:A,'Emp Master'!D:D)</f>
        <v>#N/A</v>
      </c>
      <c r="E217" s="76" t="str">
        <f t="shared" si="326"/>
        <v>#REF!</v>
      </c>
      <c r="F217" s="76"/>
      <c r="G217" s="79"/>
      <c r="H217" s="80"/>
      <c r="I217" s="79">
        <f t="shared" si="777"/>
        <v>0</v>
      </c>
      <c r="J217" s="80"/>
      <c r="K217" s="79">
        <f t="shared" si="740"/>
        <v>0</v>
      </c>
      <c r="L217" s="80"/>
      <c r="M217" s="79">
        <f t="shared" si="741"/>
        <v>0</v>
      </c>
      <c r="N217" s="80"/>
      <c r="O217" s="79">
        <f t="shared" si="742"/>
        <v>0</v>
      </c>
      <c r="P217" s="80"/>
      <c r="Q217" s="79">
        <f t="shared" si="743"/>
        <v>0</v>
      </c>
      <c r="R217" s="1"/>
      <c r="S217" s="79">
        <f t="shared" si="744"/>
        <v>0</v>
      </c>
      <c r="T217" s="1"/>
      <c r="U217" s="79">
        <f t="shared" si="778"/>
        <v>0</v>
      </c>
      <c r="V217" s="1"/>
      <c r="W217" s="79">
        <f t="shared" si="745"/>
        <v>0</v>
      </c>
      <c r="X217" s="1"/>
      <c r="Y217" s="79">
        <f t="shared" si="746"/>
        <v>0</v>
      </c>
      <c r="Z217" s="1"/>
      <c r="AA217" s="79">
        <f t="shared" si="747"/>
        <v>0</v>
      </c>
      <c r="AB217" s="1"/>
      <c r="AC217" s="79">
        <f t="shared" si="748"/>
        <v>0</v>
      </c>
      <c r="AD217" s="1"/>
      <c r="AE217" s="79">
        <f t="shared" si="779"/>
        <v>0</v>
      </c>
      <c r="AF217" s="1"/>
      <c r="AG217" s="79">
        <f t="shared" si="749"/>
        <v>0</v>
      </c>
      <c r="AH217" s="1"/>
      <c r="AI217" s="79">
        <f t="shared" si="775"/>
        <v>0</v>
      </c>
      <c r="AJ217" s="1"/>
      <c r="AK217" s="79">
        <f t="shared" si="750"/>
        <v>0</v>
      </c>
      <c r="AL217" s="1"/>
      <c r="AM217" s="79">
        <f t="shared" si="751"/>
        <v>0</v>
      </c>
      <c r="AN217" s="1"/>
      <c r="AO217" s="79">
        <f t="shared" si="752"/>
        <v>0</v>
      </c>
      <c r="AP217" s="1"/>
      <c r="AQ217" s="79">
        <f t="shared" si="780"/>
        <v>0</v>
      </c>
      <c r="AR217" s="1"/>
      <c r="AS217" s="79">
        <f t="shared" si="753"/>
        <v>0</v>
      </c>
      <c r="AT217" s="1"/>
      <c r="AU217" s="79">
        <f t="shared" si="776"/>
        <v>0</v>
      </c>
      <c r="AV217" s="1"/>
      <c r="AW217" s="79">
        <f t="shared" si="754"/>
        <v>0</v>
      </c>
      <c r="AX217" s="1"/>
      <c r="AY217" s="79">
        <f t="shared" si="755"/>
        <v>0</v>
      </c>
      <c r="AZ217" s="1"/>
      <c r="BA217" s="79">
        <f t="shared" si="756"/>
        <v>0</v>
      </c>
      <c r="BB217" s="1"/>
      <c r="BC217" s="79">
        <f t="shared" si="757"/>
        <v>0</v>
      </c>
      <c r="BD217" s="1"/>
      <c r="BE217" s="79">
        <f t="shared" si="758"/>
        <v>0</v>
      </c>
      <c r="BF217" s="1"/>
      <c r="BG217" s="79">
        <f t="shared" si="759"/>
        <v>0</v>
      </c>
      <c r="BH217" s="1"/>
      <c r="BI217" s="79">
        <f t="shared" si="760"/>
        <v>0</v>
      </c>
      <c r="BJ217" s="1"/>
      <c r="BK217" s="79">
        <f t="shared" si="761"/>
        <v>0</v>
      </c>
      <c r="BL217" s="1"/>
      <c r="BM217" s="79">
        <f t="shared" si="762"/>
        <v>0</v>
      </c>
      <c r="BN217" s="1"/>
      <c r="BO217" s="79">
        <f t="shared" si="763"/>
        <v>0</v>
      </c>
      <c r="BP217" s="1"/>
      <c r="BQ217" s="79">
        <f t="shared" si="764"/>
        <v>0</v>
      </c>
      <c r="BR217" s="1"/>
      <c r="BS217" s="79">
        <f t="shared" si="765"/>
        <v>0</v>
      </c>
      <c r="BT217" s="1"/>
      <c r="BU217" s="79">
        <f t="shared" si="766"/>
        <v>0</v>
      </c>
      <c r="BV217" s="1"/>
      <c r="BW217" s="79">
        <f t="shared" si="767"/>
        <v>0</v>
      </c>
      <c r="BX217" s="1"/>
      <c r="BY217" s="79">
        <f t="shared" si="768"/>
        <v>0</v>
      </c>
      <c r="BZ217" s="1"/>
      <c r="CA217" s="79">
        <f t="shared" si="769"/>
        <v>0</v>
      </c>
      <c r="CB217" s="1"/>
      <c r="CC217" s="79">
        <f t="shared" si="770"/>
        <v>0</v>
      </c>
      <c r="CD217" s="1"/>
      <c r="CE217" s="79">
        <f t="shared" si="771"/>
        <v>0</v>
      </c>
      <c r="CF217" s="1"/>
      <c r="CG217" s="79">
        <f t="shared" si="781"/>
        <v>0</v>
      </c>
      <c r="CH217" s="1"/>
      <c r="CI217" s="79">
        <f t="shared" si="772"/>
        <v>0</v>
      </c>
      <c r="CJ217" s="1"/>
      <c r="CK217" s="79">
        <f t="shared" si="737"/>
        <v>0</v>
      </c>
      <c r="CL217" s="1"/>
      <c r="CM217" s="79">
        <f t="shared" si="738"/>
        <v>0</v>
      </c>
      <c r="CN217" s="1"/>
      <c r="CO217" s="79">
        <f t="shared" si="680"/>
        <v>0</v>
      </c>
      <c r="CP217" s="1"/>
      <c r="CQ217" s="79">
        <f t="shared" si="712"/>
        <v>0</v>
      </c>
      <c r="CR217" s="1"/>
      <c r="CS217" s="79">
        <f t="shared" si="630"/>
        <v>0</v>
      </c>
      <c r="CT217" s="79"/>
      <c r="CU217" s="79">
        <f t="shared" si="709"/>
        <v>0</v>
      </c>
      <c r="CV217" s="79"/>
      <c r="CW217" s="79">
        <f t="shared" si="632"/>
        <v>0</v>
      </c>
      <c r="CX217" s="79"/>
      <c r="CY217" s="91"/>
      <c r="CZ217" s="79">
        <f t="shared" si="720"/>
        <v>0</v>
      </c>
      <c r="DA217" s="93"/>
      <c r="DB217" s="93">
        <f t="shared" si="733"/>
        <v>0</v>
      </c>
      <c r="DC217" s="96"/>
      <c r="DD217" s="93">
        <f t="shared" si="635"/>
        <v>0</v>
      </c>
      <c r="DE217" s="96"/>
      <c r="DF217" s="93">
        <f t="shared" si="773"/>
        <v>0</v>
      </c>
      <c r="DG217" s="96"/>
      <c r="DH217" s="93">
        <f t="shared" si="734"/>
        <v>0</v>
      </c>
      <c r="DI217" s="96"/>
      <c r="DJ217" s="93">
        <f t="shared" si="782"/>
        <v>0</v>
      </c>
      <c r="DK217" s="93"/>
      <c r="DL217" s="93">
        <f t="shared" si="739"/>
        <v>0</v>
      </c>
      <c r="DM217" s="100">
        <v>0.0</v>
      </c>
      <c r="DN217" s="93">
        <f t="shared" si="688"/>
        <v>0</v>
      </c>
      <c r="DO217" s="100">
        <v>0.0</v>
      </c>
      <c r="DP217" s="93">
        <f t="shared" si="721"/>
        <v>0</v>
      </c>
      <c r="DQ217" s="100">
        <v>0.0</v>
      </c>
      <c r="DR217" s="93">
        <f t="shared" si="693"/>
        <v>0</v>
      </c>
      <c r="DS217" s="100">
        <v>0.0</v>
      </c>
      <c r="DT217" s="93">
        <f t="shared" si="774"/>
        <v>0</v>
      </c>
      <c r="DU217" s="100">
        <v>0.0</v>
      </c>
      <c r="DV217" s="93">
        <f t="shared" si="61"/>
        <v>0</v>
      </c>
    </row>
    <row r="218">
      <c r="A218" s="7" t="s">
        <v>865</v>
      </c>
      <c r="B218" s="7" t="s">
        <v>229</v>
      </c>
      <c r="C218" s="76" t="str">
        <f t="array" ref="C218">_xlfn.XLOOKUP(A218,'Emp Master'!A:A,'Emp Master'!F:F)</f>
        <v>DEL</v>
      </c>
      <c r="D218" s="76" t="str">
        <f t="array" ref="D218">_xlfn.XLOOKUP(A218,'Emp Master'!A:A,'Emp Master'!D:D)</f>
        <v>Backend Ops</v>
      </c>
      <c r="E218" s="76" t="str">
        <f t="shared" si="326"/>
        <v>#REF!</v>
      </c>
      <c r="F218" s="76">
        <v>1000.0</v>
      </c>
      <c r="G218" s="79">
        <v>11000.0</v>
      </c>
      <c r="H218" s="80">
        <v>1000.0</v>
      </c>
      <c r="I218" s="79">
        <f t="shared" si="777"/>
        <v>10000</v>
      </c>
      <c r="J218" s="126">
        <v>1000.0</v>
      </c>
      <c r="K218" s="79">
        <f t="shared" si="740"/>
        <v>9000</v>
      </c>
      <c r="L218" s="126">
        <v>0.0</v>
      </c>
      <c r="M218" s="79">
        <f t="shared" si="741"/>
        <v>9000</v>
      </c>
      <c r="N218" s="80">
        <v>1000.0</v>
      </c>
      <c r="O218" s="79">
        <f t="shared" si="742"/>
        <v>8000</v>
      </c>
      <c r="P218" s="80">
        <v>1000.0</v>
      </c>
      <c r="Q218" s="79">
        <f t="shared" si="743"/>
        <v>7000</v>
      </c>
      <c r="R218" s="106">
        <v>1000.0</v>
      </c>
      <c r="S218" s="79">
        <f t="shared" si="744"/>
        <v>6000</v>
      </c>
      <c r="T218" s="106">
        <v>1000.0</v>
      </c>
      <c r="U218" s="79">
        <f t="shared" si="778"/>
        <v>5000</v>
      </c>
      <c r="V218" s="106">
        <v>1000.0</v>
      </c>
      <c r="W218" s="79">
        <f t="shared" si="745"/>
        <v>4000</v>
      </c>
      <c r="X218" s="106">
        <v>1000.0</v>
      </c>
      <c r="Y218" s="79">
        <f t="shared" si="746"/>
        <v>3000</v>
      </c>
      <c r="Z218" s="106">
        <v>1000.0</v>
      </c>
      <c r="AA218" s="79">
        <f t="shared" si="747"/>
        <v>2000</v>
      </c>
      <c r="AB218" s="106">
        <v>1000.0</v>
      </c>
      <c r="AC218" s="79">
        <f t="shared" si="748"/>
        <v>1000</v>
      </c>
      <c r="AD218" s="106">
        <v>1000.0</v>
      </c>
      <c r="AE218" s="79">
        <f t="shared" si="779"/>
        <v>0</v>
      </c>
      <c r="AF218" s="1"/>
      <c r="AG218" s="79">
        <f t="shared" si="749"/>
        <v>0</v>
      </c>
      <c r="AH218" s="1"/>
      <c r="AI218" s="79">
        <f t="shared" si="775"/>
        <v>0</v>
      </c>
      <c r="AJ218" s="1"/>
      <c r="AK218" s="79">
        <f t="shared" si="750"/>
        <v>0</v>
      </c>
      <c r="AL218" s="1"/>
      <c r="AM218" s="79">
        <f t="shared" si="751"/>
        <v>0</v>
      </c>
      <c r="AN218" s="1"/>
      <c r="AO218" s="79">
        <f>AM218-AN218+15000</f>
        <v>15000</v>
      </c>
      <c r="AP218" s="1"/>
      <c r="AQ218" s="79">
        <f t="shared" si="780"/>
        <v>15000</v>
      </c>
      <c r="AR218" s="106">
        <v>1000.0</v>
      </c>
      <c r="AS218" s="79">
        <f t="shared" si="753"/>
        <v>14000</v>
      </c>
      <c r="AT218" s="106">
        <v>1000.0</v>
      </c>
      <c r="AU218" s="79">
        <f t="shared" si="776"/>
        <v>13000</v>
      </c>
      <c r="AV218" s="106">
        <v>1000.0</v>
      </c>
      <c r="AW218" s="79">
        <f t="shared" si="754"/>
        <v>12000</v>
      </c>
      <c r="AX218" s="106">
        <v>1000.0</v>
      </c>
      <c r="AY218" s="79">
        <f t="shared" si="755"/>
        <v>11000</v>
      </c>
      <c r="AZ218" s="106">
        <v>1000.0</v>
      </c>
      <c r="BA218" s="79">
        <f t="shared" si="756"/>
        <v>10000</v>
      </c>
      <c r="BB218" s="106">
        <v>1000.0</v>
      </c>
      <c r="BC218" s="79">
        <f t="shared" si="757"/>
        <v>9000</v>
      </c>
      <c r="BD218" s="106">
        <v>1000.0</v>
      </c>
      <c r="BE218" s="79">
        <f t="shared" si="758"/>
        <v>8000</v>
      </c>
      <c r="BF218" s="106">
        <v>1000.0</v>
      </c>
      <c r="BG218" s="79">
        <f t="shared" si="759"/>
        <v>7000</v>
      </c>
      <c r="BH218" s="106">
        <v>1000.0</v>
      </c>
      <c r="BI218" s="79">
        <f t="shared" si="760"/>
        <v>6000</v>
      </c>
      <c r="BJ218" s="106">
        <v>1000.0</v>
      </c>
      <c r="BK218" s="79">
        <f t="shared" si="761"/>
        <v>5000</v>
      </c>
      <c r="BL218" s="106">
        <v>1000.0</v>
      </c>
      <c r="BM218" s="79">
        <f t="shared" si="762"/>
        <v>4000</v>
      </c>
      <c r="BN218" s="106">
        <v>1000.0</v>
      </c>
      <c r="BO218" s="79">
        <f t="shared" si="763"/>
        <v>3000</v>
      </c>
      <c r="BP218" s="106">
        <v>1000.0</v>
      </c>
      <c r="BQ218" s="79">
        <f t="shared" si="764"/>
        <v>2000</v>
      </c>
      <c r="BR218" s="106">
        <v>1000.0</v>
      </c>
      <c r="BS218" s="79">
        <f t="shared" si="765"/>
        <v>1000</v>
      </c>
      <c r="BT218" s="106">
        <v>1000.0</v>
      </c>
      <c r="BU218" s="79">
        <f t="shared" si="766"/>
        <v>0</v>
      </c>
      <c r="BV218" s="1"/>
      <c r="BW218" s="79">
        <f t="shared" si="767"/>
        <v>0</v>
      </c>
      <c r="BX218" s="1"/>
      <c r="BY218" s="79">
        <f t="shared" si="768"/>
        <v>0</v>
      </c>
      <c r="BZ218" s="1"/>
      <c r="CA218" s="79">
        <f t="shared" si="769"/>
        <v>0</v>
      </c>
      <c r="CB218" s="1"/>
      <c r="CC218" s="79">
        <f t="shared" si="770"/>
        <v>0</v>
      </c>
      <c r="CD218" s="1"/>
      <c r="CE218" s="79">
        <f t="shared" si="771"/>
        <v>0</v>
      </c>
      <c r="CF218" s="1"/>
      <c r="CG218" s="79">
        <f t="shared" si="781"/>
        <v>0</v>
      </c>
      <c r="CH218" s="1"/>
      <c r="CI218" s="79">
        <f t="shared" si="772"/>
        <v>0</v>
      </c>
      <c r="CJ218" s="1"/>
      <c r="CK218" s="79">
        <f t="shared" si="737"/>
        <v>0</v>
      </c>
      <c r="CL218" s="1"/>
      <c r="CM218" s="79">
        <f t="shared" si="738"/>
        <v>0</v>
      </c>
      <c r="CN218" s="1"/>
      <c r="CO218" s="79">
        <f t="shared" si="680"/>
        <v>0</v>
      </c>
      <c r="CP218" s="1"/>
      <c r="CQ218" s="79">
        <f t="shared" si="712"/>
        <v>0</v>
      </c>
      <c r="CR218" s="1"/>
      <c r="CS218" s="79">
        <f t="shared" si="630"/>
        <v>0</v>
      </c>
      <c r="CT218" s="79"/>
      <c r="CU218" s="79">
        <f t="shared" si="709"/>
        <v>0</v>
      </c>
      <c r="CV218" s="79"/>
      <c r="CW218" s="79">
        <f t="shared" si="632"/>
        <v>0</v>
      </c>
      <c r="CX218" s="79"/>
      <c r="CY218" s="91"/>
      <c r="CZ218" s="79">
        <f t="shared" si="720"/>
        <v>0</v>
      </c>
      <c r="DA218" s="93"/>
      <c r="DB218" s="93">
        <f t="shared" si="733"/>
        <v>0</v>
      </c>
      <c r="DC218" s="96"/>
      <c r="DD218" s="93">
        <f t="shared" si="635"/>
        <v>0</v>
      </c>
      <c r="DE218" s="96"/>
      <c r="DF218" s="93">
        <f t="shared" si="773"/>
        <v>0</v>
      </c>
      <c r="DG218" s="96"/>
      <c r="DH218" s="93">
        <f t="shared" si="734"/>
        <v>0</v>
      </c>
      <c r="DI218" s="96"/>
      <c r="DJ218" s="93">
        <f t="shared" si="782"/>
        <v>0</v>
      </c>
      <c r="DK218" s="93"/>
      <c r="DL218" s="93">
        <f t="shared" si="739"/>
        <v>0</v>
      </c>
      <c r="DM218" s="100">
        <v>0.0</v>
      </c>
      <c r="DN218" s="93">
        <f t="shared" si="688"/>
        <v>0</v>
      </c>
      <c r="DO218" s="100">
        <v>0.0</v>
      </c>
      <c r="DP218" s="93">
        <f t="shared" si="721"/>
        <v>0</v>
      </c>
      <c r="DQ218" s="100">
        <v>0.0</v>
      </c>
      <c r="DR218" s="93">
        <f t="shared" si="693"/>
        <v>0</v>
      </c>
      <c r="DS218" s="100">
        <v>0.0</v>
      </c>
      <c r="DT218" s="93">
        <f t="shared" si="774"/>
        <v>0</v>
      </c>
      <c r="DU218" s="100">
        <v>0.0</v>
      </c>
      <c r="DV218" s="93">
        <f t="shared" si="61"/>
        <v>0</v>
      </c>
    </row>
    <row r="219">
      <c r="A219" s="7" t="s">
        <v>870</v>
      </c>
      <c r="B219" s="7" t="s">
        <v>871</v>
      </c>
      <c r="C219" s="76"/>
      <c r="D219" s="76"/>
      <c r="E219" s="76" t="str">
        <f t="shared" si="326"/>
        <v>#REF!</v>
      </c>
      <c r="F219" s="76"/>
      <c r="G219" s="79"/>
      <c r="H219" s="80"/>
      <c r="I219" s="79">
        <f t="shared" si="777"/>
        <v>0</v>
      </c>
      <c r="J219" s="80"/>
      <c r="K219" s="79">
        <f t="shared" si="740"/>
        <v>0</v>
      </c>
      <c r="L219" s="80"/>
      <c r="M219" s="79">
        <f t="shared" si="741"/>
        <v>0</v>
      </c>
      <c r="N219" s="80"/>
      <c r="O219" s="79">
        <f t="shared" si="742"/>
        <v>0</v>
      </c>
      <c r="P219" s="80"/>
      <c r="Q219" s="79">
        <f t="shared" si="743"/>
        <v>0</v>
      </c>
      <c r="R219" s="1"/>
      <c r="S219" s="79">
        <f t="shared" si="744"/>
        <v>0</v>
      </c>
      <c r="T219" s="1"/>
      <c r="U219" s="79">
        <f t="shared" si="778"/>
        <v>0</v>
      </c>
      <c r="V219" s="1"/>
      <c r="W219" s="79">
        <f t="shared" si="745"/>
        <v>0</v>
      </c>
      <c r="X219" s="1"/>
      <c r="Y219" s="79">
        <f t="shared" si="746"/>
        <v>0</v>
      </c>
      <c r="Z219" s="1"/>
      <c r="AA219" s="79">
        <f t="shared" si="747"/>
        <v>0</v>
      </c>
      <c r="AB219" s="1"/>
      <c r="AC219" s="79">
        <f t="shared" si="748"/>
        <v>0</v>
      </c>
      <c r="AD219" s="1"/>
      <c r="AE219" s="79">
        <f t="shared" si="779"/>
        <v>0</v>
      </c>
      <c r="AF219" s="1"/>
      <c r="AG219" s="79">
        <f t="shared" si="749"/>
        <v>0</v>
      </c>
      <c r="AH219" s="1"/>
      <c r="AI219" s="79">
        <f t="shared" si="775"/>
        <v>0</v>
      </c>
      <c r="AJ219" s="1"/>
      <c r="AK219" s="79">
        <f t="shared" si="750"/>
        <v>0</v>
      </c>
      <c r="AL219" s="1"/>
      <c r="AM219" s="79">
        <f t="shared" si="751"/>
        <v>0</v>
      </c>
      <c r="AN219" s="1"/>
      <c r="AO219" s="79">
        <f t="shared" ref="AO219:AO220" si="783">AM219-AN219</f>
        <v>0</v>
      </c>
      <c r="AP219" s="1"/>
      <c r="AQ219" s="79">
        <f>AO219-AP219+30000+17533</f>
        <v>47533</v>
      </c>
      <c r="AR219" s="106">
        <v>17533.0</v>
      </c>
      <c r="AS219" s="79">
        <f t="shared" si="753"/>
        <v>30000</v>
      </c>
      <c r="AT219" s="1"/>
      <c r="AU219" s="79">
        <f t="shared" si="776"/>
        <v>30000</v>
      </c>
      <c r="AV219" s="1"/>
      <c r="AW219" s="79">
        <f t="shared" si="754"/>
        <v>30000</v>
      </c>
      <c r="AX219" s="1"/>
      <c r="AY219" s="79">
        <f t="shared" si="755"/>
        <v>30000</v>
      </c>
      <c r="AZ219" s="106">
        <v>3000.0</v>
      </c>
      <c r="BA219" s="79">
        <f t="shared" si="756"/>
        <v>27000</v>
      </c>
      <c r="BB219" s="106">
        <v>2000.0</v>
      </c>
      <c r="BC219" s="79">
        <f t="shared" si="757"/>
        <v>25000</v>
      </c>
      <c r="BD219" s="106">
        <v>2000.0</v>
      </c>
      <c r="BE219" s="79">
        <f t="shared" si="758"/>
        <v>23000</v>
      </c>
      <c r="BF219" s="106">
        <v>2000.0</v>
      </c>
      <c r="BG219" s="79">
        <f t="shared" si="759"/>
        <v>21000</v>
      </c>
      <c r="BH219" s="106">
        <v>2000.0</v>
      </c>
      <c r="BI219" s="79">
        <f t="shared" si="760"/>
        <v>19000</v>
      </c>
      <c r="BJ219" s="106">
        <v>2000.0</v>
      </c>
      <c r="BK219" s="79">
        <f t="shared" si="761"/>
        <v>17000</v>
      </c>
      <c r="BL219" s="106">
        <v>2000.0</v>
      </c>
      <c r="BM219" s="79">
        <f t="shared" si="762"/>
        <v>15000</v>
      </c>
      <c r="BN219" s="106">
        <v>2000.0</v>
      </c>
      <c r="BO219" s="79">
        <f t="shared" si="763"/>
        <v>13000</v>
      </c>
      <c r="BP219" s="106">
        <v>2000.0</v>
      </c>
      <c r="BQ219" s="79">
        <f t="shared" si="764"/>
        <v>11000</v>
      </c>
      <c r="BR219" s="106">
        <v>2000.0</v>
      </c>
      <c r="BS219" s="79">
        <f t="shared" si="765"/>
        <v>9000</v>
      </c>
      <c r="BT219" s="106">
        <v>2000.0</v>
      </c>
      <c r="BU219" s="79">
        <f t="shared" si="766"/>
        <v>7000</v>
      </c>
      <c r="BV219" s="106">
        <v>2000.0</v>
      </c>
      <c r="BW219" s="79">
        <f t="shared" si="767"/>
        <v>5000</v>
      </c>
      <c r="BX219" s="106">
        <v>2000.0</v>
      </c>
      <c r="BY219" s="79">
        <f t="shared" si="768"/>
        <v>3000</v>
      </c>
      <c r="BZ219" s="106">
        <v>3000.0</v>
      </c>
      <c r="CA219" s="79">
        <f t="shared" si="769"/>
        <v>0</v>
      </c>
      <c r="CB219" s="1"/>
      <c r="CC219" s="79">
        <f t="shared" si="770"/>
        <v>0</v>
      </c>
      <c r="CD219" s="1"/>
      <c r="CE219" s="79">
        <f t="shared" si="771"/>
        <v>0</v>
      </c>
      <c r="CF219" s="1"/>
      <c r="CG219" s="79">
        <f t="shared" si="781"/>
        <v>0</v>
      </c>
      <c r="CH219" s="1"/>
      <c r="CI219" s="79">
        <f t="shared" si="772"/>
        <v>0</v>
      </c>
      <c r="CJ219" s="1"/>
      <c r="CK219" s="79">
        <f t="shared" si="737"/>
        <v>0</v>
      </c>
      <c r="CL219" s="1"/>
      <c r="CM219" s="79">
        <f t="shared" si="738"/>
        <v>0</v>
      </c>
      <c r="CN219" s="1"/>
      <c r="CO219" s="79">
        <f t="shared" si="680"/>
        <v>0</v>
      </c>
      <c r="CP219" s="1"/>
      <c r="CQ219" s="79">
        <f t="shared" si="712"/>
        <v>0</v>
      </c>
      <c r="CR219" s="1"/>
      <c r="CS219" s="79">
        <f t="shared" si="630"/>
        <v>0</v>
      </c>
      <c r="CT219" s="79"/>
      <c r="CU219" s="79">
        <f t="shared" si="709"/>
        <v>0</v>
      </c>
      <c r="CV219" s="79"/>
      <c r="CW219" s="79">
        <f t="shared" si="632"/>
        <v>0</v>
      </c>
      <c r="CX219" s="79"/>
      <c r="CY219" s="91"/>
      <c r="CZ219" s="79">
        <f t="shared" si="720"/>
        <v>0</v>
      </c>
      <c r="DA219" s="93"/>
      <c r="DB219" s="93">
        <f t="shared" si="733"/>
        <v>0</v>
      </c>
      <c r="DC219" s="96"/>
      <c r="DD219" s="93">
        <f>DB219-DC219+25000</f>
        <v>25000</v>
      </c>
      <c r="DE219" s="178">
        <v>3000.0</v>
      </c>
      <c r="DF219" s="93">
        <f t="shared" si="773"/>
        <v>22000</v>
      </c>
      <c r="DG219" s="178">
        <v>3000.0</v>
      </c>
      <c r="DH219" s="93">
        <f t="shared" si="734"/>
        <v>19000</v>
      </c>
      <c r="DI219" s="178">
        <v>3000.0</v>
      </c>
      <c r="DJ219" s="93">
        <f t="shared" si="782"/>
        <v>16000</v>
      </c>
      <c r="DK219" s="100">
        <v>3000.0</v>
      </c>
      <c r="DL219" s="93">
        <f t="shared" si="739"/>
        <v>13000</v>
      </c>
      <c r="DM219" s="100">
        <v>3000.0</v>
      </c>
      <c r="DN219" s="93">
        <f t="shared" si="688"/>
        <v>10000</v>
      </c>
      <c r="DO219" s="100">
        <v>0.0</v>
      </c>
      <c r="DP219" s="93">
        <f t="shared" si="721"/>
        <v>10000</v>
      </c>
      <c r="DQ219" s="100">
        <v>3000.0</v>
      </c>
      <c r="DR219" s="93">
        <f t="shared" si="693"/>
        <v>7000</v>
      </c>
      <c r="DS219" s="100">
        <v>3000.0</v>
      </c>
      <c r="DT219" s="93">
        <f t="shared" si="774"/>
        <v>4000</v>
      </c>
      <c r="DU219" s="100">
        <v>2000.0</v>
      </c>
      <c r="DV219" s="93">
        <f t="shared" si="61"/>
        <v>2000</v>
      </c>
    </row>
    <row r="220">
      <c r="A220" s="7" t="s">
        <v>1005</v>
      </c>
      <c r="B220" s="7" t="s">
        <v>1006</v>
      </c>
      <c r="C220" s="76" t="str">
        <f t="array" ref="C220">_xlfn.XLOOKUP(A220,'Emp Master'!A:A,'Emp Master'!F:F)</f>
        <v>#N/A</v>
      </c>
      <c r="D220" s="76" t="str">
        <f t="array" ref="D220">_xlfn.XLOOKUP(A220,'Emp Master'!A:A,'Emp Master'!D:D)</f>
        <v>#N/A</v>
      </c>
      <c r="E220" s="76" t="str">
        <f t="shared" si="326"/>
        <v>#REF!</v>
      </c>
      <c r="F220" s="76">
        <v>2000.0</v>
      </c>
      <c r="G220" s="79">
        <v>8000.0</v>
      </c>
      <c r="H220" s="80">
        <v>2000.0</v>
      </c>
      <c r="I220" s="79">
        <f t="shared" si="777"/>
        <v>6000</v>
      </c>
      <c r="J220" s="80">
        <v>2000.0</v>
      </c>
      <c r="K220" s="79">
        <f t="shared" si="740"/>
        <v>4000</v>
      </c>
      <c r="L220" s="80">
        <v>2000.0</v>
      </c>
      <c r="M220" s="79">
        <f t="shared" si="741"/>
        <v>2000</v>
      </c>
      <c r="N220" s="80">
        <v>2000.0</v>
      </c>
      <c r="O220" s="79">
        <f t="shared" si="742"/>
        <v>0</v>
      </c>
      <c r="P220" s="80"/>
      <c r="Q220" s="79">
        <f t="shared" si="743"/>
        <v>0</v>
      </c>
      <c r="R220" s="1"/>
      <c r="S220" s="79">
        <f t="shared" si="744"/>
        <v>0</v>
      </c>
      <c r="T220" s="1"/>
      <c r="U220" s="79">
        <f t="shared" si="778"/>
        <v>0</v>
      </c>
      <c r="V220" s="1"/>
      <c r="W220" s="79">
        <f t="shared" si="745"/>
        <v>0</v>
      </c>
      <c r="X220" s="1"/>
      <c r="Y220" s="79">
        <f>W220-X220+20000</f>
        <v>20000</v>
      </c>
      <c r="Z220" s="106">
        <v>2000.0</v>
      </c>
      <c r="AA220" s="79">
        <f t="shared" si="747"/>
        <v>18000</v>
      </c>
      <c r="AB220" s="106">
        <v>2000.0</v>
      </c>
      <c r="AC220" s="79">
        <f t="shared" si="748"/>
        <v>16000</v>
      </c>
      <c r="AD220" s="106">
        <v>2000.0</v>
      </c>
      <c r="AE220" s="79">
        <f t="shared" si="779"/>
        <v>14000</v>
      </c>
      <c r="AF220" s="106">
        <v>2000.0</v>
      </c>
      <c r="AG220" s="79">
        <f t="shared" si="749"/>
        <v>12000</v>
      </c>
      <c r="AH220" s="106">
        <v>2000.0</v>
      </c>
      <c r="AI220" s="79">
        <f t="shared" si="775"/>
        <v>10000</v>
      </c>
      <c r="AJ220" s="106">
        <v>2000.0</v>
      </c>
      <c r="AK220" s="79">
        <f t="shared" si="750"/>
        <v>8000</v>
      </c>
      <c r="AL220" s="106">
        <v>2000.0</v>
      </c>
      <c r="AM220" s="79">
        <f t="shared" si="751"/>
        <v>6000</v>
      </c>
      <c r="AN220" s="106">
        <v>2000.0</v>
      </c>
      <c r="AO220" s="79">
        <f t="shared" si="783"/>
        <v>4000</v>
      </c>
      <c r="AP220" s="106">
        <v>2000.0</v>
      </c>
      <c r="AQ220" s="79">
        <f>AO220-AP220</f>
        <v>2000</v>
      </c>
      <c r="AR220" s="106">
        <v>2000.0</v>
      </c>
      <c r="AS220" s="79">
        <f t="shared" si="753"/>
        <v>0</v>
      </c>
      <c r="AT220" s="1"/>
      <c r="AU220" s="79">
        <f t="shared" si="776"/>
        <v>0</v>
      </c>
      <c r="AV220" s="1"/>
      <c r="AW220" s="79">
        <f>AU220-AV220+40000</f>
        <v>40000</v>
      </c>
      <c r="AX220" s="106">
        <v>3000.0</v>
      </c>
      <c r="AY220" s="79">
        <f t="shared" si="755"/>
        <v>37000</v>
      </c>
      <c r="AZ220" s="106">
        <v>3000.0</v>
      </c>
      <c r="BA220" s="79">
        <f t="shared" si="756"/>
        <v>34000</v>
      </c>
      <c r="BB220" s="106">
        <v>4000.0</v>
      </c>
      <c r="BC220" s="79">
        <f t="shared" si="757"/>
        <v>30000</v>
      </c>
      <c r="BD220" s="106">
        <v>3000.0</v>
      </c>
      <c r="BE220" s="79">
        <f t="shared" si="758"/>
        <v>27000</v>
      </c>
      <c r="BF220" s="106">
        <v>3000.0</v>
      </c>
      <c r="BG220" s="79">
        <f t="shared" si="759"/>
        <v>24000</v>
      </c>
      <c r="BH220" s="106">
        <v>3000.0</v>
      </c>
      <c r="BI220" s="79">
        <f t="shared" si="760"/>
        <v>21000</v>
      </c>
      <c r="BJ220" s="106">
        <v>3000.0</v>
      </c>
      <c r="BK220" s="79">
        <f t="shared" si="761"/>
        <v>18000</v>
      </c>
      <c r="BL220" s="106">
        <v>3000.0</v>
      </c>
      <c r="BM220" s="79">
        <f t="shared" si="762"/>
        <v>15000</v>
      </c>
      <c r="BN220" s="106">
        <v>3000.0</v>
      </c>
      <c r="BO220" s="79">
        <f t="shared" si="763"/>
        <v>12000</v>
      </c>
      <c r="BP220" s="106">
        <v>3000.0</v>
      </c>
      <c r="BQ220" s="79">
        <f t="shared" si="764"/>
        <v>9000</v>
      </c>
      <c r="BR220" s="106">
        <v>3000.0</v>
      </c>
      <c r="BS220" s="79">
        <f t="shared" si="765"/>
        <v>6000</v>
      </c>
      <c r="BT220" s="106">
        <v>3000.0</v>
      </c>
      <c r="BU220" s="79">
        <f t="shared" si="766"/>
        <v>3000</v>
      </c>
      <c r="BV220" s="106">
        <v>3000.0</v>
      </c>
      <c r="BW220" s="79">
        <f t="shared" si="767"/>
        <v>0</v>
      </c>
      <c r="BX220" s="1"/>
      <c r="BY220" s="79">
        <f>BW220-BX220+40000</f>
        <v>40000</v>
      </c>
      <c r="BZ220" s="106">
        <v>3000.0</v>
      </c>
      <c r="CA220" s="80">
        <f>BY220-BZ220-12000</f>
        <v>25000</v>
      </c>
      <c r="CB220" s="106">
        <v>8000.0</v>
      </c>
      <c r="CC220" s="79">
        <f t="shared" si="770"/>
        <v>17000</v>
      </c>
      <c r="CD220" s="106">
        <v>8500.0</v>
      </c>
      <c r="CE220" s="79">
        <f t="shared" si="771"/>
        <v>8500</v>
      </c>
      <c r="CF220" s="1"/>
      <c r="CG220" s="79">
        <f t="shared" si="781"/>
        <v>8500</v>
      </c>
      <c r="CH220" s="106">
        <v>0.0</v>
      </c>
      <c r="CI220" s="79">
        <f t="shared" si="772"/>
        <v>8500</v>
      </c>
      <c r="CJ220" s="106">
        <v>0.0</v>
      </c>
      <c r="CK220" s="79">
        <f t="shared" si="737"/>
        <v>8500</v>
      </c>
      <c r="CL220" s="106"/>
      <c r="CM220" s="79">
        <f t="shared" si="738"/>
        <v>8500</v>
      </c>
      <c r="CN220" s="106">
        <v>8500.0</v>
      </c>
      <c r="CO220" s="79">
        <f t="shared" si="680"/>
        <v>0</v>
      </c>
      <c r="CP220" s="106"/>
      <c r="CQ220" s="79">
        <f t="shared" si="712"/>
        <v>0</v>
      </c>
      <c r="CR220" s="106"/>
      <c r="CS220" s="79">
        <f t="shared" si="630"/>
        <v>0</v>
      </c>
      <c r="CT220" s="79"/>
      <c r="CU220" s="79">
        <f t="shared" si="709"/>
        <v>0</v>
      </c>
      <c r="CV220" s="79"/>
      <c r="CW220" s="79">
        <f t="shared" si="632"/>
        <v>0</v>
      </c>
      <c r="CX220" s="79"/>
      <c r="CY220" s="91"/>
      <c r="CZ220" s="79">
        <f t="shared" si="720"/>
        <v>0</v>
      </c>
      <c r="DA220" s="93"/>
      <c r="DB220" s="93">
        <f>CZ220-DA220+40000</f>
        <v>40000</v>
      </c>
      <c r="DC220" s="178"/>
      <c r="DD220" s="93">
        <f t="shared" ref="DD220:DD223" si="784">DB220-DC220</f>
        <v>40000</v>
      </c>
      <c r="DE220" s="178">
        <v>8000.0</v>
      </c>
      <c r="DF220" s="93">
        <f t="shared" si="773"/>
        <v>32000</v>
      </c>
      <c r="DG220" s="304">
        <v>0.0</v>
      </c>
      <c r="DH220" s="93">
        <f t="shared" si="734"/>
        <v>32000</v>
      </c>
      <c r="DI220" s="304"/>
      <c r="DJ220" s="93">
        <f t="shared" si="782"/>
        <v>32000</v>
      </c>
      <c r="DK220" s="93"/>
      <c r="DL220" s="93">
        <f>DJ220-DK220+7500</f>
        <v>39500</v>
      </c>
      <c r="DM220" s="100">
        <v>4500.0</v>
      </c>
      <c r="DN220" s="93">
        <f t="shared" si="688"/>
        <v>35000</v>
      </c>
      <c r="DO220" s="100">
        <v>5000.0</v>
      </c>
      <c r="DP220" s="93">
        <f t="shared" si="721"/>
        <v>30000</v>
      </c>
      <c r="DQ220" s="100">
        <v>5000.0</v>
      </c>
      <c r="DR220" s="93">
        <f t="shared" si="693"/>
        <v>25000</v>
      </c>
      <c r="DS220" s="100">
        <v>25000.0</v>
      </c>
      <c r="DT220" s="93">
        <f t="shared" si="774"/>
        <v>0</v>
      </c>
      <c r="DU220" s="100">
        <v>0.0</v>
      </c>
      <c r="DV220" s="93">
        <f t="shared" si="61"/>
        <v>0</v>
      </c>
    </row>
    <row r="221">
      <c r="A221" s="106" t="s">
        <v>872</v>
      </c>
      <c r="B221" s="106" t="s">
        <v>873</v>
      </c>
      <c r="C221" s="76" t="str">
        <f t="array" ref="C221">_xlfn.XLOOKUP(A221,'Emp Master'!A:A,'Emp Master'!F:F)</f>
        <v>MUM</v>
      </c>
      <c r="D221" s="76" t="str">
        <f t="array" ref="D221">_xlfn.XLOOKUP(A221,'Emp Master'!A:A,'Emp Master'!D:D)</f>
        <v>Cutting</v>
      </c>
      <c r="E221" s="76" t="str">
        <f t="shared" si="326"/>
        <v>#REF!</v>
      </c>
      <c r="F221" s="76"/>
      <c r="G221" s="79"/>
      <c r="H221" s="80"/>
      <c r="I221" s="79"/>
      <c r="J221" s="80"/>
      <c r="K221" s="79"/>
      <c r="L221" s="142"/>
      <c r="M221" s="1"/>
      <c r="N221" s="142"/>
      <c r="O221" s="1"/>
      <c r="P221" s="142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79">
        <f t="shared" si="760"/>
        <v>0</v>
      </c>
      <c r="BJ221" s="1"/>
      <c r="BK221" s="1"/>
      <c r="BL221" s="1"/>
      <c r="BM221" s="79">
        <f>BK221-BL221+2000</f>
        <v>2000</v>
      </c>
      <c r="BN221" s="106">
        <v>2000.0</v>
      </c>
      <c r="BO221" s="79">
        <f t="shared" si="763"/>
        <v>0</v>
      </c>
      <c r="BP221" s="1"/>
      <c r="BQ221" s="79">
        <f t="shared" si="764"/>
        <v>0</v>
      </c>
      <c r="BR221" s="1"/>
      <c r="BS221" s="79">
        <f t="shared" si="765"/>
        <v>0</v>
      </c>
      <c r="BT221" s="1"/>
      <c r="BU221" s="79">
        <f>BS221-BT221+20000</f>
        <v>20000</v>
      </c>
      <c r="BV221" s="106">
        <v>2000.0</v>
      </c>
      <c r="BW221" s="79">
        <f t="shared" si="767"/>
        <v>18000</v>
      </c>
      <c r="BX221" s="106">
        <v>2000.0</v>
      </c>
      <c r="BY221" s="79">
        <f t="shared" ref="BY221:BY222" si="785">BW221-BX221</f>
        <v>16000</v>
      </c>
      <c r="BZ221" s="106">
        <v>2000.0</v>
      </c>
      <c r="CA221" s="79">
        <f t="shared" ref="CA221:CA222" si="786">BY221-BZ221</f>
        <v>14000</v>
      </c>
      <c r="CB221" s="106">
        <v>2000.0</v>
      </c>
      <c r="CC221" s="79">
        <f t="shared" si="770"/>
        <v>12000</v>
      </c>
      <c r="CD221" s="106">
        <v>2000.0</v>
      </c>
      <c r="CE221" s="79">
        <f t="shared" si="771"/>
        <v>10000</v>
      </c>
      <c r="CF221" s="106">
        <v>2000.0</v>
      </c>
      <c r="CG221" s="79">
        <f t="shared" si="781"/>
        <v>8000</v>
      </c>
      <c r="CH221" s="106"/>
      <c r="CI221" s="79">
        <f t="shared" si="772"/>
        <v>8000</v>
      </c>
      <c r="CJ221" s="106"/>
      <c r="CK221" s="79">
        <f t="shared" si="737"/>
        <v>8000</v>
      </c>
      <c r="CL221" s="106"/>
      <c r="CM221" s="79">
        <f t="shared" si="738"/>
        <v>8000</v>
      </c>
      <c r="CN221" s="106"/>
      <c r="CO221" s="79">
        <f t="shared" si="680"/>
        <v>8000</v>
      </c>
      <c r="CP221" s="106"/>
      <c r="CQ221" s="79">
        <f t="shared" si="712"/>
        <v>8000</v>
      </c>
      <c r="CR221" s="106">
        <v>8000.0</v>
      </c>
      <c r="CS221" s="79">
        <f>CQ221-CR221+25000</f>
        <v>25000</v>
      </c>
      <c r="CT221" s="24"/>
      <c r="CU221" s="79">
        <f t="shared" si="709"/>
        <v>25000</v>
      </c>
      <c r="CV221" s="24">
        <v>2500.0</v>
      </c>
      <c r="CW221" s="79">
        <f t="shared" si="632"/>
        <v>22500</v>
      </c>
      <c r="CX221" s="24">
        <v>2500.0</v>
      </c>
      <c r="CY221" s="91">
        <v>20000.0</v>
      </c>
      <c r="CZ221" s="79">
        <f>CW221-CX221-CY221+17500</f>
        <v>17500</v>
      </c>
      <c r="DA221" s="100">
        <v>2500.0</v>
      </c>
      <c r="DB221" s="93">
        <f t="shared" ref="DB221:DB232" si="787">CZ221-DA221</f>
        <v>15000</v>
      </c>
      <c r="DC221" s="207">
        <v>2500.0</v>
      </c>
      <c r="DD221" s="93">
        <f t="shared" si="784"/>
        <v>12500</v>
      </c>
      <c r="DE221" s="207">
        <v>2500.0</v>
      </c>
      <c r="DF221" s="93">
        <f t="shared" si="773"/>
        <v>10000</v>
      </c>
      <c r="DG221" s="178">
        <v>2500.0</v>
      </c>
      <c r="DH221" s="93">
        <f t="shared" si="734"/>
        <v>7500</v>
      </c>
      <c r="DI221" s="178">
        <v>2500.0</v>
      </c>
      <c r="DJ221" s="93">
        <f t="shared" si="782"/>
        <v>5000</v>
      </c>
      <c r="DK221" s="100">
        <v>2500.0</v>
      </c>
      <c r="DL221" s="93">
        <f>DJ221-DK221</f>
        <v>2500</v>
      </c>
      <c r="DM221" s="100">
        <v>2500.0</v>
      </c>
      <c r="DN221" s="93">
        <f t="shared" si="688"/>
        <v>0</v>
      </c>
      <c r="DO221" s="100">
        <v>0.0</v>
      </c>
      <c r="DP221" s="93">
        <f t="shared" si="721"/>
        <v>0</v>
      </c>
      <c r="DQ221" s="100">
        <v>0.0</v>
      </c>
      <c r="DR221" s="93">
        <f t="shared" si="693"/>
        <v>0</v>
      </c>
      <c r="DS221" s="100">
        <v>0.0</v>
      </c>
      <c r="DT221" s="93">
        <f t="shared" si="774"/>
        <v>0</v>
      </c>
      <c r="DU221" s="100">
        <v>0.0</v>
      </c>
      <c r="DV221" s="93">
        <f t="shared" si="61"/>
        <v>0</v>
      </c>
    </row>
    <row r="222">
      <c r="A222" s="106" t="s">
        <v>599</v>
      </c>
      <c r="B222" s="106" t="s">
        <v>600</v>
      </c>
      <c r="C222" s="76" t="str">
        <f t="array" ref="C222">_xlfn.XLOOKUP(A222,'Emp Master'!A:A,'Emp Master'!F:F)</f>
        <v>SNP</v>
      </c>
      <c r="D222" s="76" t="str">
        <f t="array" ref="D222">_xlfn.XLOOKUP(A222,'Emp Master'!A:A,'Emp Master'!D:D)</f>
        <v>Machining</v>
      </c>
      <c r="E222" s="76" t="str">
        <f t="shared" si="326"/>
        <v>#REF!</v>
      </c>
      <c r="F222" s="76"/>
      <c r="G222" s="79"/>
      <c r="H222" s="80"/>
      <c r="I222" s="79"/>
      <c r="J222" s="80"/>
      <c r="K222" s="79"/>
      <c r="L222" s="142"/>
      <c r="M222" s="1"/>
      <c r="N222" s="142"/>
      <c r="O222" s="1"/>
      <c r="P222" s="142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79">
        <f t="shared" si="760"/>
        <v>0</v>
      </c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79">
        <f>BU222-BV222+3000</f>
        <v>3000</v>
      </c>
      <c r="BX222" s="106">
        <v>3000.0</v>
      </c>
      <c r="BY222" s="79">
        <f t="shared" si="785"/>
        <v>0</v>
      </c>
      <c r="BZ222" s="1"/>
      <c r="CA222" s="79">
        <f t="shared" si="786"/>
        <v>0</v>
      </c>
      <c r="CB222" s="1"/>
      <c r="CC222" s="79">
        <f t="shared" si="770"/>
        <v>0</v>
      </c>
      <c r="CD222" s="1"/>
      <c r="CE222" s="24">
        <v>15000.0</v>
      </c>
      <c r="CF222" s="106">
        <v>3750.0</v>
      </c>
      <c r="CG222" s="79">
        <f t="shared" si="781"/>
        <v>11250</v>
      </c>
      <c r="CH222" s="106">
        <v>3750.0</v>
      </c>
      <c r="CI222" s="79">
        <f t="shared" si="772"/>
        <v>7500</v>
      </c>
      <c r="CJ222" s="106">
        <v>3750.0</v>
      </c>
      <c r="CK222" s="79">
        <f t="shared" si="737"/>
        <v>3750</v>
      </c>
      <c r="CL222" s="106">
        <v>3750.0</v>
      </c>
      <c r="CM222" s="79">
        <f t="shared" si="738"/>
        <v>0</v>
      </c>
      <c r="CN222" s="106"/>
      <c r="CO222" s="79">
        <f t="shared" si="680"/>
        <v>0</v>
      </c>
      <c r="CP222" s="106"/>
      <c r="CQ222" s="79">
        <f>CO222-CP222+15000</f>
        <v>15000</v>
      </c>
      <c r="CR222" s="106">
        <v>3000.0</v>
      </c>
      <c r="CS222" s="79">
        <f t="shared" ref="CS222:CS232" si="788">CQ222-CR222</f>
        <v>12000</v>
      </c>
      <c r="CT222" s="24">
        <v>3000.0</v>
      </c>
      <c r="CU222" s="79">
        <f t="shared" si="709"/>
        <v>9000</v>
      </c>
      <c r="CV222" s="24">
        <v>3000.0</v>
      </c>
      <c r="CW222" s="79">
        <f t="shared" si="632"/>
        <v>6000</v>
      </c>
      <c r="CX222" s="24">
        <v>3000.0</v>
      </c>
      <c r="CY222" s="91">
        <v>3000.0</v>
      </c>
      <c r="CZ222" s="79">
        <f>CW222-CX222-CY222</f>
        <v>0</v>
      </c>
      <c r="DA222" s="93"/>
      <c r="DB222" s="93">
        <f t="shared" si="787"/>
        <v>0</v>
      </c>
      <c r="DC222" s="96"/>
      <c r="DD222" s="93">
        <f t="shared" si="784"/>
        <v>0</v>
      </c>
      <c r="DE222" s="96"/>
      <c r="DF222" s="93">
        <f t="shared" si="773"/>
        <v>0</v>
      </c>
      <c r="DG222" s="96"/>
      <c r="DH222" s="93">
        <f t="shared" si="734"/>
        <v>0</v>
      </c>
      <c r="DI222" s="96"/>
      <c r="DJ222" s="93">
        <f t="shared" si="782"/>
        <v>0</v>
      </c>
      <c r="DK222" s="93"/>
      <c r="DL222" s="100">
        <v>6000.0</v>
      </c>
      <c r="DM222" s="100">
        <v>3000.0</v>
      </c>
      <c r="DN222" s="93">
        <f>DL222-DM222+1790</f>
        <v>4790</v>
      </c>
      <c r="DO222" s="100">
        <v>2500.0</v>
      </c>
      <c r="DP222" s="93">
        <f t="shared" si="721"/>
        <v>2290</v>
      </c>
      <c r="DQ222" s="100">
        <v>2290.0</v>
      </c>
      <c r="DR222" s="93">
        <f t="shared" si="693"/>
        <v>0</v>
      </c>
      <c r="DS222" s="100">
        <v>0.0</v>
      </c>
      <c r="DT222" s="93">
        <f t="shared" si="774"/>
        <v>0</v>
      </c>
      <c r="DU222" s="100">
        <v>0.0</v>
      </c>
      <c r="DV222" s="93">
        <f t="shared" si="61"/>
        <v>0</v>
      </c>
    </row>
    <row r="223">
      <c r="A223" s="222" t="s">
        <v>1007</v>
      </c>
      <c r="B223" s="222" t="s">
        <v>586</v>
      </c>
      <c r="C223" s="76" t="str">
        <f t="array" ref="C223">_xlfn.XLOOKUP(A223,'Emp Master'!A:A,'Emp Master'!F:F)</f>
        <v>#N/A</v>
      </c>
      <c r="D223" s="76" t="str">
        <f t="array" ref="D223">_xlfn.XLOOKUP(A223,'Emp Master'!A:A,'Emp Master'!D:D)</f>
        <v>#N/A</v>
      </c>
      <c r="E223" s="76" t="str">
        <f t="shared" si="326"/>
        <v>#REF!</v>
      </c>
      <c r="F223" s="76"/>
      <c r="G223" s="79"/>
      <c r="H223" s="80"/>
      <c r="I223" s="79"/>
      <c r="J223" s="80"/>
      <c r="K223" s="79"/>
      <c r="L223" s="142"/>
      <c r="M223" s="1"/>
      <c r="N223" s="142"/>
      <c r="O223" s="1"/>
      <c r="P223" s="142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79">
        <f t="shared" si="760"/>
        <v>0</v>
      </c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79">
        <f>20000+(CE223-CF223)</f>
        <v>20000</v>
      </c>
      <c r="CH223" s="106">
        <v>4000.0</v>
      </c>
      <c r="CI223" s="79">
        <f t="shared" si="772"/>
        <v>16000</v>
      </c>
      <c r="CJ223" s="106">
        <v>4000.0</v>
      </c>
      <c r="CK223" s="79">
        <f t="shared" si="737"/>
        <v>12000</v>
      </c>
      <c r="CL223" s="106">
        <v>4000.0</v>
      </c>
      <c r="CM223" s="79">
        <f t="shared" si="738"/>
        <v>8000</v>
      </c>
      <c r="CN223" s="106">
        <v>4000.0</v>
      </c>
      <c r="CO223" s="79">
        <f t="shared" si="680"/>
        <v>4000</v>
      </c>
      <c r="CP223" s="106">
        <v>4000.0</v>
      </c>
      <c r="CQ223" s="79">
        <f>CO223-CP223</f>
        <v>0</v>
      </c>
      <c r="CR223" s="106"/>
      <c r="CS223" s="79">
        <f t="shared" si="788"/>
        <v>0</v>
      </c>
      <c r="CT223" s="79"/>
      <c r="CU223" s="79">
        <f t="shared" si="709"/>
        <v>0</v>
      </c>
      <c r="CV223" s="79"/>
      <c r="CW223" s="79">
        <f t="shared" si="632"/>
        <v>0</v>
      </c>
      <c r="CX223" s="79"/>
      <c r="CY223" s="91"/>
      <c r="CZ223" s="79">
        <f t="shared" ref="CZ223:CZ227" si="789">CW223-CX223</f>
        <v>0</v>
      </c>
      <c r="DA223" s="93"/>
      <c r="DB223" s="93">
        <f t="shared" si="787"/>
        <v>0</v>
      </c>
      <c r="DC223" s="96"/>
      <c r="DD223" s="93">
        <f t="shared" si="784"/>
        <v>0</v>
      </c>
      <c r="DE223" s="96"/>
      <c r="DF223" s="93">
        <f t="shared" si="773"/>
        <v>0</v>
      </c>
      <c r="DG223" s="96"/>
      <c r="DH223" s="93">
        <f t="shared" si="734"/>
        <v>0</v>
      </c>
      <c r="DI223" s="96"/>
      <c r="DJ223" s="93">
        <f t="shared" si="782"/>
        <v>0</v>
      </c>
      <c r="DK223" s="93"/>
      <c r="DL223" s="93">
        <f t="shared" ref="DL223:DL232" si="790">DJ223-DK223</f>
        <v>0</v>
      </c>
      <c r="DM223" s="100">
        <v>0.0</v>
      </c>
      <c r="DN223" s="93">
        <f>DL223-DM223</f>
        <v>0</v>
      </c>
      <c r="DO223" s="100">
        <v>0.0</v>
      </c>
      <c r="DP223" s="93">
        <f t="shared" si="721"/>
        <v>0</v>
      </c>
      <c r="DQ223" s="100">
        <v>0.0</v>
      </c>
      <c r="DR223" s="93">
        <f t="shared" si="693"/>
        <v>0</v>
      </c>
      <c r="DS223" s="100">
        <v>0.0</v>
      </c>
      <c r="DT223" s="93">
        <f t="shared" si="774"/>
        <v>0</v>
      </c>
      <c r="DU223" s="100">
        <v>0.0</v>
      </c>
      <c r="DV223" s="93">
        <f t="shared" si="61"/>
        <v>0</v>
      </c>
    </row>
    <row r="224">
      <c r="A224" s="1" t="s">
        <v>1008</v>
      </c>
      <c r="B224" s="1" t="s">
        <v>1009</v>
      </c>
      <c r="C224" s="76" t="str">
        <f t="array" ref="C224">_xlfn.XLOOKUP(A224,'Emp Master'!A:A,'Emp Master'!F:F)</f>
        <v>#N/A</v>
      </c>
      <c r="D224" s="76" t="str">
        <f t="array" ref="D224">_xlfn.XLOOKUP(A224,'Emp Master'!A:A,'Emp Master'!D:D)</f>
        <v>#N/A</v>
      </c>
      <c r="E224" s="76" t="str">
        <f t="shared" si="326"/>
        <v>#REF!</v>
      </c>
      <c r="F224" s="76"/>
      <c r="G224" s="79"/>
      <c r="H224" s="80"/>
      <c r="I224" s="79"/>
      <c r="J224" s="80"/>
      <c r="K224" s="79"/>
      <c r="L224" s="142"/>
      <c r="M224" s="1"/>
      <c r="N224" s="142"/>
      <c r="O224" s="1"/>
      <c r="P224" s="142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79">
        <f t="shared" si="760"/>
        <v>0</v>
      </c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79">
        <f>BY224-BZ224+3000</f>
        <v>3000</v>
      </c>
      <c r="CB224" s="106">
        <v>1000.0</v>
      </c>
      <c r="CC224" s="79">
        <f t="shared" ref="CC224:CC225" si="791">CA224-CB224</f>
        <v>2000</v>
      </c>
      <c r="CD224" s="106">
        <v>1000.0</v>
      </c>
      <c r="CE224" s="79">
        <f t="shared" ref="CE224:CE227" si="792">CC224-CD224</f>
        <v>1000</v>
      </c>
      <c r="CF224" s="106">
        <v>1000.0</v>
      </c>
      <c r="CG224" s="79">
        <f t="shared" ref="CG224:CG229" si="793">CE224-CF224</f>
        <v>0</v>
      </c>
      <c r="CH224" s="106"/>
      <c r="CI224" s="79">
        <f t="shared" si="772"/>
        <v>0</v>
      </c>
      <c r="CJ224" s="106"/>
      <c r="CK224" s="24">
        <v>5000.0</v>
      </c>
      <c r="CL224" s="106">
        <v>1250.0</v>
      </c>
      <c r="CM224" s="79">
        <f t="shared" si="738"/>
        <v>3750</v>
      </c>
      <c r="CN224" s="106">
        <v>1250.0</v>
      </c>
      <c r="CO224" s="79">
        <f t="shared" si="680"/>
        <v>2500</v>
      </c>
      <c r="CP224" s="106">
        <v>1250.0</v>
      </c>
      <c r="CQ224" s="79">
        <f>CO224-CP224+2000</f>
        <v>3250</v>
      </c>
      <c r="CR224" s="106">
        <v>1000.0</v>
      </c>
      <c r="CS224" s="79">
        <f t="shared" si="788"/>
        <v>2250</v>
      </c>
      <c r="CT224" s="24">
        <v>1000.0</v>
      </c>
      <c r="CU224" s="79">
        <f t="shared" si="709"/>
        <v>1250</v>
      </c>
      <c r="CV224" s="24">
        <v>1250.0</v>
      </c>
      <c r="CW224" s="79">
        <f t="shared" si="632"/>
        <v>0</v>
      </c>
      <c r="CX224" s="24"/>
      <c r="CY224" s="91"/>
      <c r="CZ224" s="79">
        <f t="shared" si="789"/>
        <v>0</v>
      </c>
      <c r="DA224" s="93"/>
      <c r="DB224" s="93">
        <f t="shared" si="787"/>
        <v>0</v>
      </c>
      <c r="DC224" s="96"/>
      <c r="DD224" s="93">
        <f>DB224-DC224+6000</f>
        <v>6000</v>
      </c>
      <c r="DE224" s="178">
        <v>3000.0</v>
      </c>
      <c r="DF224" s="93">
        <f t="shared" si="773"/>
        <v>3000</v>
      </c>
      <c r="DG224" s="178">
        <v>3000.0</v>
      </c>
      <c r="DH224" s="93">
        <f t="shared" si="734"/>
        <v>0</v>
      </c>
      <c r="DI224" s="178"/>
      <c r="DJ224" s="93">
        <f t="shared" si="782"/>
        <v>0</v>
      </c>
      <c r="DK224" s="93"/>
      <c r="DL224" s="93">
        <f t="shared" si="790"/>
        <v>0</v>
      </c>
      <c r="DM224" s="100">
        <v>0.0</v>
      </c>
      <c r="DN224" s="93">
        <f>DL224-DM224+1790</f>
        <v>1790</v>
      </c>
      <c r="DO224" s="100">
        <v>500.0</v>
      </c>
      <c r="DP224" s="93">
        <f t="shared" si="721"/>
        <v>1290</v>
      </c>
      <c r="DQ224" s="100">
        <v>500.0</v>
      </c>
      <c r="DR224" s="93">
        <f>DP224-DQ224+4000</f>
        <v>4790</v>
      </c>
      <c r="DS224" s="100">
        <v>1790.0</v>
      </c>
      <c r="DT224" s="93">
        <f t="shared" si="774"/>
        <v>3000</v>
      </c>
      <c r="DU224" s="100">
        <v>0.0</v>
      </c>
      <c r="DV224" s="93">
        <f t="shared" si="61"/>
        <v>3000</v>
      </c>
    </row>
    <row r="225">
      <c r="A225" s="7" t="s">
        <v>1010</v>
      </c>
      <c r="B225" s="106" t="s">
        <v>1011</v>
      </c>
      <c r="C225" s="7" t="s">
        <v>213</v>
      </c>
      <c r="D225" s="7" t="s">
        <v>211</v>
      </c>
      <c r="E225" s="76" t="str">
        <f t="shared" si="326"/>
        <v>#REF!</v>
      </c>
      <c r="F225" s="76"/>
      <c r="G225" s="79"/>
      <c r="H225" s="80"/>
      <c r="I225" s="24"/>
      <c r="J225" s="126"/>
      <c r="K225" s="79"/>
      <c r="L225" s="126"/>
      <c r="M225" s="79"/>
      <c r="N225" s="126"/>
      <c r="O225" s="79"/>
      <c r="P225" s="126"/>
      <c r="Q225" s="79"/>
      <c r="R225" s="106"/>
      <c r="S225" s="79"/>
      <c r="T225" s="106"/>
      <c r="U225" s="79"/>
      <c r="V225" s="106"/>
      <c r="W225" s="79"/>
      <c r="X225" s="106"/>
      <c r="Y225" s="79"/>
      <c r="Z225" s="106"/>
      <c r="AA225" s="79"/>
      <c r="AB225" s="106"/>
      <c r="AC225" s="79"/>
      <c r="AD225" s="106"/>
      <c r="AE225" s="79"/>
      <c r="AF225" s="1"/>
      <c r="AG225" s="79"/>
      <c r="AH225" s="1"/>
      <c r="AI225" s="79"/>
      <c r="AJ225" s="1"/>
      <c r="AK225" s="79"/>
      <c r="AL225" s="1"/>
      <c r="AM225" s="79"/>
      <c r="AN225" s="106"/>
      <c r="AO225" s="79"/>
      <c r="AP225" s="106"/>
      <c r="AQ225" s="79"/>
      <c r="AR225" s="106"/>
      <c r="AS225" s="79"/>
      <c r="AT225" s="106"/>
      <c r="AU225" s="79"/>
      <c r="AV225" s="106"/>
      <c r="AW225" s="79"/>
      <c r="AX225" s="1"/>
      <c r="AY225" s="79"/>
      <c r="AZ225" s="1"/>
      <c r="BA225" s="79"/>
      <c r="BB225" s="1"/>
      <c r="BC225" s="79"/>
      <c r="BD225" s="1"/>
      <c r="BE225" s="79"/>
      <c r="BF225" s="1"/>
      <c r="BG225" s="79"/>
      <c r="BH225" s="1"/>
      <c r="BI225" s="79"/>
      <c r="BJ225" s="1"/>
      <c r="BK225" s="79"/>
      <c r="BL225" s="1"/>
      <c r="BM225" s="79"/>
      <c r="BN225" s="1"/>
      <c r="BO225" s="79"/>
      <c r="BP225" s="1"/>
      <c r="BQ225" s="79"/>
      <c r="BR225" s="1"/>
      <c r="BS225" s="79"/>
      <c r="BT225" s="1"/>
      <c r="BU225" s="79"/>
      <c r="BV225" s="1"/>
      <c r="BW225" s="79"/>
      <c r="BX225" s="1"/>
      <c r="BY225" s="79">
        <f>BW225-BX225</f>
        <v>0</v>
      </c>
      <c r="BZ225" s="1"/>
      <c r="CA225" s="80">
        <f>BY225-BZ225+15000</f>
        <v>15000</v>
      </c>
      <c r="CB225" s="106">
        <v>15000.0</v>
      </c>
      <c r="CC225" s="79">
        <f t="shared" si="791"/>
        <v>0</v>
      </c>
      <c r="CD225" s="1"/>
      <c r="CE225" s="79">
        <f t="shared" si="792"/>
        <v>0</v>
      </c>
      <c r="CF225" s="1"/>
      <c r="CG225" s="79">
        <f t="shared" si="793"/>
        <v>0</v>
      </c>
      <c r="CH225" s="1"/>
      <c r="CI225" s="79">
        <f t="shared" si="772"/>
        <v>0</v>
      </c>
      <c r="CJ225" s="1"/>
      <c r="CK225" s="79">
        <f t="shared" ref="CK225:CK229" si="794">CI225-CJ225</f>
        <v>0</v>
      </c>
      <c r="CL225" s="1"/>
      <c r="CM225" s="79">
        <f t="shared" si="738"/>
        <v>0</v>
      </c>
      <c r="CN225" s="1"/>
      <c r="CO225" s="79">
        <f t="shared" si="680"/>
        <v>0</v>
      </c>
      <c r="CP225" s="1"/>
      <c r="CQ225" s="79">
        <f t="shared" ref="CQ225:CQ227" si="795">CO225-CP225</f>
        <v>0</v>
      </c>
      <c r="CR225" s="1"/>
      <c r="CS225" s="79">
        <f t="shared" si="788"/>
        <v>0</v>
      </c>
      <c r="CT225" s="79"/>
      <c r="CU225" s="79">
        <f t="shared" si="709"/>
        <v>0</v>
      </c>
      <c r="CV225" s="79"/>
      <c r="CW225" s="79">
        <f t="shared" si="632"/>
        <v>0</v>
      </c>
      <c r="CX225" s="79"/>
      <c r="CY225" s="91"/>
      <c r="CZ225" s="79">
        <f t="shared" si="789"/>
        <v>0</v>
      </c>
      <c r="DA225" s="93"/>
      <c r="DB225" s="93">
        <f t="shared" si="787"/>
        <v>0</v>
      </c>
      <c r="DC225" s="96"/>
      <c r="DD225" s="93">
        <f t="shared" ref="DD225:DD227" si="796">DB225-DC225</f>
        <v>0</v>
      </c>
      <c r="DE225" s="96"/>
      <c r="DF225" s="93">
        <f t="shared" si="773"/>
        <v>0</v>
      </c>
      <c r="DG225" s="96"/>
      <c r="DH225" s="93">
        <f t="shared" si="734"/>
        <v>0</v>
      </c>
      <c r="DI225" s="96"/>
      <c r="DJ225" s="93">
        <f t="shared" si="782"/>
        <v>0</v>
      </c>
      <c r="DK225" s="93"/>
      <c r="DL225" s="93">
        <f t="shared" si="790"/>
        <v>0</v>
      </c>
      <c r="DM225" s="100">
        <v>0.0</v>
      </c>
      <c r="DN225" s="93">
        <f t="shared" ref="DN225:DN232" si="797">DL225-DM225</f>
        <v>0</v>
      </c>
      <c r="DO225" s="100">
        <v>0.0</v>
      </c>
      <c r="DP225" s="93">
        <f t="shared" si="721"/>
        <v>0</v>
      </c>
      <c r="DQ225" s="100">
        <v>0.0</v>
      </c>
      <c r="DR225" s="93">
        <f t="shared" ref="DR225:DR236" si="798">DP225-DQ225</f>
        <v>0</v>
      </c>
      <c r="DS225" s="100">
        <v>0.0</v>
      </c>
      <c r="DT225" s="93">
        <f t="shared" si="774"/>
        <v>0</v>
      </c>
      <c r="DU225" s="100">
        <v>0.0</v>
      </c>
      <c r="DV225" s="93">
        <f t="shared" si="61"/>
        <v>0</v>
      </c>
    </row>
    <row r="226">
      <c r="A226" s="7" t="s">
        <v>1012</v>
      </c>
      <c r="B226" s="7" t="s">
        <v>964</v>
      </c>
      <c r="C226" s="76" t="str">
        <f t="array" ref="C226">_xlfn.XLOOKUP(A226,'Emp Master'!A:A,'Emp Master'!F:F)</f>
        <v>#N/A</v>
      </c>
      <c r="D226" s="76" t="str">
        <f t="array" ref="D226">_xlfn.XLOOKUP(A226,'Emp Master'!A:A,'Emp Master'!D:D)</f>
        <v>#N/A</v>
      </c>
      <c r="E226" s="76" t="str">
        <f t="shared" si="326"/>
        <v>#REF!</v>
      </c>
      <c r="F226" s="76"/>
      <c r="G226" s="79"/>
      <c r="H226" s="80"/>
      <c r="I226" s="79"/>
      <c r="J226" s="80"/>
      <c r="K226" s="79"/>
      <c r="L226" s="142"/>
      <c r="M226" s="1"/>
      <c r="N226" s="142"/>
      <c r="O226" s="1"/>
      <c r="P226" s="142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79">
        <f>BG226-BH226</f>
        <v>0</v>
      </c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06">
        <v>4485.0</v>
      </c>
      <c r="CD226" s="106">
        <v>4485.0</v>
      </c>
      <c r="CE226" s="79">
        <f t="shared" si="792"/>
        <v>0</v>
      </c>
      <c r="CF226" s="1"/>
      <c r="CG226" s="79">
        <f t="shared" si="793"/>
        <v>0</v>
      </c>
      <c r="CH226" s="1"/>
      <c r="CI226" s="79">
        <f t="shared" si="772"/>
        <v>0</v>
      </c>
      <c r="CJ226" s="1"/>
      <c r="CK226" s="79">
        <f t="shared" si="794"/>
        <v>0</v>
      </c>
      <c r="CL226" s="1"/>
      <c r="CM226" s="79">
        <f t="shared" si="738"/>
        <v>0</v>
      </c>
      <c r="CN226" s="1"/>
      <c r="CO226" s="79">
        <f t="shared" si="680"/>
        <v>0</v>
      </c>
      <c r="CP226" s="1"/>
      <c r="CQ226" s="79">
        <f t="shared" si="795"/>
        <v>0</v>
      </c>
      <c r="CR226" s="1"/>
      <c r="CS226" s="79">
        <f t="shared" si="788"/>
        <v>0</v>
      </c>
      <c r="CT226" s="79"/>
      <c r="CU226" s="79">
        <f t="shared" si="709"/>
        <v>0</v>
      </c>
      <c r="CV226" s="79"/>
      <c r="CW226" s="79">
        <f t="shared" si="632"/>
        <v>0</v>
      </c>
      <c r="CX226" s="79"/>
      <c r="CY226" s="91"/>
      <c r="CZ226" s="79">
        <f t="shared" si="789"/>
        <v>0</v>
      </c>
      <c r="DA226" s="93"/>
      <c r="DB226" s="93">
        <f t="shared" si="787"/>
        <v>0</v>
      </c>
      <c r="DC226" s="96"/>
      <c r="DD226" s="93">
        <f t="shared" si="796"/>
        <v>0</v>
      </c>
      <c r="DE226" s="96"/>
      <c r="DF226" s="93">
        <f t="shared" si="773"/>
        <v>0</v>
      </c>
      <c r="DG226" s="96"/>
      <c r="DH226" s="93">
        <f t="shared" si="734"/>
        <v>0</v>
      </c>
      <c r="DI226" s="96"/>
      <c r="DJ226" s="93">
        <f t="shared" si="782"/>
        <v>0</v>
      </c>
      <c r="DK226" s="93"/>
      <c r="DL226" s="93">
        <f t="shared" si="790"/>
        <v>0</v>
      </c>
      <c r="DM226" s="100">
        <v>0.0</v>
      </c>
      <c r="DN226" s="93">
        <f t="shared" si="797"/>
        <v>0</v>
      </c>
      <c r="DO226" s="100">
        <v>0.0</v>
      </c>
      <c r="DP226" s="93">
        <f t="shared" si="721"/>
        <v>0</v>
      </c>
      <c r="DQ226" s="100">
        <v>0.0</v>
      </c>
      <c r="DR226" s="93">
        <f t="shared" si="798"/>
        <v>0</v>
      </c>
      <c r="DS226" s="100">
        <v>0.0</v>
      </c>
      <c r="DT226" s="93">
        <f t="shared" si="774"/>
        <v>0</v>
      </c>
      <c r="DU226" s="100">
        <v>0.0</v>
      </c>
      <c r="DV226" s="93">
        <f t="shared" si="61"/>
        <v>0</v>
      </c>
    </row>
    <row r="227">
      <c r="A227" s="7" t="s">
        <v>1013</v>
      </c>
      <c r="B227" s="7" t="s">
        <v>1014</v>
      </c>
      <c r="C227" s="76" t="str">
        <f t="array" ref="C227">_xlfn.XLOOKUP(A227,'Emp Master'!A:A,'Emp Master'!F:F)</f>
        <v>#N/A</v>
      </c>
      <c r="D227" s="76" t="str">
        <f t="array" ref="D227">_xlfn.XLOOKUP(A227,'Emp Master'!A:A,'Emp Master'!D:D)</f>
        <v>#N/A</v>
      </c>
      <c r="E227" s="76" t="str">
        <f t="shared" si="326"/>
        <v>#REF!</v>
      </c>
      <c r="F227" s="76"/>
      <c r="G227" s="79"/>
      <c r="H227" s="80"/>
      <c r="I227" s="79"/>
      <c r="J227" s="80"/>
      <c r="K227" s="79"/>
      <c r="L227" s="142"/>
      <c r="M227" s="1"/>
      <c r="N227" s="142"/>
      <c r="O227" s="1"/>
      <c r="P227" s="142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79"/>
      <c r="BJ227" s="1"/>
      <c r="BK227" s="1"/>
      <c r="BL227" s="1"/>
      <c r="BM227" s="1"/>
      <c r="BN227" s="1"/>
      <c r="BO227" s="1"/>
      <c r="BP227" s="1"/>
      <c r="BQ227" s="24"/>
      <c r="BR227" s="106"/>
      <c r="BS227" s="79">
        <f>BQ227-BR227</f>
        <v>0</v>
      </c>
      <c r="BT227" s="1"/>
      <c r="BU227" s="79">
        <f>BS227-BT227</f>
        <v>0</v>
      </c>
      <c r="BV227" s="1"/>
      <c r="BW227" s="79">
        <f>BU227-BV227</f>
        <v>0</v>
      </c>
      <c r="BX227" s="1"/>
      <c r="BY227" s="79">
        <f>BW227-BX227</f>
        <v>0</v>
      </c>
      <c r="BZ227" s="1"/>
      <c r="CA227" s="80">
        <f>BY227-BZ227+8000+15000</f>
        <v>23000</v>
      </c>
      <c r="CB227" s="106">
        <v>18000.0</v>
      </c>
      <c r="CC227" s="79">
        <f>1000+(CA227-CB227)</f>
        <v>6000</v>
      </c>
      <c r="CD227" s="1"/>
      <c r="CE227" s="79">
        <f t="shared" si="792"/>
        <v>6000</v>
      </c>
      <c r="CF227" s="1"/>
      <c r="CG227" s="79">
        <f t="shared" si="793"/>
        <v>6000</v>
      </c>
      <c r="CH227" s="1"/>
      <c r="CI227" s="79">
        <f t="shared" si="772"/>
        <v>6000</v>
      </c>
      <c r="CJ227" s="1"/>
      <c r="CK227" s="79">
        <f t="shared" si="794"/>
        <v>6000</v>
      </c>
      <c r="CL227" s="1"/>
      <c r="CM227" s="79">
        <f t="shared" si="738"/>
        <v>6000</v>
      </c>
      <c r="CN227" s="1"/>
      <c r="CO227" s="79">
        <f t="shared" si="680"/>
        <v>6000</v>
      </c>
      <c r="CP227" s="1"/>
      <c r="CQ227" s="79">
        <f t="shared" si="795"/>
        <v>6000</v>
      </c>
      <c r="CR227" s="1"/>
      <c r="CS227" s="79">
        <f t="shared" si="788"/>
        <v>6000</v>
      </c>
      <c r="CT227" s="79"/>
      <c r="CU227" s="79">
        <f t="shared" si="709"/>
        <v>6000</v>
      </c>
      <c r="CV227" s="79"/>
      <c r="CW227" s="79">
        <f t="shared" si="632"/>
        <v>6000</v>
      </c>
      <c r="CX227" s="79"/>
      <c r="CY227" s="91"/>
      <c r="CZ227" s="79">
        <f t="shared" si="789"/>
        <v>6000</v>
      </c>
      <c r="DA227" s="93"/>
      <c r="DB227" s="93">
        <f t="shared" si="787"/>
        <v>6000</v>
      </c>
      <c r="DC227" s="96"/>
      <c r="DD227" s="93">
        <f t="shared" si="796"/>
        <v>6000</v>
      </c>
      <c r="DE227" s="96"/>
      <c r="DF227" s="93">
        <f t="shared" si="773"/>
        <v>6000</v>
      </c>
      <c r="DG227" s="96"/>
      <c r="DH227" s="93">
        <f t="shared" si="734"/>
        <v>6000</v>
      </c>
      <c r="DI227" s="96"/>
      <c r="DJ227" s="93">
        <f t="shared" si="782"/>
        <v>6000</v>
      </c>
      <c r="DK227" s="93"/>
      <c r="DL227" s="93">
        <f t="shared" si="790"/>
        <v>6000</v>
      </c>
      <c r="DM227" s="100">
        <v>0.0</v>
      </c>
      <c r="DN227" s="93">
        <f t="shared" si="797"/>
        <v>6000</v>
      </c>
      <c r="DO227" s="100">
        <v>0.0</v>
      </c>
      <c r="DP227" s="93">
        <f t="shared" si="721"/>
        <v>6000</v>
      </c>
      <c r="DQ227" s="100">
        <v>0.0</v>
      </c>
      <c r="DR227" s="93">
        <f t="shared" si="798"/>
        <v>6000</v>
      </c>
      <c r="DS227" s="100">
        <v>0.0</v>
      </c>
      <c r="DT227" s="93">
        <f t="shared" si="774"/>
        <v>6000</v>
      </c>
      <c r="DU227" s="100">
        <v>0.0</v>
      </c>
      <c r="DV227" s="93">
        <f t="shared" si="61"/>
        <v>6000</v>
      </c>
    </row>
    <row r="228">
      <c r="A228" s="106" t="s">
        <v>1015</v>
      </c>
      <c r="B228" s="106" t="s">
        <v>1016</v>
      </c>
      <c r="C228" s="76" t="str">
        <f t="array" ref="C228">_xlfn.XLOOKUP(A228,'Emp Master'!A:A,'Emp Master'!F:F)</f>
        <v>#N/A</v>
      </c>
      <c r="D228" s="76" t="str">
        <f t="array" ref="D228">_xlfn.XLOOKUP(A228,'Emp Master'!A:A,'Emp Master'!D:D)</f>
        <v>#N/A</v>
      </c>
      <c r="E228" s="76" t="str">
        <f t="shared" si="326"/>
        <v>#REF!</v>
      </c>
      <c r="F228" s="76"/>
      <c r="G228" s="79"/>
      <c r="H228" s="80"/>
      <c r="I228" s="79"/>
      <c r="J228" s="80"/>
      <c r="K228" s="79"/>
      <c r="L228" s="142"/>
      <c r="M228" s="1"/>
      <c r="N228" s="142"/>
      <c r="O228" s="1"/>
      <c r="P228" s="142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79">
        <f t="shared" ref="BI228:BI232" si="799">BG228-BH228</f>
        <v>0</v>
      </c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06">
        <v>10000.0</v>
      </c>
      <c r="CF228" s="106">
        <v>2500.0</v>
      </c>
      <c r="CG228" s="79">
        <f t="shared" si="793"/>
        <v>7500</v>
      </c>
      <c r="CH228" s="106">
        <v>2500.0</v>
      </c>
      <c r="CI228" s="79">
        <f>(CG228-CH228)+10000</f>
        <v>15000</v>
      </c>
      <c r="CJ228" s="106">
        <v>0.0</v>
      </c>
      <c r="CK228" s="79">
        <f t="shared" si="794"/>
        <v>15000</v>
      </c>
      <c r="CL228" s="106">
        <v>4000.0</v>
      </c>
      <c r="CM228" s="79">
        <f>5000+CK228-CL228</f>
        <v>16000</v>
      </c>
      <c r="CN228" s="106">
        <v>2500.0</v>
      </c>
      <c r="CO228" s="79">
        <f t="shared" si="680"/>
        <v>13500</v>
      </c>
      <c r="CP228" s="106"/>
      <c r="CQ228" s="79">
        <f>CO228-CP228+5000</f>
        <v>18500</v>
      </c>
      <c r="CR228" s="106">
        <v>5000.0</v>
      </c>
      <c r="CS228" s="79">
        <f t="shared" si="788"/>
        <v>13500</v>
      </c>
      <c r="CT228" s="24">
        <v>0.0</v>
      </c>
      <c r="CU228" s="79">
        <f t="shared" si="709"/>
        <v>13500</v>
      </c>
      <c r="CV228" s="24">
        <v>5000.0</v>
      </c>
      <c r="CW228" s="79">
        <f>CU228-CV228+5000</f>
        <v>13500</v>
      </c>
      <c r="CX228" s="24">
        <v>2500.0</v>
      </c>
      <c r="CY228" s="91">
        <v>5000.0</v>
      </c>
      <c r="CZ228" s="79">
        <f>CW228-CX228-CY228</f>
        <v>6000</v>
      </c>
      <c r="DA228" s="100">
        <v>2500.0</v>
      </c>
      <c r="DB228" s="93">
        <f t="shared" si="787"/>
        <v>3500</v>
      </c>
      <c r="DC228" s="207">
        <v>2500.0</v>
      </c>
      <c r="DD228" s="93">
        <f>DB228-DC228+12500</f>
        <v>13500</v>
      </c>
      <c r="DE228" s="208">
        <v>3000.0</v>
      </c>
      <c r="DF228" s="93">
        <f t="shared" si="773"/>
        <v>10500</v>
      </c>
      <c r="DG228" s="178">
        <v>3000.0</v>
      </c>
      <c r="DH228" s="93">
        <f t="shared" si="734"/>
        <v>7500</v>
      </c>
      <c r="DI228" s="178">
        <v>7500.0</v>
      </c>
      <c r="DJ228" s="93">
        <f t="shared" si="782"/>
        <v>0</v>
      </c>
      <c r="DK228" s="100">
        <v>0.0</v>
      </c>
      <c r="DL228" s="93">
        <f t="shared" si="790"/>
        <v>0</v>
      </c>
      <c r="DM228" s="100">
        <v>0.0</v>
      </c>
      <c r="DN228" s="93">
        <f t="shared" si="797"/>
        <v>0</v>
      </c>
      <c r="DO228" s="100">
        <v>0.0</v>
      </c>
      <c r="DP228" s="93">
        <f t="shared" si="721"/>
        <v>0</v>
      </c>
      <c r="DQ228" s="100">
        <v>0.0</v>
      </c>
      <c r="DR228" s="93">
        <f t="shared" si="798"/>
        <v>0</v>
      </c>
      <c r="DS228" s="100">
        <v>0.0</v>
      </c>
      <c r="DT228" s="93">
        <f t="shared" si="774"/>
        <v>0</v>
      </c>
      <c r="DU228" s="100">
        <v>0.0</v>
      </c>
      <c r="DV228" s="93">
        <f t="shared" si="61"/>
        <v>0</v>
      </c>
    </row>
    <row r="229">
      <c r="A229" s="7" t="s">
        <v>611</v>
      </c>
      <c r="B229" s="7" t="s">
        <v>612</v>
      </c>
      <c r="C229" s="76" t="str">
        <f t="array" ref="C229">_xlfn.XLOOKUP(A229,'Emp Master'!A:A,'Emp Master'!F:F)</f>
        <v>SNP</v>
      </c>
      <c r="D229" s="76" t="str">
        <f t="array" ref="D229">_xlfn.XLOOKUP(A229,'Emp Master'!A:A,'Emp Master'!D:D)</f>
        <v>Logistics</v>
      </c>
      <c r="E229" s="76" t="str">
        <f t="shared" si="326"/>
        <v>#REF!</v>
      </c>
      <c r="F229" s="76"/>
      <c r="G229" s="79"/>
      <c r="H229" s="80"/>
      <c r="I229" s="79"/>
      <c r="J229" s="80"/>
      <c r="K229" s="79"/>
      <c r="L229" s="142"/>
      <c r="M229" s="1"/>
      <c r="N229" s="142"/>
      <c r="O229" s="1"/>
      <c r="P229" s="142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79">
        <f t="shared" si="799"/>
        <v>0</v>
      </c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06">
        <v>5000.0</v>
      </c>
      <c r="CD229" s="106">
        <v>5000.0</v>
      </c>
      <c r="CE229" s="79">
        <f>CC229-CD229</f>
        <v>0</v>
      </c>
      <c r="CF229" s="1"/>
      <c r="CG229" s="79">
        <f t="shared" si="793"/>
        <v>0</v>
      </c>
      <c r="CH229" s="1"/>
      <c r="CI229" s="79">
        <f>CG229-CH229</f>
        <v>0</v>
      </c>
      <c r="CJ229" s="1"/>
      <c r="CK229" s="79">
        <f t="shared" si="794"/>
        <v>0</v>
      </c>
      <c r="CL229" s="1"/>
      <c r="CM229" s="79">
        <f t="shared" ref="CM229:CM231" si="800">CK229-CL229</f>
        <v>0</v>
      </c>
      <c r="CN229" s="1"/>
      <c r="CO229" s="79">
        <f t="shared" si="680"/>
        <v>0</v>
      </c>
      <c r="CP229" s="1"/>
      <c r="CQ229" s="79">
        <f t="shared" ref="CQ229:CQ232" si="801">CO229-CP229</f>
        <v>0</v>
      </c>
      <c r="CR229" s="1"/>
      <c r="CS229" s="79">
        <f t="shared" si="788"/>
        <v>0</v>
      </c>
      <c r="CT229" s="79"/>
      <c r="CU229" s="79">
        <f t="shared" si="709"/>
        <v>0</v>
      </c>
      <c r="CV229" s="79"/>
      <c r="CW229" s="79">
        <f t="shared" ref="CW229:CW236" si="802">CU229-CV229</f>
        <v>0</v>
      </c>
      <c r="CX229" s="79"/>
      <c r="CY229" s="91"/>
      <c r="CZ229" s="79">
        <f t="shared" ref="CZ229:CZ232" si="803">CW229-CX229</f>
        <v>0</v>
      </c>
      <c r="DA229" s="93"/>
      <c r="DB229" s="93">
        <f t="shared" si="787"/>
        <v>0</v>
      </c>
      <c r="DC229" s="96"/>
      <c r="DD229" s="93">
        <f t="shared" ref="DD229:DD236" si="804">DB229-DC229</f>
        <v>0</v>
      </c>
      <c r="DE229" s="96"/>
      <c r="DF229" s="93">
        <f t="shared" si="773"/>
        <v>0</v>
      </c>
      <c r="DG229" s="96"/>
      <c r="DH229" s="93">
        <f t="shared" si="734"/>
        <v>0</v>
      </c>
      <c r="DI229" s="96"/>
      <c r="DJ229" s="93">
        <f t="shared" si="782"/>
        <v>0</v>
      </c>
      <c r="DK229" s="93"/>
      <c r="DL229" s="93">
        <f t="shared" si="790"/>
        <v>0</v>
      </c>
      <c r="DM229" s="100">
        <v>0.0</v>
      </c>
      <c r="DN229" s="93">
        <f t="shared" si="797"/>
        <v>0</v>
      </c>
      <c r="DO229" s="100">
        <v>0.0</v>
      </c>
      <c r="DP229" s="93">
        <f t="shared" si="721"/>
        <v>0</v>
      </c>
      <c r="DQ229" s="100">
        <v>0.0</v>
      </c>
      <c r="DR229" s="93">
        <f t="shared" si="798"/>
        <v>0</v>
      </c>
      <c r="DS229" s="100">
        <v>0.0</v>
      </c>
      <c r="DT229" s="93">
        <f t="shared" si="774"/>
        <v>0</v>
      </c>
      <c r="DU229" s="100">
        <v>0.0</v>
      </c>
      <c r="DV229" s="93">
        <f t="shared" si="61"/>
        <v>0</v>
      </c>
    </row>
    <row r="230">
      <c r="A230" s="7" t="s">
        <v>1017</v>
      </c>
      <c r="B230" s="7" t="s">
        <v>658</v>
      </c>
      <c r="C230" s="76" t="str">
        <f t="array" ref="C230">_xlfn.XLOOKUP(A230,'Emp Master'!A:A,'Emp Master'!F:F)</f>
        <v>#N/A</v>
      </c>
      <c r="D230" s="76" t="str">
        <f t="array" ref="D230">_xlfn.XLOOKUP(A230,'Emp Master'!A:A,'Emp Master'!D:D)</f>
        <v>#N/A</v>
      </c>
      <c r="E230" s="76" t="str">
        <f t="shared" si="326"/>
        <v>#REF!</v>
      </c>
      <c r="F230" s="76"/>
      <c r="G230" s="79"/>
      <c r="H230" s="80"/>
      <c r="I230" s="79"/>
      <c r="J230" s="80"/>
      <c r="K230" s="79"/>
      <c r="L230" s="142"/>
      <c r="M230" s="1"/>
      <c r="N230" s="142"/>
      <c r="O230" s="1"/>
      <c r="P230" s="142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79">
        <f t="shared" si="799"/>
        <v>0</v>
      </c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79">
        <f t="shared" si="800"/>
        <v>0</v>
      </c>
      <c r="CN230" s="1"/>
      <c r="CO230" s="79">
        <f t="shared" si="680"/>
        <v>0</v>
      </c>
      <c r="CP230" s="1"/>
      <c r="CQ230" s="79">
        <f t="shared" si="801"/>
        <v>0</v>
      </c>
      <c r="CR230" s="1"/>
      <c r="CS230" s="79">
        <f t="shared" si="788"/>
        <v>0</v>
      </c>
      <c r="CT230" s="79"/>
      <c r="CU230" s="79">
        <f t="shared" si="709"/>
        <v>0</v>
      </c>
      <c r="CV230" s="79"/>
      <c r="CW230" s="79">
        <f t="shared" si="802"/>
        <v>0</v>
      </c>
      <c r="CX230" s="79"/>
      <c r="CY230" s="91"/>
      <c r="CZ230" s="79">
        <f t="shared" si="803"/>
        <v>0</v>
      </c>
      <c r="DA230" s="93"/>
      <c r="DB230" s="93">
        <f t="shared" si="787"/>
        <v>0</v>
      </c>
      <c r="DC230" s="96"/>
      <c r="DD230" s="93">
        <f t="shared" si="804"/>
        <v>0</v>
      </c>
      <c r="DE230" s="96"/>
      <c r="DF230" s="93">
        <f t="shared" si="773"/>
        <v>0</v>
      </c>
      <c r="DG230" s="96"/>
      <c r="DH230" s="93">
        <f t="shared" si="734"/>
        <v>0</v>
      </c>
      <c r="DI230" s="96"/>
      <c r="DJ230" s="93">
        <f t="shared" si="782"/>
        <v>0</v>
      </c>
      <c r="DK230" s="93"/>
      <c r="DL230" s="93">
        <f t="shared" si="790"/>
        <v>0</v>
      </c>
      <c r="DM230" s="100">
        <v>0.0</v>
      </c>
      <c r="DN230" s="93">
        <f t="shared" si="797"/>
        <v>0</v>
      </c>
      <c r="DO230" s="100">
        <v>0.0</v>
      </c>
      <c r="DP230" s="93">
        <f t="shared" si="721"/>
        <v>0</v>
      </c>
      <c r="DQ230" s="100">
        <v>0.0</v>
      </c>
      <c r="DR230" s="93">
        <f t="shared" si="798"/>
        <v>0</v>
      </c>
      <c r="DS230" s="100">
        <v>0.0</v>
      </c>
      <c r="DT230" s="93">
        <f t="shared" si="774"/>
        <v>0</v>
      </c>
      <c r="DU230" s="100">
        <v>0.0</v>
      </c>
      <c r="DV230" s="93">
        <f t="shared" si="61"/>
        <v>0</v>
      </c>
    </row>
    <row r="231">
      <c r="A231" s="7" t="s">
        <v>1018</v>
      </c>
      <c r="B231" s="7" t="s">
        <v>799</v>
      </c>
      <c r="C231" s="76" t="str">
        <f t="array" ref="C231">_xlfn.XLOOKUP(A231,'Emp Master'!A:A,'Emp Master'!F:F)</f>
        <v>#N/A</v>
      </c>
      <c r="D231" s="76" t="str">
        <f t="array" ref="D231">_xlfn.XLOOKUP(A231,'Emp Master'!A:A,'Emp Master'!D:D)</f>
        <v>#N/A</v>
      </c>
      <c r="E231" s="76" t="str">
        <f t="shared" si="326"/>
        <v>#REF!</v>
      </c>
      <c r="F231" s="76"/>
      <c r="G231" s="79"/>
      <c r="H231" s="80"/>
      <c r="I231" s="79"/>
      <c r="J231" s="80"/>
      <c r="K231" s="79"/>
      <c r="L231" s="142"/>
      <c r="M231" s="1"/>
      <c r="N231" s="142"/>
      <c r="O231" s="1"/>
      <c r="P231" s="142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79">
        <f t="shared" si="799"/>
        <v>0</v>
      </c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79">
        <f t="shared" si="800"/>
        <v>0</v>
      </c>
      <c r="CN231" s="1"/>
      <c r="CO231" s="79">
        <f t="shared" si="680"/>
        <v>0</v>
      </c>
      <c r="CP231" s="1"/>
      <c r="CQ231" s="79">
        <f t="shared" si="801"/>
        <v>0</v>
      </c>
      <c r="CR231" s="1"/>
      <c r="CS231" s="79">
        <f t="shared" si="788"/>
        <v>0</v>
      </c>
      <c r="CT231" s="79"/>
      <c r="CU231" s="79">
        <f t="shared" si="709"/>
        <v>0</v>
      </c>
      <c r="CV231" s="79"/>
      <c r="CW231" s="79">
        <f t="shared" si="802"/>
        <v>0</v>
      </c>
      <c r="CX231" s="79"/>
      <c r="CY231" s="91"/>
      <c r="CZ231" s="79">
        <f t="shared" si="803"/>
        <v>0</v>
      </c>
      <c r="DA231" s="93"/>
      <c r="DB231" s="93">
        <f t="shared" si="787"/>
        <v>0</v>
      </c>
      <c r="DC231" s="96"/>
      <c r="DD231" s="93">
        <f t="shared" si="804"/>
        <v>0</v>
      </c>
      <c r="DE231" s="96"/>
      <c r="DF231" s="93">
        <f t="shared" si="773"/>
        <v>0</v>
      </c>
      <c r="DG231" s="96"/>
      <c r="DH231" s="93">
        <f t="shared" si="734"/>
        <v>0</v>
      </c>
      <c r="DI231" s="96"/>
      <c r="DJ231" s="93">
        <f t="shared" si="782"/>
        <v>0</v>
      </c>
      <c r="DK231" s="93"/>
      <c r="DL231" s="93">
        <f t="shared" si="790"/>
        <v>0</v>
      </c>
      <c r="DM231" s="100">
        <v>0.0</v>
      </c>
      <c r="DN231" s="93">
        <f t="shared" si="797"/>
        <v>0</v>
      </c>
      <c r="DO231" s="100">
        <v>0.0</v>
      </c>
      <c r="DP231" s="93">
        <f t="shared" si="721"/>
        <v>0</v>
      </c>
      <c r="DQ231" s="100">
        <v>0.0</v>
      </c>
      <c r="DR231" s="93">
        <f t="shared" si="798"/>
        <v>0</v>
      </c>
      <c r="DS231" s="100">
        <v>0.0</v>
      </c>
      <c r="DT231" s="93">
        <f t="shared" si="774"/>
        <v>0</v>
      </c>
      <c r="DU231" s="100">
        <v>0.0</v>
      </c>
      <c r="DV231" s="93">
        <f t="shared" si="61"/>
        <v>0</v>
      </c>
    </row>
    <row r="232">
      <c r="A232" s="7" t="s">
        <v>1019</v>
      </c>
      <c r="B232" s="7" t="s">
        <v>640</v>
      </c>
      <c r="C232" s="76" t="str">
        <f t="array" ref="C232">_xlfn.XLOOKUP(A232,'Emp Master'!A:A,'Emp Master'!F:F)</f>
        <v>#N/A</v>
      </c>
      <c r="D232" s="76" t="str">
        <f t="array" ref="D232">_xlfn.XLOOKUP(A232,'Emp Master'!A:A,'Emp Master'!D:D)</f>
        <v>#N/A</v>
      </c>
      <c r="E232" s="76" t="str">
        <f t="shared" si="326"/>
        <v>#REF!</v>
      </c>
      <c r="F232" s="76"/>
      <c r="G232" s="79"/>
      <c r="H232" s="80"/>
      <c r="I232" s="79"/>
      <c r="J232" s="80"/>
      <c r="K232" s="79"/>
      <c r="L232" s="142"/>
      <c r="M232" s="1"/>
      <c r="N232" s="142"/>
      <c r="O232" s="1"/>
      <c r="P232" s="142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79">
        <f t="shared" si="799"/>
        <v>0</v>
      </c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79">
        <f t="shared" si="801"/>
        <v>0</v>
      </c>
      <c r="CR232" s="1"/>
      <c r="CS232" s="79">
        <f t="shared" si="788"/>
        <v>0</v>
      </c>
      <c r="CT232" s="79"/>
      <c r="CU232" s="79">
        <f t="shared" si="709"/>
        <v>0</v>
      </c>
      <c r="CV232" s="79"/>
      <c r="CW232" s="79">
        <f t="shared" si="802"/>
        <v>0</v>
      </c>
      <c r="CX232" s="79"/>
      <c r="CY232" s="91"/>
      <c r="CZ232" s="79">
        <f t="shared" si="803"/>
        <v>0</v>
      </c>
      <c r="DA232" s="93"/>
      <c r="DB232" s="93">
        <f t="shared" si="787"/>
        <v>0</v>
      </c>
      <c r="DC232" s="96"/>
      <c r="DD232" s="93">
        <f t="shared" si="804"/>
        <v>0</v>
      </c>
      <c r="DE232" s="96"/>
      <c r="DF232" s="93">
        <f t="shared" si="773"/>
        <v>0</v>
      </c>
      <c r="DG232" s="96"/>
      <c r="DH232" s="93">
        <f t="shared" si="734"/>
        <v>0</v>
      </c>
      <c r="DI232" s="96"/>
      <c r="DJ232" s="93">
        <f t="shared" si="782"/>
        <v>0</v>
      </c>
      <c r="DK232" s="93"/>
      <c r="DL232" s="93">
        <f t="shared" si="790"/>
        <v>0</v>
      </c>
      <c r="DM232" s="100">
        <v>0.0</v>
      </c>
      <c r="DN232" s="93">
        <f t="shared" si="797"/>
        <v>0</v>
      </c>
      <c r="DO232" s="100">
        <v>0.0</v>
      </c>
      <c r="DP232" s="93">
        <f t="shared" si="721"/>
        <v>0</v>
      </c>
      <c r="DQ232" s="100">
        <v>0.0</v>
      </c>
      <c r="DR232" s="93">
        <f t="shared" si="798"/>
        <v>0</v>
      </c>
      <c r="DS232" s="100">
        <v>0.0</v>
      </c>
      <c r="DT232" s="93">
        <f t="shared" si="774"/>
        <v>0</v>
      </c>
      <c r="DU232" s="100">
        <v>0.0</v>
      </c>
      <c r="DV232" s="93">
        <f t="shared" si="61"/>
        <v>0</v>
      </c>
    </row>
    <row r="233">
      <c r="A233" s="7" t="s">
        <v>629</v>
      </c>
      <c r="B233" s="7" t="s">
        <v>630</v>
      </c>
      <c r="C233" s="223" t="s">
        <v>213</v>
      </c>
      <c r="D233" s="223" t="s">
        <v>244</v>
      </c>
      <c r="E233" s="76" t="str">
        <f t="shared" si="326"/>
        <v>#REF!</v>
      </c>
      <c r="F233" s="76"/>
      <c r="G233" s="79"/>
      <c r="H233" s="80"/>
      <c r="I233" s="79"/>
      <c r="J233" s="80"/>
      <c r="K233" s="79"/>
      <c r="L233" s="142"/>
      <c r="M233" s="1"/>
      <c r="N233" s="142"/>
      <c r="O233" s="1"/>
      <c r="P233" s="142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79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79"/>
      <c r="CR233" s="1"/>
      <c r="CS233" s="79"/>
      <c r="CT233" s="79"/>
      <c r="CU233" s="79">
        <f>CS233-CT233+10000</f>
        <v>10000</v>
      </c>
      <c r="CV233" s="24">
        <v>2500.0</v>
      </c>
      <c r="CW233" s="79">
        <f t="shared" si="802"/>
        <v>7500</v>
      </c>
      <c r="CX233" s="24">
        <v>2500.0</v>
      </c>
      <c r="CY233" s="91">
        <v>5000.0</v>
      </c>
      <c r="CZ233" s="79">
        <f>CW233-CX233-CY233</f>
        <v>0</v>
      </c>
      <c r="DA233" s="93"/>
      <c r="DB233" s="93">
        <f>CZ233-DA233+10000</f>
        <v>10000</v>
      </c>
      <c r="DC233" s="178">
        <v>3000.0</v>
      </c>
      <c r="DD233" s="93">
        <f t="shared" si="804"/>
        <v>7000</v>
      </c>
      <c r="DE233" s="178">
        <v>3000.0</v>
      </c>
      <c r="DF233" s="93">
        <f t="shared" si="773"/>
        <v>4000</v>
      </c>
      <c r="DG233" s="178">
        <v>3000.0</v>
      </c>
      <c r="DH233" s="93">
        <f t="shared" si="734"/>
        <v>1000</v>
      </c>
      <c r="DI233" s="178">
        <v>1000.0</v>
      </c>
      <c r="DJ233" s="93">
        <f t="shared" si="782"/>
        <v>0</v>
      </c>
      <c r="DK233" s="93"/>
      <c r="DL233" s="100">
        <v>10000.0</v>
      </c>
      <c r="DM233" s="100">
        <v>2500.0</v>
      </c>
      <c r="DN233" s="93">
        <f>DL233-DM233+1790</f>
        <v>9290</v>
      </c>
      <c r="DO233" s="100">
        <v>1500.0</v>
      </c>
      <c r="DP233" s="93">
        <f t="shared" si="721"/>
        <v>7790</v>
      </c>
      <c r="DQ233" s="100">
        <v>2790.0</v>
      </c>
      <c r="DR233" s="93">
        <f t="shared" si="798"/>
        <v>5000</v>
      </c>
      <c r="DS233" s="100">
        <v>2500.0</v>
      </c>
      <c r="DT233" s="93">
        <f t="shared" si="774"/>
        <v>2500</v>
      </c>
      <c r="DU233" s="100">
        <v>2500.0</v>
      </c>
      <c r="DV233" s="93">
        <f t="shared" si="61"/>
        <v>0</v>
      </c>
    </row>
    <row r="234">
      <c r="A234" s="7"/>
      <c r="B234" s="7"/>
      <c r="C234" s="76" t="str">
        <f t="array" ref="C234">_xlfn.XLOOKUP(A234,'Emp Master'!A:A,'Emp Master'!F:F)</f>
        <v>#N/A</v>
      </c>
      <c r="D234" s="76" t="str">
        <f t="array" ref="D234">_xlfn.XLOOKUP(A234,'Emp Master'!A:A,'Emp Master'!D:D)</f>
        <v>#N/A</v>
      </c>
      <c r="E234" s="76" t="str">
        <f t="shared" si="326"/>
        <v>#REF!</v>
      </c>
      <c r="F234" s="76"/>
      <c r="G234" s="79"/>
      <c r="H234" s="80"/>
      <c r="I234" s="79"/>
      <c r="J234" s="80"/>
      <c r="K234" s="79"/>
      <c r="L234" s="142"/>
      <c r="M234" s="1"/>
      <c r="N234" s="142"/>
      <c r="O234" s="1"/>
      <c r="P234" s="142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79">
        <f t="shared" ref="BI234:BI1011" si="805">BG234-BH234</f>
        <v>0</v>
      </c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79">
        <f t="shared" ref="CQ234:CQ235" si="806">CO234-CP234</f>
        <v>0</v>
      </c>
      <c r="CR234" s="1"/>
      <c r="CS234" s="79">
        <f t="shared" ref="CS234:CS236" si="807">CQ234-CR234</f>
        <v>0</v>
      </c>
      <c r="CT234" s="79"/>
      <c r="CU234" s="79">
        <f t="shared" ref="CU234:CU237" si="808">CS234-CT234</f>
        <v>0</v>
      </c>
      <c r="CV234" s="79"/>
      <c r="CW234" s="79">
        <f t="shared" si="802"/>
        <v>0</v>
      </c>
      <c r="CX234" s="79"/>
      <c r="CY234" s="91"/>
      <c r="CZ234" s="79">
        <f t="shared" ref="CZ234:CZ236" si="809">CW234-CX234</f>
        <v>0</v>
      </c>
      <c r="DA234" s="93"/>
      <c r="DB234" s="93">
        <f t="shared" ref="DB234:DB235" si="810">CZ234-DA234</f>
        <v>0</v>
      </c>
      <c r="DC234" s="178"/>
      <c r="DD234" s="93">
        <f t="shared" si="804"/>
        <v>0</v>
      </c>
      <c r="DE234" s="178"/>
      <c r="DF234" s="93">
        <f t="shared" si="773"/>
        <v>0</v>
      </c>
      <c r="DG234" s="96"/>
      <c r="DH234" s="93">
        <f t="shared" si="734"/>
        <v>0</v>
      </c>
      <c r="DI234" s="96"/>
      <c r="DJ234" s="93">
        <f t="shared" si="782"/>
        <v>0</v>
      </c>
      <c r="DK234" s="93"/>
      <c r="DL234" s="93">
        <f t="shared" ref="DL234:DL245" si="811">DJ234-DK234</f>
        <v>0</v>
      </c>
      <c r="DM234" s="100">
        <v>0.0</v>
      </c>
      <c r="DN234" s="93">
        <f t="shared" ref="DN234:DN243" si="812">DL234-DM234</f>
        <v>0</v>
      </c>
      <c r="DO234" s="100">
        <v>0.0</v>
      </c>
      <c r="DP234" s="93">
        <f t="shared" si="721"/>
        <v>0</v>
      </c>
      <c r="DQ234" s="100">
        <v>0.0</v>
      </c>
      <c r="DR234" s="93">
        <f t="shared" si="798"/>
        <v>0</v>
      </c>
      <c r="DS234" s="100">
        <v>0.0</v>
      </c>
      <c r="DT234" s="93">
        <f t="shared" si="774"/>
        <v>0</v>
      </c>
      <c r="DU234" s="100">
        <v>0.0</v>
      </c>
      <c r="DV234" s="93">
        <f t="shared" si="61"/>
        <v>0</v>
      </c>
    </row>
    <row r="235">
      <c r="A235" s="7" t="s">
        <v>1020</v>
      </c>
      <c r="B235" s="7" t="s">
        <v>1021</v>
      </c>
      <c r="C235" s="76" t="str">
        <f t="array" ref="C235">_xlfn.XLOOKUP(A235,'Emp Master'!A:A,'Emp Master'!F:F)</f>
        <v>#N/A</v>
      </c>
      <c r="D235" s="76" t="str">
        <f t="array" ref="D235">_xlfn.XLOOKUP(A235,'Emp Master'!A:A,'Emp Master'!D:D)</f>
        <v>#N/A</v>
      </c>
      <c r="E235" s="76" t="str">
        <f t="shared" si="326"/>
        <v>#REF!</v>
      </c>
      <c r="F235" s="76"/>
      <c r="G235" s="79"/>
      <c r="H235" s="80"/>
      <c r="I235" s="79"/>
      <c r="J235" s="80"/>
      <c r="K235" s="79"/>
      <c r="L235" s="142"/>
      <c r="M235" s="1"/>
      <c r="N235" s="142"/>
      <c r="O235" s="1"/>
      <c r="P235" s="142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79">
        <f t="shared" si="805"/>
        <v>0</v>
      </c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79">
        <f t="shared" si="806"/>
        <v>0</v>
      </c>
      <c r="CR235" s="1"/>
      <c r="CS235" s="79">
        <f t="shared" si="807"/>
        <v>0</v>
      </c>
      <c r="CT235" s="79"/>
      <c r="CU235" s="79">
        <f t="shared" si="808"/>
        <v>0</v>
      </c>
      <c r="CV235" s="79"/>
      <c r="CW235" s="79">
        <f t="shared" si="802"/>
        <v>0</v>
      </c>
      <c r="CX235" s="79"/>
      <c r="CY235" s="91"/>
      <c r="CZ235" s="79">
        <f t="shared" si="809"/>
        <v>0</v>
      </c>
      <c r="DA235" s="93"/>
      <c r="DB235" s="93">
        <f t="shared" si="810"/>
        <v>0</v>
      </c>
      <c r="DC235" s="96"/>
      <c r="DD235" s="93">
        <f t="shared" si="804"/>
        <v>0</v>
      </c>
      <c r="DE235" s="96"/>
      <c r="DF235" s="93">
        <f t="shared" si="773"/>
        <v>0</v>
      </c>
      <c r="DG235" s="96"/>
      <c r="DH235" s="93">
        <f t="shared" si="734"/>
        <v>0</v>
      </c>
      <c r="DI235" s="96"/>
      <c r="DJ235" s="93">
        <f t="shared" si="782"/>
        <v>0</v>
      </c>
      <c r="DK235" s="93"/>
      <c r="DL235" s="93">
        <f t="shared" si="811"/>
        <v>0</v>
      </c>
      <c r="DM235" s="100">
        <v>0.0</v>
      </c>
      <c r="DN235" s="93">
        <f t="shared" si="812"/>
        <v>0</v>
      </c>
      <c r="DO235" s="100">
        <v>0.0</v>
      </c>
      <c r="DP235" s="93">
        <f t="shared" si="721"/>
        <v>0</v>
      </c>
      <c r="DQ235" s="100">
        <v>0.0</v>
      </c>
      <c r="DR235" s="93">
        <f t="shared" si="798"/>
        <v>0</v>
      </c>
      <c r="DS235" s="100">
        <v>0.0</v>
      </c>
      <c r="DT235" s="93">
        <f t="shared" si="774"/>
        <v>0</v>
      </c>
      <c r="DU235" s="100">
        <v>0.0</v>
      </c>
      <c r="DV235" s="93">
        <f t="shared" si="61"/>
        <v>0</v>
      </c>
    </row>
    <row r="236">
      <c r="A236" s="7" t="s">
        <v>631</v>
      </c>
      <c r="B236" s="7" t="s">
        <v>632</v>
      </c>
      <c r="C236" s="76" t="str">
        <f t="array" ref="C236">_xlfn.XLOOKUP(A236,'Emp Master'!A:A,'Emp Master'!F:F)</f>
        <v>SNP</v>
      </c>
      <c r="D236" s="223" t="s">
        <v>211</v>
      </c>
      <c r="E236" s="76" t="str">
        <f t="shared" si="326"/>
        <v>#REF!</v>
      </c>
      <c r="F236" s="76"/>
      <c r="G236" s="79"/>
      <c r="H236" s="80"/>
      <c r="I236" s="79"/>
      <c r="J236" s="80"/>
      <c r="K236" s="79"/>
      <c r="L236" s="142"/>
      <c r="M236" s="1"/>
      <c r="N236" s="142"/>
      <c r="O236" s="1"/>
      <c r="P236" s="142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79">
        <f t="shared" si="805"/>
        <v>0</v>
      </c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R236" s="1"/>
      <c r="CS236" s="79">
        <f t="shared" si="807"/>
        <v>0</v>
      </c>
      <c r="CT236" s="79"/>
      <c r="CU236" s="79">
        <f t="shared" si="808"/>
        <v>0</v>
      </c>
      <c r="CV236" s="79"/>
      <c r="CW236" s="79">
        <f t="shared" si="802"/>
        <v>0</v>
      </c>
      <c r="CX236" s="79"/>
      <c r="CY236" s="91"/>
      <c r="CZ236" s="79">
        <f t="shared" si="809"/>
        <v>0</v>
      </c>
      <c r="DA236" s="93"/>
      <c r="DB236" s="93">
        <f>CZ236-DA236+15000</f>
        <v>15000</v>
      </c>
      <c r="DC236" s="178">
        <v>2000.0</v>
      </c>
      <c r="DD236" s="93">
        <f t="shared" si="804"/>
        <v>13000</v>
      </c>
      <c r="DE236" s="178">
        <v>2000.0</v>
      </c>
      <c r="DF236" s="93">
        <f t="shared" si="773"/>
        <v>11000</v>
      </c>
      <c r="DG236" s="178">
        <v>2000.0</v>
      </c>
      <c r="DH236" s="93">
        <f t="shared" si="734"/>
        <v>9000</v>
      </c>
      <c r="DI236" s="178">
        <v>2000.0</v>
      </c>
      <c r="DJ236" s="93">
        <f t="shared" si="782"/>
        <v>7000</v>
      </c>
      <c r="DK236" s="100">
        <v>2000.0</v>
      </c>
      <c r="DL236" s="93">
        <f t="shared" si="811"/>
        <v>5000</v>
      </c>
      <c r="DM236" s="100">
        <v>2000.0</v>
      </c>
      <c r="DN236" s="93">
        <f t="shared" si="812"/>
        <v>3000</v>
      </c>
      <c r="DO236" s="100">
        <v>2000.0</v>
      </c>
      <c r="DP236" s="93">
        <f t="shared" si="721"/>
        <v>1000</v>
      </c>
      <c r="DQ236" s="100">
        <v>1000.0</v>
      </c>
      <c r="DR236" s="93">
        <f t="shared" si="798"/>
        <v>0</v>
      </c>
      <c r="DS236" s="100">
        <v>0.0</v>
      </c>
      <c r="DT236" s="93">
        <f>DR236-DS236+5000</f>
        <v>5000</v>
      </c>
      <c r="DU236" s="100">
        <v>2500.0</v>
      </c>
      <c r="DV236" s="93">
        <f t="shared" si="61"/>
        <v>2500</v>
      </c>
    </row>
    <row r="237">
      <c r="A237" s="7" t="s">
        <v>643</v>
      </c>
      <c r="B237" s="7" t="s">
        <v>475</v>
      </c>
      <c r="C237" s="76" t="str">
        <f t="array" ref="C237">_xlfn.XLOOKUP(A237,'Emp Master'!A:A,'Emp Master'!F:F)</f>
        <v>SNP</v>
      </c>
      <c r="D237" s="76" t="str">
        <f t="array" ref="D237">_xlfn.XLOOKUP(A237,'Emp Master'!A:A,'Emp Master'!D:D)</f>
        <v>Floor Shop</v>
      </c>
      <c r="E237" s="76" t="str">
        <f t="shared" si="326"/>
        <v>#REF!</v>
      </c>
      <c r="F237" s="76"/>
      <c r="G237" s="79"/>
      <c r="H237" s="80"/>
      <c r="I237" s="79"/>
      <c r="J237" s="80"/>
      <c r="K237" s="79"/>
      <c r="L237" s="142"/>
      <c r="M237" s="1"/>
      <c r="N237" s="142"/>
      <c r="O237" s="1"/>
      <c r="P237" s="142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79">
        <f t="shared" si="805"/>
        <v>0</v>
      </c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R237" s="1"/>
      <c r="CS237" s="79">
        <f>CQ237-CR237+5000</f>
        <v>5000</v>
      </c>
      <c r="CT237" s="24">
        <v>0.0</v>
      </c>
      <c r="CU237" s="79">
        <f t="shared" si="808"/>
        <v>5000</v>
      </c>
      <c r="CV237" s="24">
        <v>2500.0</v>
      </c>
      <c r="CW237" s="79">
        <f>CU237-CV237+2000</f>
        <v>4500</v>
      </c>
      <c r="CX237" s="24">
        <v>2500.0</v>
      </c>
      <c r="CY237" s="91">
        <v>2000.0</v>
      </c>
      <c r="CZ237" s="79">
        <f>CW237-CX237-CY237+2000</f>
        <v>2000</v>
      </c>
      <c r="DA237" s="100">
        <v>2000.0</v>
      </c>
      <c r="DB237" s="93">
        <f t="shared" ref="DB237:DB244" si="813">CZ237-DA237</f>
        <v>0</v>
      </c>
      <c r="DC237" s="207"/>
      <c r="DD237" s="93">
        <f>DB237-DC237+8000</f>
        <v>8000</v>
      </c>
      <c r="DE237" s="208">
        <v>2500.0</v>
      </c>
      <c r="DF237" s="93">
        <f t="shared" si="773"/>
        <v>5500</v>
      </c>
      <c r="DG237" s="178">
        <v>2500.0</v>
      </c>
      <c r="DH237" s="93">
        <f t="shared" si="734"/>
        <v>3000</v>
      </c>
      <c r="DI237" s="178">
        <v>2500.0</v>
      </c>
      <c r="DJ237" s="93">
        <f>DH237-DI237+8000</f>
        <v>8500</v>
      </c>
      <c r="DK237" s="100">
        <v>3000.0</v>
      </c>
      <c r="DL237" s="93">
        <f t="shared" si="811"/>
        <v>5500</v>
      </c>
      <c r="DM237" s="100">
        <v>0.0</v>
      </c>
      <c r="DN237" s="93">
        <f t="shared" si="812"/>
        <v>5500</v>
      </c>
      <c r="DO237" s="100">
        <v>2500.0</v>
      </c>
      <c r="DP237" s="93">
        <f t="shared" si="721"/>
        <v>3000</v>
      </c>
      <c r="DQ237" s="100">
        <v>3000.0</v>
      </c>
      <c r="DR237" s="93">
        <f>DP237-DQ237+10000</f>
        <v>10000</v>
      </c>
      <c r="DS237" s="100">
        <v>2500.0</v>
      </c>
      <c r="DT237" s="93">
        <f t="shared" ref="DT237:DT243" si="814">DR237-DS237</f>
        <v>7500</v>
      </c>
      <c r="DU237" s="100">
        <v>2500.0</v>
      </c>
      <c r="DV237" s="93">
        <f t="shared" si="61"/>
        <v>5000</v>
      </c>
    </row>
    <row r="238">
      <c r="A238" s="106" t="s">
        <v>1022</v>
      </c>
      <c r="B238" s="106" t="s">
        <v>1023</v>
      </c>
      <c r="C238" s="223" t="s">
        <v>213</v>
      </c>
      <c r="D238" s="223" t="s">
        <v>227</v>
      </c>
      <c r="E238" s="76" t="str">
        <f t="shared" si="326"/>
        <v>#REF!</v>
      </c>
      <c r="F238" s="76"/>
      <c r="G238" s="79"/>
      <c r="H238" s="80"/>
      <c r="I238" s="79"/>
      <c r="J238" s="80"/>
      <c r="K238" s="79"/>
      <c r="L238" s="142"/>
      <c r="M238" s="1"/>
      <c r="N238" s="142"/>
      <c r="O238" s="1"/>
      <c r="P238" s="142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79">
        <f t="shared" si="805"/>
        <v>0</v>
      </c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R238" s="1"/>
      <c r="CS238" s="79">
        <f t="shared" ref="CS238:CS242" si="815">CQ238-CR238</f>
        <v>0</v>
      </c>
      <c r="CT238" s="79"/>
      <c r="CU238" s="79">
        <f>CS238-CT238+2000</f>
        <v>2000</v>
      </c>
      <c r="CV238" s="24">
        <v>2000.0</v>
      </c>
      <c r="CW238" s="79">
        <f>CU238-CV238+5000</f>
        <v>5000</v>
      </c>
      <c r="CX238" s="24">
        <v>5000.0</v>
      </c>
      <c r="CY238" s="91"/>
      <c r="CZ238" s="79">
        <f>CW238-CX238</f>
        <v>0</v>
      </c>
      <c r="DA238" s="93"/>
      <c r="DB238" s="93">
        <f t="shared" si="813"/>
        <v>0</v>
      </c>
      <c r="DC238" s="96"/>
      <c r="DD238" s="93">
        <f t="shared" ref="DD238:DD241" si="816">DB238-DC238</f>
        <v>0</v>
      </c>
      <c r="DE238" s="96"/>
      <c r="DF238" s="93">
        <f t="shared" si="773"/>
        <v>0</v>
      </c>
      <c r="DG238" s="96"/>
      <c r="DH238" s="93">
        <f t="shared" si="734"/>
        <v>0</v>
      </c>
      <c r="DI238" s="96"/>
      <c r="DJ238" s="93">
        <f t="shared" ref="DJ238:DJ251" si="817">DH238-DI238</f>
        <v>0</v>
      </c>
      <c r="DK238" s="93"/>
      <c r="DL238" s="93">
        <f t="shared" si="811"/>
        <v>0</v>
      </c>
      <c r="DM238" s="100">
        <v>0.0</v>
      </c>
      <c r="DN238" s="93">
        <f t="shared" si="812"/>
        <v>0</v>
      </c>
      <c r="DO238" s="100">
        <v>0.0</v>
      </c>
      <c r="DP238" s="93">
        <f t="shared" si="721"/>
        <v>0</v>
      </c>
      <c r="DQ238" s="100">
        <v>0.0</v>
      </c>
      <c r="DR238" s="93">
        <f t="shared" ref="DR238:DR245" si="818">DP238-DQ238</f>
        <v>0</v>
      </c>
      <c r="DS238" s="100">
        <v>0.0</v>
      </c>
      <c r="DT238" s="93">
        <f t="shared" si="814"/>
        <v>0</v>
      </c>
      <c r="DU238" s="100">
        <v>0.0</v>
      </c>
      <c r="DV238" s="93">
        <f t="shared" si="61"/>
        <v>0</v>
      </c>
    </row>
    <row r="239">
      <c r="A239" s="106" t="s">
        <v>1024</v>
      </c>
      <c r="B239" s="106" t="s">
        <v>725</v>
      </c>
      <c r="C239" s="223" t="s">
        <v>213</v>
      </c>
      <c r="D239" s="223" t="s">
        <v>220</v>
      </c>
      <c r="E239" s="76" t="str">
        <f t="shared" si="326"/>
        <v>#REF!</v>
      </c>
      <c r="F239" s="76"/>
      <c r="G239" s="79"/>
      <c r="H239" s="80"/>
      <c r="I239" s="79"/>
      <c r="J239" s="80"/>
      <c r="K239" s="79"/>
      <c r="L239" s="142"/>
      <c r="M239" s="1"/>
      <c r="N239" s="142"/>
      <c r="O239" s="1"/>
      <c r="P239" s="142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79">
        <f t="shared" si="805"/>
        <v>0</v>
      </c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R239" s="1"/>
      <c r="CS239" s="79">
        <f t="shared" si="815"/>
        <v>0</v>
      </c>
      <c r="CT239" s="79"/>
      <c r="CU239" s="79">
        <f t="shared" ref="CU239:CU242" si="819">CS239-CT239</f>
        <v>0</v>
      </c>
      <c r="CV239" s="79"/>
      <c r="CW239" s="79">
        <f>CU239-CV239+10000</f>
        <v>10000</v>
      </c>
      <c r="CX239" s="24">
        <v>2000.0</v>
      </c>
      <c r="CY239" s="91"/>
      <c r="CZ239" s="79">
        <f>CW239-CX239-8000+15000</f>
        <v>15000</v>
      </c>
      <c r="DA239" s="100">
        <v>3000.0</v>
      </c>
      <c r="DB239" s="93">
        <f t="shared" si="813"/>
        <v>12000</v>
      </c>
      <c r="DC239" s="207">
        <v>3000.0</v>
      </c>
      <c r="DD239" s="93">
        <f t="shared" si="816"/>
        <v>9000</v>
      </c>
      <c r="DE239" s="207">
        <v>3000.0</v>
      </c>
      <c r="DF239" s="93">
        <f t="shared" si="773"/>
        <v>6000</v>
      </c>
      <c r="DG239" s="178">
        <v>3000.0</v>
      </c>
      <c r="DH239" s="93">
        <f t="shared" si="734"/>
        <v>3000</v>
      </c>
      <c r="DI239" s="178">
        <v>3000.0</v>
      </c>
      <c r="DJ239" s="93">
        <f t="shared" si="817"/>
        <v>0</v>
      </c>
      <c r="DK239" s="93"/>
      <c r="DL239" s="93">
        <f t="shared" si="811"/>
        <v>0</v>
      </c>
      <c r="DM239" s="100">
        <v>0.0</v>
      </c>
      <c r="DN239" s="93">
        <f t="shared" si="812"/>
        <v>0</v>
      </c>
      <c r="DO239" s="100">
        <v>0.0</v>
      </c>
      <c r="DP239" s="93">
        <f t="shared" si="721"/>
        <v>0</v>
      </c>
      <c r="DQ239" s="100">
        <v>0.0</v>
      </c>
      <c r="DR239" s="93">
        <f t="shared" si="818"/>
        <v>0</v>
      </c>
      <c r="DS239" s="100">
        <v>0.0</v>
      </c>
      <c r="DT239" s="93">
        <f t="shared" si="814"/>
        <v>0</v>
      </c>
      <c r="DU239" s="100">
        <v>0.0</v>
      </c>
      <c r="DV239" s="93">
        <f t="shared" si="61"/>
        <v>0</v>
      </c>
    </row>
    <row r="240">
      <c r="A240" s="106" t="s">
        <v>647</v>
      </c>
      <c r="B240" s="106" t="s">
        <v>1025</v>
      </c>
      <c r="C240" s="223" t="s">
        <v>213</v>
      </c>
      <c r="D240" s="223" t="s">
        <v>587</v>
      </c>
      <c r="E240" s="76" t="str">
        <f t="shared" si="326"/>
        <v>#REF!</v>
      </c>
      <c r="F240" s="76"/>
      <c r="G240" s="79"/>
      <c r="H240" s="80"/>
      <c r="I240" s="79"/>
      <c r="J240" s="80"/>
      <c r="K240" s="79"/>
      <c r="L240" s="142"/>
      <c r="M240" s="1"/>
      <c r="N240" s="142"/>
      <c r="O240" s="1"/>
      <c r="P240" s="142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79">
        <f t="shared" si="805"/>
        <v>0</v>
      </c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R240" s="1"/>
      <c r="CS240" s="79">
        <f t="shared" si="815"/>
        <v>0</v>
      </c>
      <c r="CT240" s="79"/>
      <c r="CU240" s="79">
        <f t="shared" si="819"/>
        <v>0</v>
      </c>
      <c r="CV240" s="79"/>
      <c r="CW240" s="79">
        <f t="shared" ref="CW240:CW242" si="820">CU240-CV240</f>
        <v>0</v>
      </c>
      <c r="CX240" s="79"/>
      <c r="CY240" s="91"/>
      <c r="CZ240" s="79">
        <f t="shared" ref="CZ240:CZ241" si="821">CW240-CX240+10000</f>
        <v>10000</v>
      </c>
      <c r="DA240" s="100">
        <v>2500.0</v>
      </c>
      <c r="DB240" s="93">
        <f t="shared" si="813"/>
        <v>7500</v>
      </c>
      <c r="DC240" s="207">
        <v>2500.0</v>
      </c>
      <c r="DD240" s="93">
        <f t="shared" si="816"/>
        <v>5000</v>
      </c>
      <c r="DE240" s="207">
        <v>2500.0</v>
      </c>
      <c r="DF240" s="93">
        <f t="shared" si="773"/>
        <v>2500</v>
      </c>
      <c r="DG240" s="178">
        <v>2500.0</v>
      </c>
      <c r="DH240" s="93">
        <f t="shared" si="734"/>
        <v>0</v>
      </c>
      <c r="DI240" s="178"/>
      <c r="DJ240" s="93">
        <f t="shared" si="817"/>
        <v>0</v>
      </c>
      <c r="DK240" s="93"/>
      <c r="DL240" s="93">
        <f t="shared" si="811"/>
        <v>0</v>
      </c>
      <c r="DM240" s="100">
        <v>0.0</v>
      </c>
      <c r="DN240" s="93">
        <f t="shared" si="812"/>
        <v>0</v>
      </c>
      <c r="DO240" s="100">
        <v>0.0</v>
      </c>
      <c r="DP240" s="93">
        <f t="shared" si="721"/>
        <v>0</v>
      </c>
      <c r="DQ240" s="100">
        <v>0.0</v>
      </c>
      <c r="DR240" s="93">
        <f t="shared" si="818"/>
        <v>0</v>
      </c>
      <c r="DS240" s="100">
        <v>0.0</v>
      </c>
      <c r="DT240" s="93">
        <f t="shared" si="814"/>
        <v>0</v>
      </c>
      <c r="DU240" s="100">
        <v>0.0</v>
      </c>
      <c r="DV240" s="93">
        <f t="shared" si="61"/>
        <v>0</v>
      </c>
    </row>
    <row r="241">
      <c r="A241" s="106" t="s">
        <v>1026</v>
      </c>
      <c r="B241" s="106" t="s">
        <v>1027</v>
      </c>
      <c r="C241" s="223" t="s">
        <v>213</v>
      </c>
      <c r="D241" s="223" t="s">
        <v>211</v>
      </c>
      <c r="E241" s="76" t="str">
        <f t="shared" si="326"/>
        <v>#REF!</v>
      </c>
      <c r="F241" s="76"/>
      <c r="G241" s="79"/>
      <c r="H241" s="80"/>
      <c r="I241" s="79"/>
      <c r="J241" s="80"/>
      <c r="K241" s="79"/>
      <c r="L241" s="142"/>
      <c r="M241" s="1"/>
      <c r="N241" s="142"/>
      <c r="O241" s="1"/>
      <c r="P241" s="142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79">
        <f t="shared" si="805"/>
        <v>0</v>
      </c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R241" s="1"/>
      <c r="CS241" s="79">
        <f t="shared" si="815"/>
        <v>0</v>
      </c>
      <c r="CT241" s="79"/>
      <c r="CU241" s="79">
        <f t="shared" si="819"/>
        <v>0</v>
      </c>
      <c r="CV241" s="79"/>
      <c r="CW241" s="79">
        <f t="shared" si="820"/>
        <v>0</v>
      </c>
      <c r="CX241" s="79"/>
      <c r="CY241" s="91"/>
      <c r="CZ241" s="79">
        <f t="shared" si="821"/>
        <v>10000</v>
      </c>
      <c r="DA241" s="100">
        <v>10000.0</v>
      </c>
      <c r="DB241" s="93">
        <f t="shared" si="813"/>
        <v>0</v>
      </c>
      <c r="DC241" s="207"/>
      <c r="DD241" s="93">
        <f t="shared" si="816"/>
        <v>0</v>
      </c>
      <c r="DE241" s="207"/>
      <c r="DF241" s="93">
        <f t="shared" si="773"/>
        <v>0</v>
      </c>
      <c r="DG241" s="96"/>
      <c r="DH241" s="93">
        <f t="shared" si="734"/>
        <v>0</v>
      </c>
      <c r="DI241" s="96"/>
      <c r="DJ241" s="93">
        <f t="shared" si="817"/>
        <v>0</v>
      </c>
      <c r="DK241" s="93"/>
      <c r="DL241" s="93">
        <f t="shared" si="811"/>
        <v>0</v>
      </c>
      <c r="DM241" s="100">
        <v>0.0</v>
      </c>
      <c r="DN241" s="93">
        <f t="shared" si="812"/>
        <v>0</v>
      </c>
      <c r="DO241" s="100">
        <v>0.0</v>
      </c>
      <c r="DP241" s="93">
        <f t="shared" si="721"/>
        <v>0</v>
      </c>
      <c r="DQ241" s="100">
        <v>0.0</v>
      </c>
      <c r="DR241" s="93">
        <f t="shared" si="818"/>
        <v>0</v>
      </c>
      <c r="DS241" s="100">
        <v>0.0</v>
      </c>
      <c r="DT241" s="93">
        <f t="shared" si="814"/>
        <v>0</v>
      </c>
      <c r="DU241" s="100">
        <v>0.0</v>
      </c>
      <c r="DV241" s="93">
        <f t="shared" si="61"/>
        <v>0</v>
      </c>
    </row>
    <row r="242">
      <c r="A242" s="106" t="s">
        <v>1028</v>
      </c>
      <c r="B242" s="106" t="s">
        <v>964</v>
      </c>
      <c r="C242" s="223" t="s">
        <v>213</v>
      </c>
      <c r="D242" s="223" t="s">
        <v>227</v>
      </c>
      <c r="E242" s="76" t="str">
        <f t="shared" si="326"/>
        <v>#REF!</v>
      </c>
      <c r="F242" s="76"/>
      <c r="G242" s="79"/>
      <c r="H242" s="80"/>
      <c r="I242" s="79"/>
      <c r="J242" s="80"/>
      <c r="K242" s="79"/>
      <c r="L242" s="142"/>
      <c r="M242" s="1"/>
      <c r="N242" s="142"/>
      <c r="O242" s="1"/>
      <c r="P242" s="142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79">
        <f t="shared" si="805"/>
        <v>0</v>
      </c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R242" s="1"/>
      <c r="CS242" s="79">
        <f t="shared" si="815"/>
        <v>0</v>
      </c>
      <c r="CT242" s="79"/>
      <c r="CU242" s="79">
        <f t="shared" si="819"/>
        <v>0</v>
      </c>
      <c r="CV242" s="79"/>
      <c r="CW242" s="79">
        <f t="shared" si="820"/>
        <v>0</v>
      </c>
      <c r="CX242" s="79"/>
      <c r="CY242" s="91"/>
      <c r="CZ242" s="79">
        <f>CW242-CX242+6000</f>
        <v>6000</v>
      </c>
      <c r="DA242" s="100">
        <v>3000.0</v>
      </c>
      <c r="DB242" s="93">
        <f t="shared" si="813"/>
        <v>3000</v>
      </c>
      <c r="DC242" s="207">
        <v>3000.0</v>
      </c>
      <c r="DD242" s="93">
        <f>DB242-DC242+5000</f>
        <v>5000</v>
      </c>
      <c r="DE242" s="208">
        <v>2500.0</v>
      </c>
      <c r="DF242" s="93">
        <f t="shared" si="773"/>
        <v>2500</v>
      </c>
      <c r="DG242" s="178">
        <v>2500.0</v>
      </c>
      <c r="DH242" s="100">
        <v>3000.0</v>
      </c>
      <c r="DI242" s="178">
        <v>3000.0</v>
      </c>
      <c r="DJ242" s="93">
        <f t="shared" si="817"/>
        <v>0</v>
      </c>
      <c r="DK242" s="93"/>
      <c r="DL242" s="93">
        <f t="shared" si="811"/>
        <v>0</v>
      </c>
      <c r="DM242" s="100">
        <v>0.0</v>
      </c>
      <c r="DN242" s="93">
        <f t="shared" si="812"/>
        <v>0</v>
      </c>
      <c r="DO242" s="100">
        <v>0.0</v>
      </c>
      <c r="DP242" s="93">
        <f t="shared" si="721"/>
        <v>0</v>
      </c>
      <c r="DQ242" s="100">
        <v>0.0</v>
      </c>
      <c r="DR242" s="93">
        <f t="shared" si="818"/>
        <v>0</v>
      </c>
      <c r="DS242" s="100">
        <v>0.0</v>
      </c>
      <c r="DT242" s="93">
        <f t="shared" si="814"/>
        <v>0</v>
      </c>
      <c r="DU242" s="100">
        <v>0.0</v>
      </c>
      <c r="DV242" s="93">
        <f t="shared" si="61"/>
        <v>0</v>
      </c>
    </row>
    <row r="243">
      <c r="A243" s="106" t="s">
        <v>1029</v>
      </c>
      <c r="B243" s="106" t="s">
        <v>1030</v>
      </c>
      <c r="C243" s="223" t="s">
        <v>213</v>
      </c>
      <c r="D243" s="223" t="s">
        <v>1031</v>
      </c>
      <c r="E243" s="76" t="str">
        <f t="shared" si="326"/>
        <v>#REF!</v>
      </c>
      <c r="F243" s="76"/>
      <c r="G243" s="79"/>
      <c r="H243" s="80"/>
      <c r="I243" s="79"/>
      <c r="J243" s="80"/>
      <c r="K243" s="79"/>
      <c r="L243" s="142"/>
      <c r="M243" s="1"/>
      <c r="N243" s="142"/>
      <c r="O243" s="1"/>
      <c r="P243" s="142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79">
        <f t="shared" si="805"/>
        <v>0</v>
      </c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R243" s="1"/>
      <c r="CS243" s="1"/>
      <c r="CT243" s="1"/>
      <c r="CU243" s="1"/>
      <c r="CV243" s="1"/>
      <c r="CW243" s="1"/>
      <c r="CX243" s="1"/>
      <c r="CY243" s="91"/>
      <c r="CZ243" s="79">
        <f>CW243-CX243+10000</f>
        <v>10000</v>
      </c>
      <c r="DA243" s="308">
        <v>2000.0</v>
      </c>
      <c r="DB243" s="93">
        <f t="shared" si="813"/>
        <v>8000</v>
      </c>
      <c r="DC243" s="207">
        <v>2000.0</v>
      </c>
      <c r="DD243" s="93">
        <f t="shared" ref="DD243:DD247" si="822">DB243-DC243</f>
        <v>6000</v>
      </c>
      <c r="DE243" s="207">
        <v>2000.0</v>
      </c>
      <c r="DF243" s="93">
        <f t="shared" si="773"/>
        <v>4000</v>
      </c>
      <c r="DG243" s="178">
        <v>2000.0</v>
      </c>
      <c r="DH243" s="93">
        <f t="shared" ref="DH243:DH251" si="823">DF243-DG243</f>
        <v>2000</v>
      </c>
      <c r="DI243" s="178">
        <v>0.0</v>
      </c>
      <c r="DJ243" s="93">
        <f t="shared" si="817"/>
        <v>2000</v>
      </c>
      <c r="DK243" s="100">
        <v>0.0</v>
      </c>
      <c r="DL243" s="93">
        <f t="shared" si="811"/>
        <v>2000</v>
      </c>
      <c r="DM243" s="100">
        <v>0.0</v>
      </c>
      <c r="DN243" s="93">
        <f t="shared" si="812"/>
        <v>2000</v>
      </c>
      <c r="DO243" s="100">
        <v>0.0</v>
      </c>
      <c r="DP243" s="93">
        <f t="shared" si="721"/>
        <v>2000</v>
      </c>
      <c r="DQ243" s="100">
        <v>0.0</v>
      </c>
      <c r="DR243" s="93">
        <f t="shared" si="818"/>
        <v>2000</v>
      </c>
      <c r="DS243" s="100">
        <v>0.0</v>
      </c>
      <c r="DT243" s="93">
        <f t="shared" si="814"/>
        <v>2000</v>
      </c>
      <c r="DU243" s="100">
        <v>0.0</v>
      </c>
      <c r="DV243" s="93">
        <f t="shared" si="61"/>
        <v>2000</v>
      </c>
    </row>
    <row r="244">
      <c r="A244" s="106" t="s">
        <v>577</v>
      </c>
      <c r="B244" s="106" t="s">
        <v>578</v>
      </c>
      <c r="C244" s="223" t="s">
        <v>213</v>
      </c>
      <c r="D244" s="223" t="s">
        <v>1032</v>
      </c>
      <c r="E244" s="76" t="str">
        <f t="shared" si="326"/>
        <v>#REF!</v>
      </c>
      <c r="F244" s="76"/>
      <c r="G244" s="79"/>
      <c r="H244" s="80"/>
      <c r="I244" s="79"/>
      <c r="J244" s="80"/>
      <c r="K244" s="79"/>
      <c r="L244" s="142"/>
      <c r="M244" s="1"/>
      <c r="N244" s="142"/>
      <c r="O244" s="1"/>
      <c r="P244" s="142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79">
        <f t="shared" si="805"/>
        <v>0</v>
      </c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R244" s="1"/>
      <c r="CS244" s="1"/>
      <c r="CT244" s="1"/>
      <c r="CU244" s="1"/>
      <c r="CV244" s="1"/>
      <c r="CW244" s="1"/>
      <c r="CX244" s="1"/>
      <c r="CY244" s="91"/>
      <c r="CZ244" s="79">
        <f>CW244-CX244+14000</f>
        <v>14000</v>
      </c>
      <c r="DA244" s="308">
        <v>14000.0</v>
      </c>
      <c r="DB244" s="93">
        <f t="shared" si="813"/>
        <v>0</v>
      </c>
      <c r="DC244" s="207"/>
      <c r="DD244" s="93">
        <f t="shared" si="822"/>
        <v>0</v>
      </c>
      <c r="DE244" s="207"/>
      <c r="DF244" s="93">
        <f t="shared" si="773"/>
        <v>0</v>
      </c>
      <c r="DG244" s="96"/>
      <c r="DH244" s="93">
        <f t="shared" si="823"/>
        <v>0</v>
      </c>
      <c r="DI244" s="96"/>
      <c r="DJ244" s="93">
        <f t="shared" si="817"/>
        <v>0</v>
      </c>
      <c r="DK244" s="93"/>
      <c r="DL244" s="93">
        <f t="shared" si="811"/>
        <v>0</v>
      </c>
      <c r="DM244" s="100">
        <v>0.0</v>
      </c>
      <c r="DN244" s="93">
        <f>DL244-DM244+8000</f>
        <v>8000</v>
      </c>
      <c r="DO244" s="100">
        <v>8000.0</v>
      </c>
      <c r="DP244" s="93">
        <f t="shared" si="721"/>
        <v>0</v>
      </c>
      <c r="DQ244" s="100">
        <v>0.0</v>
      </c>
      <c r="DR244" s="93">
        <f t="shared" si="818"/>
        <v>0</v>
      </c>
      <c r="DS244" s="100">
        <v>0.0</v>
      </c>
      <c r="DT244" s="93">
        <f>DR244-DS244+10000</f>
        <v>10000</v>
      </c>
      <c r="DU244" s="100">
        <v>3000.0</v>
      </c>
      <c r="DV244" s="93">
        <f t="shared" si="61"/>
        <v>7000</v>
      </c>
    </row>
    <row r="245">
      <c r="A245" s="106" t="s">
        <v>627</v>
      </c>
      <c r="B245" s="106" t="s">
        <v>628</v>
      </c>
      <c r="C245" s="223" t="s">
        <v>213</v>
      </c>
      <c r="D245" s="223" t="s">
        <v>211</v>
      </c>
      <c r="E245" s="76" t="str">
        <f t="shared" si="326"/>
        <v>#REF!</v>
      </c>
      <c r="F245" s="76"/>
      <c r="G245" s="79"/>
      <c r="H245" s="80"/>
      <c r="I245" s="79"/>
      <c r="J245" s="80"/>
      <c r="K245" s="79"/>
      <c r="L245" s="142"/>
      <c r="M245" s="1"/>
      <c r="N245" s="142"/>
      <c r="O245" s="1"/>
      <c r="P245" s="142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79">
        <f t="shared" si="805"/>
        <v>0</v>
      </c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R245" s="1"/>
      <c r="CS245" s="1"/>
      <c r="CT245" s="1"/>
      <c r="CU245" s="1"/>
      <c r="CV245" s="1"/>
      <c r="CW245" s="1"/>
      <c r="CX245" s="1"/>
      <c r="CY245" s="91"/>
      <c r="CZ245" s="24"/>
      <c r="DB245" s="93">
        <f>CZ245-DA245+10000</f>
        <v>10000</v>
      </c>
      <c r="DC245" s="178">
        <v>2000.0</v>
      </c>
      <c r="DD245" s="93">
        <f t="shared" si="822"/>
        <v>8000</v>
      </c>
      <c r="DE245" s="178">
        <v>2000.0</v>
      </c>
      <c r="DF245" s="93">
        <f t="shared" si="773"/>
        <v>6000</v>
      </c>
      <c r="DG245" s="178">
        <v>2000.0</v>
      </c>
      <c r="DH245" s="93">
        <f t="shared" si="823"/>
        <v>4000</v>
      </c>
      <c r="DI245" s="178">
        <v>2000.0</v>
      </c>
      <c r="DJ245" s="93">
        <f t="shared" si="817"/>
        <v>2000</v>
      </c>
      <c r="DK245" s="100">
        <v>2000.0</v>
      </c>
      <c r="DL245" s="93">
        <f t="shared" si="811"/>
        <v>0</v>
      </c>
      <c r="DM245" s="100">
        <v>0.0</v>
      </c>
      <c r="DN245" s="93">
        <f>DL245-DM245+6000</f>
        <v>6000</v>
      </c>
      <c r="DO245" s="100">
        <v>2500.0</v>
      </c>
      <c r="DP245" s="93">
        <f t="shared" si="721"/>
        <v>3500</v>
      </c>
      <c r="DQ245" s="100">
        <v>2500.0</v>
      </c>
      <c r="DR245" s="93">
        <f t="shared" si="818"/>
        <v>1000</v>
      </c>
      <c r="DS245" s="100">
        <v>1000.0</v>
      </c>
      <c r="DT245" s="93">
        <f t="shared" ref="DT245:DT260" si="824">DR245-DS245</f>
        <v>0</v>
      </c>
      <c r="DU245" s="100">
        <v>0.0</v>
      </c>
      <c r="DV245" s="93">
        <f t="shared" si="61"/>
        <v>0</v>
      </c>
    </row>
    <row r="246">
      <c r="A246" s="106" t="s">
        <v>662</v>
      </c>
      <c r="B246" s="106" t="s">
        <v>1033</v>
      </c>
      <c r="C246" s="223" t="s">
        <v>213</v>
      </c>
      <c r="D246" s="223" t="s">
        <v>1031</v>
      </c>
      <c r="E246" s="76" t="str">
        <f t="shared" si="326"/>
        <v>#REF!</v>
      </c>
      <c r="F246" s="76"/>
      <c r="G246" s="79"/>
      <c r="H246" s="80"/>
      <c r="I246" s="79"/>
      <c r="J246" s="80"/>
      <c r="K246" s="79"/>
      <c r="L246" s="142"/>
      <c r="M246" s="1"/>
      <c r="N246" s="142"/>
      <c r="O246" s="1"/>
      <c r="P246" s="142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79">
        <f t="shared" si="805"/>
        <v>0</v>
      </c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R246" s="1"/>
      <c r="CS246" s="1"/>
      <c r="CT246" s="1"/>
      <c r="CU246" s="1"/>
      <c r="CV246" s="1"/>
      <c r="CW246" s="1"/>
      <c r="CX246" s="1"/>
      <c r="CY246" s="91"/>
      <c r="CZ246" s="1"/>
      <c r="DB246" s="93">
        <f>CZ246-DA246+18000</f>
        <v>18000</v>
      </c>
      <c r="DC246" s="178">
        <v>3000.0</v>
      </c>
      <c r="DD246" s="93">
        <f t="shared" si="822"/>
        <v>15000</v>
      </c>
      <c r="DE246" s="178">
        <v>3000.0</v>
      </c>
      <c r="DF246" s="93">
        <f t="shared" si="773"/>
        <v>12000</v>
      </c>
      <c r="DG246" s="178">
        <v>3000.0</v>
      </c>
      <c r="DH246" s="93">
        <f t="shared" si="823"/>
        <v>9000</v>
      </c>
      <c r="DI246" s="178">
        <v>3000.0</v>
      </c>
      <c r="DJ246" s="93">
        <f t="shared" si="817"/>
        <v>6000</v>
      </c>
      <c r="DK246" s="100">
        <v>6000.0</v>
      </c>
      <c r="DL246" s="93">
        <f>DJ246-DK246+23000</f>
        <v>23000</v>
      </c>
      <c r="DM246" s="100">
        <v>8000.0</v>
      </c>
      <c r="DN246" s="93">
        <f t="shared" ref="DN246:DN256" si="825">DL246-DM246</f>
        <v>15000</v>
      </c>
      <c r="DO246" s="100">
        <v>0.0</v>
      </c>
      <c r="DP246" s="93">
        <f t="shared" si="721"/>
        <v>15000</v>
      </c>
      <c r="DQ246" s="100">
        <v>8000.0</v>
      </c>
      <c r="DR246" s="93">
        <f>DP246-DQ246+30000</f>
        <v>37000</v>
      </c>
      <c r="DS246" s="100">
        <v>0.0</v>
      </c>
      <c r="DT246" s="93">
        <f t="shared" si="824"/>
        <v>37000</v>
      </c>
      <c r="DU246" s="100">
        <v>0.0</v>
      </c>
      <c r="DV246" s="93">
        <f t="shared" si="61"/>
        <v>37000</v>
      </c>
    </row>
    <row r="247">
      <c r="A247" s="106" t="s">
        <v>1034</v>
      </c>
      <c r="B247" s="106" t="s">
        <v>396</v>
      </c>
      <c r="C247" s="223" t="s">
        <v>213</v>
      </c>
      <c r="D247" s="223" t="s">
        <v>1031</v>
      </c>
      <c r="E247" s="76" t="str">
        <f t="shared" si="326"/>
        <v>#REF!</v>
      </c>
      <c r="F247" s="76"/>
      <c r="G247" s="79"/>
      <c r="H247" s="80"/>
      <c r="I247" s="79"/>
      <c r="J247" s="80"/>
      <c r="K247" s="79"/>
      <c r="L247" s="142"/>
      <c r="M247" s="1"/>
      <c r="N247" s="142"/>
      <c r="O247" s="1"/>
      <c r="P247" s="142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79">
        <f t="shared" si="805"/>
        <v>0</v>
      </c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R247" s="1"/>
      <c r="CS247" s="1"/>
      <c r="CT247" s="1"/>
      <c r="CU247" s="1"/>
      <c r="CV247" s="1"/>
      <c r="CW247" s="1"/>
      <c r="CX247" s="1"/>
      <c r="CY247" s="91"/>
      <c r="CZ247" s="1"/>
      <c r="DB247" s="93">
        <f>CZ247-DA247+10000</f>
        <v>10000</v>
      </c>
      <c r="DC247" s="178">
        <v>2000.0</v>
      </c>
      <c r="DD247" s="93">
        <f t="shared" si="822"/>
        <v>8000</v>
      </c>
      <c r="DE247" s="178">
        <v>2000.0</v>
      </c>
      <c r="DF247" s="93">
        <f t="shared" si="773"/>
        <v>6000</v>
      </c>
      <c r="DG247" s="178">
        <v>2000.0</v>
      </c>
      <c r="DH247" s="93">
        <f t="shared" si="823"/>
        <v>4000</v>
      </c>
      <c r="DI247" s="178">
        <v>0.0</v>
      </c>
      <c r="DJ247" s="93">
        <f t="shared" si="817"/>
        <v>4000</v>
      </c>
      <c r="DK247" s="100">
        <v>0.0</v>
      </c>
      <c r="DL247" s="93">
        <f t="shared" ref="DL247:DL250" si="826">DJ247-DK247</f>
        <v>4000</v>
      </c>
      <c r="DM247" s="100">
        <v>0.0</v>
      </c>
      <c r="DN247" s="93">
        <f t="shared" si="825"/>
        <v>4000</v>
      </c>
      <c r="DO247" s="100">
        <v>0.0</v>
      </c>
      <c r="DP247" s="93">
        <f t="shared" si="721"/>
        <v>4000</v>
      </c>
      <c r="DQ247" s="100">
        <v>0.0</v>
      </c>
      <c r="DR247" s="93">
        <f t="shared" ref="DR247:DR253" si="827">DP247-DQ247</f>
        <v>4000</v>
      </c>
      <c r="DS247" s="100">
        <v>0.0</v>
      </c>
      <c r="DT247" s="93">
        <f t="shared" si="824"/>
        <v>4000</v>
      </c>
      <c r="DU247" s="100">
        <v>0.0</v>
      </c>
      <c r="DV247" s="93">
        <f t="shared" si="61"/>
        <v>4000</v>
      </c>
    </row>
    <row r="248">
      <c r="A248" s="106" t="s">
        <v>1035</v>
      </c>
      <c r="B248" s="106" t="s">
        <v>282</v>
      </c>
      <c r="C248" s="223" t="s">
        <v>213</v>
      </c>
      <c r="D248" s="223" t="s">
        <v>1036</v>
      </c>
      <c r="E248" s="76" t="str">
        <f t="shared" si="326"/>
        <v>#REF!</v>
      </c>
      <c r="F248" s="76"/>
      <c r="G248" s="79"/>
      <c r="H248" s="80"/>
      <c r="I248" s="79"/>
      <c r="J248" s="80"/>
      <c r="K248" s="79"/>
      <c r="L248" s="142"/>
      <c r="M248" s="1"/>
      <c r="N248" s="142"/>
      <c r="O248" s="1"/>
      <c r="P248" s="142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79">
        <f t="shared" si="805"/>
        <v>0</v>
      </c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R248" s="1"/>
      <c r="CS248" s="1"/>
      <c r="CT248" s="1"/>
      <c r="CU248" s="1"/>
      <c r="CV248" s="1"/>
      <c r="CW248" s="1"/>
      <c r="CX248" s="1"/>
      <c r="CY248" s="91"/>
      <c r="CZ248" s="1"/>
      <c r="DB248" s="93">
        <f>CZ248-DA248+4000</f>
        <v>4000</v>
      </c>
      <c r="DC248" s="178">
        <v>4000.0</v>
      </c>
      <c r="DD248" s="93">
        <f>DB248-DC248+8000</f>
        <v>8000</v>
      </c>
      <c r="DE248" s="178">
        <v>8000.0</v>
      </c>
      <c r="DF248" s="93">
        <f t="shared" si="773"/>
        <v>0</v>
      </c>
      <c r="DG248" s="96"/>
      <c r="DH248" s="93">
        <f t="shared" si="823"/>
        <v>0</v>
      </c>
      <c r="DI248" s="96"/>
      <c r="DJ248" s="93">
        <f t="shared" si="817"/>
        <v>0</v>
      </c>
      <c r="DK248" s="93"/>
      <c r="DL248" s="93">
        <f t="shared" si="826"/>
        <v>0</v>
      </c>
      <c r="DM248" s="100">
        <v>0.0</v>
      </c>
      <c r="DN248" s="93">
        <f t="shared" si="825"/>
        <v>0</v>
      </c>
      <c r="DO248" s="100">
        <v>0.0</v>
      </c>
      <c r="DP248" s="93">
        <f t="shared" si="721"/>
        <v>0</v>
      </c>
      <c r="DQ248" s="100">
        <v>0.0</v>
      </c>
      <c r="DR248" s="93">
        <f t="shared" si="827"/>
        <v>0</v>
      </c>
      <c r="DS248" s="100">
        <v>0.0</v>
      </c>
      <c r="DT248" s="93">
        <f t="shared" si="824"/>
        <v>0</v>
      </c>
      <c r="DU248" s="100">
        <v>0.0</v>
      </c>
      <c r="DV248" s="93">
        <f t="shared" si="61"/>
        <v>0</v>
      </c>
    </row>
    <row r="249">
      <c r="A249" s="106" t="s">
        <v>620</v>
      </c>
      <c r="B249" s="106" t="s">
        <v>569</v>
      </c>
      <c r="C249" s="223" t="s">
        <v>213</v>
      </c>
      <c r="D249" s="223" t="s">
        <v>211</v>
      </c>
      <c r="E249" s="76" t="str">
        <f t="shared" si="326"/>
        <v>#REF!</v>
      </c>
      <c r="F249" s="76"/>
      <c r="G249" s="79"/>
      <c r="H249" s="80"/>
      <c r="I249" s="79"/>
      <c r="J249" s="80"/>
      <c r="K249" s="79"/>
      <c r="L249" s="142"/>
      <c r="M249" s="1"/>
      <c r="N249" s="142"/>
      <c r="O249" s="1"/>
      <c r="P249" s="142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79">
        <f t="shared" si="805"/>
        <v>0</v>
      </c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R249" s="1"/>
      <c r="CS249" s="1"/>
      <c r="CT249" s="1"/>
      <c r="CU249" s="1"/>
      <c r="CV249" s="1"/>
      <c r="CW249" s="1"/>
      <c r="CX249" s="1"/>
      <c r="CY249" s="91"/>
      <c r="CZ249" s="1"/>
      <c r="DB249" s="93"/>
      <c r="DC249" s="178"/>
      <c r="DD249" s="93">
        <f>DB249-DC249+3000</f>
        <v>3000</v>
      </c>
      <c r="DE249" s="178">
        <v>1500.0</v>
      </c>
      <c r="DF249" s="93">
        <f t="shared" si="773"/>
        <v>1500</v>
      </c>
      <c r="DG249" s="178">
        <v>1500.0</v>
      </c>
      <c r="DH249" s="93">
        <f t="shared" si="823"/>
        <v>0</v>
      </c>
      <c r="DI249" s="178"/>
      <c r="DJ249" s="93">
        <f t="shared" si="817"/>
        <v>0</v>
      </c>
      <c r="DK249" s="93"/>
      <c r="DL249" s="93">
        <f t="shared" si="826"/>
        <v>0</v>
      </c>
      <c r="DM249" s="100">
        <v>0.0</v>
      </c>
      <c r="DN249" s="93">
        <f t="shared" si="825"/>
        <v>0</v>
      </c>
      <c r="DO249" s="100">
        <v>0.0</v>
      </c>
      <c r="DP249" s="93">
        <f t="shared" si="721"/>
        <v>0</v>
      </c>
      <c r="DQ249" s="100">
        <v>0.0</v>
      </c>
      <c r="DR249" s="93">
        <f t="shared" si="827"/>
        <v>0</v>
      </c>
      <c r="DS249" s="100">
        <v>0.0</v>
      </c>
      <c r="DT249" s="93">
        <f t="shared" si="824"/>
        <v>0</v>
      </c>
      <c r="DU249" s="100">
        <v>0.0</v>
      </c>
      <c r="DV249" s="93">
        <f t="shared" si="61"/>
        <v>0</v>
      </c>
    </row>
    <row r="250">
      <c r="A250" s="106" t="s">
        <v>1037</v>
      </c>
      <c r="B250" s="106" t="s">
        <v>802</v>
      </c>
      <c r="C250" s="223" t="s">
        <v>213</v>
      </c>
      <c r="D250" s="223" t="s">
        <v>211</v>
      </c>
      <c r="E250" s="76" t="str">
        <f t="shared" si="326"/>
        <v>#REF!</v>
      </c>
      <c r="F250" s="76"/>
      <c r="G250" s="79"/>
      <c r="H250" s="80"/>
      <c r="I250" s="79"/>
      <c r="J250" s="80"/>
      <c r="K250" s="79"/>
      <c r="L250" s="142"/>
      <c r="M250" s="1"/>
      <c r="N250" s="142"/>
      <c r="O250" s="1"/>
      <c r="P250" s="142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79">
        <f t="shared" si="805"/>
        <v>0</v>
      </c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R250" s="1"/>
      <c r="CS250" s="1"/>
      <c r="CT250" s="1"/>
      <c r="CU250" s="1"/>
      <c r="CV250" s="1"/>
      <c r="CW250" s="1"/>
      <c r="CX250" s="1"/>
      <c r="CY250" s="91"/>
      <c r="CZ250" s="1"/>
      <c r="DC250" s="96"/>
      <c r="DD250" s="93">
        <f>DB250-DC250+2000</f>
        <v>2000</v>
      </c>
      <c r="DE250" s="178">
        <v>2000.0</v>
      </c>
      <c r="DF250" s="100">
        <v>3000.0</v>
      </c>
      <c r="DG250" s="178">
        <v>3000.0</v>
      </c>
      <c r="DH250" s="93">
        <f t="shared" si="823"/>
        <v>0</v>
      </c>
      <c r="DI250" s="178"/>
      <c r="DJ250" s="93">
        <f t="shared" si="817"/>
        <v>0</v>
      </c>
      <c r="DK250" s="93"/>
      <c r="DL250" s="93">
        <f t="shared" si="826"/>
        <v>0</v>
      </c>
      <c r="DM250" s="100">
        <v>0.0</v>
      </c>
      <c r="DN250" s="93">
        <f t="shared" si="825"/>
        <v>0</v>
      </c>
      <c r="DO250" s="100">
        <v>0.0</v>
      </c>
      <c r="DP250" s="93">
        <f t="shared" si="721"/>
        <v>0</v>
      </c>
      <c r="DQ250" s="100">
        <v>0.0</v>
      </c>
      <c r="DR250" s="93">
        <f t="shared" si="827"/>
        <v>0</v>
      </c>
      <c r="DS250" s="100">
        <v>0.0</v>
      </c>
      <c r="DT250" s="93">
        <f t="shared" si="824"/>
        <v>0</v>
      </c>
      <c r="DU250" s="100">
        <v>0.0</v>
      </c>
      <c r="DV250" s="93">
        <f t="shared" si="61"/>
        <v>0</v>
      </c>
    </row>
    <row r="251">
      <c r="A251" s="106" t="s">
        <v>1038</v>
      </c>
      <c r="B251" s="106" t="s">
        <v>607</v>
      </c>
      <c r="C251" s="223" t="s">
        <v>213</v>
      </c>
      <c r="D251" s="223" t="s">
        <v>1039</v>
      </c>
      <c r="E251" s="76" t="str">
        <f t="shared" si="326"/>
        <v>#REF!</v>
      </c>
      <c r="F251" s="76"/>
      <c r="G251" s="79"/>
      <c r="H251" s="80"/>
      <c r="I251" s="79"/>
      <c r="J251" s="80"/>
      <c r="K251" s="79"/>
      <c r="L251" s="142"/>
      <c r="M251" s="1"/>
      <c r="N251" s="142"/>
      <c r="O251" s="1"/>
      <c r="P251" s="142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79">
        <f t="shared" si="805"/>
        <v>0</v>
      </c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R251" s="1"/>
      <c r="CS251" s="1"/>
      <c r="CT251" s="1"/>
      <c r="CU251" s="1"/>
      <c r="CV251" s="1"/>
      <c r="CW251" s="1"/>
      <c r="CX251" s="1"/>
      <c r="CY251" s="91"/>
      <c r="CZ251" s="1"/>
      <c r="DC251" s="96"/>
      <c r="DE251" s="96"/>
      <c r="DF251" s="308">
        <v>150000.0</v>
      </c>
      <c r="DG251" s="308">
        <v>50000.0</v>
      </c>
      <c r="DH251" s="93">
        <f t="shared" si="823"/>
        <v>100000</v>
      </c>
      <c r="DI251" s="308">
        <v>50000.0</v>
      </c>
      <c r="DJ251" s="93">
        <f t="shared" si="817"/>
        <v>50000</v>
      </c>
      <c r="DK251" s="100">
        <v>50000.0</v>
      </c>
      <c r="DL251" s="93">
        <f>DJ251-DK251+150000</f>
        <v>150000</v>
      </c>
      <c r="DM251" s="100">
        <v>0.0</v>
      </c>
      <c r="DN251" s="93">
        <f t="shared" si="825"/>
        <v>150000</v>
      </c>
      <c r="DO251" s="100">
        <v>150000.0</v>
      </c>
      <c r="DP251" s="93">
        <f t="shared" si="721"/>
        <v>0</v>
      </c>
      <c r="DQ251" s="100">
        <v>0.0</v>
      </c>
      <c r="DR251" s="93">
        <f t="shared" si="827"/>
        <v>0</v>
      </c>
      <c r="DS251" s="100">
        <v>0.0</v>
      </c>
      <c r="DT251" s="93">
        <f t="shared" si="824"/>
        <v>0</v>
      </c>
      <c r="DU251" s="100">
        <v>0.0</v>
      </c>
      <c r="DV251" s="93">
        <f t="shared" si="61"/>
        <v>0</v>
      </c>
    </row>
    <row r="252">
      <c r="A252" s="106" t="s">
        <v>623</v>
      </c>
      <c r="B252" s="87" t="s">
        <v>624</v>
      </c>
      <c r="C252" s="223" t="s">
        <v>213</v>
      </c>
      <c r="D252" s="309" t="s">
        <v>211</v>
      </c>
      <c r="E252" s="76"/>
      <c r="F252" s="76"/>
      <c r="G252" s="79"/>
      <c r="H252" s="80"/>
      <c r="I252" s="79"/>
      <c r="J252" s="80"/>
      <c r="K252" s="79"/>
      <c r="L252" s="142"/>
      <c r="M252" s="1"/>
      <c r="N252" s="142"/>
      <c r="O252" s="1"/>
      <c r="P252" s="142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79">
        <f t="shared" si="805"/>
        <v>0</v>
      </c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R252" s="1"/>
      <c r="CS252" s="1"/>
      <c r="CT252" s="1"/>
      <c r="CU252" s="1"/>
      <c r="CV252" s="1"/>
      <c r="CW252" s="1"/>
      <c r="CX252" s="1"/>
      <c r="CY252" s="91"/>
      <c r="CZ252" s="1"/>
      <c r="DC252" s="96"/>
      <c r="DE252" s="96"/>
      <c r="DJ252" s="308">
        <v>8000.0</v>
      </c>
      <c r="DK252" s="308">
        <v>2500.0</v>
      </c>
      <c r="DL252" s="93">
        <f t="shared" ref="DL252:DL254" si="828">DJ252-DK252</f>
        <v>5500</v>
      </c>
      <c r="DM252" s="100">
        <v>2500.0</v>
      </c>
      <c r="DN252" s="93">
        <f t="shared" si="825"/>
        <v>3000</v>
      </c>
      <c r="DO252" s="100">
        <v>3000.0</v>
      </c>
      <c r="DP252" s="93">
        <f t="shared" si="721"/>
        <v>0</v>
      </c>
      <c r="DQ252" s="100">
        <v>0.0</v>
      </c>
      <c r="DR252" s="93">
        <f t="shared" si="827"/>
        <v>0</v>
      </c>
      <c r="DS252" s="100">
        <v>0.0</v>
      </c>
      <c r="DT252" s="93">
        <f t="shared" si="824"/>
        <v>0</v>
      </c>
      <c r="DU252" s="100">
        <v>0.0</v>
      </c>
      <c r="DV252" s="93">
        <f t="shared" si="61"/>
        <v>0</v>
      </c>
    </row>
    <row r="253">
      <c r="A253" s="106" t="s">
        <v>1040</v>
      </c>
      <c r="B253" s="106" t="s">
        <v>1041</v>
      </c>
      <c r="C253" s="223" t="s">
        <v>213</v>
      </c>
      <c r="D253" s="309" t="s">
        <v>459</v>
      </c>
      <c r="E253" s="76"/>
      <c r="F253" s="76"/>
      <c r="G253" s="79"/>
      <c r="H253" s="80"/>
      <c r="I253" s="79"/>
      <c r="J253" s="80"/>
      <c r="K253" s="79"/>
      <c r="L253" s="142"/>
      <c r="M253" s="1"/>
      <c r="N253" s="142"/>
      <c r="O253" s="1"/>
      <c r="P253" s="142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79">
        <f t="shared" si="805"/>
        <v>0</v>
      </c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R253" s="1"/>
      <c r="CS253" s="1"/>
      <c r="CT253" s="1"/>
      <c r="CU253" s="1"/>
      <c r="CV253" s="1"/>
      <c r="CW253" s="1"/>
      <c r="CX253" s="1"/>
      <c r="CY253" s="91"/>
      <c r="CZ253" s="1"/>
      <c r="DC253" s="96"/>
      <c r="DE253" s="96"/>
      <c r="DJ253" s="308">
        <v>1000.0</v>
      </c>
      <c r="DK253" s="308">
        <v>1000.0</v>
      </c>
      <c r="DL253" s="93">
        <f t="shared" si="828"/>
        <v>0</v>
      </c>
      <c r="DM253" s="100">
        <v>0.0</v>
      </c>
      <c r="DN253" s="93">
        <f t="shared" si="825"/>
        <v>0</v>
      </c>
      <c r="DO253" s="100">
        <v>0.0</v>
      </c>
      <c r="DP253" s="93">
        <f t="shared" si="721"/>
        <v>0</v>
      </c>
      <c r="DQ253" s="100">
        <v>0.0</v>
      </c>
      <c r="DR253" s="93">
        <f t="shared" si="827"/>
        <v>0</v>
      </c>
      <c r="DS253" s="100">
        <v>0.0</v>
      </c>
      <c r="DT253" s="93">
        <f t="shared" si="824"/>
        <v>0</v>
      </c>
      <c r="DU253" s="100">
        <v>0.0</v>
      </c>
      <c r="DV253" s="93">
        <f t="shared" si="61"/>
        <v>0</v>
      </c>
    </row>
    <row r="254">
      <c r="A254" s="106" t="s">
        <v>693</v>
      </c>
      <c r="B254" s="106" t="s">
        <v>1042</v>
      </c>
      <c r="C254" s="223" t="s">
        <v>213</v>
      </c>
      <c r="D254" s="223" t="s">
        <v>1043</v>
      </c>
      <c r="E254" s="76"/>
      <c r="F254" s="76"/>
      <c r="G254" s="79"/>
      <c r="H254" s="80"/>
      <c r="I254" s="79"/>
      <c r="J254" s="80"/>
      <c r="K254" s="79"/>
      <c r="L254" s="142"/>
      <c r="M254" s="1"/>
      <c r="N254" s="142"/>
      <c r="O254" s="1"/>
      <c r="P254" s="142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79">
        <f t="shared" si="805"/>
        <v>0</v>
      </c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R254" s="1"/>
      <c r="CS254" s="1"/>
      <c r="CT254" s="1"/>
      <c r="CU254" s="1"/>
      <c r="CV254" s="1"/>
      <c r="CW254" s="1"/>
      <c r="CX254" s="1"/>
      <c r="CY254" s="91"/>
      <c r="CZ254" s="1"/>
      <c r="DC254" s="96"/>
      <c r="DE254" s="96"/>
      <c r="DJ254" s="308">
        <v>10000.0</v>
      </c>
      <c r="DK254" s="308">
        <v>0.0</v>
      </c>
      <c r="DL254" s="93">
        <f t="shared" si="828"/>
        <v>10000</v>
      </c>
      <c r="DM254" s="100">
        <v>5000.0</v>
      </c>
      <c r="DN254" s="93">
        <f t="shared" si="825"/>
        <v>5000</v>
      </c>
      <c r="DO254" s="100">
        <v>5000.0</v>
      </c>
      <c r="DP254" s="93">
        <f t="shared" si="721"/>
        <v>0</v>
      </c>
      <c r="DQ254" s="100">
        <v>0.0</v>
      </c>
      <c r="DR254" s="93">
        <f>DP254-DQ254+45000</f>
        <v>45000</v>
      </c>
      <c r="DS254" s="100">
        <v>0.0</v>
      </c>
      <c r="DT254" s="93">
        <f t="shared" si="824"/>
        <v>45000</v>
      </c>
      <c r="DU254" s="100">
        <v>5000.0</v>
      </c>
      <c r="DV254" s="93">
        <f t="shared" si="61"/>
        <v>40000</v>
      </c>
    </row>
    <row r="255">
      <c r="A255" s="106" t="s">
        <v>702</v>
      </c>
      <c r="B255" s="106" t="s">
        <v>703</v>
      </c>
      <c r="C255" s="223" t="s">
        <v>213</v>
      </c>
      <c r="D255" s="309" t="s">
        <v>244</v>
      </c>
      <c r="E255" s="76"/>
      <c r="F255" s="76"/>
      <c r="G255" s="79"/>
      <c r="H255" s="80"/>
      <c r="I255" s="79"/>
      <c r="J255" s="80"/>
      <c r="K255" s="79"/>
      <c r="L255" s="142"/>
      <c r="M255" s="1"/>
      <c r="N255" s="142"/>
      <c r="O255" s="1"/>
      <c r="P255" s="142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79">
        <f t="shared" si="805"/>
        <v>0</v>
      </c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R255" s="1"/>
      <c r="CS255" s="1"/>
      <c r="CT255" s="1"/>
      <c r="CU255" s="1"/>
      <c r="CV255" s="1"/>
      <c r="CW255" s="1"/>
      <c r="CX255" s="1"/>
      <c r="CY255" s="91"/>
      <c r="CZ255" s="1"/>
      <c r="DC255" s="96"/>
      <c r="DE255" s="96"/>
      <c r="DL255" s="100">
        <f>10000+1572</f>
        <v>11572</v>
      </c>
      <c r="DM255" s="100">
        <f>5000+750</f>
        <v>5750</v>
      </c>
      <c r="DN255" s="93">
        <f t="shared" si="825"/>
        <v>5822</v>
      </c>
      <c r="DO255" s="100">
        <v>5822.0</v>
      </c>
      <c r="DP255" s="93">
        <f t="shared" si="721"/>
        <v>0</v>
      </c>
      <c r="DQ255" s="100">
        <v>0.0</v>
      </c>
      <c r="DR255" s="93">
        <f>DP255-DQ255+15000</f>
        <v>15000</v>
      </c>
      <c r="DS255" s="100">
        <v>2500.0</v>
      </c>
      <c r="DT255" s="93">
        <f t="shared" si="824"/>
        <v>12500</v>
      </c>
      <c r="DU255" s="100">
        <v>2500.0</v>
      </c>
      <c r="DV255" s="93">
        <f t="shared" si="61"/>
        <v>10000</v>
      </c>
    </row>
    <row r="256">
      <c r="A256" s="106" t="s">
        <v>785</v>
      </c>
      <c r="B256" s="106" t="s">
        <v>289</v>
      </c>
      <c r="C256" s="223" t="s">
        <v>213</v>
      </c>
      <c r="D256" s="309" t="s">
        <v>240</v>
      </c>
      <c r="E256" s="76"/>
      <c r="F256" s="76"/>
      <c r="G256" s="79"/>
      <c r="H256" s="80"/>
      <c r="I256" s="79"/>
      <c r="J256" s="80"/>
      <c r="K256" s="79"/>
      <c r="L256" s="142"/>
      <c r="M256" s="1"/>
      <c r="N256" s="142"/>
      <c r="O256" s="1"/>
      <c r="P256" s="142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79">
        <f t="shared" si="805"/>
        <v>0</v>
      </c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R256" s="1"/>
      <c r="CS256" s="1"/>
      <c r="CT256" s="1"/>
      <c r="CU256" s="1"/>
      <c r="CV256" s="1"/>
      <c r="CW256" s="1"/>
      <c r="CX256" s="1"/>
      <c r="CY256" s="91"/>
      <c r="CZ256" s="1"/>
      <c r="DC256" s="96"/>
      <c r="DE256" s="96"/>
      <c r="DL256" s="308">
        <v>1572.0</v>
      </c>
      <c r="DM256" s="308">
        <v>200.0</v>
      </c>
      <c r="DN256" s="93">
        <f t="shared" si="825"/>
        <v>1372</v>
      </c>
      <c r="DO256" s="100">
        <v>500.0</v>
      </c>
      <c r="DP256" s="93">
        <f t="shared" si="721"/>
        <v>872</v>
      </c>
      <c r="DQ256" s="100">
        <v>500.0</v>
      </c>
      <c r="DR256" s="93">
        <f t="shared" ref="DR256:DR260" si="829">DP256-DQ256</f>
        <v>372</v>
      </c>
      <c r="DS256" s="100">
        <v>372.0</v>
      </c>
      <c r="DT256" s="93">
        <f t="shared" si="824"/>
        <v>0</v>
      </c>
      <c r="DU256" s="100">
        <v>0.0</v>
      </c>
      <c r="DV256" s="93">
        <f t="shared" si="61"/>
        <v>0</v>
      </c>
    </row>
    <row r="257">
      <c r="A257" s="106" t="s">
        <v>673</v>
      </c>
      <c r="B257" s="106" t="s">
        <v>674</v>
      </c>
      <c r="C257" s="223" t="s">
        <v>213</v>
      </c>
      <c r="D257" s="309" t="s">
        <v>211</v>
      </c>
      <c r="E257" s="76"/>
      <c r="F257" s="76"/>
      <c r="G257" s="79"/>
      <c r="H257" s="80"/>
      <c r="I257" s="79"/>
      <c r="J257" s="80"/>
      <c r="K257" s="79"/>
      <c r="L257" s="142"/>
      <c r="M257" s="1"/>
      <c r="N257" s="142"/>
      <c r="O257" s="1"/>
      <c r="P257" s="142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79">
        <f t="shared" si="805"/>
        <v>0</v>
      </c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R257" s="1"/>
      <c r="CS257" s="1"/>
      <c r="CT257" s="1"/>
      <c r="CU257" s="1"/>
      <c r="CV257" s="1"/>
      <c r="CW257" s="1"/>
      <c r="CX257" s="1"/>
      <c r="CY257" s="91"/>
      <c r="CZ257" s="1"/>
      <c r="DC257" s="96"/>
      <c r="DE257" s="96"/>
      <c r="DM257" s="308">
        <v>0.0</v>
      </c>
      <c r="DN257" s="93">
        <f>DL257-DM257+10000</f>
        <v>10000</v>
      </c>
      <c r="DO257" s="100">
        <v>2500.0</v>
      </c>
      <c r="DP257" s="93">
        <f t="shared" si="721"/>
        <v>7500</v>
      </c>
      <c r="DQ257" s="100">
        <v>2500.0</v>
      </c>
      <c r="DR257" s="93">
        <f t="shared" si="829"/>
        <v>5000</v>
      </c>
      <c r="DS257" s="100">
        <v>0.0</v>
      </c>
      <c r="DT257" s="93">
        <f t="shared" si="824"/>
        <v>5000</v>
      </c>
      <c r="DU257" s="100">
        <v>2500.0</v>
      </c>
      <c r="DV257" s="93">
        <f t="shared" si="61"/>
        <v>2500</v>
      </c>
    </row>
    <row r="258">
      <c r="A258" s="106" t="s">
        <v>751</v>
      </c>
      <c r="B258" s="106" t="s">
        <v>752</v>
      </c>
      <c r="C258" s="223" t="s">
        <v>213</v>
      </c>
      <c r="D258" s="309" t="s">
        <v>211</v>
      </c>
      <c r="E258" s="76"/>
      <c r="F258" s="76"/>
      <c r="G258" s="79"/>
      <c r="H258" s="80"/>
      <c r="I258" s="79"/>
      <c r="J258" s="80"/>
      <c r="K258" s="79"/>
      <c r="L258" s="142"/>
      <c r="M258" s="1"/>
      <c r="N258" s="142"/>
      <c r="O258" s="1"/>
      <c r="P258" s="142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79">
        <f t="shared" si="805"/>
        <v>0</v>
      </c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R258" s="1"/>
      <c r="CS258" s="1"/>
      <c r="CT258" s="1"/>
      <c r="CU258" s="1"/>
      <c r="CV258" s="1"/>
      <c r="CW258" s="1"/>
      <c r="CX258" s="1"/>
      <c r="CY258" s="91"/>
      <c r="CZ258" s="1"/>
      <c r="DC258" s="96"/>
      <c r="DE258" s="96"/>
      <c r="DN258" s="93">
        <f t="shared" ref="DN258:DN259" si="830">DL258-DM258+1790</f>
        <v>1790</v>
      </c>
      <c r="DO258" s="100">
        <v>500.0</v>
      </c>
      <c r="DP258" s="93">
        <f>DN258-DO258+10000</f>
        <v>11290</v>
      </c>
      <c r="DQ258" s="100">
        <v>5000.0</v>
      </c>
      <c r="DR258" s="93">
        <f t="shared" si="829"/>
        <v>6290</v>
      </c>
      <c r="DS258" s="100">
        <v>3000.0</v>
      </c>
      <c r="DT258" s="93">
        <f t="shared" si="824"/>
        <v>3290</v>
      </c>
      <c r="DU258" s="100">
        <v>1500.0</v>
      </c>
      <c r="DV258" s="93">
        <f t="shared" si="61"/>
        <v>1790</v>
      </c>
    </row>
    <row r="259">
      <c r="A259" s="106" t="s">
        <v>602</v>
      </c>
      <c r="B259" s="106" t="s">
        <v>603</v>
      </c>
      <c r="C259" s="223" t="s">
        <v>213</v>
      </c>
      <c r="D259" s="309" t="s">
        <v>211</v>
      </c>
      <c r="E259" s="76"/>
      <c r="F259" s="76"/>
      <c r="G259" s="79"/>
      <c r="H259" s="80"/>
      <c r="I259" s="79"/>
      <c r="J259" s="80"/>
      <c r="K259" s="79"/>
      <c r="L259" s="142"/>
      <c r="M259" s="1"/>
      <c r="N259" s="142"/>
      <c r="O259" s="1"/>
      <c r="P259" s="142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79">
        <f t="shared" si="805"/>
        <v>0</v>
      </c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R259" s="1"/>
      <c r="CS259" s="1"/>
      <c r="CT259" s="1"/>
      <c r="CU259" s="1"/>
      <c r="CV259" s="1"/>
      <c r="CW259" s="1"/>
      <c r="CX259" s="1"/>
      <c r="CY259" s="91"/>
      <c r="CZ259" s="1"/>
      <c r="DC259" s="96"/>
      <c r="DE259" s="96"/>
      <c r="DN259" s="93">
        <f t="shared" si="830"/>
        <v>1790</v>
      </c>
      <c r="DO259" s="100">
        <v>500.0</v>
      </c>
      <c r="DP259" s="93">
        <f>DN259-DO259</f>
        <v>1290</v>
      </c>
      <c r="DQ259" s="100">
        <v>500.0</v>
      </c>
      <c r="DR259" s="93">
        <f t="shared" si="829"/>
        <v>790</v>
      </c>
      <c r="DS259" s="100">
        <v>790.0</v>
      </c>
      <c r="DT259" s="93">
        <f t="shared" si="824"/>
        <v>0</v>
      </c>
      <c r="DU259" s="100">
        <v>0.0</v>
      </c>
      <c r="DV259" s="93">
        <f t="shared" si="61"/>
        <v>0</v>
      </c>
    </row>
    <row r="260">
      <c r="A260" s="106" t="s">
        <v>722</v>
      </c>
      <c r="B260" s="106" t="s">
        <v>723</v>
      </c>
      <c r="C260" s="223" t="s">
        <v>213</v>
      </c>
      <c r="D260" s="309" t="s">
        <v>511</v>
      </c>
      <c r="E260" s="76"/>
      <c r="F260" s="76"/>
      <c r="G260" s="79"/>
      <c r="H260" s="80"/>
      <c r="I260" s="79"/>
      <c r="J260" s="80"/>
      <c r="K260" s="79"/>
      <c r="L260" s="142"/>
      <c r="M260" s="1"/>
      <c r="N260" s="142"/>
      <c r="O260" s="1"/>
      <c r="P260" s="142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79">
        <f t="shared" si="805"/>
        <v>0</v>
      </c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R260" s="1"/>
      <c r="CS260" s="1"/>
      <c r="CT260" s="1"/>
      <c r="CU260" s="1"/>
      <c r="CV260" s="1"/>
      <c r="CW260" s="1"/>
      <c r="CX260" s="1"/>
      <c r="CY260" s="91"/>
      <c r="CZ260" s="1"/>
      <c r="DC260" s="96"/>
      <c r="DE260" s="96"/>
      <c r="DP260" s="93">
        <f>DN260-DO260+20000</f>
        <v>20000</v>
      </c>
      <c r="DQ260" s="100">
        <v>4000.0</v>
      </c>
      <c r="DR260" s="93">
        <f t="shared" si="829"/>
        <v>16000</v>
      </c>
      <c r="DS260" s="100">
        <v>4000.0</v>
      </c>
      <c r="DT260" s="93">
        <f t="shared" si="824"/>
        <v>12000</v>
      </c>
      <c r="DU260" s="100">
        <v>4000.0</v>
      </c>
      <c r="DV260" s="93">
        <f t="shared" si="61"/>
        <v>8000</v>
      </c>
    </row>
    <row r="261">
      <c r="A261" s="106" t="s">
        <v>669</v>
      </c>
      <c r="B261" s="106" t="s">
        <v>670</v>
      </c>
      <c r="C261" s="223" t="s">
        <v>213</v>
      </c>
      <c r="D261" s="223" t="s">
        <v>244</v>
      </c>
      <c r="E261" s="76"/>
      <c r="F261" s="76"/>
      <c r="G261" s="79"/>
      <c r="H261" s="80"/>
      <c r="I261" s="79"/>
      <c r="J261" s="80"/>
      <c r="K261" s="79"/>
      <c r="L261" s="142"/>
      <c r="M261" s="1"/>
      <c r="N261" s="142"/>
      <c r="O261" s="1"/>
      <c r="P261" s="142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79">
        <f t="shared" si="805"/>
        <v>0</v>
      </c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R261" s="1"/>
      <c r="CS261" s="1"/>
      <c r="CT261" s="1"/>
      <c r="CU261" s="1"/>
      <c r="CV261" s="1"/>
      <c r="CW261" s="1"/>
      <c r="CX261" s="1"/>
      <c r="CY261" s="91"/>
      <c r="CZ261" s="1"/>
      <c r="DC261" s="96"/>
      <c r="DE261" s="96"/>
      <c r="DT261" s="93">
        <f>DR261-DS261+10000</f>
        <v>10000</v>
      </c>
      <c r="DU261" s="100">
        <v>2500.0</v>
      </c>
      <c r="DV261" s="93">
        <f t="shared" si="61"/>
        <v>7500</v>
      </c>
    </row>
    <row r="262">
      <c r="A262" s="106" t="s">
        <v>779</v>
      </c>
      <c r="B262" s="106" t="s">
        <v>780</v>
      </c>
      <c r="C262" s="223" t="s">
        <v>213</v>
      </c>
      <c r="D262" s="223" t="s">
        <v>211</v>
      </c>
      <c r="E262" s="76"/>
      <c r="F262" s="76"/>
      <c r="G262" s="79"/>
      <c r="H262" s="80"/>
      <c r="I262" s="79"/>
      <c r="J262" s="80"/>
      <c r="K262" s="79"/>
      <c r="L262" s="142"/>
      <c r="M262" s="1"/>
      <c r="N262" s="142"/>
      <c r="O262" s="1"/>
      <c r="P262" s="142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79">
        <f t="shared" si="805"/>
        <v>0</v>
      </c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R262" s="1"/>
      <c r="CS262" s="1"/>
      <c r="CT262" s="1"/>
      <c r="CU262" s="1"/>
      <c r="CV262" s="1"/>
      <c r="CW262" s="1"/>
      <c r="CX262" s="1"/>
      <c r="CY262" s="91"/>
      <c r="CZ262" s="1"/>
      <c r="DC262" s="96"/>
      <c r="DE262" s="96"/>
      <c r="DT262" s="93">
        <f>DR262-DS262+1000</f>
        <v>1000</v>
      </c>
      <c r="DU262" s="100">
        <v>1000.0</v>
      </c>
      <c r="DV262" s="93">
        <f t="shared" si="61"/>
        <v>0</v>
      </c>
    </row>
    <row r="263">
      <c r="A263" s="106" t="s">
        <v>822</v>
      </c>
      <c r="B263" s="106" t="s">
        <v>823</v>
      </c>
      <c r="C263" s="223" t="s">
        <v>213</v>
      </c>
      <c r="D263" s="223" t="s">
        <v>211</v>
      </c>
      <c r="E263" s="76"/>
      <c r="F263" s="76"/>
      <c r="G263" s="79"/>
      <c r="H263" s="80"/>
      <c r="I263" s="79"/>
      <c r="J263" s="80"/>
      <c r="K263" s="79"/>
      <c r="L263" s="142"/>
      <c r="M263" s="1"/>
      <c r="N263" s="142"/>
      <c r="O263" s="1"/>
      <c r="P263" s="142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79">
        <f t="shared" si="805"/>
        <v>0</v>
      </c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R263" s="1"/>
      <c r="CS263" s="1"/>
      <c r="CT263" s="1"/>
      <c r="CU263" s="1"/>
      <c r="CV263" s="1"/>
      <c r="CW263" s="1"/>
      <c r="CX263" s="1"/>
      <c r="CY263" s="91"/>
      <c r="CZ263" s="1"/>
      <c r="DC263" s="96"/>
      <c r="DE263" s="96"/>
      <c r="DT263" s="93">
        <f>DR263-DS263+2000</f>
        <v>2000</v>
      </c>
      <c r="DU263" s="100">
        <v>2000.0</v>
      </c>
      <c r="DV263" s="93">
        <f t="shared" si="61"/>
        <v>0</v>
      </c>
    </row>
    <row r="264">
      <c r="A264" s="106" t="s">
        <v>744</v>
      </c>
      <c r="B264" s="106" t="s">
        <v>745</v>
      </c>
      <c r="C264" s="223" t="s">
        <v>213</v>
      </c>
      <c r="D264" s="223" t="s">
        <v>211</v>
      </c>
      <c r="E264" s="76"/>
      <c r="F264" s="76"/>
      <c r="G264" s="79"/>
      <c r="H264" s="80"/>
      <c r="I264" s="79"/>
      <c r="J264" s="80"/>
      <c r="K264" s="79"/>
      <c r="L264" s="142"/>
      <c r="M264" s="1"/>
      <c r="N264" s="142"/>
      <c r="O264" s="1"/>
      <c r="P264" s="142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79">
        <f t="shared" si="805"/>
        <v>0</v>
      </c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R264" s="1"/>
      <c r="CS264" s="1"/>
      <c r="CT264" s="1"/>
      <c r="CU264" s="1"/>
      <c r="CV264" s="1"/>
      <c r="CW264" s="1"/>
      <c r="CX264" s="1"/>
      <c r="CY264" s="91"/>
      <c r="CZ264" s="1"/>
      <c r="DC264" s="96"/>
      <c r="DE264" s="96"/>
      <c r="DT264" s="93">
        <f>DR264-DS264+5000</f>
        <v>5000</v>
      </c>
      <c r="DU264" s="100">
        <v>2500.0</v>
      </c>
      <c r="DV264" s="93">
        <f t="shared" si="61"/>
        <v>2500</v>
      </c>
    </row>
    <row r="265">
      <c r="A265" s="106" t="s">
        <v>755</v>
      </c>
      <c r="B265" s="106" t="s">
        <v>756</v>
      </c>
      <c r="C265" s="223" t="s">
        <v>213</v>
      </c>
      <c r="D265" s="223" t="s">
        <v>244</v>
      </c>
      <c r="E265" s="76"/>
      <c r="F265" s="76"/>
      <c r="G265" s="79"/>
      <c r="H265" s="80"/>
      <c r="I265" s="79"/>
      <c r="J265" s="80"/>
      <c r="K265" s="79"/>
      <c r="L265" s="142"/>
      <c r="M265" s="1"/>
      <c r="N265" s="142"/>
      <c r="O265" s="1"/>
      <c r="P265" s="142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79">
        <f t="shared" si="805"/>
        <v>0</v>
      </c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R265" s="1"/>
      <c r="CS265" s="1"/>
      <c r="CT265" s="1"/>
      <c r="CU265" s="1"/>
      <c r="CV265" s="1"/>
      <c r="CW265" s="1"/>
      <c r="CX265" s="1"/>
      <c r="CY265" s="91"/>
      <c r="CZ265" s="1"/>
      <c r="DC265" s="96"/>
      <c r="DE265" s="96"/>
      <c r="DT265" s="93">
        <f>DR265-DS265+1000</f>
        <v>1000</v>
      </c>
      <c r="DU265" s="308">
        <v>1000.0</v>
      </c>
      <c r="DV265" s="93">
        <f t="shared" si="61"/>
        <v>0</v>
      </c>
    </row>
    <row r="266">
      <c r="A266" s="1"/>
      <c r="B266" s="1"/>
      <c r="C266" s="76"/>
      <c r="D266" s="76"/>
      <c r="E266" s="76"/>
      <c r="F266" s="76"/>
      <c r="G266" s="79"/>
      <c r="H266" s="80"/>
      <c r="I266" s="79"/>
      <c r="J266" s="80"/>
      <c r="K266" s="79"/>
      <c r="L266" s="142"/>
      <c r="M266" s="1"/>
      <c r="N266" s="142"/>
      <c r="O266" s="1"/>
      <c r="P266" s="142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79">
        <f t="shared" si="805"/>
        <v>0</v>
      </c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R266" s="1"/>
      <c r="CS266" s="1"/>
      <c r="CT266" s="1"/>
      <c r="CU266" s="1"/>
      <c r="CV266" s="1"/>
      <c r="CW266" s="1"/>
      <c r="CX266" s="1"/>
      <c r="CY266" s="91"/>
      <c r="CZ266" s="1"/>
      <c r="DC266" s="96"/>
      <c r="DE266" s="96"/>
    </row>
    <row r="267">
      <c r="A267" s="1"/>
      <c r="B267" s="1"/>
      <c r="C267" s="76"/>
      <c r="D267" s="76"/>
      <c r="E267" s="76"/>
      <c r="F267" s="76"/>
      <c r="G267" s="79"/>
      <c r="H267" s="80"/>
      <c r="I267" s="79"/>
      <c r="J267" s="80"/>
      <c r="K267" s="79"/>
      <c r="L267" s="142"/>
      <c r="M267" s="1"/>
      <c r="N267" s="142"/>
      <c r="O267" s="1"/>
      <c r="P267" s="142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79">
        <f t="shared" si="805"/>
        <v>0</v>
      </c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R267" s="1"/>
      <c r="CS267" s="1"/>
      <c r="CT267" s="1"/>
      <c r="CU267" s="1"/>
      <c r="CV267" s="1"/>
      <c r="CW267" s="1"/>
      <c r="CX267" s="1"/>
      <c r="CY267" s="91"/>
      <c r="CZ267" s="1"/>
      <c r="DC267" s="96"/>
      <c r="DE267" s="96"/>
    </row>
    <row r="268">
      <c r="A268" s="1"/>
      <c r="B268" s="1"/>
      <c r="C268" s="76"/>
      <c r="D268" s="76"/>
      <c r="E268" s="76"/>
      <c r="F268" s="76"/>
      <c r="G268" s="79"/>
      <c r="H268" s="80"/>
      <c r="I268" s="79"/>
      <c r="J268" s="80"/>
      <c r="K268" s="79"/>
      <c r="L268" s="142"/>
      <c r="M268" s="1"/>
      <c r="N268" s="142"/>
      <c r="O268" s="1"/>
      <c r="P268" s="142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79">
        <f t="shared" si="805"/>
        <v>0</v>
      </c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R268" s="1"/>
      <c r="CS268" s="1"/>
      <c r="CT268" s="1"/>
      <c r="CU268" s="1"/>
      <c r="CV268" s="1"/>
      <c r="CW268" s="1"/>
      <c r="CX268" s="1"/>
      <c r="CY268" s="91"/>
      <c r="CZ268" s="1"/>
      <c r="DC268" s="96"/>
      <c r="DE268" s="96"/>
    </row>
    <row r="269">
      <c r="A269" s="1"/>
      <c r="B269" s="1"/>
      <c r="C269" s="76"/>
      <c r="D269" s="76"/>
      <c r="E269" s="76"/>
      <c r="F269" s="76"/>
      <c r="G269" s="79"/>
      <c r="H269" s="80"/>
      <c r="I269" s="79"/>
      <c r="J269" s="80"/>
      <c r="K269" s="79"/>
      <c r="L269" s="142"/>
      <c r="M269" s="1"/>
      <c r="N269" s="142"/>
      <c r="O269" s="1"/>
      <c r="P269" s="142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79">
        <f t="shared" si="805"/>
        <v>0</v>
      </c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R269" s="1"/>
      <c r="CS269" s="1"/>
      <c r="CT269" s="1"/>
      <c r="CU269" s="1"/>
      <c r="CV269" s="1"/>
      <c r="CW269" s="1"/>
      <c r="CX269" s="1"/>
      <c r="CY269" s="91"/>
      <c r="CZ269" s="1"/>
      <c r="DC269" s="96"/>
      <c r="DE269" s="96"/>
    </row>
    <row r="270">
      <c r="A270" s="1"/>
      <c r="B270" s="1"/>
      <c r="C270" s="76"/>
      <c r="D270" s="76"/>
      <c r="E270" s="76"/>
      <c r="F270" s="76"/>
      <c r="G270" s="79"/>
      <c r="H270" s="80"/>
      <c r="I270" s="79"/>
      <c r="J270" s="80"/>
      <c r="K270" s="79"/>
      <c r="L270" s="142"/>
      <c r="M270" s="1"/>
      <c r="N270" s="142"/>
      <c r="O270" s="1"/>
      <c r="P270" s="142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79">
        <f t="shared" si="805"/>
        <v>0</v>
      </c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R270" s="1"/>
      <c r="CS270" s="1"/>
      <c r="CT270" s="1"/>
      <c r="CU270" s="1"/>
      <c r="CV270" s="1"/>
      <c r="CW270" s="1"/>
      <c r="CX270" s="1"/>
      <c r="CY270" s="91"/>
      <c r="CZ270" s="1"/>
      <c r="DC270" s="96"/>
      <c r="DE270" s="96"/>
    </row>
    <row r="271">
      <c r="A271" s="1"/>
      <c r="B271" s="1"/>
      <c r="C271" s="76"/>
      <c r="D271" s="76"/>
      <c r="E271" s="76"/>
      <c r="F271" s="76"/>
      <c r="G271" s="79"/>
      <c r="H271" s="80"/>
      <c r="I271" s="79"/>
      <c r="J271" s="80"/>
      <c r="K271" s="79"/>
      <c r="L271" s="142"/>
      <c r="M271" s="1"/>
      <c r="N271" s="142"/>
      <c r="O271" s="1"/>
      <c r="P271" s="142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79">
        <f t="shared" si="805"/>
        <v>0</v>
      </c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R271" s="1"/>
      <c r="CS271" s="1"/>
      <c r="CT271" s="1"/>
      <c r="CU271" s="1"/>
      <c r="CV271" s="1"/>
      <c r="CW271" s="1"/>
      <c r="CX271" s="1"/>
      <c r="CY271" s="91"/>
      <c r="CZ271" s="1"/>
      <c r="DC271" s="96"/>
      <c r="DE271" s="96"/>
    </row>
    <row r="272">
      <c r="A272" s="1"/>
      <c r="B272" s="1"/>
      <c r="C272" s="76"/>
      <c r="D272" s="76"/>
      <c r="E272" s="76"/>
      <c r="F272" s="76"/>
      <c r="G272" s="79"/>
      <c r="H272" s="80"/>
      <c r="I272" s="79"/>
      <c r="J272" s="80"/>
      <c r="K272" s="79"/>
      <c r="L272" s="142"/>
      <c r="M272" s="1"/>
      <c r="N272" s="142"/>
      <c r="O272" s="1"/>
      <c r="P272" s="142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79">
        <f t="shared" si="805"/>
        <v>0</v>
      </c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R272" s="1"/>
      <c r="CS272" s="1"/>
      <c r="CT272" s="1"/>
      <c r="CU272" s="1"/>
      <c r="CV272" s="1"/>
      <c r="CW272" s="1"/>
      <c r="CX272" s="1"/>
      <c r="CY272" s="91"/>
      <c r="CZ272" s="1"/>
      <c r="DC272" s="96"/>
      <c r="DE272" s="96"/>
    </row>
    <row r="273">
      <c r="A273" s="1"/>
      <c r="B273" s="1"/>
      <c r="C273" s="76"/>
      <c r="D273" s="76"/>
      <c r="E273" s="76"/>
      <c r="F273" s="76"/>
      <c r="G273" s="79"/>
      <c r="H273" s="80"/>
      <c r="I273" s="79"/>
      <c r="J273" s="80"/>
      <c r="K273" s="79"/>
      <c r="L273" s="142"/>
      <c r="M273" s="1"/>
      <c r="N273" s="142"/>
      <c r="O273" s="1"/>
      <c r="P273" s="142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79">
        <f t="shared" si="805"/>
        <v>0</v>
      </c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R273" s="1"/>
      <c r="CS273" s="1"/>
      <c r="CT273" s="1"/>
      <c r="CU273" s="1"/>
      <c r="CV273" s="1"/>
      <c r="CW273" s="1"/>
      <c r="CX273" s="1"/>
      <c r="CY273" s="91"/>
      <c r="CZ273" s="1"/>
      <c r="DC273" s="96"/>
      <c r="DE273" s="96"/>
    </row>
    <row r="274">
      <c r="A274" s="1"/>
      <c r="B274" s="1"/>
      <c r="C274" s="76"/>
      <c r="D274" s="76"/>
      <c r="E274" s="76"/>
      <c r="F274" s="76"/>
      <c r="G274" s="79"/>
      <c r="H274" s="80"/>
      <c r="I274" s="79"/>
      <c r="J274" s="80"/>
      <c r="K274" s="79"/>
      <c r="L274" s="142"/>
      <c r="M274" s="1"/>
      <c r="N274" s="142"/>
      <c r="O274" s="1"/>
      <c r="P274" s="142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79">
        <f t="shared" si="805"/>
        <v>0</v>
      </c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R274" s="1"/>
      <c r="CS274" s="1"/>
      <c r="CT274" s="1"/>
      <c r="CU274" s="1"/>
      <c r="CV274" s="1"/>
      <c r="CW274" s="1"/>
      <c r="CX274" s="1"/>
      <c r="CY274" s="91"/>
      <c r="CZ274" s="1"/>
      <c r="DC274" s="96"/>
      <c r="DE274" s="96"/>
    </row>
    <row r="275">
      <c r="A275" s="1"/>
      <c r="B275" s="1"/>
      <c r="C275" s="76"/>
      <c r="D275" s="76"/>
      <c r="E275" s="76"/>
      <c r="F275" s="76"/>
      <c r="G275" s="79"/>
      <c r="H275" s="80"/>
      <c r="I275" s="79"/>
      <c r="J275" s="80"/>
      <c r="K275" s="79"/>
      <c r="L275" s="142"/>
      <c r="M275" s="1"/>
      <c r="N275" s="142"/>
      <c r="O275" s="1"/>
      <c r="P275" s="142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79">
        <f t="shared" si="805"/>
        <v>0</v>
      </c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R275" s="1"/>
      <c r="CS275" s="1"/>
      <c r="CT275" s="1"/>
      <c r="CU275" s="1"/>
      <c r="CV275" s="1"/>
      <c r="CW275" s="1"/>
      <c r="CX275" s="1"/>
      <c r="CY275" s="91"/>
      <c r="CZ275" s="1"/>
      <c r="DC275" s="96"/>
      <c r="DE275" s="96"/>
    </row>
    <row r="276">
      <c r="A276" s="1"/>
      <c r="B276" s="1"/>
      <c r="C276" s="76"/>
      <c r="D276" s="76"/>
      <c r="E276" s="76"/>
      <c r="F276" s="76"/>
      <c r="G276" s="79"/>
      <c r="H276" s="80"/>
      <c r="I276" s="79"/>
      <c r="J276" s="80"/>
      <c r="K276" s="79"/>
      <c r="L276" s="142"/>
      <c r="M276" s="1"/>
      <c r="N276" s="142"/>
      <c r="O276" s="1"/>
      <c r="P276" s="142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79">
        <f t="shared" si="805"/>
        <v>0</v>
      </c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R276" s="1"/>
      <c r="CS276" s="1"/>
      <c r="CT276" s="1"/>
      <c r="CU276" s="1"/>
      <c r="CV276" s="1"/>
      <c r="CW276" s="1"/>
      <c r="CX276" s="1"/>
      <c r="CY276" s="91"/>
      <c r="CZ276" s="1"/>
      <c r="DC276" s="96"/>
      <c r="DE276" s="96"/>
    </row>
    <row r="277">
      <c r="A277" s="1"/>
      <c r="B277" s="1"/>
      <c r="C277" s="76"/>
      <c r="D277" s="76"/>
      <c r="E277" s="76"/>
      <c r="F277" s="76"/>
      <c r="G277" s="79"/>
      <c r="H277" s="80"/>
      <c r="I277" s="79"/>
      <c r="J277" s="80"/>
      <c r="K277" s="79"/>
      <c r="L277" s="142"/>
      <c r="M277" s="1"/>
      <c r="N277" s="142"/>
      <c r="O277" s="1"/>
      <c r="P277" s="142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79">
        <f t="shared" si="805"/>
        <v>0</v>
      </c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R277" s="1"/>
      <c r="CS277" s="1"/>
      <c r="CT277" s="1"/>
      <c r="CU277" s="1"/>
      <c r="CV277" s="1"/>
      <c r="CW277" s="1"/>
      <c r="CX277" s="1"/>
      <c r="CY277" s="91"/>
      <c r="CZ277" s="1"/>
      <c r="DC277" s="96"/>
      <c r="DE277" s="96"/>
    </row>
    <row r="278">
      <c r="A278" s="1"/>
      <c r="B278" s="1"/>
      <c r="C278" s="76"/>
      <c r="D278" s="76"/>
      <c r="E278" s="76"/>
      <c r="F278" s="76"/>
      <c r="G278" s="79"/>
      <c r="H278" s="80"/>
      <c r="I278" s="79"/>
      <c r="J278" s="80"/>
      <c r="K278" s="79"/>
      <c r="L278" s="142"/>
      <c r="M278" s="1"/>
      <c r="N278" s="142"/>
      <c r="O278" s="1"/>
      <c r="P278" s="142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79">
        <f t="shared" si="805"/>
        <v>0</v>
      </c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R278" s="1"/>
      <c r="CS278" s="1"/>
      <c r="CT278" s="1"/>
      <c r="CU278" s="1"/>
      <c r="CV278" s="1"/>
      <c r="CW278" s="1"/>
      <c r="CX278" s="1"/>
      <c r="CY278" s="91"/>
      <c r="CZ278" s="1"/>
      <c r="DC278" s="96"/>
      <c r="DE278" s="96"/>
    </row>
    <row r="279">
      <c r="A279" s="1"/>
      <c r="B279" s="1"/>
      <c r="C279" s="76"/>
      <c r="D279" s="76"/>
      <c r="E279" s="76"/>
      <c r="F279" s="76"/>
      <c r="G279" s="79"/>
      <c r="H279" s="80"/>
      <c r="I279" s="79"/>
      <c r="J279" s="80"/>
      <c r="K279" s="79"/>
      <c r="L279" s="142"/>
      <c r="M279" s="1"/>
      <c r="N279" s="142"/>
      <c r="O279" s="1"/>
      <c r="P279" s="142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79">
        <f t="shared" si="805"/>
        <v>0</v>
      </c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R279" s="1"/>
      <c r="CS279" s="1"/>
      <c r="CT279" s="1"/>
      <c r="CU279" s="1"/>
      <c r="CV279" s="1"/>
      <c r="CW279" s="1"/>
      <c r="CX279" s="1"/>
      <c r="CY279" s="91"/>
      <c r="CZ279" s="1"/>
      <c r="DC279" s="96"/>
      <c r="DE279" s="96"/>
    </row>
    <row r="280">
      <c r="A280" s="1"/>
      <c r="B280" s="1"/>
      <c r="C280" s="76"/>
      <c r="D280" s="76"/>
      <c r="E280" s="76"/>
      <c r="F280" s="76"/>
      <c r="G280" s="79"/>
      <c r="H280" s="80"/>
      <c r="I280" s="79"/>
      <c r="J280" s="80"/>
      <c r="K280" s="79"/>
      <c r="L280" s="142"/>
      <c r="M280" s="1"/>
      <c r="N280" s="142"/>
      <c r="O280" s="1"/>
      <c r="P280" s="142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79">
        <f t="shared" si="805"/>
        <v>0</v>
      </c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R280" s="1"/>
      <c r="CS280" s="1"/>
      <c r="CT280" s="1"/>
      <c r="CU280" s="1"/>
      <c r="CV280" s="1"/>
      <c r="CW280" s="1"/>
      <c r="CX280" s="1"/>
      <c r="CY280" s="91"/>
      <c r="CZ280" s="1"/>
      <c r="DC280" s="96"/>
      <c r="DE280" s="96"/>
    </row>
    <row r="281">
      <c r="A281" s="1"/>
      <c r="B281" s="1"/>
      <c r="C281" s="76"/>
      <c r="D281" s="76"/>
      <c r="E281" s="76"/>
      <c r="F281" s="76"/>
      <c r="G281" s="79"/>
      <c r="H281" s="80"/>
      <c r="I281" s="79"/>
      <c r="J281" s="80"/>
      <c r="K281" s="79"/>
      <c r="L281" s="142"/>
      <c r="M281" s="1"/>
      <c r="N281" s="142"/>
      <c r="O281" s="1"/>
      <c r="P281" s="142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79">
        <f t="shared" si="805"/>
        <v>0</v>
      </c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R281" s="1"/>
      <c r="CS281" s="1"/>
      <c r="CT281" s="1"/>
      <c r="CU281" s="1"/>
      <c r="CV281" s="1"/>
      <c r="CW281" s="1"/>
      <c r="CX281" s="1"/>
      <c r="CY281" s="91"/>
      <c r="CZ281" s="1"/>
      <c r="DC281" s="96"/>
      <c r="DE281" s="96"/>
    </row>
    <row r="282">
      <c r="A282" s="1"/>
      <c r="B282" s="1"/>
      <c r="C282" s="76"/>
      <c r="D282" s="76"/>
      <c r="E282" s="76"/>
      <c r="F282" s="76"/>
      <c r="G282" s="79"/>
      <c r="H282" s="80"/>
      <c r="I282" s="79"/>
      <c r="J282" s="80"/>
      <c r="K282" s="79"/>
      <c r="L282" s="142"/>
      <c r="M282" s="1"/>
      <c r="N282" s="142"/>
      <c r="O282" s="1"/>
      <c r="P282" s="142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79">
        <f t="shared" si="805"/>
        <v>0</v>
      </c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R282" s="1"/>
      <c r="CS282" s="1"/>
      <c r="CT282" s="1"/>
      <c r="CU282" s="1"/>
      <c r="CV282" s="1"/>
      <c r="CW282" s="1"/>
      <c r="CX282" s="1"/>
      <c r="CY282" s="91"/>
      <c r="CZ282" s="1"/>
      <c r="DC282" s="96"/>
      <c r="DE282" s="96"/>
    </row>
    <row r="283">
      <c r="A283" s="1"/>
      <c r="B283" s="1"/>
      <c r="C283" s="76"/>
      <c r="D283" s="76"/>
      <c r="E283" s="76"/>
      <c r="F283" s="76"/>
      <c r="G283" s="79"/>
      <c r="H283" s="80"/>
      <c r="I283" s="79"/>
      <c r="J283" s="80"/>
      <c r="K283" s="79"/>
      <c r="L283" s="142"/>
      <c r="M283" s="1"/>
      <c r="N283" s="142"/>
      <c r="O283" s="1"/>
      <c r="P283" s="142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79">
        <f t="shared" si="805"/>
        <v>0</v>
      </c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R283" s="1"/>
      <c r="CS283" s="1"/>
      <c r="CT283" s="1"/>
      <c r="CU283" s="1"/>
      <c r="CV283" s="1"/>
      <c r="CW283" s="1"/>
      <c r="CX283" s="1"/>
      <c r="CY283" s="91"/>
      <c r="CZ283" s="1"/>
      <c r="DC283" s="96"/>
      <c r="DE283" s="96"/>
    </row>
    <row r="284">
      <c r="A284" s="1"/>
      <c r="B284" s="1"/>
      <c r="C284" s="76"/>
      <c r="D284" s="76"/>
      <c r="E284" s="76"/>
      <c r="F284" s="76"/>
      <c r="G284" s="79"/>
      <c r="H284" s="80"/>
      <c r="I284" s="79"/>
      <c r="J284" s="80"/>
      <c r="K284" s="79"/>
      <c r="L284" s="142"/>
      <c r="M284" s="1"/>
      <c r="N284" s="142"/>
      <c r="O284" s="1"/>
      <c r="P284" s="142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79">
        <f t="shared" si="805"/>
        <v>0</v>
      </c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R284" s="1"/>
      <c r="CS284" s="1"/>
      <c r="CT284" s="1"/>
      <c r="CU284" s="1"/>
      <c r="CV284" s="1"/>
      <c r="CW284" s="1"/>
      <c r="CX284" s="1"/>
      <c r="CY284" s="91"/>
      <c r="CZ284" s="1"/>
      <c r="DC284" s="96"/>
      <c r="DE284" s="96"/>
    </row>
    <row r="285">
      <c r="A285" s="1"/>
      <c r="B285" s="1"/>
      <c r="C285" s="76"/>
      <c r="D285" s="76"/>
      <c r="E285" s="76"/>
      <c r="F285" s="76"/>
      <c r="G285" s="79"/>
      <c r="H285" s="80"/>
      <c r="I285" s="79"/>
      <c r="J285" s="80"/>
      <c r="K285" s="79"/>
      <c r="L285" s="142"/>
      <c r="M285" s="1"/>
      <c r="N285" s="142"/>
      <c r="O285" s="1"/>
      <c r="P285" s="142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79">
        <f t="shared" si="805"/>
        <v>0</v>
      </c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R285" s="1"/>
      <c r="CS285" s="1"/>
      <c r="CT285" s="1"/>
      <c r="CU285" s="1"/>
      <c r="CV285" s="1"/>
      <c r="CW285" s="1"/>
      <c r="CX285" s="1"/>
      <c r="CY285" s="91"/>
      <c r="CZ285" s="1"/>
      <c r="DC285" s="96"/>
      <c r="DE285" s="96"/>
    </row>
    <row r="286">
      <c r="A286" s="1"/>
      <c r="B286" s="1"/>
      <c r="C286" s="76"/>
      <c r="D286" s="76"/>
      <c r="E286" s="76"/>
      <c r="F286" s="76"/>
      <c r="G286" s="79"/>
      <c r="H286" s="80"/>
      <c r="I286" s="79"/>
      <c r="J286" s="80"/>
      <c r="K286" s="79"/>
      <c r="L286" s="142"/>
      <c r="M286" s="1"/>
      <c r="N286" s="142"/>
      <c r="O286" s="1"/>
      <c r="P286" s="142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79">
        <f t="shared" si="805"/>
        <v>0</v>
      </c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R286" s="1"/>
      <c r="CS286" s="1"/>
      <c r="CT286" s="1"/>
      <c r="CU286" s="1"/>
      <c r="CV286" s="1"/>
      <c r="CW286" s="1"/>
      <c r="CX286" s="1"/>
      <c r="CY286" s="91"/>
      <c r="CZ286" s="1"/>
      <c r="DC286" s="96"/>
      <c r="DE286" s="96"/>
    </row>
    <row r="287">
      <c r="A287" s="1"/>
      <c r="B287" s="1"/>
      <c r="C287" s="76"/>
      <c r="D287" s="76"/>
      <c r="E287" s="76"/>
      <c r="F287" s="76"/>
      <c r="G287" s="79"/>
      <c r="H287" s="80"/>
      <c r="I287" s="79"/>
      <c r="J287" s="80"/>
      <c r="K287" s="79"/>
      <c r="L287" s="142"/>
      <c r="M287" s="1"/>
      <c r="N287" s="142"/>
      <c r="O287" s="1"/>
      <c r="P287" s="142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79">
        <f t="shared" si="805"/>
        <v>0</v>
      </c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R287" s="1"/>
      <c r="CS287" s="1"/>
      <c r="CT287" s="1"/>
      <c r="CU287" s="1"/>
      <c r="CV287" s="1"/>
      <c r="CW287" s="1"/>
      <c r="CX287" s="1"/>
      <c r="CY287" s="91"/>
      <c r="CZ287" s="1"/>
      <c r="DC287" s="96"/>
      <c r="DE287" s="96"/>
    </row>
    <row r="288">
      <c r="A288" s="1"/>
      <c r="B288" s="1"/>
      <c r="C288" s="76"/>
      <c r="D288" s="76"/>
      <c r="E288" s="76"/>
      <c r="F288" s="76"/>
      <c r="G288" s="79"/>
      <c r="H288" s="80"/>
      <c r="I288" s="79"/>
      <c r="J288" s="80"/>
      <c r="K288" s="79"/>
      <c r="L288" s="142"/>
      <c r="M288" s="1"/>
      <c r="N288" s="142"/>
      <c r="O288" s="1"/>
      <c r="P288" s="142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79">
        <f t="shared" si="805"/>
        <v>0</v>
      </c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R288" s="1"/>
      <c r="CS288" s="1"/>
      <c r="CT288" s="1"/>
      <c r="CU288" s="1"/>
      <c r="CV288" s="1"/>
      <c r="CW288" s="1"/>
      <c r="CX288" s="1"/>
      <c r="CY288" s="91"/>
      <c r="CZ288" s="1"/>
      <c r="DC288" s="96"/>
      <c r="DE288" s="96"/>
    </row>
    <row r="289">
      <c r="A289" s="1"/>
      <c r="B289" s="1"/>
      <c r="C289" s="76"/>
      <c r="D289" s="76"/>
      <c r="E289" s="76"/>
      <c r="F289" s="76"/>
      <c r="G289" s="79"/>
      <c r="H289" s="80"/>
      <c r="I289" s="79"/>
      <c r="J289" s="80"/>
      <c r="K289" s="79"/>
      <c r="L289" s="142"/>
      <c r="M289" s="1"/>
      <c r="N289" s="142"/>
      <c r="O289" s="1"/>
      <c r="P289" s="142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79">
        <f t="shared" si="805"/>
        <v>0</v>
      </c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R289" s="1"/>
      <c r="CS289" s="1"/>
      <c r="CT289" s="1"/>
      <c r="CU289" s="1"/>
      <c r="CV289" s="1"/>
      <c r="CW289" s="1"/>
      <c r="CX289" s="1"/>
      <c r="CY289" s="91"/>
      <c r="CZ289" s="1"/>
      <c r="DC289" s="96"/>
      <c r="DE289" s="96"/>
    </row>
    <row r="290">
      <c r="A290" s="1"/>
      <c r="B290" s="1"/>
      <c r="C290" s="76"/>
      <c r="D290" s="76"/>
      <c r="E290" s="76"/>
      <c r="F290" s="76"/>
      <c r="G290" s="79"/>
      <c r="H290" s="80"/>
      <c r="I290" s="79"/>
      <c r="J290" s="80"/>
      <c r="K290" s="79"/>
      <c r="L290" s="142"/>
      <c r="M290" s="1"/>
      <c r="N290" s="142"/>
      <c r="O290" s="1"/>
      <c r="P290" s="142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79">
        <f t="shared" si="805"/>
        <v>0</v>
      </c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R290" s="1"/>
      <c r="CS290" s="1"/>
      <c r="CT290" s="1"/>
      <c r="CU290" s="1"/>
      <c r="CV290" s="1"/>
      <c r="CW290" s="1"/>
      <c r="CX290" s="1"/>
      <c r="CY290" s="91"/>
      <c r="CZ290" s="1"/>
      <c r="DC290" s="96"/>
      <c r="DE290" s="96"/>
    </row>
    <row r="291">
      <c r="A291" s="1"/>
      <c r="B291" s="1"/>
      <c r="C291" s="76"/>
      <c r="D291" s="76"/>
      <c r="E291" s="76"/>
      <c r="F291" s="76"/>
      <c r="G291" s="79"/>
      <c r="H291" s="80"/>
      <c r="I291" s="79"/>
      <c r="J291" s="80"/>
      <c r="K291" s="79"/>
      <c r="L291" s="142"/>
      <c r="M291" s="1"/>
      <c r="N291" s="142"/>
      <c r="O291" s="1"/>
      <c r="P291" s="142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79">
        <f t="shared" si="805"/>
        <v>0</v>
      </c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R291" s="1"/>
      <c r="CS291" s="1"/>
      <c r="CT291" s="1"/>
      <c r="CU291" s="1"/>
      <c r="CV291" s="1"/>
      <c r="CW291" s="1"/>
      <c r="CX291" s="1"/>
      <c r="CY291" s="91"/>
      <c r="CZ291" s="1"/>
      <c r="DC291" s="96"/>
      <c r="DE291" s="96"/>
    </row>
    <row r="292">
      <c r="A292" s="1"/>
      <c r="B292" s="1"/>
      <c r="C292" s="76"/>
      <c r="D292" s="76"/>
      <c r="E292" s="76"/>
      <c r="F292" s="76"/>
      <c r="G292" s="79"/>
      <c r="H292" s="80"/>
      <c r="I292" s="79"/>
      <c r="J292" s="80"/>
      <c r="K292" s="79"/>
      <c r="L292" s="142"/>
      <c r="M292" s="1"/>
      <c r="N292" s="142"/>
      <c r="O292" s="1"/>
      <c r="P292" s="142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79">
        <f t="shared" si="805"/>
        <v>0</v>
      </c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R292" s="1"/>
      <c r="CS292" s="1"/>
      <c r="CT292" s="1"/>
      <c r="CU292" s="1"/>
      <c r="CV292" s="1"/>
      <c r="CW292" s="1"/>
      <c r="CX292" s="1"/>
      <c r="CY292" s="91"/>
      <c r="CZ292" s="1"/>
      <c r="DC292" s="96"/>
      <c r="DE292" s="96"/>
    </row>
    <row r="293">
      <c r="A293" s="1"/>
      <c r="B293" s="1"/>
      <c r="C293" s="76"/>
      <c r="D293" s="76"/>
      <c r="E293" s="76"/>
      <c r="F293" s="76"/>
      <c r="G293" s="79"/>
      <c r="H293" s="80"/>
      <c r="I293" s="79"/>
      <c r="J293" s="80"/>
      <c r="K293" s="79"/>
      <c r="L293" s="142"/>
      <c r="M293" s="1"/>
      <c r="N293" s="142"/>
      <c r="O293" s="1"/>
      <c r="P293" s="142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79">
        <f t="shared" si="805"/>
        <v>0</v>
      </c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R293" s="1"/>
      <c r="CS293" s="1"/>
      <c r="CT293" s="1"/>
      <c r="CU293" s="1"/>
      <c r="CV293" s="1"/>
      <c r="CW293" s="1"/>
      <c r="CX293" s="1"/>
      <c r="CY293" s="91"/>
      <c r="CZ293" s="1"/>
      <c r="DC293" s="96"/>
      <c r="DE293" s="96"/>
    </row>
    <row r="294">
      <c r="A294" s="1"/>
      <c r="B294" s="1"/>
      <c r="C294" s="76"/>
      <c r="D294" s="76"/>
      <c r="E294" s="76"/>
      <c r="F294" s="76"/>
      <c r="G294" s="79"/>
      <c r="H294" s="80"/>
      <c r="I294" s="79"/>
      <c r="J294" s="80"/>
      <c r="K294" s="79"/>
      <c r="L294" s="142"/>
      <c r="M294" s="1"/>
      <c r="N294" s="142"/>
      <c r="O294" s="1"/>
      <c r="P294" s="142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79">
        <f t="shared" si="805"/>
        <v>0</v>
      </c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R294" s="1"/>
      <c r="CS294" s="1"/>
      <c r="CT294" s="1"/>
      <c r="CU294" s="1"/>
      <c r="CV294" s="1"/>
      <c r="CW294" s="1"/>
      <c r="CX294" s="1"/>
      <c r="CY294" s="91"/>
      <c r="CZ294" s="1"/>
      <c r="DC294" s="96"/>
      <c r="DE294" s="96"/>
    </row>
    <row r="295">
      <c r="A295" s="1"/>
      <c r="B295" s="1"/>
      <c r="C295" s="76"/>
      <c r="D295" s="76"/>
      <c r="E295" s="76"/>
      <c r="F295" s="76"/>
      <c r="G295" s="79"/>
      <c r="H295" s="80"/>
      <c r="I295" s="79"/>
      <c r="J295" s="80"/>
      <c r="K295" s="79"/>
      <c r="L295" s="142"/>
      <c r="M295" s="1"/>
      <c r="N295" s="142"/>
      <c r="O295" s="1"/>
      <c r="P295" s="142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79">
        <f t="shared" si="805"/>
        <v>0</v>
      </c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R295" s="1"/>
      <c r="CS295" s="1"/>
      <c r="CT295" s="1"/>
      <c r="CU295" s="1"/>
      <c r="CV295" s="1"/>
      <c r="CW295" s="1"/>
      <c r="CX295" s="1"/>
      <c r="CY295" s="91"/>
      <c r="CZ295" s="1"/>
      <c r="DC295" s="96"/>
      <c r="DE295" s="96"/>
    </row>
    <row r="296">
      <c r="A296" s="1"/>
      <c r="B296" s="1"/>
      <c r="C296" s="76"/>
      <c r="D296" s="76"/>
      <c r="E296" s="76"/>
      <c r="F296" s="76"/>
      <c r="G296" s="79"/>
      <c r="H296" s="80"/>
      <c r="I296" s="79"/>
      <c r="J296" s="80"/>
      <c r="K296" s="79"/>
      <c r="L296" s="142"/>
      <c r="M296" s="1"/>
      <c r="N296" s="142"/>
      <c r="O296" s="1"/>
      <c r="P296" s="142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79">
        <f t="shared" si="805"/>
        <v>0</v>
      </c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R296" s="1"/>
      <c r="CS296" s="1"/>
      <c r="CT296" s="1"/>
      <c r="CU296" s="1"/>
      <c r="CV296" s="1"/>
      <c r="CW296" s="1"/>
      <c r="CX296" s="1"/>
      <c r="CY296" s="91"/>
      <c r="CZ296" s="1"/>
      <c r="DC296" s="96"/>
      <c r="DE296" s="96"/>
    </row>
    <row r="297">
      <c r="A297" s="1"/>
      <c r="B297" s="1"/>
      <c r="C297" s="76"/>
      <c r="D297" s="76"/>
      <c r="E297" s="76"/>
      <c r="F297" s="76"/>
      <c r="G297" s="79"/>
      <c r="H297" s="80"/>
      <c r="I297" s="79"/>
      <c r="J297" s="80"/>
      <c r="K297" s="79"/>
      <c r="L297" s="142"/>
      <c r="M297" s="1"/>
      <c r="N297" s="142"/>
      <c r="O297" s="1"/>
      <c r="P297" s="142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79">
        <f t="shared" si="805"/>
        <v>0</v>
      </c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R297" s="1"/>
      <c r="CS297" s="1"/>
      <c r="CT297" s="1"/>
      <c r="CU297" s="1"/>
      <c r="CV297" s="1"/>
      <c r="CW297" s="1"/>
      <c r="CX297" s="1"/>
      <c r="CY297" s="91"/>
      <c r="CZ297" s="1"/>
      <c r="DC297" s="96"/>
      <c r="DE297" s="96"/>
    </row>
    <row r="298">
      <c r="A298" s="1"/>
      <c r="B298" s="1"/>
      <c r="C298" s="76"/>
      <c r="D298" s="76"/>
      <c r="E298" s="76"/>
      <c r="F298" s="76"/>
      <c r="G298" s="79"/>
      <c r="H298" s="80"/>
      <c r="I298" s="79"/>
      <c r="J298" s="80"/>
      <c r="K298" s="79"/>
      <c r="L298" s="142"/>
      <c r="M298" s="1"/>
      <c r="N298" s="142"/>
      <c r="O298" s="1"/>
      <c r="P298" s="142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79">
        <f t="shared" si="805"/>
        <v>0</v>
      </c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R298" s="1"/>
      <c r="CS298" s="1"/>
      <c r="CT298" s="1"/>
      <c r="CU298" s="1"/>
      <c r="CV298" s="1"/>
      <c r="CW298" s="1"/>
      <c r="CX298" s="1"/>
      <c r="CY298" s="91"/>
      <c r="CZ298" s="1"/>
      <c r="DC298" s="96"/>
      <c r="DE298" s="96"/>
    </row>
    <row r="299">
      <c r="A299" s="1"/>
      <c r="B299" s="1"/>
      <c r="C299" s="76"/>
      <c r="D299" s="76"/>
      <c r="E299" s="76"/>
      <c r="F299" s="76"/>
      <c r="G299" s="79"/>
      <c r="H299" s="80"/>
      <c r="I299" s="79"/>
      <c r="J299" s="80"/>
      <c r="K299" s="79"/>
      <c r="L299" s="142"/>
      <c r="M299" s="1"/>
      <c r="N299" s="142"/>
      <c r="O299" s="1"/>
      <c r="P299" s="142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79">
        <f t="shared" si="805"/>
        <v>0</v>
      </c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R299" s="1"/>
      <c r="CS299" s="1"/>
      <c r="CT299" s="1"/>
      <c r="CU299" s="1"/>
      <c r="CV299" s="1"/>
      <c r="CW299" s="1"/>
      <c r="CX299" s="1"/>
      <c r="CY299" s="91"/>
      <c r="CZ299" s="1"/>
      <c r="DC299" s="96"/>
      <c r="DE299" s="96"/>
    </row>
    <row r="300">
      <c r="A300" s="1"/>
      <c r="B300" s="1"/>
      <c r="C300" s="76"/>
      <c r="D300" s="76"/>
      <c r="E300" s="76"/>
      <c r="F300" s="76"/>
      <c r="G300" s="79"/>
      <c r="H300" s="80"/>
      <c r="I300" s="79"/>
      <c r="J300" s="80"/>
      <c r="K300" s="79"/>
      <c r="L300" s="142"/>
      <c r="M300" s="1"/>
      <c r="N300" s="142"/>
      <c r="O300" s="1"/>
      <c r="P300" s="142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79">
        <f t="shared" si="805"/>
        <v>0</v>
      </c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R300" s="1"/>
      <c r="CS300" s="1"/>
      <c r="CT300" s="1"/>
      <c r="CU300" s="1"/>
      <c r="CV300" s="1"/>
      <c r="CW300" s="1"/>
      <c r="CX300" s="1"/>
      <c r="CY300" s="91"/>
      <c r="CZ300" s="1"/>
      <c r="DC300" s="96"/>
      <c r="DE300" s="96"/>
    </row>
    <row r="301">
      <c r="A301" s="1"/>
      <c r="B301" s="1"/>
      <c r="C301" s="76"/>
      <c r="D301" s="76"/>
      <c r="E301" s="76"/>
      <c r="F301" s="76"/>
      <c r="G301" s="79"/>
      <c r="H301" s="80"/>
      <c r="I301" s="79"/>
      <c r="J301" s="80"/>
      <c r="K301" s="79"/>
      <c r="L301" s="142"/>
      <c r="M301" s="1"/>
      <c r="N301" s="142"/>
      <c r="O301" s="1"/>
      <c r="P301" s="142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79">
        <f t="shared" si="805"/>
        <v>0</v>
      </c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R301" s="1"/>
      <c r="CS301" s="1"/>
      <c r="CT301" s="1"/>
      <c r="CU301" s="1"/>
      <c r="CV301" s="1"/>
      <c r="CW301" s="1"/>
      <c r="CX301" s="1"/>
      <c r="CY301" s="91"/>
      <c r="CZ301" s="1"/>
      <c r="DC301" s="96"/>
      <c r="DE301" s="96"/>
    </row>
    <row r="302">
      <c r="A302" s="1"/>
      <c r="B302" s="1"/>
      <c r="C302" s="76"/>
      <c r="D302" s="76"/>
      <c r="E302" s="76"/>
      <c r="F302" s="76"/>
      <c r="G302" s="79"/>
      <c r="H302" s="80"/>
      <c r="I302" s="79"/>
      <c r="J302" s="80"/>
      <c r="K302" s="79"/>
      <c r="L302" s="142"/>
      <c r="M302" s="1"/>
      <c r="N302" s="142"/>
      <c r="O302" s="1"/>
      <c r="P302" s="142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79">
        <f t="shared" si="805"/>
        <v>0</v>
      </c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R302" s="1"/>
      <c r="CS302" s="1"/>
      <c r="CT302" s="1"/>
      <c r="CU302" s="1"/>
      <c r="CV302" s="1"/>
      <c r="CW302" s="1"/>
      <c r="CX302" s="1"/>
      <c r="CY302" s="91"/>
      <c r="CZ302" s="1"/>
      <c r="DC302" s="96"/>
      <c r="DE302" s="96"/>
    </row>
    <row r="303">
      <c r="A303" s="1"/>
      <c r="B303" s="1"/>
      <c r="C303" s="76"/>
      <c r="D303" s="76"/>
      <c r="E303" s="76"/>
      <c r="F303" s="76"/>
      <c r="G303" s="79"/>
      <c r="H303" s="80"/>
      <c r="I303" s="79"/>
      <c r="J303" s="80"/>
      <c r="K303" s="79"/>
      <c r="L303" s="142"/>
      <c r="M303" s="1"/>
      <c r="N303" s="142"/>
      <c r="O303" s="1"/>
      <c r="P303" s="142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79">
        <f t="shared" si="805"/>
        <v>0</v>
      </c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R303" s="1"/>
      <c r="CS303" s="1"/>
      <c r="CT303" s="1"/>
      <c r="CU303" s="1"/>
      <c r="CV303" s="1"/>
      <c r="CW303" s="1"/>
      <c r="CX303" s="1"/>
      <c r="CY303" s="91"/>
      <c r="CZ303" s="1"/>
      <c r="DC303" s="96"/>
      <c r="DE303" s="96"/>
    </row>
    <row r="304">
      <c r="A304" s="1"/>
      <c r="B304" s="1"/>
      <c r="C304" s="76"/>
      <c r="D304" s="76"/>
      <c r="E304" s="76"/>
      <c r="F304" s="76"/>
      <c r="G304" s="79"/>
      <c r="H304" s="80"/>
      <c r="I304" s="79"/>
      <c r="J304" s="80"/>
      <c r="K304" s="79"/>
      <c r="L304" s="142"/>
      <c r="M304" s="1"/>
      <c r="N304" s="142"/>
      <c r="O304" s="1"/>
      <c r="P304" s="142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79">
        <f t="shared" si="805"/>
        <v>0</v>
      </c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R304" s="1"/>
      <c r="CS304" s="1"/>
      <c r="CT304" s="1"/>
      <c r="CU304" s="1"/>
      <c r="CV304" s="1"/>
      <c r="CW304" s="1"/>
      <c r="CX304" s="1"/>
      <c r="CY304" s="91"/>
      <c r="CZ304" s="1"/>
      <c r="DC304" s="96"/>
      <c r="DE304" s="96"/>
    </row>
    <row r="305">
      <c r="A305" s="1"/>
      <c r="B305" s="1"/>
      <c r="C305" s="76"/>
      <c r="D305" s="76"/>
      <c r="E305" s="76"/>
      <c r="F305" s="76"/>
      <c r="G305" s="79"/>
      <c r="H305" s="80"/>
      <c r="I305" s="79"/>
      <c r="J305" s="80"/>
      <c r="K305" s="79"/>
      <c r="L305" s="142"/>
      <c r="M305" s="1"/>
      <c r="N305" s="142"/>
      <c r="O305" s="1"/>
      <c r="P305" s="142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79">
        <f t="shared" si="805"/>
        <v>0</v>
      </c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R305" s="1"/>
      <c r="CS305" s="1"/>
      <c r="CT305" s="1"/>
      <c r="CU305" s="1"/>
      <c r="CV305" s="1"/>
      <c r="CW305" s="1"/>
      <c r="CX305" s="1"/>
      <c r="CY305" s="91"/>
      <c r="CZ305" s="1"/>
      <c r="DC305" s="96"/>
      <c r="DE305" s="96"/>
    </row>
    <row r="306">
      <c r="A306" s="1"/>
      <c r="B306" s="1"/>
      <c r="C306" s="76"/>
      <c r="D306" s="76"/>
      <c r="E306" s="76"/>
      <c r="F306" s="76"/>
      <c r="G306" s="79"/>
      <c r="H306" s="80"/>
      <c r="I306" s="79"/>
      <c r="J306" s="80"/>
      <c r="K306" s="79"/>
      <c r="L306" s="142"/>
      <c r="M306" s="1"/>
      <c r="N306" s="142"/>
      <c r="O306" s="1"/>
      <c r="P306" s="142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79">
        <f t="shared" si="805"/>
        <v>0</v>
      </c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R306" s="1"/>
      <c r="CS306" s="1"/>
      <c r="CT306" s="1"/>
      <c r="CU306" s="1"/>
      <c r="CV306" s="1"/>
      <c r="CW306" s="1"/>
      <c r="CX306" s="1"/>
      <c r="CY306" s="91"/>
      <c r="CZ306" s="1"/>
      <c r="DC306" s="96"/>
      <c r="DE306" s="96"/>
    </row>
    <row r="307">
      <c r="A307" s="1"/>
      <c r="B307" s="1"/>
      <c r="C307" s="76"/>
      <c r="D307" s="76"/>
      <c r="E307" s="76"/>
      <c r="F307" s="76"/>
      <c r="G307" s="79"/>
      <c r="H307" s="80"/>
      <c r="I307" s="79"/>
      <c r="J307" s="80"/>
      <c r="K307" s="79"/>
      <c r="L307" s="142"/>
      <c r="M307" s="1"/>
      <c r="N307" s="142"/>
      <c r="O307" s="1"/>
      <c r="P307" s="142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79">
        <f t="shared" si="805"/>
        <v>0</v>
      </c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R307" s="1"/>
      <c r="CS307" s="1"/>
      <c r="CT307" s="1"/>
      <c r="CU307" s="1"/>
      <c r="CV307" s="1"/>
      <c r="CW307" s="1"/>
      <c r="CX307" s="1"/>
      <c r="CY307" s="91"/>
      <c r="CZ307" s="1"/>
      <c r="DC307" s="96"/>
      <c r="DE307" s="96"/>
    </row>
    <row r="308">
      <c r="A308" s="1"/>
      <c r="B308" s="1"/>
      <c r="C308" s="76"/>
      <c r="D308" s="76"/>
      <c r="E308" s="76"/>
      <c r="F308" s="76"/>
      <c r="G308" s="79"/>
      <c r="H308" s="80"/>
      <c r="I308" s="79"/>
      <c r="J308" s="80"/>
      <c r="K308" s="79"/>
      <c r="L308" s="142"/>
      <c r="M308" s="1"/>
      <c r="N308" s="142"/>
      <c r="O308" s="1"/>
      <c r="P308" s="142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79">
        <f t="shared" si="805"/>
        <v>0</v>
      </c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R308" s="1"/>
      <c r="CS308" s="1"/>
      <c r="CT308" s="1"/>
      <c r="CU308" s="1"/>
      <c r="CV308" s="1"/>
      <c r="CW308" s="1"/>
      <c r="CX308" s="1"/>
      <c r="CY308" s="91"/>
      <c r="CZ308" s="1"/>
      <c r="DC308" s="96"/>
      <c r="DE308" s="96"/>
    </row>
    <row r="309">
      <c r="A309" s="1"/>
      <c r="B309" s="1"/>
      <c r="C309" s="76"/>
      <c r="D309" s="76"/>
      <c r="E309" s="76"/>
      <c r="F309" s="76"/>
      <c r="G309" s="79"/>
      <c r="H309" s="80"/>
      <c r="I309" s="79"/>
      <c r="J309" s="80"/>
      <c r="K309" s="79"/>
      <c r="L309" s="142"/>
      <c r="M309" s="1"/>
      <c r="N309" s="142"/>
      <c r="O309" s="1"/>
      <c r="P309" s="142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79">
        <f t="shared" si="805"/>
        <v>0</v>
      </c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R309" s="1"/>
      <c r="CS309" s="1"/>
      <c r="CT309" s="1"/>
      <c r="CU309" s="1"/>
      <c r="CV309" s="1"/>
      <c r="CW309" s="1"/>
      <c r="CX309" s="1"/>
      <c r="CY309" s="91"/>
      <c r="CZ309" s="1"/>
      <c r="DC309" s="96"/>
      <c r="DE309" s="96"/>
    </row>
    <row r="310">
      <c r="A310" s="1"/>
      <c r="B310" s="1"/>
      <c r="C310" s="76"/>
      <c r="D310" s="76"/>
      <c r="E310" s="76"/>
      <c r="F310" s="76"/>
      <c r="G310" s="79"/>
      <c r="H310" s="80"/>
      <c r="I310" s="79"/>
      <c r="J310" s="80"/>
      <c r="K310" s="79"/>
      <c r="L310" s="142"/>
      <c r="M310" s="1"/>
      <c r="N310" s="142"/>
      <c r="O310" s="1"/>
      <c r="P310" s="142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79">
        <f t="shared" si="805"/>
        <v>0</v>
      </c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R310" s="1"/>
      <c r="CS310" s="1"/>
      <c r="CT310" s="1"/>
      <c r="CU310" s="1"/>
      <c r="CV310" s="1"/>
      <c r="CW310" s="1"/>
      <c r="CX310" s="1"/>
      <c r="CY310" s="91"/>
      <c r="CZ310" s="1"/>
      <c r="DC310" s="96"/>
      <c r="DE310" s="96"/>
    </row>
    <row r="311">
      <c r="A311" s="1"/>
      <c r="B311" s="1"/>
      <c r="C311" s="76"/>
      <c r="D311" s="76"/>
      <c r="E311" s="76"/>
      <c r="F311" s="76"/>
      <c r="G311" s="79"/>
      <c r="H311" s="80"/>
      <c r="I311" s="79"/>
      <c r="J311" s="80"/>
      <c r="K311" s="79"/>
      <c r="L311" s="142"/>
      <c r="M311" s="1"/>
      <c r="N311" s="142"/>
      <c r="O311" s="1"/>
      <c r="P311" s="142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79">
        <f t="shared" si="805"/>
        <v>0</v>
      </c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R311" s="1"/>
      <c r="CS311" s="1"/>
      <c r="CT311" s="1"/>
      <c r="CU311" s="1"/>
      <c r="CV311" s="1"/>
      <c r="CW311" s="1"/>
      <c r="CX311" s="1"/>
      <c r="CY311" s="91"/>
      <c r="CZ311" s="1"/>
      <c r="DC311" s="96"/>
      <c r="DE311" s="96"/>
    </row>
    <row r="312">
      <c r="A312" s="1"/>
      <c r="B312" s="1"/>
      <c r="C312" s="76"/>
      <c r="D312" s="76"/>
      <c r="E312" s="76"/>
      <c r="F312" s="76"/>
      <c r="G312" s="79"/>
      <c r="H312" s="80"/>
      <c r="I312" s="79"/>
      <c r="J312" s="80"/>
      <c r="K312" s="79"/>
      <c r="L312" s="142"/>
      <c r="M312" s="1"/>
      <c r="N312" s="142"/>
      <c r="O312" s="1"/>
      <c r="P312" s="142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79">
        <f t="shared" si="805"/>
        <v>0</v>
      </c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R312" s="1"/>
      <c r="CS312" s="1"/>
      <c r="CT312" s="1"/>
      <c r="CU312" s="1"/>
      <c r="CV312" s="1"/>
      <c r="CW312" s="1"/>
      <c r="CX312" s="1"/>
      <c r="CY312" s="91"/>
      <c r="CZ312" s="1"/>
      <c r="DC312" s="96"/>
      <c r="DE312" s="96"/>
    </row>
    <row r="313">
      <c r="A313" s="1"/>
      <c r="B313" s="1"/>
      <c r="C313" s="76"/>
      <c r="D313" s="76"/>
      <c r="E313" s="76"/>
      <c r="F313" s="76"/>
      <c r="G313" s="79"/>
      <c r="H313" s="80"/>
      <c r="I313" s="79"/>
      <c r="J313" s="80"/>
      <c r="K313" s="79"/>
      <c r="L313" s="142"/>
      <c r="M313" s="1"/>
      <c r="N313" s="142"/>
      <c r="O313" s="1"/>
      <c r="P313" s="142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79">
        <f t="shared" si="805"/>
        <v>0</v>
      </c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R313" s="1"/>
      <c r="CS313" s="1"/>
      <c r="CT313" s="1"/>
      <c r="CU313" s="1"/>
      <c r="CV313" s="1"/>
      <c r="CW313" s="1"/>
      <c r="CX313" s="1"/>
      <c r="CY313" s="91"/>
      <c r="CZ313" s="1"/>
      <c r="DC313" s="96"/>
      <c r="DE313" s="96"/>
    </row>
    <row r="314">
      <c r="A314" s="1"/>
      <c r="B314" s="1"/>
      <c r="C314" s="76"/>
      <c r="D314" s="76"/>
      <c r="E314" s="76"/>
      <c r="F314" s="76"/>
      <c r="G314" s="79"/>
      <c r="H314" s="80"/>
      <c r="I314" s="79"/>
      <c r="J314" s="80"/>
      <c r="K314" s="79"/>
      <c r="L314" s="142"/>
      <c r="M314" s="1"/>
      <c r="N314" s="142"/>
      <c r="O314" s="1"/>
      <c r="P314" s="142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79">
        <f t="shared" si="805"/>
        <v>0</v>
      </c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R314" s="1"/>
      <c r="CS314" s="1"/>
      <c r="CT314" s="1"/>
      <c r="CU314" s="1"/>
      <c r="CV314" s="1"/>
      <c r="CW314" s="1"/>
      <c r="CX314" s="1"/>
      <c r="CY314" s="91"/>
      <c r="CZ314" s="1"/>
      <c r="DC314" s="96"/>
      <c r="DE314" s="96"/>
    </row>
    <row r="315">
      <c r="A315" s="1"/>
      <c r="B315" s="1"/>
      <c r="C315" s="76"/>
      <c r="D315" s="76"/>
      <c r="E315" s="76"/>
      <c r="F315" s="76"/>
      <c r="G315" s="79"/>
      <c r="H315" s="80"/>
      <c r="I315" s="79"/>
      <c r="J315" s="80"/>
      <c r="K315" s="79"/>
      <c r="L315" s="142"/>
      <c r="M315" s="1"/>
      <c r="N315" s="142"/>
      <c r="O315" s="1"/>
      <c r="P315" s="142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79">
        <f t="shared" si="805"/>
        <v>0</v>
      </c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R315" s="1"/>
      <c r="CS315" s="1"/>
      <c r="CT315" s="1"/>
      <c r="CU315" s="1"/>
      <c r="CV315" s="1"/>
      <c r="CW315" s="1"/>
      <c r="CX315" s="1"/>
      <c r="CY315" s="91"/>
      <c r="CZ315" s="1"/>
      <c r="DC315" s="96"/>
      <c r="DE315" s="96"/>
    </row>
    <row r="316">
      <c r="A316" s="1"/>
      <c r="B316" s="1"/>
      <c r="C316" s="76"/>
      <c r="D316" s="76"/>
      <c r="E316" s="76"/>
      <c r="F316" s="76"/>
      <c r="G316" s="79"/>
      <c r="H316" s="80"/>
      <c r="I316" s="79"/>
      <c r="J316" s="80"/>
      <c r="K316" s="79"/>
      <c r="L316" s="142"/>
      <c r="M316" s="1"/>
      <c r="N316" s="142"/>
      <c r="O316" s="1"/>
      <c r="P316" s="142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79">
        <f t="shared" si="805"/>
        <v>0</v>
      </c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R316" s="1"/>
      <c r="CS316" s="1"/>
      <c r="CT316" s="1"/>
      <c r="CU316" s="1"/>
      <c r="CV316" s="1"/>
      <c r="CW316" s="1"/>
      <c r="CX316" s="1"/>
      <c r="CY316" s="91"/>
      <c r="CZ316" s="1"/>
      <c r="DC316" s="96"/>
      <c r="DE316" s="96"/>
    </row>
    <row r="317">
      <c r="A317" s="1"/>
      <c r="B317" s="1"/>
      <c r="C317" s="76"/>
      <c r="D317" s="76"/>
      <c r="E317" s="76"/>
      <c r="F317" s="76"/>
      <c r="G317" s="79"/>
      <c r="H317" s="80"/>
      <c r="I317" s="79"/>
      <c r="J317" s="80"/>
      <c r="K317" s="79"/>
      <c r="L317" s="142"/>
      <c r="M317" s="1"/>
      <c r="N317" s="142"/>
      <c r="O317" s="1"/>
      <c r="P317" s="142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79">
        <f t="shared" si="805"/>
        <v>0</v>
      </c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R317" s="1"/>
      <c r="CS317" s="1"/>
      <c r="CT317" s="1"/>
      <c r="CU317" s="1"/>
      <c r="CV317" s="1"/>
      <c r="CW317" s="1"/>
      <c r="CX317" s="1"/>
      <c r="CY317" s="91"/>
      <c r="CZ317" s="1"/>
      <c r="DC317" s="96"/>
      <c r="DE317" s="96"/>
    </row>
    <row r="318">
      <c r="A318" s="1"/>
      <c r="B318" s="1"/>
      <c r="C318" s="76"/>
      <c r="D318" s="76"/>
      <c r="E318" s="76"/>
      <c r="F318" s="76"/>
      <c r="G318" s="79"/>
      <c r="H318" s="80"/>
      <c r="I318" s="79"/>
      <c r="J318" s="80"/>
      <c r="K318" s="79"/>
      <c r="L318" s="142"/>
      <c r="M318" s="1"/>
      <c r="N318" s="142"/>
      <c r="O318" s="1"/>
      <c r="P318" s="142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79">
        <f t="shared" si="805"/>
        <v>0</v>
      </c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R318" s="1"/>
      <c r="CS318" s="1"/>
      <c r="CT318" s="1"/>
      <c r="CU318" s="1"/>
      <c r="CV318" s="1"/>
      <c r="CW318" s="1"/>
      <c r="CX318" s="1"/>
      <c r="CY318" s="91"/>
      <c r="CZ318" s="1"/>
      <c r="DC318" s="96"/>
      <c r="DE318" s="96"/>
    </row>
    <row r="319">
      <c r="A319" s="1"/>
      <c r="B319" s="1"/>
      <c r="C319" s="76"/>
      <c r="D319" s="76"/>
      <c r="E319" s="76"/>
      <c r="F319" s="76"/>
      <c r="G319" s="79"/>
      <c r="H319" s="80"/>
      <c r="I319" s="79"/>
      <c r="J319" s="80"/>
      <c r="K319" s="79"/>
      <c r="L319" s="142"/>
      <c r="M319" s="1"/>
      <c r="N319" s="142"/>
      <c r="O319" s="1"/>
      <c r="P319" s="142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79">
        <f t="shared" si="805"/>
        <v>0</v>
      </c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R319" s="1"/>
      <c r="CS319" s="1"/>
      <c r="CT319" s="1"/>
      <c r="CU319" s="1"/>
      <c r="CV319" s="1"/>
      <c r="CW319" s="1"/>
      <c r="CX319" s="1"/>
      <c r="CY319" s="91"/>
      <c r="CZ319" s="1"/>
      <c r="DC319" s="96"/>
      <c r="DE319" s="96"/>
    </row>
    <row r="320">
      <c r="A320" s="1"/>
      <c r="B320" s="1"/>
      <c r="C320" s="76"/>
      <c r="D320" s="76"/>
      <c r="E320" s="76"/>
      <c r="F320" s="76"/>
      <c r="G320" s="79"/>
      <c r="H320" s="80"/>
      <c r="I320" s="79"/>
      <c r="J320" s="80"/>
      <c r="K320" s="79"/>
      <c r="L320" s="142"/>
      <c r="M320" s="1"/>
      <c r="N320" s="142"/>
      <c r="O320" s="1"/>
      <c r="P320" s="142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79">
        <f t="shared" si="805"/>
        <v>0</v>
      </c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R320" s="1"/>
      <c r="CS320" s="1"/>
      <c r="CT320" s="1"/>
      <c r="CU320" s="1"/>
      <c r="CV320" s="1"/>
      <c r="CW320" s="1"/>
      <c r="CX320" s="1"/>
      <c r="CY320" s="91"/>
      <c r="CZ320" s="1"/>
      <c r="DC320" s="96"/>
      <c r="DE320" s="96"/>
    </row>
    <row r="321">
      <c r="A321" s="1"/>
      <c r="B321" s="1"/>
      <c r="C321" s="76"/>
      <c r="D321" s="76"/>
      <c r="E321" s="76"/>
      <c r="F321" s="76"/>
      <c r="G321" s="79"/>
      <c r="H321" s="80"/>
      <c r="I321" s="79"/>
      <c r="J321" s="80"/>
      <c r="K321" s="79"/>
      <c r="L321" s="142"/>
      <c r="M321" s="1"/>
      <c r="N321" s="142"/>
      <c r="O321" s="1"/>
      <c r="P321" s="142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79">
        <f t="shared" si="805"/>
        <v>0</v>
      </c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R321" s="1"/>
      <c r="CS321" s="1"/>
      <c r="CT321" s="1"/>
      <c r="CU321" s="1"/>
      <c r="CV321" s="1"/>
      <c r="CW321" s="1"/>
      <c r="CX321" s="1"/>
      <c r="CY321" s="91"/>
      <c r="CZ321" s="1"/>
      <c r="DC321" s="96"/>
      <c r="DE321" s="96"/>
    </row>
    <row r="322">
      <c r="A322" s="1"/>
      <c r="B322" s="1"/>
      <c r="C322" s="76"/>
      <c r="D322" s="76"/>
      <c r="E322" s="76"/>
      <c r="F322" s="76"/>
      <c r="G322" s="79"/>
      <c r="H322" s="80"/>
      <c r="I322" s="79"/>
      <c r="J322" s="80"/>
      <c r="K322" s="79"/>
      <c r="L322" s="142"/>
      <c r="M322" s="1"/>
      <c r="N322" s="142"/>
      <c r="O322" s="1"/>
      <c r="P322" s="142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79">
        <f t="shared" si="805"/>
        <v>0</v>
      </c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R322" s="1"/>
      <c r="CS322" s="1"/>
      <c r="CT322" s="1"/>
      <c r="CU322" s="1"/>
      <c r="CV322" s="1"/>
      <c r="CW322" s="1"/>
      <c r="CX322" s="1"/>
      <c r="CY322" s="91"/>
      <c r="CZ322" s="1"/>
      <c r="DC322" s="96"/>
      <c r="DE322" s="96"/>
    </row>
    <row r="323">
      <c r="A323" s="1"/>
      <c r="B323" s="1"/>
      <c r="C323" s="76"/>
      <c r="D323" s="76"/>
      <c r="E323" s="76"/>
      <c r="F323" s="76"/>
      <c r="G323" s="79"/>
      <c r="H323" s="80"/>
      <c r="I323" s="79"/>
      <c r="J323" s="80"/>
      <c r="K323" s="79"/>
      <c r="L323" s="142"/>
      <c r="M323" s="1"/>
      <c r="N323" s="142"/>
      <c r="O323" s="1"/>
      <c r="P323" s="142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79">
        <f t="shared" si="805"/>
        <v>0</v>
      </c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R323" s="1"/>
      <c r="CS323" s="1"/>
      <c r="CT323" s="1"/>
      <c r="CU323" s="1"/>
      <c r="CV323" s="1"/>
      <c r="CW323" s="1"/>
      <c r="CX323" s="1"/>
      <c r="CY323" s="91"/>
      <c r="CZ323" s="1"/>
      <c r="DC323" s="96"/>
      <c r="DE323" s="96"/>
    </row>
    <row r="324">
      <c r="A324" s="1"/>
      <c r="B324" s="1"/>
      <c r="C324" s="76"/>
      <c r="D324" s="76"/>
      <c r="E324" s="76"/>
      <c r="F324" s="76"/>
      <c r="G324" s="79"/>
      <c r="H324" s="80"/>
      <c r="I324" s="79"/>
      <c r="J324" s="80"/>
      <c r="K324" s="79"/>
      <c r="L324" s="142"/>
      <c r="M324" s="1"/>
      <c r="N324" s="142"/>
      <c r="O324" s="1"/>
      <c r="P324" s="142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79">
        <f t="shared" si="805"/>
        <v>0</v>
      </c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R324" s="1"/>
      <c r="CS324" s="1"/>
      <c r="CT324" s="1"/>
      <c r="CU324" s="1"/>
      <c r="CV324" s="1"/>
      <c r="CW324" s="1"/>
      <c r="CX324" s="1"/>
      <c r="CY324" s="91"/>
      <c r="CZ324" s="1"/>
      <c r="DC324" s="96"/>
      <c r="DE324" s="96"/>
    </row>
    <row r="325">
      <c r="A325" s="1"/>
      <c r="B325" s="1"/>
      <c r="C325" s="76"/>
      <c r="D325" s="76"/>
      <c r="E325" s="76"/>
      <c r="F325" s="76"/>
      <c r="G325" s="79"/>
      <c r="H325" s="80"/>
      <c r="I325" s="79"/>
      <c r="J325" s="80"/>
      <c r="K325" s="79"/>
      <c r="L325" s="142"/>
      <c r="M325" s="1"/>
      <c r="N325" s="142"/>
      <c r="O325" s="1"/>
      <c r="P325" s="142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79">
        <f t="shared" si="805"/>
        <v>0</v>
      </c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R325" s="1"/>
      <c r="CS325" s="1"/>
      <c r="CT325" s="1"/>
      <c r="CU325" s="1"/>
      <c r="CV325" s="1"/>
      <c r="CW325" s="1"/>
      <c r="CX325" s="1"/>
      <c r="CY325" s="91"/>
      <c r="CZ325" s="1"/>
      <c r="DC325" s="96"/>
      <c r="DE325" s="96"/>
    </row>
    <row r="326">
      <c r="A326" s="1"/>
      <c r="B326" s="1"/>
      <c r="C326" s="76"/>
      <c r="D326" s="76"/>
      <c r="E326" s="76"/>
      <c r="F326" s="76"/>
      <c r="G326" s="79"/>
      <c r="H326" s="80"/>
      <c r="I326" s="79"/>
      <c r="J326" s="80"/>
      <c r="K326" s="79"/>
      <c r="L326" s="142"/>
      <c r="M326" s="1"/>
      <c r="N326" s="142"/>
      <c r="O326" s="1"/>
      <c r="P326" s="142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79">
        <f t="shared" si="805"/>
        <v>0</v>
      </c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R326" s="1"/>
      <c r="CS326" s="1"/>
      <c r="CT326" s="1"/>
      <c r="CU326" s="1"/>
      <c r="CV326" s="1"/>
      <c r="CW326" s="1"/>
      <c r="CX326" s="1"/>
      <c r="CY326" s="91"/>
      <c r="CZ326" s="1"/>
      <c r="DC326" s="96"/>
      <c r="DE326" s="96"/>
    </row>
    <row r="327">
      <c r="A327" s="1"/>
      <c r="B327" s="1"/>
      <c r="C327" s="76"/>
      <c r="D327" s="76"/>
      <c r="E327" s="76"/>
      <c r="F327" s="76"/>
      <c r="G327" s="79"/>
      <c r="H327" s="80"/>
      <c r="I327" s="79"/>
      <c r="J327" s="80"/>
      <c r="K327" s="79"/>
      <c r="L327" s="142"/>
      <c r="M327" s="1"/>
      <c r="N327" s="142"/>
      <c r="O327" s="1"/>
      <c r="P327" s="142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79">
        <f t="shared" si="805"/>
        <v>0</v>
      </c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R327" s="1"/>
      <c r="CS327" s="1"/>
      <c r="CT327" s="1"/>
      <c r="CU327" s="1"/>
      <c r="CV327" s="1"/>
      <c r="CW327" s="1"/>
      <c r="CX327" s="1"/>
      <c r="CY327" s="91"/>
      <c r="CZ327" s="1"/>
      <c r="DC327" s="96"/>
      <c r="DE327" s="96"/>
    </row>
    <row r="328">
      <c r="A328" s="1"/>
      <c r="B328" s="1"/>
      <c r="C328" s="76"/>
      <c r="D328" s="76"/>
      <c r="E328" s="76"/>
      <c r="F328" s="76"/>
      <c r="G328" s="79"/>
      <c r="H328" s="80"/>
      <c r="I328" s="79"/>
      <c r="J328" s="80"/>
      <c r="K328" s="79"/>
      <c r="L328" s="142"/>
      <c r="M328" s="1"/>
      <c r="N328" s="142"/>
      <c r="O328" s="1"/>
      <c r="P328" s="142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79">
        <f t="shared" si="805"/>
        <v>0</v>
      </c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R328" s="1"/>
      <c r="CS328" s="1"/>
      <c r="CT328" s="1"/>
      <c r="CU328" s="1"/>
      <c r="CV328" s="1"/>
      <c r="CW328" s="1"/>
      <c r="CX328" s="1"/>
      <c r="CY328" s="91"/>
      <c r="CZ328" s="1"/>
      <c r="DC328" s="96"/>
      <c r="DE328" s="96"/>
    </row>
    <row r="329">
      <c r="A329" s="1"/>
      <c r="B329" s="1"/>
      <c r="C329" s="76"/>
      <c r="D329" s="76"/>
      <c r="E329" s="76"/>
      <c r="F329" s="76"/>
      <c r="G329" s="79"/>
      <c r="H329" s="80"/>
      <c r="I329" s="79"/>
      <c r="J329" s="80"/>
      <c r="K329" s="79"/>
      <c r="L329" s="142"/>
      <c r="M329" s="1"/>
      <c r="N329" s="142"/>
      <c r="O329" s="1"/>
      <c r="P329" s="142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79">
        <f t="shared" si="805"/>
        <v>0</v>
      </c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R329" s="1"/>
      <c r="CS329" s="1"/>
      <c r="CT329" s="1"/>
      <c r="CU329" s="1"/>
      <c r="CV329" s="1"/>
      <c r="CW329" s="1"/>
      <c r="CX329" s="1"/>
      <c r="CY329" s="91"/>
      <c r="CZ329" s="1"/>
      <c r="DC329" s="96"/>
      <c r="DE329" s="96"/>
    </row>
    <row r="330">
      <c r="A330" s="1"/>
      <c r="B330" s="1"/>
      <c r="C330" s="76"/>
      <c r="D330" s="76"/>
      <c r="E330" s="76"/>
      <c r="F330" s="76"/>
      <c r="G330" s="79"/>
      <c r="H330" s="80"/>
      <c r="I330" s="79"/>
      <c r="J330" s="80"/>
      <c r="K330" s="79"/>
      <c r="L330" s="142"/>
      <c r="M330" s="1"/>
      <c r="N330" s="142"/>
      <c r="O330" s="1"/>
      <c r="P330" s="142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79">
        <f t="shared" si="805"/>
        <v>0</v>
      </c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R330" s="1"/>
      <c r="CS330" s="1"/>
      <c r="CT330" s="1"/>
      <c r="CU330" s="1"/>
      <c r="CV330" s="1"/>
      <c r="CW330" s="1"/>
      <c r="CX330" s="1"/>
      <c r="CY330" s="91"/>
      <c r="CZ330" s="1"/>
      <c r="DC330" s="96"/>
      <c r="DE330" s="96"/>
    </row>
    <row r="331">
      <c r="A331" s="1"/>
      <c r="B331" s="1"/>
      <c r="C331" s="76"/>
      <c r="D331" s="76"/>
      <c r="E331" s="76"/>
      <c r="F331" s="76"/>
      <c r="G331" s="79"/>
      <c r="H331" s="80"/>
      <c r="I331" s="79"/>
      <c r="J331" s="80"/>
      <c r="K331" s="79"/>
      <c r="L331" s="142"/>
      <c r="M331" s="1"/>
      <c r="N331" s="142"/>
      <c r="O331" s="1"/>
      <c r="P331" s="142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79">
        <f t="shared" si="805"/>
        <v>0</v>
      </c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R331" s="1"/>
      <c r="CS331" s="1"/>
      <c r="CT331" s="1"/>
      <c r="CU331" s="1"/>
      <c r="CV331" s="1"/>
      <c r="CW331" s="1"/>
      <c r="CX331" s="1"/>
      <c r="CY331" s="91"/>
      <c r="CZ331" s="1"/>
      <c r="DC331" s="96"/>
      <c r="DE331" s="96"/>
    </row>
    <row r="332">
      <c r="A332" s="1"/>
      <c r="B332" s="1"/>
      <c r="C332" s="76"/>
      <c r="D332" s="76"/>
      <c r="E332" s="76"/>
      <c r="F332" s="76"/>
      <c r="G332" s="79"/>
      <c r="H332" s="80"/>
      <c r="I332" s="79"/>
      <c r="J332" s="80"/>
      <c r="K332" s="79"/>
      <c r="L332" s="142"/>
      <c r="M332" s="1"/>
      <c r="N332" s="142"/>
      <c r="O332" s="1"/>
      <c r="P332" s="142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79">
        <f t="shared" si="805"/>
        <v>0</v>
      </c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R332" s="1"/>
      <c r="CS332" s="1"/>
      <c r="CT332" s="1"/>
      <c r="CU332" s="1"/>
      <c r="CV332" s="1"/>
      <c r="CW332" s="1"/>
      <c r="CX332" s="1"/>
      <c r="CY332" s="91"/>
      <c r="CZ332" s="1"/>
      <c r="DC332" s="96"/>
      <c r="DE332" s="96"/>
    </row>
    <row r="333">
      <c r="A333" s="1"/>
      <c r="B333" s="1"/>
      <c r="C333" s="76"/>
      <c r="D333" s="76"/>
      <c r="E333" s="76"/>
      <c r="F333" s="76"/>
      <c r="G333" s="79"/>
      <c r="H333" s="80"/>
      <c r="I333" s="79"/>
      <c r="J333" s="80"/>
      <c r="K333" s="79"/>
      <c r="L333" s="142"/>
      <c r="M333" s="1"/>
      <c r="N333" s="142"/>
      <c r="O333" s="1"/>
      <c r="P333" s="142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79">
        <f t="shared" si="805"/>
        <v>0</v>
      </c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R333" s="1"/>
      <c r="CS333" s="1"/>
      <c r="CT333" s="1"/>
      <c r="CU333" s="1"/>
      <c r="CV333" s="1"/>
      <c r="CW333" s="1"/>
      <c r="CX333" s="1"/>
      <c r="CY333" s="91"/>
      <c r="CZ333" s="1"/>
      <c r="DC333" s="96"/>
      <c r="DE333" s="96"/>
    </row>
    <row r="334">
      <c r="A334" s="1"/>
      <c r="B334" s="1"/>
      <c r="C334" s="76"/>
      <c r="D334" s="76"/>
      <c r="E334" s="76"/>
      <c r="F334" s="76"/>
      <c r="G334" s="79"/>
      <c r="H334" s="80"/>
      <c r="I334" s="79"/>
      <c r="J334" s="80"/>
      <c r="K334" s="79"/>
      <c r="L334" s="142"/>
      <c r="M334" s="1"/>
      <c r="N334" s="142"/>
      <c r="O334" s="1"/>
      <c r="P334" s="142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79">
        <f t="shared" si="805"/>
        <v>0</v>
      </c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R334" s="1"/>
      <c r="CS334" s="1"/>
      <c r="CT334" s="1"/>
      <c r="CU334" s="1"/>
      <c r="CV334" s="1"/>
      <c r="CW334" s="1"/>
      <c r="CX334" s="1"/>
      <c r="CY334" s="91"/>
      <c r="CZ334" s="1"/>
      <c r="DC334" s="96"/>
      <c r="DE334" s="96"/>
    </row>
    <row r="335">
      <c r="A335" s="1"/>
      <c r="B335" s="1"/>
      <c r="C335" s="76"/>
      <c r="D335" s="76"/>
      <c r="E335" s="76"/>
      <c r="F335" s="76"/>
      <c r="G335" s="79"/>
      <c r="H335" s="80"/>
      <c r="I335" s="79"/>
      <c r="J335" s="80"/>
      <c r="K335" s="79"/>
      <c r="L335" s="142"/>
      <c r="M335" s="1"/>
      <c r="N335" s="142"/>
      <c r="O335" s="1"/>
      <c r="P335" s="142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79">
        <f t="shared" si="805"/>
        <v>0</v>
      </c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R335" s="1"/>
      <c r="CS335" s="1"/>
      <c r="CT335" s="1"/>
      <c r="CU335" s="1"/>
      <c r="CV335" s="1"/>
      <c r="CW335" s="1"/>
      <c r="CX335" s="1"/>
      <c r="CY335" s="91"/>
      <c r="CZ335" s="1"/>
      <c r="DC335" s="96"/>
      <c r="DE335" s="96"/>
    </row>
    <row r="336">
      <c r="A336" s="1"/>
      <c r="B336" s="1"/>
      <c r="C336" s="76"/>
      <c r="D336" s="76"/>
      <c r="E336" s="76"/>
      <c r="F336" s="76"/>
      <c r="G336" s="79"/>
      <c r="H336" s="80"/>
      <c r="I336" s="79"/>
      <c r="J336" s="80"/>
      <c r="K336" s="79"/>
      <c r="L336" s="142"/>
      <c r="M336" s="1"/>
      <c r="N336" s="142"/>
      <c r="O336" s="1"/>
      <c r="P336" s="142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79">
        <f t="shared" si="805"/>
        <v>0</v>
      </c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R336" s="1"/>
      <c r="CS336" s="1"/>
      <c r="CT336" s="1"/>
      <c r="CU336" s="1"/>
      <c r="CV336" s="1"/>
      <c r="CW336" s="1"/>
      <c r="CX336" s="1"/>
      <c r="CY336" s="91"/>
      <c r="CZ336" s="1"/>
      <c r="DC336" s="96"/>
      <c r="DE336" s="96"/>
    </row>
    <row r="337">
      <c r="A337" s="1"/>
      <c r="B337" s="1"/>
      <c r="C337" s="76"/>
      <c r="D337" s="76"/>
      <c r="E337" s="76"/>
      <c r="F337" s="76"/>
      <c r="G337" s="79"/>
      <c r="H337" s="80"/>
      <c r="I337" s="79"/>
      <c r="J337" s="80"/>
      <c r="K337" s="79"/>
      <c r="L337" s="142"/>
      <c r="M337" s="1"/>
      <c r="N337" s="142"/>
      <c r="O337" s="1"/>
      <c r="P337" s="142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79">
        <f t="shared" si="805"/>
        <v>0</v>
      </c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R337" s="1"/>
      <c r="CS337" s="1"/>
      <c r="CT337" s="1"/>
      <c r="CU337" s="1"/>
      <c r="CV337" s="1"/>
      <c r="CW337" s="1"/>
      <c r="CX337" s="1"/>
      <c r="CY337" s="91"/>
      <c r="CZ337" s="1"/>
      <c r="DC337" s="96"/>
      <c r="DE337" s="96"/>
    </row>
    <row r="338">
      <c r="A338" s="1"/>
      <c r="B338" s="1"/>
      <c r="C338" s="76"/>
      <c r="D338" s="76"/>
      <c r="E338" s="76"/>
      <c r="F338" s="76"/>
      <c r="G338" s="79"/>
      <c r="H338" s="80"/>
      <c r="I338" s="79"/>
      <c r="J338" s="80"/>
      <c r="K338" s="79"/>
      <c r="L338" s="142"/>
      <c r="M338" s="1"/>
      <c r="N338" s="142"/>
      <c r="O338" s="1"/>
      <c r="P338" s="142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79">
        <f t="shared" si="805"/>
        <v>0</v>
      </c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R338" s="1"/>
      <c r="CS338" s="1"/>
      <c r="CT338" s="1"/>
      <c r="CU338" s="1"/>
      <c r="CV338" s="1"/>
      <c r="CW338" s="1"/>
      <c r="CX338" s="1"/>
      <c r="CY338" s="91"/>
      <c r="CZ338" s="1"/>
      <c r="DC338" s="96"/>
      <c r="DE338" s="96"/>
    </row>
    <row r="339">
      <c r="A339" s="1"/>
      <c r="B339" s="1"/>
      <c r="C339" s="76"/>
      <c r="D339" s="76"/>
      <c r="E339" s="76"/>
      <c r="F339" s="76"/>
      <c r="G339" s="79"/>
      <c r="H339" s="80"/>
      <c r="I339" s="79"/>
      <c r="J339" s="80"/>
      <c r="K339" s="79"/>
      <c r="L339" s="142"/>
      <c r="M339" s="1"/>
      <c r="N339" s="142"/>
      <c r="O339" s="1"/>
      <c r="P339" s="142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79">
        <f t="shared" si="805"/>
        <v>0</v>
      </c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R339" s="1"/>
      <c r="CS339" s="1"/>
      <c r="CT339" s="1"/>
      <c r="CU339" s="1"/>
      <c r="CV339" s="1"/>
      <c r="CW339" s="1"/>
      <c r="CX339" s="1"/>
      <c r="CY339" s="91"/>
      <c r="CZ339" s="1"/>
      <c r="DC339" s="96"/>
      <c r="DE339" s="96"/>
    </row>
    <row r="340">
      <c r="A340" s="1"/>
      <c r="B340" s="1"/>
      <c r="C340" s="76"/>
      <c r="D340" s="76"/>
      <c r="E340" s="76"/>
      <c r="F340" s="76"/>
      <c r="G340" s="79"/>
      <c r="H340" s="80"/>
      <c r="I340" s="79"/>
      <c r="J340" s="80"/>
      <c r="K340" s="79"/>
      <c r="L340" s="142"/>
      <c r="M340" s="1"/>
      <c r="N340" s="142"/>
      <c r="O340" s="1"/>
      <c r="P340" s="142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79">
        <f t="shared" si="805"/>
        <v>0</v>
      </c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R340" s="1"/>
      <c r="CS340" s="1"/>
      <c r="CT340" s="1"/>
      <c r="CU340" s="1"/>
      <c r="CV340" s="1"/>
      <c r="CW340" s="1"/>
      <c r="CX340" s="1"/>
      <c r="CY340" s="91"/>
      <c r="CZ340" s="1"/>
      <c r="DC340" s="96"/>
      <c r="DE340" s="96"/>
    </row>
    <row r="341">
      <c r="A341" s="1"/>
      <c r="B341" s="1"/>
      <c r="C341" s="76"/>
      <c r="D341" s="76"/>
      <c r="E341" s="76"/>
      <c r="F341" s="76"/>
      <c r="G341" s="79"/>
      <c r="H341" s="80"/>
      <c r="I341" s="79"/>
      <c r="J341" s="80"/>
      <c r="K341" s="79"/>
      <c r="L341" s="142"/>
      <c r="M341" s="1"/>
      <c r="N341" s="142"/>
      <c r="O341" s="1"/>
      <c r="P341" s="142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79">
        <f t="shared" si="805"/>
        <v>0</v>
      </c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R341" s="1"/>
      <c r="CS341" s="1"/>
      <c r="CT341" s="1"/>
      <c r="CU341" s="1"/>
      <c r="CV341" s="1"/>
      <c r="CW341" s="1"/>
      <c r="CX341" s="1"/>
      <c r="CY341" s="91"/>
      <c r="CZ341" s="1"/>
      <c r="DC341" s="96"/>
      <c r="DE341" s="96"/>
    </row>
    <row r="342">
      <c r="A342" s="1"/>
      <c r="B342" s="1"/>
      <c r="C342" s="76"/>
      <c r="D342" s="76"/>
      <c r="E342" s="76"/>
      <c r="F342" s="76"/>
      <c r="G342" s="79"/>
      <c r="H342" s="80"/>
      <c r="I342" s="79"/>
      <c r="J342" s="80"/>
      <c r="K342" s="79"/>
      <c r="L342" s="142"/>
      <c r="M342" s="1"/>
      <c r="N342" s="142"/>
      <c r="O342" s="1"/>
      <c r="P342" s="142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79">
        <f t="shared" si="805"/>
        <v>0</v>
      </c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R342" s="1"/>
      <c r="CS342" s="1"/>
      <c r="CT342" s="1"/>
      <c r="CU342" s="1"/>
      <c r="CV342" s="1"/>
      <c r="CW342" s="1"/>
      <c r="CX342" s="1"/>
      <c r="CY342" s="91"/>
      <c r="CZ342" s="1"/>
      <c r="DC342" s="96"/>
      <c r="DE342" s="96"/>
    </row>
    <row r="343">
      <c r="A343" s="1"/>
      <c r="B343" s="1"/>
      <c r="C343" s="76"/>
      <c r="D343" s="76"/>
      <c r="E343" s="76"/>
      <c r="F343" s="76"/>
      <c r="G343" s="79"/>
      <c r="H343" s="80"/>
      <c r="I343" s="79"/>
      <c r="J343" s="80"/>
      <c r="K343" s="79"/>
      <c r="L343" s="142"/>
      <c r="M343" s="1"/>
      <c r="N343" s="142"/>
      <c r="O343" s="1"/>
      <c r="P343" s="142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79">
        <f t="shared" si="805"/>
        <v>0</v>
      </c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R343" s="1"/>
      <c r="CS343" s="1"/>
      <c r="CT343" s="1"/>
      <c r="CU343" s="1"/>
      <c r="CV343" s="1"/>
      <c r="CW343" s="1"/>
      <c r="CX343" s="1"/>
      <c r="CY343" s="91"/>
      <c r="CZ343" s="1"/>
      <c r="DC343" s="96"/>
      <c r="DE343" s="96"/>
    </row>
    <row r="344">
      <c r="A344" s="1"/>
      <c r="B344" s="1"/>
      <c r="C344" s="76"/>
      <c r="D344" s="76"/>
      <c r="E344" s="76"/>
      <c r="F344" s="76"/>
      <c r="G344" s="79"/>
      <c r="H344" s="80"/>
      <c r="I344" s="79"/>
      <c r="J344" s="80"/>
      <c r="K344" s="79"/>
      <c r="L344" s="142"/>
      <c r="M344" s="1"/>
      <c r="N344" s="142"/>
      <c r="O344" s="1"/>
      <c r="P344" s="142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79">
        <f t="shared" si="805"/>
        <v>0</v>
      </c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R344" s="1"/>
      <c r="CS344" s="1"/>
      <c r="CT344" s="1"/>
      <c r="CU344" s="1"/>
      <c r="CV344" s="1"/>
      <c r="CW344" s="1"/>
      <c r="CX344" s="1"/>
      <c r="CY344" s="91"/>
      <c r="CZ344" s="1"/>
      <c r="DC344" s="96"/>
      <c r="DE344" s="96"/>
    </row>
    <row r="345">
      <c r="A345" s="1"/>
      <c r="B345" s="1"/>
      <c r="C345" s="76"/>
      <c r="D345" s="76"/>
      <c r="E345" s="76"/>
      <c r="F345" s="76"/>
      <c r="G345" s="79"/>
      <c r="H345" s="80"/>
      <c r="I345" s="79"/>
      <c r="J345" s="80"/>
      <c r="K345" s="79"/>
      <c r="L345" s="142"/>
      <c r="M345" s="1"/>
      <c r="N345" s="142"/>
      <c r="O345" s="1"/>
      <c r="P345" s="142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79">
        <f t="shared" si="805"/>
        <v>0</v>
      </c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R345" s="1"/>
      <c r="CS345" s="1"/>
      <c r="CT345" s="1"/>
      <c r="CU345" s="1"/>
      <c r="CV345" s="1"/>
      <c r="CW345" s="1"/>
      <c r="CX345" s="1"/>
      <c r="CY345" s="91"/>
      <c r="CZ345" s="1"/>
      <c r="DC345" s="96"/>
      <c r="DE345" s="96"/>
    </row>
    <row r="346">
      <c r="A346" s="1"/>
      <c r="B346" s="1"/>
      <c r="C346" s="76"/>
      <c r="D346" s="76"/>
      <c r="E346" s="76"/>
      <c r="F346" s="76"/>
      <c r="G346" s="79"/>
      <c r="H346" s="80"/>
      <c r="I346" s="79"/>
      <c r="J346" s="80"/>
      <c r="K346" s="79"/>
      <c r="L346" s="142"/>
      <c r="M346" s="1"/>
      <c r="N346" s="142"/>
      <c r="O346" s="1"/>
      <c r="P346" s="142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79">
        <f t="shared" si="805"/>
        <v>0</v>
      </c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R346" s="1"/>
      <c r="CS346" s="1"/>
      <c r="CT346" s="1"/>
      <c r="CU346" s="1"/>
      <c r="CV346" s="1"/>
      <c r="CW346" s="1"/>
      <c r="CX346" s="1"/>
      <c r="CY346" s="91"/>
      <c r="CZ346" s="1"/>
      <c r="DC346" s="96"/>
      <c r="DE346" s="96"/>
    </row>
    <row r="347">
      <c r="A347" s="1"/>
      <c r="B347" s="1"/>
      <c r="C347" s="76"/>
      <c r="D347" s="76"/>
      <c r="E347" s="76"/>
      <c r="F347" s="76"/>
      <c r="G347" s="79"/>
      <c r="H347" s="80"/>
      <c r="I347" s="79"/>
      <c r="J347" s="80"/>
      <c r="K347" s="79"/>
      <c r="L347" s="142"/>
      <c r="M347" s="1"/>
      <c r="N347" s="142"/>
      <c r="O347" s="1"/>
      <c r="P347" s="142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79">
        <f t="shared" si="805"/>
        <v>0</v>
      </c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R347" s="1"/>
      <c r="CS347" s="1"/>
      <c r="CT347" s="1"/>
      <c r="CU347" s="1"/>
      <c r="CV347" s="1"/>
      <c r="CW347" s="1"/>
      <c r="CX347" s="1"/>
      <c r="CY347" s="91"/>
      <c r="CZ347" s="1"/>
      <c r="DC347" s="96"/>
      <c r="DE347" s="96"/>
    </row>
    <row r="348">
      <c r="A348" s="1"/>
      <c r="B348" s="1"/>
      <c r="C348" s="76"/>
      <c r="D348" s="76"/>
      <c r="E348" s="76"/>
      <c r="F348" s="76"/>
      <c r="G348" s="79"/>
      <c r="H348" s="80"/>
      <c r="I348" s="79"/>
      <c r="J348" s="80"/>
      <c r="K348" s="79"/>
      <c r="L348" s="142"/>
      <c r="M348" s="1"/>
      <c r="N348" s="142"/>
      <c r="O348" s="1"/>
      <c r="P348" s="142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79">
        <f t="shared" si="805"/>
        <v>0</v>
      </c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R348" s="1"/>
      <c r="CS348" s="1"/>
      <c r="CT348" s="1"/>
      <c r="CU348" s="1"/>
      <c r="CV348" s="1"/>
      <c r="CW348" s="1"/>
      <c r="CX348" s="1"/>
      <c r="CY348" s="91"/>
      <c r="CZ348" s="1"/>
      <c r="DC348" s="96"/>
      <c r="DE348" s="96"/>
    </row>
    <row r="349">
      <c r="A349" s="1"/>
      <c r="B349" s="1"/>
      <c r="C349" s="76"/>
      <c r="D349" s="76"/>
      <c r="E349" s="76"/>
      <c r="F349" s="76"/>
      <c r="G349" s="79"/>
      <c r="H349" s="80"/>
      <c r="I349" s="79"/>
      <c r="J349" s="80"/>
      <c r="K349" s="79"/>
      <c r="L349" s="142"/>
      <c r="M349" s="1"/>
      <c r="N349" s="142"/>
      <c r="O349" s="1"/>
      <c r="P349" s="142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79">
        <f t="shared" si="805"/>
        <v>0</v>
      </c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R349" s="1"/>
      <c r="CS349" s="1"/>
      <c r="CT349" s="1"/>
      <c r="CU349" s="1"/>
      <c r="CV349" s="1"/>
      <c r="CW349" s="1"/>
      <c r="CX349" s="1"/>
      <c r="CY349" s="91"/>
      <c r="CZ349" s="1"/>
      <c r="DC349" s="96"/>
      <c r="DE349" s="96"/>
    </row>
    <row r="350">
      <c r="A350" s="1"/>
      <c r="B350" s="1"/>
      <c r="C350" s="76"/>
      <c r="D350" s="76"/>
      <c r="E350" s="76"/>
      <c r="F350" s="76"/>
      <c r="G350" s="79"/>
      <c r="H350" s="80"/>
      <c r="I350" s="79"/>
      <c r="J350" s="80"/>
      <c r="K350" s="79"/>
      <c r="L350" s="142"/>
      <c r="M350" s="1"/>
      <c r="N350" s="142"/>
      <c r="O350" s="1"/>
      <c r="P350" s="142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79">
        <f t="shared" si="805"/>
        <v>0</v>
      </c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R350" s="1"/>
      <c r="CS350" s="1"/>
      <c r="CT350" s="1"/>
      <c r="CU350" s="1"/>
      <c r="CV350" s="1"/>
      <c r="CW350" s="1"/>
      <c r="CX350" s="1"/>
      <c r="CY350" s="91"/>
      <c r="CZ350" s="1"/>
      <c r="DC350" s="96"/>
      <c r="DE350" s="96"/>
    </row>
    <row r="351">
      <c r="A351" s="1"/>
      <c r="B351" s="1"/>
      <c r="C351" s="76"/>
      <c r="D351" s="76"/>
      <c r="E351" s="76"/>
      <c r="F351" s="76"/>
      <c r="G351" s="79"/>
      <c r="H351" s="80"/>
      <c r="I351" s="79"/>
      <c r="J351" s="80"/>
      <c r="K351" s="79"/>
      <c r="L351" s="142"/>
      <c r="M351" s="1"/>
      <c r="N351" s="142"/>
      <c r="O351" s="1"/>
      <c r="P351" s="142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79">
        <f t="shared" si="805"/>
        <v>0</v>
      </c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R351" s="1"/>
      <c r="CS351" s="1"/>
      <c r="CT351" s="1"/>
      <c r="CU351" s="1"/>
      <c r="CV351" s="1"/>
      <c r="CW351" s="1"/>
      <c r="CX351" s="1"/>
      <c r="CY351" s="91"/>
      <c r="CZ351" s="1"/>
      <c r="DC351" s="96"/>
      <c r="DE351" s="96"/>
    </row>
    <row r="352">
      <c r="A352" s="1"/>
      <c r="B352" s="1"/>
      <c r="C352" s="76"/>
      <c r="D352" s="76"/>
      <c r="E352" s="76"/>
      <c r="F352" s="76"/>
      <c r="G352" s="79"/>
      <c r="H352" s="80"/>
      <c r="I352" s="79"/>
      <c r="J352" s="80"/>
      <c r="K352" s="79"/>
      <c r="L352" s="142"/>
      <c r="M352" s="1"/>
      <c r="N352" s="142"/>
      <c r="O352" s="1"/>
      <c r="P352" s="142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79">
        <f t="shared" si="805"/>
        <v>0</v>
      </c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R352" s="1"/>
      <c r="CS352" s="1"/>
      <c r="CT352" s="1"/>
      <c r="CU352" s="1"/>
      <c r="CV352" s="1"/>
      <c r="CW352" s="1"/>
      <c r="CX352" s="1"/>
      <c r="CY352" s="91"/>
      <c r="CZ352" s="1"/>
      <c r="DC352" s="96"/>
      <c r="DE352" s="96"/>
    </row>
    <row r="353">
      <c r="A353" s="1"/>
      <c r="B353" s="1"/>
      <c r="C353" s="76"/>
      <c r="D353" s="76"/>
      <c r="E353" s="76"/>
      <c r="F353" s="76"/>
      <c r="G353" s="79"/>
      <c r="H353" s="80"/>
      <c r="I353" s="79"/>
      <c r="J353" s="80"/>
      <c r="K353" s="79"/>
      <c r="L353" s="142"/>
      <c r="M353" s="1"/>
      <c r="N353" s="142"/>
      <c r="O353" s="1"/>
      <c r="P353" s="142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79">
        <f t="shared" si="805"/>
        <v>0</v>
      </c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R353" s="1"/>
      <c r="CS353" s="1"/>
      <c r="CT353" s="1"/>
      <c r="CU353" s="1"/>
      <c r="CV353" s="1"/>
      <c r="CW353" s="1"/>
      <c r="CX353" s="1"/>
      <c r="CY353" s="91"/>
      <c r="CZ353" s="1"/>
      <c r="DC353" s="96"/>
      <c r="DE353" s="96"/>
    </row>
    <row r="354">
      <c r="A354" s="1"/>
      <c r="B354" s="1"/>
      <c r="C354" s="76"/>
      <c r="D354" s="76"/>
      <c r="E354" s="76"/>
      <c r="F354" s="76"/>
      <c r="G354" s="79"/>
      <c r="H354" s="80"/>
      <c r="I354" s="79"/>
      <c r="J354" s="80"/>
      <c r="K354" s="79"/>
      <c r="L354" s="142"/>
      <c r="M354" s="1"/>
      <c r="N354" s="142"/>
      <c r="O354" s="1"/>
      <c r="P354" s="142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79">
        <f t="shared" si="805"/>
        <v>0</v>
      </c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R354" s="1"/>
      <c r="CS354" s="1"/>
      <c r="CT354" s="1"/>
      <c r="CU354" s="1"/>
      <c r="CV354" s="1"/>
      <c r="CW354" s="1"/>
      <c r="CX354" s="1"/>
      <c r="CY354" s="91"/>
      <c r="CZ354" s="1"/>
      <c r="DC354" s="96"/>
      <c r="DE354" s="96"/>
    </row>
    <row r="355">
      <c r="A355" s="1"/>
      <c r="B355" s="1"/>
      <c r="C355" s="76"/>
      <c r="D355" s="76"/>
      <c r="E355" s="76"/>
      <c r="F355" s="76"/>
      <c r="G355" s="79"/>
      <c r="H355" s="80"/>
      <c r="I355" s="79"/>
      <c r="J355" s="80"/>
      <c r="K355" s="79"/>
      <c r="L355" s="142"/>
      <c r="M355" s="1"/>
      <c r="N355" s="142"/>
      <c r="O355" s="1"/>
      <c r="P355" s="142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79">
        <f t="shared" si="805"/>
        <v>0</v>
      </c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R355" s="1"/>
      <c r="CS355" s="1"/>
      <c r="CT355" s="1"/>
      <c r="CU355" s="1"/>
      <c r="CV355" s="1"/>
      <c r="CW355" s="1"/>
      <c r="CX355" s="1"/>
      <c r="CY355" s="91"/>
      <c r="CZ355" s="1"/>
      <c r="DC355" s="96"/>
      <c r="DE355" s="96"/>
    </row>
    <row r="356">
      <c r="A356" s="1"/>
      <c r="B356" s="1"/>
      <c r="C356" s="76"/>
      <c r="D356" s="76"/>
      <c r="E356" s="76"/>
      <c r="F356" s="76"/>
      <c r="G356" s="79"/>
      <c r="H356" s="80"/>
      <c r="I356" s="79"/>
      <c r="J356" s="80"/>
      <c r="K356" s="79"/>
      <c r="L356" s="142"/>
      <c r="M356" s="1"/>
      <c r="N356" s="142"/>
      <c r="O356" s="1"/>
      <c r="P356" s="142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79">
        <f t="shared" si="805"/>
        <v>0</v>
      </c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R356" s="1"/>
      <c r="CS356" s="1"/>
      <c r="CT356" s="1"/>
      <c r="CU356" s="1"/>
      <c r="CV356" s="1"/>
      <c r="CW356" s="1"/>
      <c r="CX356" s="1"/>
      <c r="CY356" s="91"/>
      <c r="CZ356" s="1"/>
      <c r="DC356" s="96"/>
      <c r="DE356" s="96"/>
    </row>
    <row r="357">
      <c r="A357" s="1"/>
      <c r="B357" s="1"/>
      <c r="C357" s="76"/>
      <c r="D357" s="76"/>
      <c r="E357" s="76"/>
      <c r="F357" s="76"/>
      <c r="G357" s="79"/>
      <c r="H357" s="80"/>
      <c r="I357" s="79"/>
      <c r="J357" s="80"/>
      <c r="K357" s="79"/>
      <c r="L357" s="142"/>
      <c r="M357" s="1"/>
      <c r="N357" s="142"/>
      <c r="O357" s="1"/>
      <c r="P357" s="142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79">
        <f t="shared" si="805"/>
        <v>0</v>
      </c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R357" s="1"/>
      <c r="CS357" s="1"/>
      <c r="CT357" s="1"/>
      <c r="CU357" s="1"/>
      <c r="CV357" s="1"/>
      <c r="CW357" s="1"/>
      <c r="CX357" s="1"/>
      <c r="CY357" s="91"/>
      <c r="CZ357" s="1"/>
      <c r="DC357" s="96"/>
      <c r="DE357" s="96"/>
    </row>
    <row r="358">
      <c r="A358" s="1"/>
      <c r="B358" s="1"/>
      <c r="C358" s="76"/>
      <c r="D358" s="76"/>
      <c r="E358" s="76"/>
      <c r="F358" s="76"/>
      <c r="G358" s="79"/>
      <c r="H358" s="80"/>
      <c r="I358" s="79"/>
      <c r="J358" s="80"/>
      <c r="K358" s="79"/>
      <c r="L358" s="142"/>
      <c r="M358" s="1"/>
      <c r="N358" s="142"/>
      <c r="O358" s="1"/>
      <c r="P358" s="142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79">
        <f t="shared" si="805"/>
        <v>0</v>
      </c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R358" s="1"/>
      <c r="CS358" s="1"/>
      <c r="CT358" s="1"/>
      <c r="CU358" s="1"/>
      <c r="CV358" s="1"/>
      <c r="CW358" s="1"/>
      <c r="CX358" s="1"/>
      <c r="CY358" s="91"/>
      <c r="CZ358" s="1"/>
      <c r="DC358" s="96"/>
      <c r="DE358" s="96"/>
    </row>
    <row r="359">
      <c r="A359" s="1"/>
      <c r="B359" s="1"/>
      <c r="C359" s="76"/>
      <c r="D359" s="76"/>
      <c r="E359" s="76"/>
      <c r="F359" s="76"/>
      <c r="G359" s="79"/>
      <c r="H359" s="80"/>
      <c r="I359" s="79"/>
      <c r="J359" s="80"/>
      <c r="K359" s="79"/>
      <c r="L359" s="142"/>
      <c r="M359" s="1"/>
      <c r="N359" s="142"/>
      <c r="O359" s="1"/>
      <c r="P359" s="142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79">
        <f t="shared" si="805"/>
        <v>0</v>
      </c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R359" s="1"/>
      <c r="CS359" s="1"/>
      <c r="CT359" s="1"/>
      <c r="CU359" s="1"/>
      <c r="CV359" s="1"/>
      <c r="CW359" s="1"/>
      <c r="CX359" s="1"/>
      <c r="CY359" s="91"/>
      <c r="CZ359" s="1"/>
      <c r="DC359" s="96"/>
      <c r="DE359" s="96"/>
    </row>
    <row r="360">
      <c r="A360" s="1"/>
      <c r="B360" s="1"/>
      <c r="C360" s="76"/>
      <c r="D360" s="76"/>
      <c r="E360" s="76"/>
      <c r="F360" s="76"/>
      <c r="G360" s="79"/>
      <c r="H360" s="80"/>
      <c r="I360" s="79"/>
      <c r="J360" s="80"/>
      <c r="K360" s="79"/>
      <c r="L360" s="142"/>
      <c r="M360" s="1"/>
      <c r="N360" s="142"/>
      <c r="O360" s="1"/>
      <c r="P360" s="142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79">
        <f t="shared" si="805"/>
        <v>0</v>
      </c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R360" s="1"/>
      <c r="CS360" s="1"/>
      <c r="CT360" s="1"/>
      <c r="CU360" s="1"/>
      <c r="CV360" s="1"/>
      <c r="CW360" s="1"/>
      <c r="CX360" s="1"/>
      <c r="CY360" s="91"/>
      <c r="CZ360" s="1"/>
      <c r="DC360" s="96"/>
      <c r="DE360" s="96"/>
    </row>
    <row r="361">
      <c r="A361" s="1"/>
      <c r="B361" s="1"/>
      <c r="C361" s="76"/>
      <c r="D361" s="76"/>
      <c r="E361" s="76"/>
      <c r="F361" s="76"/>
      <c r="G361" s="79"/>
      <c r="H361" s="80"/>
      <c r="I361" s="79"/>
      <c r="J361" s="80"/>
      <c r="K361" s="79"/>
      <c r="L361" s="142"/>
      <c r="M361" s="1"/>
      <c r="N361" s="142"/>
      <c r="O361" s="1"/>
      <c r="P361" s="142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79">
        <f t="shared" si="805"/>
        <v>0</v>
      </c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R361" s="1"/>
      <c r="CS361" s="1"/>
      <c r="CT361" s="1"/>
      <c r="CU361" s="1"/>
      <c r="CV361" s="1"/>
      <c r="CW361" s="1"/>
      <c r="CX361" s="1"/>
      <c r="CY361" s="91"/>
      <c r="CZ361" s="1"/>
      <c r="DC361" s="96"/>
      <c r="DE361" s="96"/>
    </row>
    <row r="362">
      <c r="A362" s="1"/>
      <c r="B362" s="1"/>
      <c r="C362" s="76"/>
      <c r="D362" s="76"/>
      <c r="E362" s="76"/>
      <c r="F362" s="76"/>
      <c r="G362" s="79"/>
      <c r="H362" s="80"/>
      <c r="I362" s="79"/>
      <c r="J362" s="80"/>
      <c r="K362" s="79"/>
      <c r="L362" s="142"/>
      <c r="M362" s="1"/>
      <c r="N362" s="142"/>
      <c r="O362" s="1"/>
      <c r="P362" s="142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79">
        <f t="shared" si="805"/>
        <v>0</v>
      </c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R362" s="1"/>
      <c r="CS362" s="1"/>
      <c r="CT362" s="1"/>
      <c r="CU362" s="1"/>
      <c r="CV362" s="1"/>
      <c r="CW362" s="1"/>
      <c r="CX362" s="1"/>
      <c r="CY362" s="91"/>
      <c r="CZ362" s="1"/>
      <c r="DC362" s="96"/>
      <c r="DE362" s="96"/>
    </row>
    <row r="363">
      <c r="A363" s="1"/>
      <c r="B363" s="1"/>
      <c r="C363" s="76"/>
      <c r="D363" s="76"/>
      <c r="E363" s="76"/>
      <c r="F363" s="76"/>
      <c r="G363" s="79"/>
      <c r="H363" s="80"/>
      <c r="I363" s="79"/>
      <c r="J363" s="80"/>
      <c r="K363" s="79"/>
      <c r="L363" s="142"/>
      <c r="M363" s="1"/>
      <c r="N363" s="142"/>
      <c r="O363" s="1"/>
      <c r="P363" s="142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79">
        <f t="shared" si="805"/>
        <v>0</v>
      </c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R363" s="1"/>
      <c r="CS363" s="1"/>
      <c r="CT363" s="1"/>
      <c r="CU363" s="1"/>
      <c r="CV363" s="1"/>
      <c r="CW363" s="1"/>
      <c r="CX363" s="1"/>
      <c r="CY363" s="91"/>
      <c r="CZ363" s="1"/>
      <c r="DC363" s="96"/>
      <c r="DE363" s="96"/>
    </row>
    <row r="364">
      <c r="A364" s="1"/>
      <c r="B364" s="1"/>
      <c r="C364" s="76"/>
      <c r="D364" s="76"/>
      <c r="E364" s="76"/>
      <c r="F364" s="76"/>
      <c r="G364" s="79"/>
      <c r="H364" s="80"/>
      <c r="I364" s="79"/>
      <c r="J364" s="80"/>
      <c r="K364" s="79"/>
      <c r="L364" s="142"/>
      <c r="M364" s="1"/>
      <c r="N364" s="142"/>
      <c r="O364" s="1"/>
      <c r="P364" s="142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79">
        <f t="shared" si="805"/>
        <v>0</v>
      </c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R364" s="1"/>
      <c r="CS364" s="1"/>
      <c r="CT364" s="1"/>
      <c r="CU364" s="1"/>
      <c r="CV364" s="1"/>
      <c r="CW364" s="1"/>
      <c r="CX364" s="1"/>
      <c r="CY364" s="91"/>
      <c r="CZ364" s="1"/>
      <c r="DC364" s="96"/>
      <c r="DE364" s="96"/>
    </row>
    <row r="365">
      <c r="A365" s="1"/>
      <c r="B365" s="1"/>
      <c r="C365" s="76"/>
      <c r="D365" s="76"/>
      <c r="E365" s="76"/>
      <c r="F365" s="76"/>
      <c r="G365" s="79"/>
      <c r="H365" s="80"/>
      <c r="I365" s="79"/>
      <c r="J365" s="80"/>
      <c r="K365" s="79"/>
      <c r="L365" s="142"/>
      <c r="M365" s="1"/>
      <c r="N365" s="142"/>
      <c r="O365" s="1"/>
      <c r="P365" s="142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79">
        <f t="shared" si="805"/>
        <v>0</v>
      </c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R365" s="1"/>
      <c r="CS365" s="1"/>
      <c r="CT365" s="1"/>
      <c r="CU365" s="1"/>
      <c r="CV365" s="1"/>
      <c r="CW365" s="1"/>
      <c r="CX365" s="1"/>
      <c r="CY365" s="91"/>
      <c r="CZ365" s="1"/>
      <c r="DC365" s="96"/>
      <c r="DE365" s="96"/>
    </row>
    <row r="366">
      <c r="A366" s="1"/>
      <c r="B366" s="1"/>
      <c r="C366" s="76"/>
      <c r="D366" s="76"/>
      <c r="E366" s="76"/>
      <c r="F366" s="76"/>
      <c r="G366" s="79"/>
      <c r="H366" s="80"/>
      <c r="I366" s="79"/>
      <c r="J366" s="80"/>
      <c r="K366" s="79"/>
      <c r="L366" s="142"/>
      <c r="M366" s="1"/>
      <c r="N366" s="142"/>
      <c r="O366" s="1"/>
      <c r="P366" s="142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79">
        <f t="shared" si="805"/>
        <v>0</v>
      </c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R366" s="1"/>
      <c r="CS366" s="1"/>
      <c r="CT366" s="1"/>
      <c r="CU366" s="1"/>
      <c r="CV366" s="1"/>
      <c r="CW366" s="1"/>
      <c r="CX366" s="1"/>
      <c r="CY366" s="91"/>
      <c r="CZ366" s="1"/>
      <c r="DC366" s="96"/>
      <c r="DE366" s="96"/>
    </row>
    <row r="367">
      <c r="A367" s="1"/>
      <c r="B367" s="1"/>
      <c r="C367" s="76"/>
      <c r="D367" s="76"/>
      <c r="E367" s="76"/>
      <c r="F367" s="76"/>
      <c r="G367" s="79"/>
      <c r="H367" s="80"/>
      <c r="I367" s="79"/>
      <c r="J367" s="80"/>
      <c r="K367" s="79"/>
      <c r="L367" s="142"/>
      <c r="M367" s="1"/>
      <c r="N367" s="142"/>
      <c r="O367" s="1"/>
      <c r="P367" s="142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79">
        <f t="shared" si="805"/>
        <v>0</v>
      </c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R367" s="1"/>
      <c r="CS367" s="1"/>
      <c r="CT367" s="1"/>
      <c r="CU367" s="1"/>
      <c r="CV367" s="1"/>
      <c r="CW367" s="1"/>
      <c r="CX367" s="1"/>
      <c r="CY367" s="91" t="str">
        <f t="shared" ref="CY367:CY2010" si="831">iferror(_xlfn.XLOOKUP(A367,'Bonus2024-2025'!B:B,'Bonus2024-2025'!AK:AK),"")</f>
        <v/>
      </c>
      <c r="CZ367" s="1"/>
      <c r="DC367" s="96"/>
      <c r="DE367" s="96"/>
    </row>
    <row r="368">
      <c r="A368" s="1"/>
      <c r="B368" s="1"/>
      <c r="C368" s="76"/>
      <c r="D368" s="76"/>
      <c r="E368" s="76"/>
      <c r="F368" s="76"/>
      <c r="G368" s="79"/>
      <c r="H368" s="80"/>
      <c r="I368" s="79"/>
      <c r="J368" s="80"/>
      <c r="K368" s="79"/>
      <c r="L368" s="142"/>
      <c r="M368" s="1"/>
      <c r="N368" s="142"/>
      <c r="O368" s="1"/>
      <c r="P368" s="142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79">
        <f t="shared" si="805"/>
        <v>0</v>
      </c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R368" s="1"/>
      <c r="CS368" s="1"/>
      <c r="CT368" s="1"/>
      <c r="CU368" s="1"/>
      <c r="CV368" s="1"/>
      <c r="CW368" s="1"/>
      <c r="CX368" s="1"/>
      <c r="CY368" s="91" t="str">
        <f t="shared" si="831"/>
        <v/>
      </c>
      <c r="CZ368" s="1"/>
      <c r="DC368" s="96"/>
      <c r="DE368" s="96"/>
    </row>
    <row r="369">
      <c r="A369" s="1"/>
      <c r="B369" s="1"/>
      <c r="C369" s="76"/>
      <c r="D369" s="76"/>
      <c r="E369" s="76"/>
      <c r="F369" s="76"/>
      <c r="G369" s="79"/>
      <c r="H369" s="80"/>
      <c r="I369" s="79"/>
      <c r="J369" s="80"/>
      <c r="K369" s="79"/>
      <c r="L369" s="142"/>
      <c r="M369" s="1"/>
      <c r="N369" s="142"/>
      <c r="O369" s="1"/>
      <c r="P369" s="142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79">
        <f t="shared" si="805"/>
        <v>0</v>
      </c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R369" s="1"/>
      <c r="CS369" s="1"/>
      <c r="CT369" s="1"/>
      <c r="CU369" s="1"/>
      <c r="CV369" s="1"/>
      <c r="CW369" s="1"/>
      <c r="CX369" s="1"/>
      <c r="CY369" s="91" t="str">
        <f t="shared" si="831"/>
        <v/>
      </c>
      <c r="CZ369" s="1"/>
      <c r="DC369" s="96"/>
      <c r="DE369" s="96"/>
    </row>
    <row r="370">
      <c r="A370" s="1"/>
      <c r="B370" s="1"/>
      <c r="C370" s="76"/>
      <c r="D370" s="76"/>
      <c r="E370" s="76"/>
      <c r="F370" s="76"/>
      <c r="G370" s="79"/>
      <c r="H370" s="80"/>
      <c r="I370" s="79"/>
      <c r="J370" s="80"/>
      <c r="K370" s="79"/>
      <c r="L370" s="142"/>
      <c r="M370" s="1"/>
      <c r="N370" s="142"/>
      <c r="O370" s="1"/>
      <c r="P370" s="142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79">
        <f t="shared" si="805"/>
        <v>0</v>
      </c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R370" s="1"/>
      <c r="CS370" s="1"/>
      <c r="CT370" s="1"/>
      <c r="CU370" s="1"/>
      <c r="CV370" s="1"/>
      <c r="CW370" s="1"/>
      <c r="CX370" s="1"/>
      <c r="CY370" s="91" t="str">
        <f t="shared" si="831"/>
        <v/>
      </c>
      <c r="CZ370" s="1"/>
      <c r="DC370" s="96"/>
      <c r="DE370" s="96"/>
    </row>
    <row r="371">
      <c r="A371" s="1"/>
      <c r="B371" s="1"/>
      <c r="C371" s="76"/>
      <c r="D371" s="76"/>
      <c r="E371" s="76"/>
      <c r="F371" s="76"/>
      <c r="G371" s="79"/>
      <c r="H371" s="80"/>
      <c r="I371" s="79"/>
      <c r="J371" s="80"/>
      <c r="K371" s="79"/>
      <c r="L371" s="142"/>
      <c r="M371" s="1"/>
      <c r="N371" s="142"/>
      <c r="O371" s="1"/>
      <c r="P371" s="142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79">
        <f t="shared" si="805"/>
        <v>0</v>
      </c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R371" s="1"/>
      <c r="CS371" s="1"/>
      <c r="CT371" s="1"/>
      <c r="CU371" s="1"/>
      <c r="CV371" s="1"/>
      <c r="CW371" s="1"/>
      <c r="CX371" s="1"/>
      <c r="CY371" s="91" t="str">
        <f t="shared" si="831"/>
        <v/>
      </c>
      <c r="CZ371" s="1"/>
      <c r="DC371" s="96"/>
      <c r="DE371" s="96"/>
    </row>
    <row r="372">
      <c r="A372" s="1"/>
      <c r="B372" s="1"/>
      <c r="C372" s="76"/>
      <c r="D372" s="76"/>
      <c r="E372" s="76"/>
      <c r="F372" s="76"/>
      <c r="G372" s="79"/>
      <c r="H372" s="80"/>
      <c r="I372" s="79"/>
      <c r="J372" s="80"/>
      <c r="K372" s="79"/>
      <c r="L372" s="142"/>
      <c r="M372" s="1"/>
      <c r="N372" s="142"/>
      <c r="O372" s="1"/>
      <c r="P372" s="142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79">
        <f t="shared" si="805"/>
        <v>0</v>
      </c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R372" s="1"/>
      <c r="CS372" s="1"/>
      <c r="CT372" s="1"/>
      <c r="CU372" s="1"/>
      <c r="CV372" s="1"/>
      <c r="CW372" s="1"/>
      <c r="CX372" s="1"/>
      <c r="CY372" s="91" t="str">
        <f t="shared" si="831"/>
        <v/>
      </c>
      <c r="CZ372" s="1"/>
      <c r="DC372" s="96"/>
      <c r="DE372" s="96"/>
    </row>
    <row r="373">
      <c r="A373" s="1"/>
      <c r="B373" s="1"/>
      <c r="C373" s="76"/>
      <c r="D373" s="76"/>
      <c r="E373" s="76"/>
      <c r="F373" s="76"/>
      <c r="G373" s="79"/>
      <c r="H373" s="80"/>
      <c r="I373" s="79"/>
      <c r="J373" s="80"/>
      <c r="K373" s="79"/>
      <c r="L373" s="142"/>
      <c r="M373" s="1"/>
      <c r="N373" s="142"/>
      <c r="O373" s="1"/>
      <c r="P373" s="142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79">
        <f t="shared" si="805"/>
        <v>0</v>
      </c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R373" s="1"/>
      <c r="CS373" s="1"/>
      <c r="CT373" s="1"/>
      <c r="CU373" s="1"/>
      <c r="CV373" s="1"/>
      <c r="CW373" s="1"/>
      <c r="CX373" s="1"/>
      <c r="CY373" s="91" t="str">
        <f t="shared" si="831"/>
        <v/>
      </c>
      <c r="CZ373" s="1"/>
      <c r="DC373" s="96"/>
      <c r="DE373" s="96"/>
    </row>
    <row r="374">
      <c r="A374" s="1"/>
      <c r="B374" s="1"/>
      <c r="C374" s="76"/>
      <c r="D374" s="76"/>
      <c r="E374" s="76"/>
      <c r="F374" s="76"/>
      <c r="G374" s="79"/>
      <c r="H374" s="80"/>
      <c r="I374" s="79"/>
      <c r="J374" s="80"/>
      <c r="K374" s="79"/>
      <c r="L374" s="142"/>
      <c r="M374" s="1"/>
      <c r="N374" s="142"/>
      <c r="O374" s="1"/>
      <c r="P374" s="142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79">
        <f t="shared" si="805"/>
        <v>0</v>
      </c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R374" s="1"/>
      <c r="CS374" s="1"/>
      <c r="CT374" s="1"/>
      <c r="CU374" s="1"/>
      <c r="CV374" s="1"/>
      <c r="CW374" s="1"/>
      <c r="CX374" s="1"/>
      <c r="CY374" s="91" t="str">
        <f t="shared" si="831"/>
        <v/>
      </c>
      <c r="CZ374" s="1"/>
      <c r="DC374" s="96"/>
      <c r="DE374" s="96"/>
    </row>
    <row r="375">
      <c r="A375" s="1"/>
      <c r="B375" s="1"/>
      <c r="C375" s="76"/>
      <c r="D375" s="76"/>
      <c r="E375" s="76"/>
      <c r="F375" s="76"/>
      <c r="G375" s="79"/>
      <c r="H375" s="80"/>
      <c r="I375" s="79"/>
      <c r="J375" s="80"/>
      <c r="K375" s="79"/>
      <c r="L375" s="142"/>
      <c r="M375" s="1"/>
      <c r="N375" s="142"/>
      <c r="O375" s="1"/>
      <c r="P375" s="142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79">
        <f t="shared" si="805"/>
        <v>0</v>
      </c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R375" s="1"/>
      <c r="CS375" s="1"/>
      <c r="CT375" s="1"/>
      <c r="CU375" s="1"/>
      <c r="CV375" s="1"/>
      <c r="CW375" s="1"/>
      <c r="CX375" s="1"/>
      <c r="CY375" s="91" t="str">
        <f t="shared" si="831"/>
        <v/>
      </c>
      <c r="CZ375" s="1"/>
      <c r="DC375" s="96"/>
      <c r="DE375" s="96"/>
    </row>
    <row r="376">
      <c r="A376" s="1"/>
      <c r="B376" s="1"/>
      <c r="C376" s="76"/>
      <c r="D376" s="76"/>
      <c r="E376" s="76"/>
      <c r="F376" s="76"/>
      <c r="G376" s="79"/>
      <c r="H376" s="80"/>
      <c r="I376" s="79"/>
      <c r="J376" s="80"/>
      <c r="K376" s="79"/>
      <c r="L376" s="142"/>
      <c r="M376" s="1"/>
      <c r="N376" s="142"/>
      <c r="O376" s="1"/>
      <c r="P376" s="142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79">
        <f t="shared" si="805"/>
        <v>0</v>
      </c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R376" s="1"/>
      <c r="CS376" s="1"/>
      <c r="CT376" s="1"/>
      <c r="CU376" s="1"/>
      <c r="CV376" s="1"/>
      <c r="CW376" s="1"/>
      <c r="CX376" s="1"/>
      <c r="CY376" s="91" t="str">
        <f t="shared" si="831"/>
        <v/>
      </c>
      <c r="CZ376" s="1"/>
      <c r="DC376" s="96"/>
      <c r="DE376" s="96"/>
    </row>
    <row r="377">
      <c r="A377" s="1"/>
      <c r="B377" s="1"/>
      <c r="C377" s="76"/>
      <c r="D377" s="76"/>
      <c r="E377" s="76"/>
      <c r="F377" s="76"/>
      <c r="G377" s="79"/>
      <c r="H377" s="80"/>
      <c r="I377" s="79"/>
      <c r="J377" s="80"/>
      <c r="K377" s="79"/>
      <c r="L377" s="142"/>
      <c r="M377" s="1"/>
      <c r="N377" s="142"/>
      <c r="O377" s="1"/>
      <c r="P377" s="142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79">
        <f t="shared" si="805"/>
        <v>0</v>
      </c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R377" s="1"/>
      <c r="CS377" s="1"/>
      <c r="CT377" s="1"/>
      <c r="CU377" s="1"/>
      <c r="CV377" s="1"/>
      <c r="CW377" s="1"/>
      <c r="CX377" s="1"/>
      <c r="CY377" s="91" t="str">
        <f t="shared" si="831"/>
        <v/>
      </c>
      <c r="CZ377" s="1"/>
      <c r="DC377" s="96"/>
      <c r="DE377" s="96"/>
    </row>
    <row r="378">
      <c r="A378" s="1"/>
      <c r="B378" s="1"/>
      <c r="C378" s="76"/>
      <c r="D378" s="76"/>
      <c r="E378" s="76"/>
      <c r="F378" s="76"/>
      <c r="G378" s="79"/>
      <c r="H378" s="80"/>
      <c r="I378" s="79"/>
      <c r="J378" s="80"/>
      <c r="K378" s="79"/>
      <c r="L378" s="142"/>
      <c r="M378" s="1"/>
      <c r="N378" s="142"/>
      <c r="O378" s="1"/>
      <c r="P378" s="142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79">
        <f t="shared" si="805"/>
        <v>0</v>
      </c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R378" s="1"/>
      <c r="CS378" s="1"/>
      <c r="CT378" s="1"/>
      <c r="CU378" s="1"/>
      <c r="CV378" s="1"/>
      <c r="CW378" s="1"/>
      <c r="CX378" s="1"/>
      <c r="CY378" s="91" t="str">
        <f t="shared" si="831"/>
        <v/>
      </c>
      <c r="CZ378" s="1"/>
      <c r="DC378" s="96"/>
      <c r="DE378" s="96"/>
    </row>
    <row r="379">
      <c r="A379" s="1"/>
      <c r="B379" s="1"/>
      <c r="C379" s="76"/>
      <c r="D379" s="76"/>
      <c r="E379" s="76"/>
      <c r="F379" s="76"/>
      <c r="G379" s="79"/>
      <c r="H379" s="80"/>
      <c r="I379" s="79"/>
      <c r="J379" s="80"/>
      <c r="K379" s="79"/>
      <c r="L379" s="142"/>
      <c r="M379" s="1"/>
      <c r="N379" s="142"/>
      <c r="O379" s="1"/>
      <c r="P379" s="142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79">
        <f t="shared" si="805"/>
        <v>0</v>
      </c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R379" s="1"/>
      <c r="CS379" s="1"/>
      <c r="CT379" s="1"/>
      <c r="CU379" s="1"/>
      <c r="CV379" s="1"/>
      <c r="CW379" s="1"/>
      <c r="CX379" s="1"/>
      <c r="CY379" s="91" t="str">
        <f t="shared" si="831"/>
        <v/>
      </c>
      <c r="CZ379" s="1"/>
      <c r="DC379" s="96"/>
      <c r="DE379" s="96"/>
    </row>
    <row r="380">
      <c r="A380" s="1"/>
      <c r="B380" s="1"/>
      <c r="C380" s="76"/>
      <c r="D380" s="76"/>
      <c r="E380" s="76"/>
      <c r="F380" s="76"/>
      <c r="G380" s="79"/>
      <c r="H380" s="80"/>
      <c r="I380" s="79"/>
      <c r="J380" s="80"/>
      <c r="K380" s="79"/>
      <c r="L380" s="142"/>
      <c r="M380" s="1"/>
      <c r="N380" s="142"/>
      <c r="O380" s="1"/>
      <c r="P380" s="142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79">
        <f t="shared" si="805"/>
        <v>0</v>
      </c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R380" s="1"/>
      <c r="CS380" s="1"/>
      <c r="CT380" s="1"/>
      <c r="CU380" s="1"/>
      <c r="CV380" s="1"/>
      <c r="CW380" s="1"/>
      <c r="CX380" s="1"/>
      <c r="CY380" s="91" t="str">
        <f t="shared" si="831"/>
        <v/>
      </c>
      <c r="CZ380" s="1"/>
      <c r="DC380" s="96"/>
      <c r="DE380" s="96"/>
    </row>
    <row r="381">
      <c r="A381" s="1"/>
      <c r="B381" s="1"/>
      <c r="C381" s="76"/>
      <c r="D381" s="76"/>
      <c r="E381" s="76"/>
      <c r="F381" s="76"/>
      <c r="G381" s="79"/>
      <c r="H381" s="80"/>
      <c r="I381" s="79"/>
      <c r="J381" s="80"/>
      <c r="K381" s="79"/>
      <c r="L381" s="142"/>
      <c r="M381" s="1"/>
      <c r="N381" s="142"/>
      <c r="O381" s="1"/>
      <c r="P381" s="142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79">
        <f t="shared" si="805"/>
        <v>0</v>
      </c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R381" s="1"/>
      <c r="CS381" s="1"/>
      <c r="CT381" s="1"/>
      <c r="CU381" s="1"/>
      <c r="CV381" s="1"/>
      <c r="CW381" s="1"/>
      <c r="CX381" s="1"/>
      <c r="CY381" s="91" t="str">
        <f t="shared" si="831"/>
        <v/>
      </c>
      <c r="CZ381" s="1"/>
      <c r="DC381" s="96"/>
      <c r="DE381" s="96"/>
    </row>
    <row r="382">
      <c r="A382" s="1"/>
      <c r="B382" s="1"/>
      <c r="C382" s="76"/>
      <c r="D382" s="76"/>
      <c r="E382" s="76"/>
      <c r="F382" s="76"/>
      <c r="G382" s="79"/>
      <c r="H382" s="80"/>
      <c r="I382" s="79"/>
      <c r="J382" s="80"/>
      <c r="K382" s="79"/>
      <c r="L382" s="142"/>
      <c r="M382" s="1"/>
      <c r="N382" s="142"/>
      <c r="O382" s="1"/>
      <c r="P382" s="142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79">
        <f t="shared" si="805"/>
        <v>0</v>
      </c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R382" s="1"/>
      <c r="CS382" s="1"/>
      <c r="CT382" s="1"/>
      <c r="CU382" s="1"/>
      <c r="CV382" s="1"/>
      <c r="CW382" s="1"/>
      <c r="CX382" s="1"/>
      <c r="CY382" s="91" t="str">
        <f t="shared" si="831"/>
        <v/>
      </c>
      <c r="CZ382" s="1"/>
      <c r="DC382" s="96"/>
      <c r="DE382" s="96"/>
    </row>
    <row r="383">
      <c r="A383" s="1"/>
      <c r="B383" s="1"/>
      <c r="C383" s="76"/>
      <c r="D383" s="76"/>
      <c r="E383" s="76"/>
      <c r="F383" s="76"/>
      <c r="G383" s="79"/>
      <c r="H383" s="80"/>
      <c r="I383" s="79"/>
      <c r="J383" s="80"/>
      <c r="K383" s="79"/>
      <c r="L383" s="142"/>
      <c r="M383" s="1"/>
      <c r="N383" s="142"/>
      <c r="O383" s="1"/>
      <c r="P383" s="142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79">
        <f t="shared" si="805"/>
        <v>0</v>
      </c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R383" s="1"/>
      <c r="CS383" s="1"/>
      <c r="CT383" s="1"/>
      <c r="CU383" s="1"/>
      <c r="CV383" s="1"/>
      <c r="CW383" s="1"/>
      <c r="CX383" s="1"/>
      <c r="CY383" s="91" t="str">
        <f t="shared" si="831"/>
        <v/>
      </c>
      <c r="CZ383" s="1"/>
      <c r="DC383" s="96"/>
      <c r="DE383" s="96"/>
    </row>
    <row r="384">
      <c r="A384" s="1"/>
      <c r="B384" s="1"/>
      <c r="C384" s="76"/>
      <c r="D384" s="76"/>
      <c r="E384" s="76"/>
      <c r="F384" s="76"/>
      <c r="G384" s="79"/>
      <c r="H384" s="80"/>
      <c r="I384" s="79"/>
      <c r="J384" s="80"/>
      <c r="K384" s="79"/>
      <c r="L384" s="142"/>
      <c r="M384" s="1"/>
      <c r="N384" s="142"/>
      <c r="O384" s="1"/>
      <c r="P384" s="142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79">
        <f t="shared" si="805"/>
        <v>0</v>
      </c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R384" s="1"/>
      <c r="CS384" s="1"/>
      <c r="CT384" s="1"/>
      <c r="CU384" s="1"/>
      <c r="CV384" s="1"/>
      <c r="CW384" s="1"/>
      <c r="CX384" s="1"/>
      <c r="CY384" s="91" t="str">
        <f t="shared" si="831"/>
        <v/>
      </c>
      <c r="CZ384" s="1"/>
      <c r="DC384" s="96"/>
      <c r="DE384" s="96"/>
    </row>
    <row r="385">
      <c r="A385" s="1"/>
      <c r="B385" s="1"/>
      <c r="C385" s="76"/>
      <c r="D385" s="76"/>
      <c r="E385" s="76"/>
      <c r="F385" s="76"/>
      <c r="G385" s="79"/>
      <c r="H385" s="80"/>
      <c r="I385" s="79"/>
      <c r="J385" s="80"/>
      <c r="K385" s="79"/>
      <c r="L385" s="142"/>
      <c r="M385" s="1"/>
      <c r="N385" s="142"/>
      <c r="O385" s="1"/>
      <c r="P385" s="142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79">
        <f t="shared" si="805"/>
        <v>0</v>
      </c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R385" s="1"/>
      <c r="CS385" s="1"/>
      <c r="CT385" s="1"/>
      <c r="CU385" s="1"/>
      <c r="CV385" s="1"/>
      <c r="CW385" s="1"/>
      <c r="CX385" s="1"/>
      <c r="CY385" s="91" t="str">
        <f t="shared" si="831"/>
        <v/>
      </c>
      <c r="CZ385" s="1"/>
      <c r="DC385" s="96"/>
      <c r="DE385" s="96"/>
    </row>
    <row r="386">
      <c r="A386" s="1"/>
      <c r="B386" s="1"/>
      <c r="C386" s="76"/>
      <c r="D386" s="76"/>
      <c r="E386" s="76"/>
      <c r="F386" s="76"/>
      <c r="G386" s="79"/>
      <c r="H386" s="80"/>
      <c r="I386" s="79"/>
      <c r="J386" s="80"/>
      <c r="K386" s="79"/>
      <c r="L386" s="142"/>
      <c r="M386" s="1"/>
      <c r="N386" s="142"/>
      <c r="O386" s="1"/>
      <c r="P386" s="142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79">
        <f t="shared" si="805"/>
        <v>0</v>
      </c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R386" s="1"/>
      <c r="CS386" s="1"/>
      <c r="CT386" s="1"/>
      <c r="CU386" s="1"/>
      <c r="CV386" s="1"/>
      <c r="CW386" s="1"/>
      <c r="CX386" s="1"/>
      <c r="CY386" s="91" t="str">
        <f t="shared" si="831"/>
        <v/>
      </c>
      <c r="CZ386" s="1"/>
      <c r="DC386" s="96"/>
      <c r="DE386" s="96"/>
    </row>
    <row r="387">
      <c r="A387" s="1"/>
      <c r="B387" s="1"/>
      <c r="C387" s="76"/>
      <c r="D387" s="76"/>
      <c r="E387" s="76"/>
      <c r="F387" s="76"/>
      <c r="G387" s="79"/>
      <c r="H387" s="80"/>
      <c r="I387" s="79"/>
      <c r="J387" s="80"/>
      <c r="K387" s="79"/>
      <c r="L387" s="142"/>
      <c r="M387" s="1"/>
      <c r="N387" s="142"/>
      <c r="O387" s="1"/>
      <c r="P387" s="142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79">
        <f t="shared" si="805"/>
        <v>0</v>
      </c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R387" s="1"/>
      <c r="CS387" s="1"/>
      <c r="CT387" s="1"/>
      <c r="CU387" s="1"/>
      <c r="CV387" s="1"/>
      <c r="CW387" s="1"/>
      <c r="CX387" s="1"/>
      <c r="CY387" s="91" t="str">
        <f t="shared" si="831"/>
        <v/>
      </c>
      <c r="CZ387" s="1"/>
      <c r="DC387" s="96"/>
      <c r="DE387" s="96"/>
    </row>
    <row r="388">
      <c r="A388" s="1"/>
      <c r="B388" s="1"/>
      <c r="C388" s="76"/>
      <c r="D388" s="76"/>
      <c r="E388" s="76"/>
      <c r="F388" s="76"/>
      <c r="G388" s="79"/>
      <c r="H388" s="80"/>
      <c r="I388" s="79"/>
      <c r="J388" s="80"/>
      <c r="K388" s="79"/>
      <c r="L388" s="142"/>
      <c r="M388" s="1"/>
      <c r="N388" s="142"/>
      <c r="O388" s="1"/>
      <c r="P388" s="142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79">
        <f t="shared" si="805"/>
        <v>0</v>
      </c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R388" s="1"/>
      <c r="CS388" s="1"/>
      <c r="CT388" s="1"/>
      <c r="CU388" s="1"/>
      <c r="CV388" s="1"/>
      <c r="CW388" s="1"/>
      <c r="CX388" s="1"/>
      <c r="CY388" s="91" t="str">
        <f t="shared" si="831"/>
        <v/>
      </c>
      <c r="CZ388" s="1"/>
      <c r="DC388" s="96"/>
      <c r="DE388" s="96"/>
    </row>
    <row r="389">
      <c r="A389" s="1"/>
      <c r="B389" s="1"/>
      <c r="C389" s="76"/>
      <c r="D389" s="76"/>
      <c r="E389" s="76"/>
      <c r="F389" s="76"/>
      <c r="G389" s="79"/>
      <c r="H389" s="80"/>
      <c r="I389" s="79"/>
      <c r="J389" s="80"/>
      <c r="K389" s="79"/>
      <c r="L389" s="142"/>
      <c r="M389" s="1"/>
      <c r="N389" s="142"/>
      <c r="O389" s="1"/>
      <c r="P389" s="142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79">
        <f t="shared" si="805"/>
        <v>0</v>
      </c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R389" s="1"/>
      <c r="CS389" s="1"/>
      <c r="CT389" s="1"/>
      <c r="CU389" s="1"/>
      <c r="CV389" s="1"/>
      <c r="CW389" s="1"/>
      <c r="CX389" s="1"/>
      <c r="CY389" s="91" t="str">
        <f t="shared" si="831"/>
        <v/>
      </c>
      <c r="CZ389" s="1"/>
      <c r="DC389" s="96"/>
      <c r="DE389" s="96"/>
    </row>
    <row r="390">
      <c r="A390" s="1"/>
      <c r="B390" s="1"/>
      <c r="C390" s="76"/>
      <c r="D390" s="76"/>
      <c r="E390" s="76"/>
      <c r="F390" s="76"/>
      <c r="G390" s="79"/>
      <c r="H390" s="80"/>
      <c r="I390" s="79"/>
      <c r="J390" s="80"/>
      <c r="K390" s="79"/>
      <c r="L390" s="142"/>
      <c r="M390" s="1"/>
      <c r="N390" s="142"/>
      <c r="O390" s="1"/>
      <c r="P390" s="142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79">
        <f t="shared" si="805"/>
        <v>0</v>
      </c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R390" s="1"/>
      <c r="CS390" s="1"/>
      <c r="CT390" s="1"/>
      <c r="CU390" s="1"/>
      <c r="CV390" s="1"/>
      <c r="CW390" s="1"/>
      <c r="CX390" s="1"/>
      <c r="CY390" s="91" t="str">
        <f t="shared" si="831"/>
        <v/>
      </c>
      <c r="CZ390" s="1"/>
      <c r="DC390" s="96"/>
      <c r="DE390" s="96"/>
    </row>
    <row r="391">
      <c r="A391" s="1"/>
      <c r="B391" s="1"/>
      <c r="C391" s="76"/>
      <c r="D391" s="76"/>
      <c r="E391" s="76"/>
      <c r="F391" s="76"/>
      <c r="G391" s="79"/>
      <c r="H391" s="80"/>
      <c r="I391" s="79"/>
      <c r="J391" s="80"/>
      <c r="K391" s="79"/>
      <c r="L391" s="142"/>
      <c r="M391" s="1"/>
      <c r="N391" s="142"/>
      <c r="O391" s="1"/>
      <c r="P391" s="142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79">
        <f t="shared" si="805"/>
        <v>0</v>
      </c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R391" s="1"/>
      <c r="CS391" s="1"/>
      <c r="CT391" s="1"/>
      <c r="CU391" s="1"/>
      <c r="CV391" s="1"/>
      <c r="CW391" s="1"/>
      <c r="CX391" s="1"/>
      <c r="CY391" s="91" t="str">
        <f t="shared" si="831"/>
        <v/>
      </c>
      <c r="CZ391" s="1"/>
      <c r="DC391" s="96"/>
      <c r="DE391" s="96"/>
    </row>
    <row r="392">
      <c r="A392" s="1"/>
      <c r="B392" s="1"/>
      <c r="C392" s="76"/>
      <c r="D392" s="76"/>
      <c r="E392" s="76"/>
      <c r="F392" s="76"/>
      <c r="G392" s="79"/>
      <c r="H392" s="80"/>
      <c r="I392" s="79"/>
      <c r="J392" s="80"/>
      <c r="K392" s="79"/>
      <c r="L392" s="142"/>
      <c r="M392" s="1"/>
      <c r="N392" s="142"/>
      <c r="O392" s="1"/>
      <c r="P392" s="142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79">
        <f t="shared" si="805"/>
        <v>0</v>
      </c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R392" s="1"/>
      <c r="CS392" s="1"/>
      <c r="CT392" s="1"/>
      <c r="CU392" s="1"/>
      <c r="CV392" s="1"/>
      <c r="CW392" s="1"/>
      <c r="CX392" s="1"/>
      <c r="CY392" s="91" t="str">
        <f t="shared" si="831"/>
        <v/>
      </c>
      <c r="CZ392" s="1"/>
      <c r="DC392" s="96"/>
      <c r="DE392" s="96"/>
    </row>
    <row r="393">
      <c r="A393" s="1"/>
      <c r="B393" s="1"/>
      <c r="C393" s="76"/>
      <c r="D393" s="76"/>
      <c r="E393" s="76"/>
      <c r="F393" s="76"/>
      <c r="G393" s="79"/>
      <c r="H393" s="80"/>
      <c r="I393" s="79"/>
      <c r="J393" s="80"/>
      <c r="K393" s="79"/>
      <c r="L393" s="142"/>
      <c r="M393" s="1"/>
      <c r="N393" s="142"/>
      <c r="O393" s="1"/>
      <c r="P393" s="142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79">
        <f t="shared" si="805"/>
        <v>0</v>
      </c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R393" s="1"/>
      <c r="CS393" s="1"/>
      <c r="CT393" s="1"/>
      <c r="CU393" s="1"/>
      <c r="CV393" s="1"/>
      <c r="CW393" s="1"/>
      <c r="CX393" s="1"/>
      <c r="CY393" s="91" t="str">
        <f t="shared" si="831"/>
        <v/>
      </c>
      <c r="CZ393" s="1"/>
      <c r="DC393" s="96"/>
      <c r="DE393" s="96"/>
    </row>
    <row r="394">
      <c r="A394" s="1"/>
      <c r="B394" s="1"/>
      <c r="C394" s="76"/>
      <c r="D394" s="76"/>
      <c r="E394" s="76"/>
      <c r="F394" s="76"/>
      <c r="G394" s="79"/>
      <c r="H394" s="80"/>
      <c r="I394" s="79"/>
      <c r="J394" s="80"/>
      <c r="K394" s="79"/>
      <c r="L394" s="142"/>
      <c r="M394" s="1"/>
      <c r="N394" s="142"/>
      <c r="O394" s="1"/>
      <c r="P394" s="142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79">
        <f t="shared" si="805"/>
        <v>0</v>
      </c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R394" s="1"/>
      <c r="CS394" s="1"/>
      <c r="CT394" s="1"/>
      <c r="CU394" s="1"/>
      <c r="CV394" s="1"/>
      <c r="CW394" s="1"/>
      <c r="CX394" s="1"/>
      <c r="CY394" s="91" t="str">
        <f t="shared" si="831"/>
        <v/>
      </c>
      <c r="CZ394" s="1"/>
      <c r="DC394" s="96"/>
      <c r="DE394" s="96"/>
    </row>
    <row r="395">
      <c r="A395" s="1"/>
      <c r="B395" s="1"/>
      <c r="C395" s="76"/>
      <c r="D395" s="76"/>
      <c r="E395" s="76"/>
      <c r="F395" s="76"/>
      <c r="G395" s="79"/>
      <c r="H395" s="80"/>
      <c r="I395" s="79"/>
      <c r="J395" s="80"/>
      <c r="K395" s="79"/>
      <c r="L395" s="142"/>
      <c r="M395" s="1"/>
      <c r="N395" s="142"/>
      <c r="O395" s="1"/>
      <c r="P395" s="142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79">
        <f t="shared" si="805"/>
        <v>0</v>
      </c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R395" s="1"/>
      <c r="CS395" s="1"/>
      <c r="CT395" s="1"/>
      <c r="CU395" s="1"/>
      <c r="CV395" s="1"/>
      <c r="CW395" s="1"/>
      <c r="CX395" s="1"/>
      <c r="CY395" s="91" t="str">
        <f t="shared" si="831"/>
        <v/>
      </c>
      <c r="CZ395" s="1"/>
      <c r="DC395" s="96"/>
      <c r="DE395" s="96"/>
    </row>
    <row r="396">
      <c r="A396" s="1"/>
      <c r="B396" s="1"/>
      <c r="C396" s="76"/>
      <c r="D396" s="76"/>
      <c r="E396" s="76"/>
      <c r="F396" s="76"/>
      <c r="G396" s="79"/>
      <c r="H396" s="80"/>
      <c r="I396" s="79"/>
      <c r="J396" s="80"/>
      <c r="K396" s="79"/>
      <c r="L396" s="142"/>
      <c r="M396" s="1"/>
      <c r="N396" s="142"/>
      <c r="O396" s="1"/>
      <c r="P396" s="142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79">
        <f t="shared" si="805"/>
        <v>0</v>
      </c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R396" s="1"/>
      <c r="CS396" s="1"/>
      <c r="CT396" s="1"/>
      <c r="CU396" s="1"/>
      <c r="CV396" s="1"/>
      <c r="CW396" s="1"/>
      <c r="CX396" s="1"/>
      <c r="CY396" s="91" t="str">
        <f t="shared" si="831"/>
        <v/>
      </c>
      <c r="CZ396" s="1"/>
      <c r="DC396" s="96"/>
      <c r="DE396" s="96"/>
    </row>
    <row r="397">
      <c r="A397" s="1"/>
      <c r="B397" s="1"/>
      <c r="C397" s="76"/>
      <c r="D397" s="76"/>
      <c r="E397" s="76"/>
      <c r="F397" s="76"/>
      <c r="G397" s="79"/>
      <c r="H397" s="80"/>
      <c r="I397" s="79"/>
      <c r="J397" s="80"/>
      <c r="K397" s="79"/>
      <c r="L397" s="142"/>
      <c r="M397" s="1"/>
      <c r="N397" s="142"/>
      <c r="O397" s="1"/>
      <c r="P397" s="142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79">
        <f t="shared" si="805"/>
        <v>0</v>
      </c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R397" s="1"/>
      <c r="CS397" s="1"/>
      <c r="CT397" s="1"/>
      <c r="CU397" s="1"/>
      <c r="CV397" s="1"/>
      <c r="CW397" s="1"/>
      <c r="CX397" s="1"/>
      <c r="CY397" s="91" t="str">
        <f t="shared" si="831"/>
        <v/>
      </c>
      <c r="CZ397" s="1"/>
      <c r="DC397" s="96"/>
      <c r="DE397" s="96"/>
    </row>
    <row r="398">
      <c r="A398" s="1"/>
      <c r="B398" s="1"/>
      <c r="C398" s="76"/>
      <c r="D398" s="76"/>
      <c r="E398" s="76"/>
      <c r="F398" s="76"/>
      <c r="G398" s="79"/>
      <c r="H398" s="80"/>
      <c r="I398" s="79"/>
      <c r="J398" s="80"/>
      <c r="K398" s="79"/>
      <c r="L398" s="142"/>
      <c r="M398" s="1"/>
      <c r="N398" s="142"/>
      <c r="O398" s="1"/>
      <c r="P398" s="142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79">
        <f t="shared" si="805"/>
        <v>0</v>
      </c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R398" s="1"/>
      <c r="CS398" s="1"/>
      <c r="CT398" s="1"/>
      <c r="CU398" s="1"/>
      <c r="CV398" s="1"/>
      <c r="CW398" s="1"/>
      <c r="CX398" s="1"/>
      <c r="CY398" s="91" t="str">
        <f t="shared" si="831"/>
        <v/>
      </c>
      <c r="CZ398" s="1"/>
      <c r="DC398" s="96"/>
      <c r="DE398" s="96"/>
    </row>
    <row r="399">
      <c r="A399" s="1"/>
      <c r="B399" s="1"/>
      <c r="C399" s="76"/>
      <c r="D399" s="76"/>
      <c r="E399" s="76"/>
      <c r="F399" s="76"/>
      <c r="G399" s="79"/>
      <c r="H399" s="80"/>
      <c r="I399" s="79"/>
      <c r="J399" s="80"/>
      <c r="K399" s="79"/>
      <c r="L399" s="142"/>
      <c r="M399" s="1"/>
      <c r="N399" s="142"/>
      <c r="O399" s="1"/>
      <c r="P399" s="142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79">
        <f t="shared" si="805"/>
        <v>0</v>
      </c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R399" s="1"/>
      <c r="CS399" s="1"/>
      <c r="CT399" s="1"/>
      <c r="CU399" s="1"/>
      <c r="CV399" s="1"/>
      <c r="CW399" s="1"/>
      <c r="CX399" s="1"/>
      <c r="CY399" s="91" t="str">
        <f t="shared" si="831"/>
        <v/>
      </c>
      <c r="CZ399" s="1"/>
      <c r="DC399" s="96"/>
      <c r="DE399" s="96"/>
    </row>
    <row r="400">
      <c r="A400" s="1"/>
      <c r="B400" s="1"/>
      <c r="C400" s="76"/>
      <c r="D400" s="76"/>
      <c r="E400" s="76"/>
      <c r="F400" s="76"/>
      <c r="G400" s="79"/>
      <c r="H400" s="80"/>
      <c r="I400" s="79"/>
      <c r="J400" s="80"/>
      <c r="K400" s="79"/>
      <c r="L400" s="142"/>
      <c r="M400" s="1"/>
      <c r="N400" s="142"/>
      <c r="O400" s="1"/>
      <c r="P400" s="142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79">
        <f t="shared" si="805"/>
        <v>0</v>
      </c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R400" s="1"/>
      <c r="CS400" s="1"/>
      <c r="CT400" s="1"/>
      <c r="CU400" s="1"/>
      <c r="CV400" s="1"/>
      <c r="CW400" s="1"/>
      <c r="CX400" s="1"/>
      <c r="CY400" s="91" t="str">
        <f t="shared" si="831"/>
        <v/>
      </c>
      <c r="CZ400" s="1"/>
      <c r="DC400" s="96"/>
      <c r="DE400" s="96"/>
    </row>
    <row r="401">
      <c r="A401" s="1"/>
      <c r="B401" s="1"/>
      <c r="C401" s="76"/>
      <c r="D401" s="76"/>
      <c r="E401" s="76"/>
      <c r="F401" s="76"/>
      <c r="G401" s="79"/>
      <c r="H401" s="80"/>
      <c r="I401" s="79"/>
      <c r="J401" s="80"/>
      <c r="K401" s="79"/>
      <c r="L401" s="142"/>
      <c r="M401" s="1"/>
      <c r="N401" s="142"/>
      <c r="O401" s="1"/>
      <c r="P401" s="142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79">
        <f t="shared" si="805"/>
        <v>0</v>
      </c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R401" s="1"/>
      <c r="CS401" s="1"/>
      <c r="CT401" s="1"/>
      <c r="CU401" s="1"/>
      <c r="CV401" s="1"/>
      <c r="CW401" s="1"/>
      <c r="CX401" s="1"/>
      <c r="CY401" s="91" t="str">
        <f t="shared" si="831"/>
        <v/>
      </c>
      <c r="CZ401" s="1"/>
      <c r="DC401" s="96"/>
      <c r="DE401" s="96"/>
    </row>
    <row r="402">
      <c r="A402" s="1"/>
      <c r="B402" s="1"/>
      <c r="C402" s="76"/>
      <c r="D402" s="76"/>
      <c r="E402" s="76"/>
      <c r="F402" s="76"/>
      <c r="G402" s="79"/>
      <c r="H402" s="80"/>
      <c r="I402" s="79"/>
      <c r="J402" s="80"/>
      <c r="K402" s="79"/>
      <c r="L402" s="142"/>
      <c r="M402" s="1"/>
      <c r="N402" s="142"/>
      <c r="O402" s="1"/>
      <c r="P402" s="142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79">
        <f t="shared" si="805"/>
        <v>0</v>
      </c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R402" s="1"/>
      <c r="CS402" s="1"/>
      <c r="CT402" s="1"/>
      <c r="CU402" s="1"/>
      <c r="CV402" s="1"/>
      <c r="CW402" s="1"/>
      <c r="CX402" s="1"/>
      <c r="CY402" s="91" t="str">
        <f t="shared" si="831"/>
        <v/>
      </c>
      <c r="CZ402" s="1"/>
      <c r="DC402" s="96"/>
      <c r="DE402" s="96"/>
    </row>
    <row r="403">
      <c r="A403" s="1"/>
      <c r="B403" s="1"/>
      <c r="C403" s="76"/>
      <c r="D403" s="76"/>
      <c r="E403" s="76"/>
      <c r="F403" s="76"/>
      <c r="G403" s="79"/>
      <c r="H403" s="80"/>
      <c r="I403" s="79"/>
      <c r="J403" s="80"/>
      <c r="K403" s="79"/>
      <c r="L403" s="142"/>
      <c r="M403" s="1"/>
      <c r="N403" s="142"/>
      <c r="O403" s="1"/>
      <c r="P403" s="142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79">
        <f t="shared" si="805"/>
        <v>0</v>
      </c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R403" s="1"/>
      <c r="CS403" s="1"/>
      <c r="CT403" s="1"/>
      <c r="CU403" s="1"/>
      <c r="CV403" s="1"/>
      <c r="CW403" s="1"/>
      <c r="CX403" s="1"/>
      <c r="CY403" s="91" t="str">
        <f t="shared" si="831"/>
        <v/>
      </c>
      <c r="CZ403" s="1"/>
      <c r="DC403" s="96"/>
      <c r="DE403" s="96"/>
    </row>
    <row r="404">
      <c r="A404" s="1"/>
      <c r="B404" s="1"/>
      <c r="C404" s="76"/>
      <c r="D404" s="76"/>
      <c r="E404" s="76"/>
      <c r="F404" s="76"/>
      <c r="G404" s="79"/>
      <c r="H404" s="80"/>
      <c r="I404" s="79"/>
      <c r="J404" s="80"/>
      <c r="K404" s="79"/>
      <c r="L404" s="142"/>
      <c r="M404" s="1"/>
      <c r="N404" s="142"/>
      <c r="O404" s="1"/>
      <c r="P404" s="142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79">
        <f t="shared" si="805"/>
        <v>0</v>
      </c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R404" s="1"/>
      <c r="CS404" s="1"/>
      <c r="CT404" s="1"/>
      <c r="CU404" s="1"/>
      <c r="CV404" s="1"/>
      <c r="CW404" s="1"/>
      <c r="CX404" s="1"/>
      <c r="CY404" s="91" t="str">
        <f t="shared" si="831"/>
        <v/>
      </c>
      <c r="CZ404" s="1"/>
      <c r="DC404" s="96"/>
      <c r="DE404" s="96"/>
    </row>
    <row r="405">
      <c r="A405" s="1"/>
      <c r="B405" s="1"/>
      <c r="C405" s="76"/>
      <c r="D405" s="76"/>
      <c r="E405" s="76"/>
      <c r="F405" s="76"/>
      <c r="G405" s="79"/>
      <c r="H405" s="80"/>
      <c r="I405" s="79"/>
      <c r="J405" s="80"/>
      <c r="K405" s="79"/>
      <c r="L405" s="142"/>
      <c r="M405" s="1"/>
      <c r="N405" s="142"/>
      <c r="O405" s="1"/>
      <c r="P405" s="142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79">
        <f t="shared" si="805"/>
        <v>0</v>
      </c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R405" s="1"/>
      <c r="CS405" s="1"/>
      <c r="CT405" s="1"/>
      <c r="CU405" s="1"/>
      <c r="CV405" s="1"/>
      <c r="CW405" s="1"/>
      <c r="CX405" s="1"/>
      <c r="CY405" s="91" t="str">
        <f t="shared" si="831"/>
        <v/>
      </c>
      <c r="CZ405" s="1"/>
      <c r="DC405" s="96"/>
      <c r="DE405" s="96"/>
    </row>
    <row r="406">
      <c r="A406" s="1"/>
      <c r="B406" s="1"/>
      <c r="C406" s="76"/>
      <c r="D406" s="76"/>
      <c r="E406" s="76"/>
      <c r="F406" s="76"/>
      <c r="G406" s="79"/>
      <c r="H406" s="80"/>
      <c r="I406" s="79"/>
      <c r="J406" s="80"/>
      <c r="K406" s="79"/>
      <c r="L406" s="142"/>
      <c r="M406" s="1"/>
      <c r="N406" s="142"/>
      <c r="O406" s="1"/>
      <c r="P406" s="142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79">
        <f t="shared" si="805"/>
        <v>0</v>
      </c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R406" s="1"/>
      <c r="CS406" s="1"/>
      <c r="CT406" s="1"/>
      <c r="CU406" s="1"/>
      <c r="CV406" s="1"/>
      <c r="CW406" s="1"/>
      <c r="CX406" s="1"/>
      <c r="CY406" s="91" t="str">
        <f t="shared" si="831"/>
        <v/>
      </c>
      <c r="CZ406" s="1"/>
      <c r="DC406" s="96"/>
      <c r="DE406" s="96"/>
    </row>
    <row r="407">
      <c r="A407" s="1"/>
      <c r="B407" s="1"/>
      <c r="C407" s="76"/>
      <c r="D407" s="76"/>
      <c r="E407" s="76"/>
      <c r="F407" s="76"/>
      <c r="G407" s="79"/>
      <c r="H407" s="80"/>
      <c r="I407" s="79"/>
      <c r="J407" s="80"/>
      <c r="K407" s="79"/>
      <c r="L407" s="142"/>
      <c r="M407" s="1"/>
      <c r="N407" s="142"/>
      <c r="O407" s="1"/>
      <c r="P407" s="142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79">
        <f t="shared" si="805"/>
        <v>0</v>
      </c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R407" s="1"/>
      <c r="CS407" s="1"/>
      <c r="CT407" s="1"/>
      <c r="CU407" s="1"/>
      <c r="CV407" s="1"/>
      <c r="CW407" s="1"/>
      <c r="CX407" s="1"/>
      <c r="CY407" s="91" t="str">
        <f t="shared" si="831"/>
        <v/>
      </c>
      <c r="CZ407" s="1"/>
      <c r="DC407" s="96"/>
      <c r="DE407" s="96"/>
    </row>
    <row r="408">
      <c r="A408" s="1"/>
      <c r="B408" s="1"/>
      <c r="C408" s="76"/>
      <c r="D408" s="76"/>
      <c r="E408" s="76"/>
      <c r="F408" s="76"/>
      <c r="G408" s="79"/>
      <c r="H408" s="80"/>
      <c r="I408" s="79"/>
      <c r="J408" s="80"/>
      <c r="K408" s="79"/>
      <c r="L408" s="142"/>
      <c r="M408" s="1"/>
      <c r="N408" s="142"/>
      <c r="O408" s="1"/>
      <c r="P408" s="142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79">
        <f t="shared" si="805"/>
        <v>0</v>
      </c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R408" s="1"/>
      <c r="CS408" s="1"/>
      <c r="CT408" s="1"/>
      <c r="CU408" s="1"/>
      <c r="CV408" s="1"/>
      <c r="CW408" s="1"/>
      <c r="CX408" s="1"/>
      <c r="CY408" s="91" t="str">
        <f t="shared" si="831"/>
        <v/>
      </c>
      <c r="CZ408" s="1"/>
      <c r="DC408" s="96"/>
      <c r="DE408" s="96"/>
    </row>
    <row r="409">
      <c r="A409" s="1"/>
      <c r="B409" s="1"/>
      <c r="C409" s="76"/>
      <c r="D409" s="76"/>
      <c r="E409" s="76"/>
      <c r="F409" s="76"/>
      <c r="G409" s="79"/>
      <c r="H409" s="80"/>
      <c r="I409" s="79"/>
      <c r="J409" s="80"/>
      <c r="K409" s="79"/>
      <c r="L409" s="142"/>
      <c r="M409" s="1"/>
      <c r="N409" s="142"/>
      <c r="O409" s="1"/>
      <c r="P409" s="142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79">
        <f t="shared" si="805"/>
        <v>0</v>
      </c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R409" s="1"/>
      <c r="CS409" s="1"/>
      <c r="CT409" s="1"/>
      <c r="CU409" s="1"/>
      <c r="CV409" s="1"/>
      <c r="CW409" s="1"/>
      <c r="CX409" s="1"/>
      <c r="CY409" s="91" t="str">
        <f t="shared" si="831"/>
        <v/>
      </c>
      <c r="CZ409" s="1"/>
      <c r="DC409" s="96"/>
      <c r="DE409" s="96"/>
    </row>
    <row r="410">
      <c r="A410" s="1"/>
      <c r="B410" s="1"/>
      <c r="C410" s="76"/>
      <c r="D410" s="76"/>
      <c r="E410" s="76"/>
      <c r="F410" s="76"/>
      <c r="G410" s="79"/>
      <c r="H410" s="80"/>
      <c r="I410" s="79"/>
      <c r="J410" s="80"/>
      <c r="K410" s="79"/>
      <c r="L410" s="142"/>
      <c r="M410" s="1"/>
      <c r="N410" s="142"/>
      <c r="O410" s="1"/>
      <c r="P410" s="142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79">
        <f t="shared" si="805"/>
        <v>0</v>
      </c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R410" s="1"/>
      <c r="CS410" s="1"/>
      <c r="CT410" s="1"/>
      <c r="CU410" s="1"/>
      <c r="CV410" s="1"/>
      <c r="CW410" s="1"/>
      <c r="CX410" s="1"/>
      <c r="CY410" s="91" t="str">
        <f t="shared" si="831"/>
        <v/>
      </c>
      <c r="CZ410" s="1"/>
      <c r="DC410" s="96"/>
      <c r="DE410" s="96"/>
    </row>
    <row r="411">
      <c r="A411" s="1"/>
      <c r="B411" s="1"/>
      <c r="C411" s="76"/>
      <c r="D411" s="76"/>
      <c r="E411" s="76"/>
      <c r="F411" s="76"/>
      <c r="G411" s="79"/>
      <c r="H411" s="80"/>
      <c r="I411" s="79"/>
      <c r="J411" s="80"/>
      <c r="K411" s="79"/>
      <c r="L411" s="142"/>
      <c r="M411" s="1"/>
      <c r="N411" s="142"/>
      <c r="O411" s="1"/>
      <c r="P411" s="142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79">
        <f t="shared" si="805"/>
        <v>0</v>
      </c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R411" s="1"/>
      <c r="CS411" s="1"/>
      <c r="CT411" s="1"/>
      <c r="CU411" s="1"/>
      <c r="CV411" s="1"/>
      <c r="CW411" s="1"/>
      <c r="CX411" s="1"/>
      <c r="CY411" s="91" t="str">
        <f t="shared" si="831"/>
        <v/>
      </c>
      <c r="CZ411" s="1"/>
      <c r="DC411" s="96"/>
      <c r="DE411" s="96"/>
    </row>
    <row r="412">
      <c r="A412" s="1"/>
      <c r="B412" s="1"/>
      <c r="C412" s="76"/>
      <c r="D412" s="76"/>
      <c r="E412" s="76"/>
      <c r="F412" s="76"/>
      <c r="G412" s="79"/>
      <c r="H412" s="80"/>
      <c r="I412" s="79"/>
      <c r="J412" s="80"/>
      <c r="K412" s="79"/>
      <c r="L412" s="142"/>
      <c r="M412" s="1"/>
      <c r="N412" s="142"/>
      <c r="O412" s="1"/>
      <c r="P412" s="142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79">
        <f t="shared" si="805"/>
        <v>0</v>
      </c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R412" s="1"/>
      <c r="CS412" s="1"/>
      <c r="CT412" s="1"/>
      <c r="CU412" s="1"/>
      <c r="CV412" s="1"/>
      <c r="CW412" s="1"/>
      <c r="CX412" s="1"/>
      <c r="CY412" s="91" t="str">
        <f t="shared" si="831"/>
        <v/>
      </c>
      <c r="CZ412" s="1"/>
      <c r="DC412" s="96"/>
      <c r="DE412" s="96"/>
    </row>
    <row r="413">
      <c r="A413" s="1"/>
      <c r="B413" s="1"/>
      <c r="C413" s="76"/>
      <c r="D413" s="76"/>
      <c r="E413" s="76"/>
      <c r="F413" s="76"/>
      <c r="G413" s="79"/>
      <c r="H413" s="80"/>
      <c r="I413" s="79"/>
      <c r="J413" s="80"/>
      <c r="K413" s="79"/>
      <c r="L413" s="142"/>
      <c r="M413" s="1"/>
      <c r="N413" s="142"/>
      <c r="O413" s="1"/>
      <c r="P413" s="142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79">
        <f t="shared" si="805"/>
        <v>0</v>
      </c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R413" s="1"/>
      <c r="CS413" s="1"/>
      <c r="CT413" s="1"/>
      <c r="CU413" s="1"/>
      <c r="CV413" s="1"/>
      <c r="CW413" s="1"/>
      <c r="CX413" s="1"/>
      <c r="CY413" s="91" t="str">
        <f t="shared" si="831"/>
        <v/>
      </c>
      <c r="CZ413" s="1"/>
      <c r="DC413" s="96"/>
      <c r="DE413" s="96"/>
    </row>
    <row r="414">
      <c r="A414" s="1"/>
      <c r="B414" s="1"/>
      <c r="C414" s="76"/>
      <c r="D414" s="76"/>
      <c r="E414" s="76"/>
      <c r="F414" s="76"/>
      <c r="G414" s="79"/>
      <c r="H414" s="80"/>
      <c r="I414" s="79"/>
      <c r="J414" s="80"/>
      <c r="K414" s="79"/>
      <c r="L414" s="142"/>
      <c r="M414" s="1"/>
      <c r="N414" s="142"/>
      <c r="O414" s="1"/>
      <c r="P414" s="142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79">
        <f t="shared" si="805"/>
        <v>0</v>
      </c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R414" s="1"/>
      <c r="CS414" s="1"/>
      <c r="CT414" s="1"/>
      <c r="CU414" s="1"/>
      <c r="CV414" s="1"/>
      <c r="CW414" s="1"/>
      <c r="CX414" s="1"/>
      <c r="CY414" s="91" t="str">
        <f t="shared" si="831"/>
        <v/>
      </c>
      <c r="CZ414" s="1"/>
      <c r="DC414" s="96"/>
      <c r="DE414" s="96"/>
    </row>
    <row r="415">
      <c r="A415" s="1"/>
      <c r="B415" s="1"/>
      <c r="C415" s="76"/>
      <c r="D415" s="76"/>
      <c r="E415" s="76"/>
      <c r="F415" s="76"/>
      <c r="G415" s="79"/>
      <c r="H415" s="80"/>
      <c r="I415" s="79"/>
      <c r="J415" s="80"/>
      <c r="K415" s="79"/>
      <c r="L415" s="142"/>
      <c r="M415" s="1"/>
      <c r="N415" s="142"/>
      <c r="O415" s="1"/>
      <c r="P415" s="142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79">
        <f t="shared" si="805"/>
        <v>0</v>
      </c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R415" s="1"/>
      <c r="CS415" s="1"/>
      <c r="CT415" s="1"/>
      <c r="CU415" s="1"/>
      <c r="CV415" s="1"/>
      <c r="CW415" s="1"/>
      <c r="CX415" s="1"/>
      <c r="CY415" s="91" t="str">
        <f t="shared" si="831"/>
        <v/>
      </c>
      <c r="CZ415" s="1"/>
      <c r="DC415" s="96"/>
      <c r="DE415" s="96"/>
    </row>
    <row r="416">
      <c r="A416" s="1"/>
      <c r="B416" s="1"/>
      <c r="C416" s="76"/>
      <c r="D416" s="76"/>
      <c r="E416" s="76"/>
      <c r="F416" s="76"/>
      <c r="G416" s="79"/>
      <c r="H416" s="80"/>
      <c r="I416" s="79"/>
      <c r="J416" s="80"/>
      <c r="K416" s="79"/>
      <c r="L416" s="142"/>
      <c r="M416" s="1"/>
      <c r="N416" s="142"/>
      <c r="O416" s="1"/>
      <c r="P416" s="142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79">
        <f t="shared" si="805"/>
        <v>0</v>
      </c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R416" s="1"/>
      <c r="CS416" s="1"/>
      <c r="CT416" s="1"/>
      <c r="CU416" s="1"/>
      <c r="CV416" s="1"/>
      <c r="CW416" s="1"/>
      <c r="CX416" s="1"/>
      <c r="CY416" s="91" t="str">
        <f t="shared" si="831"/>
        <v/>
      </c>
      <c r="CZ416" s="1"/>
      <c r="DC416" s="96"/>
      <c r="DE416" s="96"/>
    </row>
    <row r="417">
      <c r="A417" s="1"/>
      <c r="B417" s="1"/>
      <c r="C417" s="76"/>
      <c r="D417" s="76"/>
      <c r="E417" s="76"/>
      <c r="F417" s="76"/>
      <c r="G417" s="79"/>
      <c r="H417" s="80"/>
      <c r="I417" s="79"/>
      <c r="J417" s="80"/>
      <c r="K417" s="79"/>
      <c r="L417" s="142"/>
      <c r="M417" s="1"/>
      <c r="N417" s="142"/>
      <c r="O417" s="1"/>
      <c r="P417" s="142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79">
        <f t="shared" si="805"/>
        <v>0</v>
      </c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R417" s="1"/>
      <c r="CS417" s="1"/>
      <c r="CT417" s="1"/>
      <c r="CU417" s="1"/>
      <c r="CV417" s="1"/>
      <c r="CW417" s="1"/>
      <c r="CX417" s="1"/>
      <c r="CY417" s="91" t="str">
        <f t="shared" si="831"/>
        <v/>
      </c>
      <c r="CZ417" s="1"/>
      <c r="DC417" s="96"/>
      <c r="DE417" s="96"/>
    </row>
    <row r="418">
      <c r="A418" s="1"/>
      <c r="B418" s="1"/>
      <c r="C418" s="76"/>
      <c r="D418" s="76"/>
      <c r="E418" s="76"/>
      <c r="F418" s="76"/>
      <c r="G418" s="79"/>
      <c r="H418" s="80"/>
      <c r="I418" s="79"/>
      <c r="J418" s="80"/>
      <c r="K418" s="79"/>
      <c r="L418" s="142"/>
      <c r="M418" s="1"/>
      <c r="N418" s="142"/>
      <c r="O418" s="1"/>
      <c r="P418" s="142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79">
        <f t="shared" si="805"/>
        <v>0</v>
      </c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R418" s="1"/>
      <c r="CS418" s="1"/>
      <c r="CT418" s="1"/>
      <c r="CU418" s="1"/>
      <c r="CV418" s="1"/>
      <c r="CW418" s="1"/>
      <c r="CX418" s="1"/>
      <c r="CY418" s="91" t="str">
        <f t="shared" si="831"/>
        <v/>
      </c>
      <c r="CZ418" s="1"/>
      <c r="DC418" s="96"/>
      <c r="DE418" s="96"/>
    </row>
    <row r="419">
      <c r="A419" s="1"/>
      <c r="B419" s="1"/>
      <c r="C419" s="76"/>
      <c r="D419" s="76"/>
      <c r="E419" s="76"/>
      <c r="F419" s="76"/>
      <c r="G419" s="79"/>
      <c r="H419" s="80"/>
      <c r="I419" s="79"/>
      <c r="J419" s="80"/>
      <c r="K419" s="79"/>
      <c r="L419" s="142"/>
      <c r="M419" s="1"/>
      <c r="N419" s="142"/>
      <c r="O419" s="1"/>
      <c r="P419" s="142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79">
        <f t="shared" si="805"/>
        <v>0</v>
      </c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R419" s="1"/>
      <c r="CS419" s="1"/>
      <c r="CT419" s="1"/>
      <c r="CU419" s="1"/>
      <c r="CV419" s="1"/>
      <c r="CW419" s="1"/>
      <c r="CX419" s="1"/>
      <c r="CY419" s="91" t="str">
        <f t="shared" si="831"/>
        <v/>
      </c>
      <c r="CZ419" s="1"/>
      <c r="DC419" s="96"/>
      <c r="DE419" s="96"/>
    </row>
    <row r="420">
      <c r="A420" s="1"/>
      <c r="B420" s="1"/>
      <c r="C420" s="76"/>
      <c r="D420" s="76"/>
      <c r="E420" s="76"/>
      <c r="F420" s="76"/>
      <c r="G420" s="79"/>
      <c r="H420" s="80"/>
      <c r="I420" s="79"/>
      <c r="J420" s="80"/>
      <c r="K420" s="79"/>
      <c r="L420" s="142"/>
      <c r="M420" s="1"/>
      <c r="N420" s="142"/>
      <c r="O420" s="1"/>
      <c r="P420" s="142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79">
        <f t="shared" si="805"/>
        <v>0</v>
      </c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R420" s="1"/>
      <c r="CS420" s="1"/>
      <c r="CT420" s="1"/>
      <c r="CU420" s="1"/>
      <c r="CV420" s="1"/>
      <c r="CW420" s="1"/>
      <c r="CX420" s="1"/>
      <c r="CY420" s="91" t="str">
        <f t="shared" si="831"/>
        <v/>
      </c>
      <c r="CZ420" s="1"/>
      <c r="DC420" s="96"/>
      <c r="DE420" s="96"/>
    </row>
    <row r="421">
      <c r="A421" s="1"/>
      <c r="B421" s="1"/>
      <c r="C421" s="76"/>
      <c r="D421" s="76"/>
      <c r="E421" s="76"/>
      <c r="F421" s="76"/>
      <c r="G421" s="79"/>
      <c r="H421" s="80"/>
      <c r="I421" s="79"/>
      <c r="J421" s="80"/>
      <c r="K421" s="79"/>
      <c r="L421" s="142"/>
      <c r="M421" s="1"/>
      <c r="N421" s="142"/>
      <c r="O421" s="1"/>
      <c r="P421" s="142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79">
        <f t="shared" si="805"/>
        <v>0</v>
      </c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R421" s="1"/>
      <c r="CS421" s="1"/>
      <c r="CT421" s="1"/>
      <c r="CU421" s="1"/>
      <c r="CV421" s="1"/>
      <c r="CW421" s="1"/>
      <c r="CX421" s="1"/>
      <c r="CY421" s="91" t="str">
        <f t="shared" si="831"/>
        <v/>
      </c>
      <c r="CZ421" s="1"/>
      <c r="DC421" s="96"/>
      <c r="DE421" s="96"/>
    </row>
    <row r="422">
      <c r="A422" s="1"/>
      <c r="B422" s="1"/>
      <c r="C422" s="76"/>
      <c r="D422" s="76"/>
      <c r="E422" s="76"/>
      <c r="F422" s="76"/>
      <c r="G422" s="79"/>
      <c r="H422" s="80"/>
      <c r="I422" s="79"/>
      <c r="J422" s="80"/>
      <c r="K422" s="79"/>
      <c r="L422" s="142"/>
      <c r="M422" s="1"/>
      <c r="N422" s="142"/>
      <c r="O422" s="1"/>
      <c r="P422" s="142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79">
        <f t="shared" si="805"/>
        <v>0</v>
      </c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R422" s="1"/>
      <c r="CS422" s="1"/>
      <c r="CT422" s="1"/>
      <c r="CU422" s="1"/>
      <c r="CV422" s="1"/>
      <c r="CW422" s="1"/>
      <c r="CX422" s="1"/>
      <c r="CY422" s="91" t="str">
        <f t="shared" si="831"/>
        <v/>
      </c>
      <c r="CZ422" s="1"/>
      <c r="DC422" s="96"/>
      <c r="DE422" s="96"/>
    </row>
    <row r="423">
      <c r="A423" s="1"/>
      <c r="B423" s="1"/>
      <c r="C423" s="76"/>
      <c r="D423" s="76"/>
      <c r="E423" s="76"/>
      <c r="F423" s="76"/>
      <c r="G423" s="79"/>
      <c r="H423" s="80"/>
      <c r="I423" s="79"/>
      <c r="J423" s="80"/>
      <c r="K423" s="79"/>
      <c r="L423" s="142"/>
      <c r="M423" s="1"/>
      <c r="N423" s="142"/>
      <c r="O423" s="1"/>
      <c r="P423" s="142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79">
        <f t="shared" si="805"/>
        <v>0</v>
      </c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R423" s="1"/>
      <c r="CS423" s="1"/>
      <c r="CT423" s="1"/>
      <c r="CU423" s="1"/>
      <c r="CV423" s="1"/>
      <c r="CW423" s="1"/>
      <c r="CX423" s="1"/>
      <c r="CY423" s="91" t="str">
        <f t="shared" si="831"/>
        <v/>
      </c>
      <c r="CZ423" s="1"/>
      <c r="DC423" s="96"/>
      <c r="DE423" s="96"/>
    </row>
    <row r="424">
      <c r="A424" s="1"/>
      <c r="B424" s="1"/>
      <c r="C424" s="76"/>
      <c r="D424" s="76"/>
      <c r="E424" s="76"/>
      <c r="F424" s="76"/>
      <c r="G424" s="79"/>
      <c r="H424" s="80"/>
      <c r="I424" s="79"/>
      <c r="J424" s="80"/>
      <c r="K424" s="79"/>
      <c r="L424" s="142"/>
      <c r="M424" s="1"/>
      <c r="N424" s="142"/>
      <c r="O424" s="1"/>
      <c r="P424" s="142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79">
        <f t="shared" si="805"/>
        <v>0</v>
      </c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R424" s="1"/>
      <c r="CS424" s="1"/>
      <c r="CT424" s="1"/>
      <c r="CU424" s="1"/>
      <c r="CV424" s="1"/>
      <c r="CW424" s="1"/>
      <c r="CX424" s="1"/>
      <c r="CY424" s="91" t="str">
        <f t="shared" si="831"/>
        <v/>
      </c>
      <c r="CZ424" s="1"/>
      <c r="DC424" s="96"/>
      <c r="DE424" s="96"/>
    </row>
    <row r="425">
      <c r="A425" s="1"/>
      <c r="B425" s="1"/>
      <c r="C425" s="76"/>
      <c r="D425" s="76"/>
      <c r="E425" s="76"/>
      <c r="F425" s="76"/>
      <c r="G425" s="79"/>
      <c r="H425" s="80"/>
      <c r="I425" s="79"/>
      <c r="J425" s="80"/>
      <c r="K425" s="79"/>
      <c r="L425" s="142"/>
      <c r="M425" s="1"/>
      <c r="N425" s="142"/>
      <c r="O425" s="1"/>
      <c r="P425" s="142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79">
        <f t="shared" si="805"/>
        <v>0</v>
      </c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R425" s="1"/>
      <c r="CS425" s="1"/>
      <c r="CT425" s="1"/>
      <c r="CU425" s="1"/>
      <c r="CV425" s="1"/>
      <c r="CW425" s="1"/>
      <c r="CX425" s="1"/>
      <c r="CY425" s="91" t="str">
        <f t="shared" si="831"/>
        <v/>
      </c>
      <c r="CZ425" s="1"/>
      <c r="DC425" s="96"/>
      <c r="DE425" s="96"/>
    </row>
    <row r="426">
      <c r="A426" s="1"/>
      <c r="B426" s="1"/>
      <c r="C426" s="76"/>
      <c r="D426" s="76"/>
      <c r="E426" s="76"/>
      <c r="F426" s="76"/>
      <c r="G426" s="79"/>
      <c r="H426" s="80"/>
      <c r="I426" s="79"/>
      <c r="J426" s="80"/>
      <c r="K426" s="79"/>
      <c r="L426" s="142"/>
      <c r="M426" s="1"/>
      <c r="N426" s="142"/>
      <c r="O426" s="1"/>
      <c r="P426" s="142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79">
        <f t="shared" si="805"/>
        <v>0</v>
      </c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R426" s="1"/>
      <c r="CS426" s="1"/>
      <c r="CT426" s="1"/>
      <c r="CU426" s="1"/>
      <c r="CV426" s="1"/>
      <c r="CW426" s="1"/>
      <c r="CX426" s="1"/>
      <c r="CY426" s="91" t="str">
        <f t="shared" si="831"/>
        <v/>
      </c>
      <c r="CZ426" s="1"/>
      <c r="DC426" s="96"/>
      <c r="DE426" s="96"/>
    </row>
    <row r="427">
      <c r="A427" s="1"/>
      <c r="B427" s="1"/>
      <c r="C427" s="76"/>
      <c r="D427" s="76"/>
      <c r="E427" s="76"/>
      <c r="F427" s="76"/>
      <c r="G427" s="79"/>
      <c r="H427" s="80"/>
      <c r="I427" s="79"/>
      <c r="J427" s="80"/>
      <c r="K427" s="79"/>
      <c r="L427" s="142"/>
      <c r="M427" s="1"/>
      <c r="N427" s="142"/>
      <c r="O427" s="1"/>
      <c r="P427" s="142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79">
        <f t="shared" si="805"/>
        <v>0</v>
      </c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R427" s="1"/>
      <c r="CS427" s="1"/>
      <c r="CT427" s="1"/>
      <c r="CU427" s="1"/>
      <c r="CV427" s="1"/>
      <c r="CW427" s="1"/>
      <c r="CX427" s="1"/>
      <c r="CY427" s="91" t="str">
        <f t="shared" si="831"/>
        <v/>
      </c>
      <c r="CZ427" s="1"/>
      <c r="DC427" s="96"/>
      <c r="DE427" s="96"/>
    </row>
    <row r="428">
      <c r="A428" s="1"/>
      <c r="B428" s="1"/>
      <c r="C428" s="76"/>
      <c r="D428" s="76"/>
      <c r="E428" s="76"/>
      <c r="F428" s="76"/>
      <c r="G428" s="79"/>
      <c r="H428" s="80"/>
      <c r="I428" s="79"/>
      <c r="J428" s="80"/>
      <c r="K428" s="79"/>
      <c r="L428" s="142"/>
      <c r="M428" s="1"/>
      <c r="N428" s="142"/>
      <c r="O428" s="1"/>
      <c r="P428" s="142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79">
        <f t="shared" si="805"/>
        <v>0</v>
      </c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R428" s="1"/>
      <c r="CS428" s="1"/>
      <c r="CT428" s="1"/>
      <c r="CU428" s="1"/>
      <c r="CV428" s="1"/>
      <c r="CW428" s="1"/>
      <c r="CX428" s="1"/>
      <c r="CY428" s="91" t="str">
        <f t="shared" si="831"/>
        <v/>
      </c>
      <c r="CZ428" s="1"/>
      <c r="DC428" s="96"/>
      <c r="DE428" s="96"/>
    </row>
    <row r="429">
      <c r="A429" s="1"/>
      <c r="B429" s="1"/>
      <c r="C429" s="76"/>
      <c r="D429" s="76"/>
      <c r="E429" s="76"/>
      <c r="F429" s="76"/>
      <c r="G429" s="79"/>
      <c r="H429" s="80"/>
      <c r="I429" s="79"/>
      <c r="J429" s="80"/>
      <c r="K429" s="79"/>
      <c r="L429" s="142"/>
      <c r="M429" s="1"/>
      <c r="N429" s="142"/>
      <c r="O429" s="1"/>
      <c r="P429" s="142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79">
        <f t="shared" si="805"/>
        <v>0</v>
      </c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R429" s="1"/>
      <c r="CS429" s="1"/>
      <c r="CT429" s="1"/>
      <c r="CU429" s="1"/>
      <c r="CV429" s="1"/>
      <c r="CW429" s="1"/>
      <c r="CX429" s="1"/>
      <c r="CY429" s="91" t="str">
        <f t="shared" si="831"/>
        <v/>
      </c>
      <c r="CZ429" s="1"/>
      <c r="DC429" s="96"/>
      <c r="DE429" s="96"/>
    </row>
    <row r="430">
      <c r="A430" s="1"/>
      <c r="B430" s="1"/>
      <c r="C430" s="76"/>
      <c r="D430" s="76"/>
      <c r="E430" s="76"/>
      <c r="F430" s="76"/>
      <c r="G430" s="79"/>
      <c r="H430" s="80"/>
      <c r="I430" s="79"/>
      <c r="J430" s="80"/>
      <c r="K430" s="79"/>
      <c r="L430" s="142"/>
      <c r="M430" s="1"/>
      <c r="N430" s="142"/>
      <c r="O430" s="1"/>
      <c r="P430" s="142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79">
        <f t="shared" si="805"/>
        <v>0</v>
      </c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R430" s="1"/>
      <c r="CS430" s="1"/>
      <c r="CT430" s="1"/>
      <c r="CU430" s="1"/>
      <c r="CV430" s="1"/>
      <c r="CW430" s="1"/>
      <c r="CX430" s="1"/>
      <c r="CY430" s="91" t="str">
        <f t="shared" si="831"/>
        <v/>
      </c>
      <c r="CZ430" s="1"/>
      <c r="DC430" s="96"/>
      <c r="DE430" s="96"/>
    </row>
    <row r="431">
      <c r="A431" s="1"/>
      <c r="B431" s="1"/>
      <c r="C431" s="76"/>
      <c r="D431" s="76"/>
      <c r="E431" s="76"/>
      <c r="F431" s="76"/>
      <c r="G431" s="79"/>
      <c r="H431" s="80"/>
      <c r="I431" s="79"/>
      <c r="J431" s="80"/>
      <c r="K431" s="79"/>
      <c r="L431" s="142"/>
      <c r="M431" s="1"/>
      <c r="N431" s="142"/>
      <c r="O431" s="1"/>
      <c r="P431" s="142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79">
        <f t="shared" si="805"/>
        <v>0</v>
      </c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R431" s="1"/>
      <c r="CS431" s="1"/>
      <c r="CT431" s="1"/>
      <c r="CU431" s="1"/>
      <c r="CV431" s="1"/>
      <c r="CW431" s="1"/>
      <c r="CX431" s="1"/>
      <c r="CY431" s="91" t="str">
        <f t="shared" si="831"/>
        <v/>
      </c>
      <c r="CZ431" s="1"/>
      <c r="DC431" s="96"/>
      <c r="DE431" s="96"/>
    </row>
    <row r="432">
      <c r="A432" s="1"/>
      <c r="B432" s="1"/>
      <c r="C432" s="76"/>
      <c r="D432" s="76"/>
      <c r="E432" s="76"/>
      <c r="F432" s="76"/>
      <c r="G432" s="79"/>
      <c r="H432" s="80"/>
      <c r="I432" s="79"/>
      <c r="J432" s="80"/>
      <c r="K432" s="79"/>
      <c r="L432" s="142"/>
      <c r="M432" s="1"/>
      <c r="N432" s="142"/>
      <c r="O432" s="1"/>
      <c r="P432" s="142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79">
        <f t="shared" si="805"/>
        <v>0</v>
      </c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R432" s="1"/>
      <c r="CS432" s="1"/>
      <c r="CT432" s="1"/>
      <c r="CU432" s="1"/>
      <c r="CV432" s="1"/>
      <c r="CW432" s="1"/>
      <c r="CX432" s="1"/>
      <c r="CY432" s="91" t="str">
        <f t="shared" si="831"/>
        <v/>
      </c>
      <c r="CZ432" s="1"/>
      <c r="DC432" s="96"/>
      <c r="DE432" s="96"/>
    </row>
    <row r="433">
      <c r="A433" s="1"/>
      <c r="B433" s="1"/>
      <c r="C433" s="76"/>
      <c r="D433" s="76"/>
      <c r="E433" s="76"/>
      <c r="F433" s="76"/>
      <c r="G433" s="79"/>
      <c r="H433" s="80"/>
      <c r="I433" s="79"/>
      <c r="J433" s="80"/>
      <c r="K433" s="79"/>
      <c r="L433" s="142"/>
      <c r="M433" s="1"/>
      <c r="N433" s="142"/>
      <c r="O433" s="1"/>
      <c r="P433" s="142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79">
        <f t="shared" si="805"/>
        <v>0</v>
      </c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R433" s="1"/>
      <c r="CS433" s="1"/>
      <c r="CT433" s="1"/>
      <c r="CU433" s="1"/>
      <c r="CV433" s="1"/>
      <c r="CW433" s="1"/>
      <c r="CX433" s="1"/>
      <c r="CY433" s="91" t="str">
        <f t="shared" si="831"/>
        <v/>
      </c>
      <c r="CZ433" s="1"/>
      <c r="DC433" s="96"/>
      <c r="DE433" s="96"/>
    </row>
    <row r="434">
      <c r="A434" s="1"/>
      <c r="B434" s="1"/>
      <c r="C434" s="76"/>
      <c r="D434" s="76"/>
      <c r="E434" s="76"/>
      <c r="F434" s="76"/>
      <c r="G434" s="79"/>
      <c r="H434" s="80"/>
      <c r="I434" s="79"/>
      <c r="J434" s="80"/>
      <c r="K434" s="79"/>
      <c r="L434" s="142"/>
      <c r="M434" s="1"/>
      <c r="N434" s="142"/>
      <c r="O434" s="1"/>
      <c r="P434" s="142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79">
        <f t="shared" si="805"/>
        <v>0</v>
      </c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R434" s="1"/>
      <c r="CS434" s="1"/>
      <c r="CT434" s="1"/>
      <c r="CU434" s="1"/>
      <c r="CV434" s="1"/>
      <c r="CW434" s="1"/>
      <c r="CX434" s="1"/>
      <c r="CY434" s="91" t="str">
        <f t="shared" si="831"/>
        <v/>
      </c>
      <c r="CZ434" s="1"/>
      <c r="DC434" s="96"/>
      <c r="DE434" s="96"/>
    </row>
    <row r="435">
      <c r="A435" s="1"/>
      <c r="B435" s="1"/>
      <c r="C435" s="76"/>
      <c r="D435" s="76"/>
      <c r="E435" s="76"/>
      <c r="F435" s="76"/>
      <c r="G435" s="79"/>
      <c r="H435" s="80"/>
      <c r="I435" s="79"/>
      <c r="J435" s="80"/>
      <c r="K435" s="79"/>
      <c r="L435" s="142"/>
      <c r="M435" s="1"/>
      <c r="N435" s="142"/>
      <c r="O435" s="1"/>
      <c r="P435" s="142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79">
        <f t="shared" si="805"/>
        <v>0</v>
      </c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R435" s="1"/>
      <c r="CS435" s="1"/>
      <c r="CT435" s="1"/>
      <c r="CU435" s="1"/>
      <c r="CV435" s="1"/>
      <c r="CW435" s="1"/>
      <c r="CX435" s="1"/>
      <c r="CY435" s="91" t="str">
        <f t="shared" si="831"/>
        <v/>
      </c>
      <c r="CZ435" s="1"/>
      <c r="DC435" s="96"/>
      <c r="DE435" s="96"/>
    </row>
    <row r="436">
      <c r="A436" s="1"/>
      <c r="B436" s="1"/>
      <c r="C436" s="76"/>
      <c r="D436" s="76"/>
      <c r="E436" s="76"/>
      <c r="F436" s="76"/>
      <c r="G436" s="79"/>
      <c r="H436" s="80"/>
      <c r="I436" s="79"/>
      <c r="J436" s="80"/>
      <c r="K436" s="79"/>
      <c r="L436" s="142"/>
      <c r="M436" s="1"/>
      <c r="N436" s="142"/>
      <c r="O436" s="1"/>
      <c r="P436" s="142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79">
        <f t="shared" si="805"/>
        <v>0</v>
      </c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R436" s="1"/>
      <c r="CS436" s="1"/>
      <c r="CT436" s="1"/>
      <c r="CU436" s="1"/>
      <c r="CV436" s="1"/>
      <c r="CW436" s="1"/>
      <c r="CX436" s="1"/>
      <c r="CY436" s="91" t="str">
        <f t="shared" si="831"/>
        <v/>
      </c>
      <c r="CZ436" s="1"/>
      <c r="DC436" s="96"/>
      <c r="DE436" s="96"/>
    </row>
    <row r="437">
      <c r="A437" s="1"/>
      <c r="B437" s="1"/>
      <c r="C437" s="76"/>
      <c r="D437" s="76"/>
      <c r="E437" s="76"/>
      <c r="F437" s="76"/>
      <c r="G437" s="79"/>
      <c r="H437" s="80"/>
      <c r="I437" s="79"/>
      <c r="J437" s="80"/>
      <c r="K437" s="79"/>
      <c r="L437" s="142"/>
      <c r="M437" s="1"/>
      <c r="N437" s="142"/>
      <c r="O437" s="1"/>
      <c r="P437" s="142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79">
        <f t="shared" si="805"/>
        <v>0</v>
      </c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R437" s="1"/>
      <c r="CS437" s="1"/>
      <c r="CT437" s="1"/>
      <c r="CU437" s="1"/>
      <c r="CV437" s="1"/>
      <c r="CW437" s="1"/>
      <c r="CX437" s="1"/>
      <c r="CY437" s="91" t="str">
        <f t="shared" si="831"/>
        <v/>
      </c>
      <c r="CZ437" s="1"/>
      <c r="DC437" s="96"/>
      <c r="DE437" s="96"/>
    </row>
    <row r="438">
      <c r="A438" s="1"/>
      <c r="B438" s="1"/>
      <c r="C438" s="76"/>
      <c r="D438" s="76"/>
      <c r="E438" s="76"/>
      <c r="F438" s="76"/>
      <c r="G438" s="79"/>
      <c r="H438" s="80"/>
      <c r="I438" s="79"/>
      <c r="J438" s="80"/>
      <c r="K438" s="79"/>
      <c r="L438" s="142"/>
      <c r="M438" s="1"/>
      <c r="N438" s="142"/>
      <c r="O438" s="1"/>
      <c r="P438" s="142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79">
        <f t="shared" si="805"/>
        <v>0</v>
      </c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R438" s="1"/>
      <c r="CS438" s="1"/>
      <c r="CT438" s="1"/>
      <c r="CU438" s="1"/>
      <c r="CV438" s="1"/>
      <c r="CW438" s="1"/>
      <c r="CX438" s="1"/>
      <c r="CY438" s="91" t="str">
        <f t="shared" si="831"/>
        <v/>
      </c>
      <c r="CZ438" s="1"/>
      <c r="DC438" s="96"/>
      <c r="DE438" s="96"/>
    </row>
    <row r="439">
      <c r="A439" s="1"/>
      <c r="B439" s="1"/>
      <c r="C439" s="76"/>
      <c r="D439" s="76"/>
      <c r="E439" s="76"/>
      <c r="F439" s="76"/>
      <c r="G439" s="79"/>
      <c r="H439" s="80"/>
      <c r="I439" s="79"/>
      <c r="J439" s="80"/>
      <c r="K439" s="79"/>
      <c r="L439" s="142"/>
      <c r="M439" s="1"/>
      <c r="N439" s="142"/>
      <c r="O439" s="1"/>
      <c r="P439" s="142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79">
        <f t="shared" si="805"/>
        <v>0</v>
      </c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R439" s="1"/>
      <c r="CS439" s="1"/>
      <c r="CT439" s="1"/>
      <c r="CU439" s="1"/>
      <c r="CV439" s="1"/>
      <c r="CW439" s="1"/>
      <c r="CX439" s="1"/>
      <c r="CY439" s="91" t="str">
        <f t="shared" si="831"/>
        <v/>
      </c>
      <c r="CZ439" s="1"/>
      <c r="DC439" s="96"/>
      <c r="DE439" s="96"/>
    </row>
    <row r="440">
      <c r="A440" s="1"/>
      <c r="B440" s="1"/>
      <c r="C440" s="76"/>
      <c r="D440" s="76"/>
      <c r="E440" s="76"/>
      <c r="F440" s="76"/>
      <c r="G440" s="79"/>
      <c r="H440" s="80"/>
      <c r="I440" s="79"/>
      <c r="J440" s="80"/>
      <c r="K440" s="79"/>
      <c r="L440" s="142"/>
      <c r="M440" s="1"/>
      <c r="N440" s="142"/>
      <c r="O440" s="1"/>
      <c r="P440" s="142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79">
        <f t="shared" si="805"/>
        <v>0</v>
      </c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R440" s="1"/>
      <c r="CS440" s="1"/>
      <c r="CT440" s="1"/>
      <c r="CU440" s="1"/>
      <c r="CV440" s="1"/>
      <c r="CW440" s="1"/>
      <c r="CX440" s="1"/>
      <c r="CY440" s="91" t="str">
        <f t="shared" si="831"/>
        <v/>
      </c>
      <c r="CZ440" s="1"/>
      <c r="DC440" s="96"/>
      <c r="DE440" s="96"/>
    </row>
    <row r="441">
      <c r="A441" s="1"/>
      <c r="B441" s="1"/>
      <c r="C441" s="76"/>
      <c r="D441" s="76"/>
      <c r="E441" s="76"/>
      <c r="F441" s="76"/>
      <c r="G441" s="79"/>
      <c r="H441" s="80"/>
      <c r="I441" s="79"/>
      <c r="J441" s="80"/>
      <c r="K441" s="79"/>
      <c r="L441" s="142"/>
      <c r="M441" s="1"/>
      <c r="N441" s="142"/>
      <c r="O441" s="1"/>
      <c r="P441" s="142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79">
        <f t="shared" si="805"/>
        <v>0</v>
      </c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R441" s="1"/>
      <c r="CS441" s="1"/>
      <c r="CT441" s="1"/>
      <c r="CU441" s="1"/>
      <c r="CV441" s="1"/>
      <c r="CW441" s="1"/>
      <c r="CX441" s="1"/>
      <c r="CY441" s="91" t="str">
        <f t="shared" si="831"/>
        <v/>
      </c>
      <c r="CZ441" s="1"/>
      <c r="DC441" s="96"/>
      <c r="DE441" s="96"/>
    </row>
    <row r="442">
      <c r="A442" s="1"/>
      <c r="B442" s="1"/>
      <c r="C442" s="76"/>
      <c r="D442" s="76"/>
      <c r="E442" s="76"/>
      <c r="F442" s="76"/>
      <c r="G442" s="79"/>
      <c r="H442" s="80"/>
      <c r="I442" s="79"/>
      <c r="J442" s="80"/>
      <c r="K442" s="79"/>
      <c r="L442" s="142"/>
      <c r="M442" s="1"/>
      <c r="N442" s="142"/>
      <c r="O442" s="1"/>
      <c r="P442" s="142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79">
        <f t="shared" si="805"/>
        <v>0</v>
      </c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R442" s="1"/>
      <c r="CS442" s="1"/>
      <c r="CT442" s="1"/>
      <c r="CU442" s="1"/>
      <c r="CV442" s="1"/>
      <c r="CW442" s="1"/>
      <c r="CX442" s="1"/>
      <c r="CY442" s="91" t="str">
        <f t="shared" si="831"/>
        <v/>
      </c>
      <c r="CZ442" s="1"/>
      <c r="DC442" s="96"/>
      <c r="DE442" s="96"/>
    </row>
    <row r="443">
      <c r="A443" s="1"/>
      <c r="B443" s="1"/>
      <c r="C443" s="76"/>
      <c r="D443" s="76"/>
      <c r="E443" s="76"/>
      <c r="F443" s="76"/>
      <c r="G443" s="79"/>
      <c r="H443" s="80"/>
      <c r="I443" s="79"/>
      <c r="J443" s="80"/>
      <c r="K443" s="79"/>
      <c r="L443" s="142"/>
      <c r="M443" s="1"/>
      <c r="N443" s="142"/>
      <c r="O443" s="1"/>
      <c r="P443" s="142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79">
        <f t="shared" si="805"/>
        <v>0</v>
      </c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R443" s="1"/>
      <c r="CS443" s="1"/>
      <c r="CT443" s="1"/>
      <c r="CU443" s="1"/>
      <c r="CV443" s="1"/>
      <c r="CW443" s="1"/>
      <c r="CX443" s="1"/>
      <c r="CY443" s="91" t="str">
        <f t="shared" si="831"/>
        <v/>
      </c>
      <c r="CZ443" s="1"/>
      <c r="DC443" s="96"/>
      <c r="DE443" s="96"/>
    </row>
    <row r="444">
      <c r="A444" s="1"/>
      <c r="B444" s="1"/>
      <c r="C444" s="76"/>
      <c r="D444" s="76"/>
      <c r="E444" s="76"/>
      <c r="F444" s="76"/>
      <c r="G444" s="79"/>
      <c r="H444" s="80"/>
      <c r="I444" s="79"/>
      <c r="J444" s="80"/>
      <c r="K444" s="79"/>
      <c r="L444" s="142"/>
      <c r="M444" s="1"/>
      <c r="N444" s="142"/>
      <c r="O444" s="1"/>
      <c r="P444" s="142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79">
        <f t="shared" si="805"/>
        <v>0</v>
      </c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R444" s="1"/>
      <c r="CS444" s="1"/>
      <c r="CT444" s="1"/>
      <c r="CU444" s="1"/>
      <c r="CV444" s="1"/>
      <c r="CW444" s="1"/>
      <c r="CX444" s="1"/>
      <c r="CY444" s="91" t="str">
        <f t="shared" si="831"/>
        <v/>
      </c>
      <c r="CZ444" s="1"/>
      <c r="DC444" s="96"/>
      <c r="DE444" s="96"/>
    </row>
    <row r="445">
      <c r="A445" s="1"/>
      <c r="B445" s="1"/>
      <c r="C445" s="76"/>
      <c r="D445" s="76"/>
      <c r="E445" s="76"/>
      <c r="F445" s="76"/>
      <c r="G445" s="79"/>
      <c r="H445" s="80"/>
      <c r="I445" s="79"/>
      <c r="J445" s="80"/>
      <c r="K445" s="79"/>
      <c r="L445" s="142"/>
      <c r="M445" s="1"/>
      <c r="N445" s="142"/>
      <c r="O445" s="1"/>
      <c r="P445" s="142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79">
        <f t="shared" si="805"/>
        <v>0</v>
      </c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R445" s="1"/>
      <c r="CS445" s="1"/>
      <c r="CT445" s="1"/>
      <c r="CU445" s="1"/>
      <c r="CV445" s="1"/>
      <c r="CW445" s="1"/>
      <c r="CX445" s="1"/>
      <c r="CY445" s="91" t="str">
        <f t="shared" si="831"/>
        <v/>
      </c>
      <c r="CZ445" s="1"/>
      <c r="DC445" s="96"/>
      <c r="DE445" s="96"/>
    </row>
    <row r="446">
      <c r="A446" s="1"/>
      <c r="B446" s="1"/>
      <c r="C446" s="76"/>
      <c r="D446" s="76"/>
      <c r="E446" s="76"/>
      <c r="F446" s="76"/>
      <c r="G446" s="79"/>
      <c r="H446" s="80"/>
      <c r="I446" s="79"/>
      <c r="J446" s="80"/>
      <c r="K446" s="79"/>
      <c r="L446" s="142"/>
      <c r="M446" s="1"/>
      <c r="N446" s="142"/>
      <c r="O446" s="1"/>
      <c r="P446" s="142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79">
        <f t="shared" si="805"/>
        <v>0</v>
      </c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R446" s="1"/>
      <c r="CS446" s="1"/>
      <c r="CT446" s="1"/>
      <c r="CU446" s="1"/>
      <c r="CV446" s="1"/>
      <c r="CW446" s="1"/>
      <c r="CX446" s="1"/>
      <c r="CY446" s="91" t="str">
        <f t="shared" si="831"/>
        <v/>
      </c>
      <c r="CZ446" s="1"/>
      <c r="DC446" s="96"/>
      <c r="DE446" s="96"/>
    </row>
    <row r="447">
      <c r="A447" s="1"/>
      <c r="B447" s="1"/>
      <c r="C447" s="76"/>
      <c r="D447" s="76"/>
      <c r="E447" s="76"/>
      <c r="F447" s="76"/>
      <c r="G447" s="79"/>
      <c r="H447" s="80"/>
      <c r="I447" s="79"/>
      <c r="J447" s="80"/>
      <c r="K447" s="79"/>
      <c r="L447" s="142"/>
      <c r="M447" s="1"/>
      <c r="N447" s="142"/>
      <c r="O447" s="1"/>
      <c r="P447" s="142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79">
        <f t="shared" si="805"/>
        <v>0</v>
      </c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R447" s="1"/>
      <c r="CS447" s="1"/>
      <c r="CT447" s="1"/>
      <c r="CU447" s="1"/>
      <c r="CV447" s="1"/>
      <c r="CW447" s="1"/>
      <c r="CX447" s="1"/>
      <c r="CY447" s="91" t="str">
        <f t="shared" si="831"/>
        <v/>
      </c>
      <c r="CZ447" s="1"/>
      <c r="DC447" s="96"/>
      <c r="DE447" s="96"/>
    </row>
    <row r="448">
      <c r="A448" s="1"/>
      <c r="B448" s="1"/>
      <c r="C448" s="76"/>
      <c r="D448" s="76"/>
      <c r="E448" s="76"/>
      <c r="F448" s="76"/>
      <c r="G448" s="79"/>
      <c r="H448" s="80"/>
      <c r="I448" s="79"/>
      <c r="J448" s="80"/>
      <c r="K448" s="79"/>
      <c r="L448" s="142"/>
      <c r="M448" s="1"/>
      <c r="N448" s="142"/>
      <c r="O448" s="1"/>
      <c r="P448" s="142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79">
        <f t="shared" si="805"/>
        <v>0</v>
      </c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R448" s="1"/>
      <c r="CS448" s="1"/>
      <c r="CT448" s="1"/>
      <c r="CU448" s="1"/>
      <c r="CV448" s="1"/>
      <c r="CW448" s="1"/>
      <c r="CX448" s="1"/>
      <c r="CY448" s="91" t="str">
        <f t="shared" si="831"/>
        <v/>
      </c>
      <c r="CZ448" s="1"/>
      <c r="DC448" s="96"/>
      <c r="DE448" s="96"/>
    </row>
    <row r="449">
      <c r="A449" s="1"/>
      <c r="B449" s="1"/>
      <c r="C449" s="76"/>
      <c r="D449" s="76"/>
      <c r="E449" s="76"/>
      <c r="F449" s="76"/>
      <c r="G449" s="79"/>
      <c r="H449" s="80"/>
      <c r="I449" s="79"/>
      <c r="J449" s="80"/>
      <c r="K449" s="79"/>
      <c r="L449" s="142"/>
      <c r="M449" s="1"/>
      <c r="N449" s="142"/>
      <c r="O449" s="1"/>
      <c r="P449" s="142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79">
        <f t="shared" si="805"/>
        <v>0</v>
      </c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R449" s="1"/>
      <c r="CS449" s="1"/>
      <c r="CT449" s="1"/>
      <c r="CU449" s="1"/>
      <c r="CV449" s="1"/>
      <c r="CW449" s="1"/>
      <c r="CX449" s="1"/>
      <c r="CY449" s="91" t="str">
        <f t="shared" si="831"/>
        <v/>
      </c>
      <c r="CZ449" s="1"/>
      <c r="DC449" s="96"/>
      <c r="DE449" s="96"/>
    </row>
    <row r="450">
      <c r="A450" s="1"/>
      <c r="B450" s="1"/>
      <c r="C450" s="76"/>
      <c r="D450" s="76"/>
      <c r="E450" s="76"/>
      <c r="F450" s="76"/>
      <c r="G450" s="79"/>
      <c r="H450" s="80"/>
      <c r="I450" s="79"/>
      <c r="J450" s="80"/>
      <c r="K450" s="79"/>
      <c r="L450" s="142"/>
      <c r="M450" s="1"/>
      <c r="N450" s="142"/>
      <c r="O450" s="1"/>
      <c r="P450" s="142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79">
        <f t="shared" si="805"/>
        <v>0</v>
      </c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R450" s="1"/>
      <c r="CS450" s="1"/>
      <c r="CT450" s="1"/>
      <c r="CU450" s="1"/>
      <c r="CV450" s="1"/>
      <c r="CW450" s="1"/>
      <c r="CX450" s="1"/>
      <c r="CY450" s="91" t="str">
        <f t="shared" si="831"/>
        <v/>
      </c>
      <c r="CZ450" s="1"/>
      <c r="DC450" s="96"/>
      <c r="DE450" s="96"/>
    </row>
    <row r="451">
      <c r="A451" s="1"/>
      <c r="B451" s="1"/>
      <c r="C451" s="76"/>
      <c r="D451" s="76"/>
      <c r="E451" s="76"/>
      <c r="F451" s="76"/>
      <c r="G451" s="79"/>
      <c r="H451" s="80"/>
      <c r="I451" s="79"/>
      <c r="J451" s="80"/>
      <c r="K451" s="79"/>
      <c r="L451" s="142"/>
      <c r="M451" s="1"/>
      <c r="N451" s="142"/>
      <c r="O451" s="1"/>
      <c r="P451" s="142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79">
        <f t="shared" si="805"/>
        <v>0</v>
      </c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R451" s="1"/>
      <c r="CS451" s="1"/>
      <c r="CT451" s="1"/>
      <c r="CU451" s="1"/>
      <c r="CV451" s="1"/>
      <c r="CW451" s="1"/>
      <c r="CX451" s="1"/>
      <c r="CY451" s="91" t="str">
        <f t="shared" si="831"/>
        <v/>
      </c>
      <c r="CZ451" s="1"/>
      <c r="DC451" s="96"/>
      <c r="DE451" s="96"/>
    </row>
    <row r="452">
      <c r="A452" s="1"/>
      <c r="B452" s="1"/>
      <c r="C452" s="76"/>
      <c r="D452" s="76"/>
      <c r="E452" s="76"/>
      <c r="F452" s="76"/>
      <c r="G452" s="79"/>
      <c r="H452" s="80"/>
      <c r="I452" s="79"/>
      <c r="J452" s="80"/>
      <c r="K452" s="79"/>
      <c r="L452" s="142"/>
      <c r="M452" s="1"/>
      <c r="N452" s="142"/>
      <c r="O452" s="1"/>
      <c r="P452" s="142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79">
        <f t="shared" si="805"/>
        <v>0</v>
      </c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R452" s="1"/>
      <c r="CS452" s="1"/>
      <c r="CT452" s="1"/>
      <c r="CU452" s="1"/>
      <c r="CV452" s="1"/>
      <c r="CW452" s="1"/>
      <c r="CX452" s="1"/>
      <c r="CY452" s="91" t="str">
        <f t="shared" si="831"/>
        <v/>
      </c>
      <c r="CZ452" s="1"/>
      <c r="DC452" s="96"/>
      <c r="DE452" s="96"/>
    </row>
    <row r="453">
      <c r="A453" s="1"/>
      <c r="B453" s="1"/>
      <c r="C453" s="76"/>
      <c r="D453" s="76"/>
      <c r="E453" s="76"/>
      <c r="F453" s="76"/>
      <c r="G453" s="79"/>
      <c r="H453" s="80"/>
      <c r="I453" s="79"/>
      <c r="J453" s="80"/>
      <c r="K453" s="79"/>
      <c r="L453" s="142"/>
      <c r="M453" s="1"/>
      <c r="N453" s="142"/>
      <c r="O453" s="1"/>
      <c r="P453" s="142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79">
        <f t="shared" si="805"/>
        <v>0</v>
      </c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R453" s="1"/>
      <c r="CS453" s="1"/>
      <c r="CT453" s="1"/>
      <c r="CU453" s="1"/>
      <c r="CV453" s="1"/>
      <c r="CW453" s="1"/>
      <c r="CX453" s="1"/>
      <c r="CY453" s="91" t="str">
        <f t="shared" si="831"/>
        <v/>
      </c>
      <c r="CZ453" s="1"/>
      <c r="DC453" s="96"/>
      <c r="DE453" s="96"/>
    </row>
    <row r="454">
      <c r="A454" s="1"/>
      <c r="B454" s="1"/>
      <c r="C454" s="76"/>
      <c r="D454" s="76"/>
      <c r="E454" s="76"/>
      <c r="F454" s="76"/>
      <c r="G454" s="79"/>
      <c r="H454" s="80"/>
      <c r="I454" s="79"/>
      <c r="J454" s="80"/>
      <c r="K454" s="79"/>
      <c r="L454" s="142"/>
      <c r="M454" s="1"/>
      <c r="N454" s="142"/>
      <c r="O454" s="1"/>
      <c r="P454" s="142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79">
        <f t="shared" si="805"/>
        <v>0</v>
      </c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R454" s="1"/>
      <c r="CS454" s="1"/>
      <c r="CT454" s="1"/>
      <c r="CU454" s="1"/>
      <c r="CV454" s="1"/>
      <c r="CW454" s="1"/>
      <c r="CX454" s="1"/>
      <c r="CY454" s="91" t="str">
        <f t="shared" si="831"/>
        <v/>
      </c>
      <c r="CZ454" s="1"/>
      <c r="DC454" s="96"/>
      <c r="DE454" s="96"/>
    </row>
    <row r="455">
      <c r="A455" s="1"/>
      <c r="B455" s="1"/>
      <c r="C455" s="76"/>
      <c r="D455" s="76"/>
      <c r="E455" s="76"/>
      <c r="F455" s="76"/>
      <c r="G455" s="79"/>
      <c r="H455" s="80"/>
      <c r="I455" s="79"/>
      <c r="J455" s="80"/>
      <c r="K455" s="79"/>
      <c r="L455" s="142"/>
      <c r="M455" s="1"/>
      <c r="N455" s="142"/>
      <c r="O455" s="1"/>
      <c r="P455" s="142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79">
        <f t="shared" si="805"/>
        <v>0</v>
      </c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R455" s="1"/>
      <c r="CS455" s="1"/>
      <c r="CT455" s="1"/>
      <c r="CU455" s="1"/>
      <c r="CV455" s="1"/>
      <c r="CW455" s="1"/>
      <c r="CX455" s="1"/>
      <c r="CY455" s="91" t="str">
        <f t="shared" si="831"/>
        <v/>
      </c>
      <c r="CZ455" s="1"/>
      <c r="DC455" s="96"/>
      <c r="DE455" s="96"/>
    </row>
    <row r="456">
      <c r="A456" s="1"/>
      <c r="B456" s="1"/>
      <c r="C456" s="76"/>
      <c r="D456" s="76"/>
      <c r="E456" s="76"/>
      <c r="F456" s="76"/>
      <c r="G456" s="79"/>
      <c r="H456" s="80"/>
      <c r="I456" s="79"/>
      <c r="J456" s="80"/>
      <c r="K456" s="79"/>
      <c r="L456" s="142"/>
      <c r="M456" s="1"/>
      <c r="N456" s="142"/>
      <c r="O456" s="1"/>
      <c r="P456" s="142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79">
        <f t="shared" si="805"/>
        <v>0</v>
      </c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R456" s="1"/>
      <c r="CS456" s="1"/>
      <c r="CT456" s="1"/>
      <c r="CU456" s="1"/>
      <c r="CV456" s="1"/>
      <c r="CW456" s="1"/>
      <c r="CX456" s="1"/>
      <c r="CY456" s="91" t="str">
        <f t="shared" si="831"/>
        <v/>
      </c>
      <c r="CZ456" s="1"/>
      <c r="DC456" s="96"/>
      <c r="DE456" s="96"/>
    </row>
    <row r="457">
      <c r="A457" s="1"/>
      <c r="B457" s="1"/>
      <c r="C457" s="76"/>
      <c r="D457" s="76"/>
      <c r="E457" s="76"/>
      <c r="F457" s="76"/>
      <c r="G457" s="79"/>
      <c r="H457" s="80"/>
      <c r="I457" s="79"/>
      <c r="J457" s="80"/>
      <c r="K457" s="79"/>
      <c r="L457" s="142"/>
      <c r="M457" s="1"/>
      <c r="N457" s="142"/>
      <c r="O457" s="1"/>
      <c r="P457" s="142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79">
        <f t="shared" si="805"/>
        <v>0</v>
      </c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R457" s="1"/>
      <c r="CS457" s="1"/>
      <c r="CT457" s="1"/>
      <c r="CU457" s="1"/>
      <c r="CV457" s="1"/>
      <c r="CW457" s="1"/>
      <c r="CX457" s="1"/>
      <c r="CY457" s="91" t="str">
        <f t="shared" si="831"/>
        <v/>
      </c>
      <c r="CZ457" s="1"/>
      <c r="DC457" s="96"/>
      <c r="DE457" s="96"/>
    </row>
    <row r="458">
      <c r="A458" s="1"/>
      <c r="B458" s="1"/>
      <c r="C458" s="76"/>
      <c r="D458" s="76"/>
      <c r="E458" s="76"/>
      <c r="F458" s="76"/>
      <c r="G458" s="79"/>
      <c r="H458" s="80"/>
      <c r="I458" s="79"/>
      <c r="J458" s="80"/>
      <c r="K458" s="79"/>
      <c r="L458" s="142"/>
      <c r="M458" s="1"/>
      <c r="N458" s="142"/>
      <c r="O458" s="1"/>
      <c r="P458" s="142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79">
        <f t="shared" si="805"/>
        <v>0</v>
      </c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R458" s="1"/>
      <c r="CS458" s="1"/>
      <c r="CT458" s="1"/>
      <c r="CU458" s="1"/>
      <c r="CV458" s="1"/>
      <c r="CW458" s="1"/>
      <c r="CX458" s="1"/>
      <c r="CY458" s="91" t="str">
        <f t="shared" si="831"/>
        <v/>
      </c>
      <c r="CZ458" s="1"/>
      <c r="DC458" s="96"/>
      <c r="DE458" s="96"/>
    </row>
    <row r="459">
      <c r="A459" s="1"/>
      <c r="B459" s="1"/>
      <c r="C459" s="76"/>
      <c r="D459" s="76"/>
      <c r="E459" s="76"/>
      <c r="F459" s="76"/>
      <c r="G459" s="79"/>
      <c r="H459" s="80"/>
      <c r="I459" s="79"/>
      <c r="J459" s="80"/>
      <c r="K459" s="79"/>
      <c r="L459" s="142"/>
      <c r="M459" s="1"/>
      <c r="N459" s="142"/>
      <c r="O459" s="1"/>
      <c r="P459" s="142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79">
        <f t="shared" si="805"/>
        <v>0</v>
      </c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R459" s="1"/>
      <c r="CS459" s="1"/>
      <c r="CT459" s="1"/>
      <c r="CU459" s="1"/>
      <c r="CV459" s="1"/>
      <c r="CW459" s="1"/>
      <c r="CX459" s="1"/>
      <c r="CY459" s="91" t="str">
        <f t="shared" si="831"/>
        <v/>
      </c>
      <c r="CZ459" s="1"/>
      <c r="DC459" s="96"/>
      <c r="DE459" s="96"/>
    </row>
    <row r="460">
      <c r="A460" s="1"/>
      <c r="B460" s="1"/>
      <c r="C460" s="76"/>
      <c r="D460" s="76"/>
      <c r="E460" s="76"/>
      <c r="F460" s="76"/>
      <c r="G460" s="79"/>
      <c r="H460" s="80"/>
      <c r="I460" s="79"/>
      <c r="J460" s="80"/>
      <c r="K460" s="79"/>
      <c r="L460" s="142"/>
      <c r="M460" s="1"/>
      <c r="N460" s="142"/>
      <c r="O460" s="1"/>
      <c r="P460" s="142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79">
        <f t="shared" si="805"/>
        <v>0</v>
      </c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R460" s="1"/>
      <c r="CS460" s="1"/>
      <c r="CT460" s="1"/>
      <c r="CU460" s="1"/>
      <c r="CV460" s="1"/>
      <c r="CW460" s="1"/>
      <c r="CX460" s="1"/>
      <c r="CY460" s="91" t="str">
        <f t="shared" si="831"/>
        <v/>
      </c>
      <c r="CZ460" s="1"/>
      <c r="DC460" s="96"/>
      <c r="DE460" s="96"/>
    </row>
    <row r="461">
      <c r="A461" s="1"/>
      <c r="B461" s="1"/>
      <c r="C461" s="76"/>
      <c r="D461" s="76"/>
      <c r="E461" s="76"/>
      <c r="F461" s="76"/>
      <c r="G461" s="79"/>
      <c r="H461" s="80"/>
      <c r="I461" s="79"/>
      <c r="J461" s="80"/>
      <c r="K461" s="79"/>
      <c r="L461" s="142"/>
      <c r="M461" s="1"/>
      <c r="N461" s="142"/>
      <c r="O461" s="1"/>
      <c r="P461" s="142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79">
        <f t="shared" si="805"/>
        <v>0</v>
      </c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R461" s="1"/>
      <c r="CS461" s="1"/>
      <c r="CT461" s="1"/>
      <c r="CU461" s="1"/>
      <c r="CV461" s="1"/>
      <c r="CW461" s="1"/>
      <c r="CX461" s="1"/>
      <c r="CY461" s="91" t="str">
        <f t="shared" si="831"/>
        <v/>
      </c>
      <c r="CZ461" s="1"/>
      <c r="DC461" s="96"/>
      <c r="DE461" s="96"/>
    </row>
    <row r="462">
      <c r="A462" s="1"/>
      <c r="B462" s="1"/>
      <c r="C462" s="76"/>
      <c r="D462" s="76"/>
      <c r="E462" s="76"/>
      <c r="F462" s="76"/>
      <c r="G462" s="79"/>
      <c r="H462" s="80"/>
      <c r="I462" s="79"/>
      <c r="J462" s="80"/>
      <c r="K462" s="79"/>
      <c r="L462" s="142"/>
      <c r="M462" s="1"/>
      <c r="N462" s="142"/>
      <c r="O462" s="1"/>
      <c r="P462" s="142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79">
        <f t="shared" si="805"/>
        <v>0</v>
      </c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R462" s="1"/>
      <c r="CS462" s="1"/>
      <c r="CT462" s="1"/>
      <c r="CU462" s="1"/>
      <c r="CV462" s="1"/>
      <c r="CW462" s="1"/>
      <c r="CX462" s="1"/>
      <c r="CY462" s="91" t="str">
        <f t="shared" si="831"/>
        <v/>
      </c>
      <c r="CZ462" s="1"/>
      <c r="DC462" s="96"/>
      <c r="DE462" s="96"/>
    </row>
    <row r="463">
      <c r="A463" s="1"/>
      <c r="B463" s="1"/>
      <c r="C463" s="76"/>
      <c r="D463" s="76"/>
      <c r="E463" s="76"/>
      <c r="F463" s="76"/>
      <c r="G463" s="79"/>
      <c r="H463" s="80"/>
      <c r="I463" s="79"/>
      <c r="J463" s="80"/>
      <c r="K463" s="79"/>
      <c r="L463" s="142"/>
      <c r="M463" s="1"/>
      <c r="N463" s="142"/>
      <c r="O463" s="1"/>
      <c r="P463" s="142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79">
        <f t="shared" si="805"/>
        <v>0</v>
      </c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R463" s="1"/>
      <c r="CS463" s="1"/>
      <c r="CT463" s="1"/>
      <c r="CU463" s="1"/>
      <c r="CV463" s="1"/>
      <c r="CW463" s="1"/>
      <c r="CX463" s="1"/>
      <c r="CY463" s="91" t="str">
        <f t="shared" si="831"/>
        <v/>
      </c>
      <c r="CZ463" s="1"/>
      <c r="DC463" s="96"/>
      <c r="DE463" s="96"/>
    </row>
    <row r="464">
      <c r="A464" s="1"/>
      <c r="B464" s="1"/>
      <c r="C464" s="76"/>
      <c r="D464" s="76"/>
      <c r="E464" s="76"/>
      <c r="F464" s="76"/>
      <c r="G464" s="79"/>
      <c r="H464" s="80"/>
      <c r="I464" s="79"/>
      <c r="J464" s="80"/>
      <c r="K464" s="79"/>
      <c r="L464" s="142"/>
      <c r="M464" s="1"/>
      <c r="N464" s="142"/>
      <c r="O464" s="1"/>
      <c r="P464" s="142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79">
        <f t="shared" si="805"/>
        <v>0</v>
      </c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R464" s="1"/>
      <c r="CS464" s="1"/>
      <c r="CT464" s="1"/>
      <c r="CU464" s="1"/>
      <c r="CV464" s="1"/>
      <c r="CW464" s="1"/>
      <c r="CX464" s="1"/>
      <c r="CY464" s="91" t="str">
        <f t="shared" si="831"/>
        <v/>
      </c>
      <c r="CZ464" s="1"/>
      <c r="DC464" s="96"/>
      <c r="DE464" s="96"/>
    </row>
    <row r="465">
      <c r="A465" s="1"/>
      <c r="B465" s="1"/>
      <c r="C465" s="76"/>
      <c r="D465" s="76"/>
      <c r="E465" s="76"/>
      <c r="F465" s="76"/>
      <c r="G465" s="79"/>
      <c r="H465" s="80"/>
      <c r="I465" s="79"/>
      <c r="J465" s="80"/>
      <c r="K465" s="79"/>
      <c r="L465" s="142"/>
      <c r="M465" s="1"/>
      <c r="N465" s="142"/>
      <c r="O465" s="1"/>
      <c r="P465" s="142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79">
        <f t="shared" si="805"/>
        <v>0</v>
      </c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R465" s="1"/>
      <c r="CS465" s="1"/>
      <c r="CT465" s="1"/>
      <c r="CU465" s="1"/>
      <c r="CV465" s="1"/>
      <c r="CW465" s="1"/>
      <c r="CX465" s="1"/>
      <c r="CY465" s="91" t="str">
        <f t="shared" si="831"/>
        <v/>
      </c>
      <c r="CZ465" s="1"/>
      <c r="DC465" s="96"/>
      <c r="DE465" s="96"/>
    </row>
    <row r="466">
      <c r="A466" s="1"/>
      <c r="B466" s="1"/>
      <c r="C466" s="76"/>
      <c r="D466" s="76"/>
      <c r="E466" s="76"/>
      <c r="F466" s="76"/>
      <c r="G466" s="79"/>
      <c r="H466" s="80"/>
      <c r="I466" s="79"/>
      <c r="J466" s="80"/>
      <c r="K466" s="79"/>
      <c r="L466" s="142"/>
      <c r="M466" s="1"/>
      <c r="N466" s="142"/>
      <c r="O466" s="1"/>
      <c r="P466" s="142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79">
        <f t="shared" si="805"/>
        <v>0</v>
      </c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R466" s="1"/>
      <c r="CS466" s="1"/>
      <c r="CT466" s="1"/>
      <c r="CU466" s="1"/>
      <c r="CV466" s="1"/>
      <c r="CW466" s="1"/>
      <c r="CX466" s="1"/>
      <c r="CY466" s="91" t="str">
        <f t="shared" si="831"/>
        <v/>
      </c>
      <c r="CZ466" s="1"/>
      <c r="DC466" s="96"/>
      <c r="DE466" s="96"/>
    </row>
    <row r="467">
      <c r="A467" s="1"/>
      <c r="B467" s="1"/>
      <c r="C467" s="76"/>
      <c r="D467" s="76"/>
      <c r="E467" s="76"/>
      <c r="F467" s="76"/>
      <c r="G467" s="79"/>
      <c r="H467" s="80"/>
      <c r="I467" s="79"/>
      <c r="J467" s="80"/>
      <c r="K467" s="79"/>
      <c r="L467" s="142"/>
      <c r="M467" s="1"/>
      <c r="N467" s="142"/>
      <c r="O467" s="1"/>
      <c r="P467" s="142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79">
        <f t="shared" si="805"/>
        <v>0</v>
      </c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R467" s="1"/>
      <c r="CS467" s="1"/>
      <c r="CT467" s="1"/>
      <c r="CU467" s="1"/>
      <c r="CV467" s="1"/>
      <c r="CW467" s="1"/>
      <c r="CX467" s="1"/>
      <c r="CY467" s="91" t="str">
        <f t="shared" si="831"/>
        <v/>
      </c>
      <c r="CZ467" s="1"/>
      <c r="DC467" s="96"/>
      <c r="DE467" s="96"/>
    </row>
    <row r="468">
      <c r="A468" s="1"/>
      <c r="B468" s="1"/>
      <c r="C468" s="76"/>
      <c r="D468" s="76"/>
      <c r="E468" s="76"/>
      <c r="F468" s="76"/>
      <c r="G468" s="79"/>
      <c r="H468" s="80"/>
      <c r="I468" s="79"/>
      <c r="J468" s="80"/>
      <c r="K468" s="79"/>
      <c r="L468" s="142"/>
      <c r="M468" s="1"/>
      <c r="N468" s="142"/>
      <c r="O468" s="1"/>
      <c r="P468" s="142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79">
        <f t="shared" si="805"/>
        <v>0</v>
      </c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R468" s="1"/>
      <c r="CS468" s="1"/>
      <c r="CT468" s="1"/>
      <c r="CU468" s="1"/>
      <c r="CV468" s="1"/>
      <c r="CW468" s="1"/>
      <c r="CX468" s="1"/>
      <c r="CY468" s="91" t="str">
        <f t="shared" si="831"/>
        <v/>
      </c>
      <c r="CZ468" s="1"/>
      <c r="DC468" s="96"/>
      <c r="DE468" s="96"/>
    </row>
    <row r="469">
      <c r="A469" s="1"/>
      <c r="B469" s="1"/>
      <c r="C469" s="76"/>
      <c r="D469" s="76"/>
      <c r="E469" s="76"/>
      <c r="F469" s="76"/>
      <c r="G469" s="79"/>
      <c r="H469" s="80"/>
      <c r="I469" s="79"/>
      <c r="J469" s="80"/>
      <c r="K469" s="79"/>
      <c r="L469" s="142"/>
      <c r="M469" s="1"/>
      <c r="N469" s="142"/>
      <c r="O469" s="1"/>
      <c r="P469" s="142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79">
        <f t="shared" si="805"/>
        <v>0</v>
      </c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R469" s="1"/>
      <c r="CS469" s="1"/>
      <c r="CT469" s="1"/>
      <c r="CU469" s="1"/>
      <c r="CV469" s="1"/>
      <c r="CW469" s="1"/>
      <c r="CX469" s="1"/>
      <c r="CY469" s="91" t="str">
        <f t="shared" si="831"/>
        <v/>
      </c>
      <c r="CZ469" s="1"/>
      <c r="DC469" s="96"/>
      <c r="DE469" s="96"/>
    </row>
    <row r="470">
      <c r="A470" s="1"/>
      <c r="B470" s="1"/>
      <c r="C470" s="76"/>
      <c r="D470" s="76"/>
      <c r="E470" s="76"/>
      <c r="F470" s="76"/>
      <c r="G470" s="79"/>
      <c r="H470" s="80"/>
      <c r="I470" s="79"/>
      <c r="J470" s="80"/>
      <c r="K470" s="79"/>
      <c r="L470" s="142"/>
      <c r="M470" s="1"/>
      <c r="N470" s="142"/>
      <c r="O470" s="1"/>
      <c r="P470" s="142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79">
        <f t="shared" si="805"/>
        <v>0</v>
      </c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R470" s="1"/>
      <c r="CS470" s="1"/>
      <c r="CT470" s="1"/>
      <c r="CU470" s="1"/>
      <c r="CV470" s="1"/>
      <c r="CW470" s="1"/>
      <c r="CX470" s="1"/>
      <c r="CY470" s="91" t="str">
        <f t="shared" si="831"/>
        <v/>
      </c>
      <c r="CZ470" s="1"/>
      <c r="DC470" s="96"/>
      <c r="DE470" s="96"/>
    </row>
    <row r="471">
      <c r="A471" s="1"/>
      <c r="B471" s="1"/>
      <c r="C471" s="76"/>
      <c r="D471" s="76"/>
      <c r="E471" s="76"/>
      <c r="F471" s="76"/>
      <c r="G471" s="79"/>
      <c r="H471" s="80"/>
      <c r="I471" s="79"/>
      <c r="J471" s="80"/>
      <c r="K471" s="79"/>
      <c r="L471" s="142"/>
      <c r="M471" s="1"/>
      <c r="N471" s="142"/>
      <c r="O471" s="1"/>
      <c r="P471" s="142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79">
        <f t="shared" si="805"/>
        <v>0</v>
      </c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R471" s="1"/>
      <c r="CS471" s="1"/>
      <c r="CT471" s="1"/>
      <c r="CU471" s="1"/>
      <c r="CV471" s="1"/>
      <c r="CW471" s="1"/>
      <c r="CX471" s="1"/>
      <c r="CY471" s="91" t="str">
        <f t="shared" si="831"/>
        <v/>
      </c>
      <c r="CZ471" s="1"/>
      <c r="DC471" s="96"/>
      <c r="DE471" s="96"/>
    </row>
    <row r="472">
      <c r="A472" s="1"/>
      <c r="B472" s="1"/>
      <c r="C472" s="76"/>
      <c r="D472" s="76"/>
      <c r="E472" s="76"/>
      <c r="F472" s="76"/>
      <c r="G472" s="79"/>
      <c r="H472" s="80"/>
      <c r="I472" s="79"/>
      <c r="J472" s="80"/>
      <c r="K472" s="79"/>
      <c r="L472" s="142"/>
      <c r="M472" s="1"/>
      <c r="N472" s="142"/>
      <c r="O472" s="1"/>
      <c r="P472" s="142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79">
        <f t="shared" si="805"/>
        <v>0</v>
      </c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R472" s="1"/>
      <c r="CS472" s="1"/>
      <c r="CT472" s="1"/>
      <c r="CU472" s="1"/>
      <c r="CV472" s="1"/>
      <c r="CW472" s="1"/>
      <c r="CX472" s="1"/>
      <c r="CY472" s="91" t="str">
        <f t="shared" si="831"/>
        <v/>
      </c>
      <c r="CZ472" s="1"/>
      <c r="DC472" s="96"/>
      <c r="DE472" s="96"/>
    </row>
    <row r="473">
      <c r="A473" s="1"/>
      <c r="B473" s="1"/>
      <c r="C473" s="76"/>
      <c r="D473" s="76"/>
      <c r="E473" s="76"/>
      <c r="F473" s="76"/>
      <c r="G473" s="79"/>
      <c r="H473" s="80"/>
      <c r="I473" s="79"/>
      <c r="J473" s="80"/>
      <c r="K473" s="79"/>
      <c r="L473" s="142"/>
      <c r="M473" s="1"/>
      <c r="N473" s="142"/>
      <c r="O473" s="1"/>
      <c r="P473" s="142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79">
        <f t="shared" si="805"/>
        <v>0</v>
      </c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R473" s="1"/>
      <c r="CS473" s="1"/>
      <c r="CT473" s="1"/>
      <c r="CU473" s="1"/>
      <c r="CV473" s="1"/>
      <c r="CW473" s="1"/>
      <c r="CX473" s="1"/>
      <c r="CY473" s="91" t="str">
        <f t="shared" si="831"/>
        <v/>
      </c>
      <c r="CZ473" s="1"/>
      <c r="DC473" s="96"/>
      <c r="DE473" s="96"/>
    </row>
    <row r="474">
      <c r="A474" s="1"/>
      <c r="B474" s="1"/>
      <c r="C474" s="76"/>
      <c r="D474" s="76"/>
      <c r="E474" s="76"/>
      <c r="F474" s="76"/>
      <c r="G474" s="79"/>
      <c r="H474" s="80"/>
      <c r="I474" s="79"/>
      <c r="J474" s="80"/>
      <c r="K474" s="79"/>
      <c r="L474" s="142"/>
      <c r="M474" s="1"/>
      <c r="N474" s="142"/>
      <c r="O474" s="1"/>
      <c r="P474" s="142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79">
        <f t="shared" si="805"/>
        <v>0</v>
      </c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R474" s="1"/>
      <c r="CS474" s="1"/>
      <c r="CT474" s="1"/>
      <c r="CU474" s="1"/>
      <c r="CV474" s="1"/>
      <c r="CW474" s="1"/>
      <c r="CX474" s="1"/>
      <c r="CY474" s="91" t="str">
        <f t="shared" si="831"/>
        <v/>
      </c>
      <c r="CZ474" s="1"/>
      <c r="DC474" s="96"/>
      <c r="DE474" s="96"/>
    </row>
    <row r="475">
      <c r="A475" s="1"/>
      <c r="B475" s="1"/>
      <c r="C475" s="76"/>
      <c r="D475" s="76"/>
      <c r="E475" s="76"/>
      <c r="F475" s="76"/>
      <c r="G475" s="79"/>
      <c r="H475" s="80"/>
      <c r="I475" s="79"/>
      <c r="J475" s="80"/>
      <c r="K475" s="79"/>
      <c r="L475" s="142"/>
      <c r="M475" s="1"/>
      <c r="N475" s="142"/>
      <c r="O475" s="1"/>
      <c r="P475" s="142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79">
        <f t="shared" si="805"/>
        <v>0</v>
      </c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R475" s="1"/>
      <c r="CS475" s="1"/>
      <c r="CT475" s="1"/>
      <c r="CU475" s="1"/>
      <c r="CV475" s="1"/>
      <c r="CW475" s="1"/>
      <c r="CX475" s="1"/>
      <c r="CY475" s="91" t="str">
        <f t="shared" si="831"/>
        <v/>
      </c>
      <c r="CZ475" s="1"/>
      <c r="DC475" s="96"/>
      <c r="DE475" s="96"/>
    </row>
    <row r="476">
      <c r="A476" s="1"/>
      <c r="B476" s="1"/>
      <c r="C476" s="76"/>
      <c r="D476" s="76"/>
      <c r="E476" s="76"/>
      <c r="F476" s="76"/>
      <c r="G476" s="79"/>
      <c r="H476" s="80"/>
      <c r="I476" s="79"/>
      <c r="J476" s="80"/>
      <c r="K476" s="79"/>
      <c r="L476" s="142"/>
      <c r="M476" s="1"/>
      <c r="N476" s="142"/>
      <c r="O476" s="1"/>
      <c r="P476" s="142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79">
        <f t="shared" si="805"/>
        <v>0</v>
      </c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R476" s="1"/>
      <c r="CS476" s="1"/>
      <c r="CT476" s="1"/>
      <c r="CU476" s="1"/>
      <c r="CV476" s="1"/>
      <c r="CW476" s="1"/>
      <c r="CX476" s="1"/>
      <c r="CY476" s="91" t="str">
        <f t="shared" si="831"/>
        <v/>
      </c>
      <c r="CZ476" s="1"/>
      <c r="DC476" s="96"/>
      <c r="DE476" s="96"/>
    </row>
    <row r="477">
      <c r="A477" s="1"/>
      <c r="B477" s="1"/>
      <c r="C477" s="76"/>
      <c r="D477" s="76"/>
      <c r="E477" s="76"/>
      <c r="F477" s="76"/>
      <c r="G477" s="79"/>
      <c r="H477" s="80"/>
      <c r="I477" s="79"/>
      <c r="J477" s="80"/>
      <c r="K477" s="79"/>
      <c r="L477" s="142"/>
      <c r="M477" s="1"/>
      <c r="N477" s="142"/>
      <c r="O477" s="1"/>
      <c r="P477" s="142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79">
        <f t="shared" si="805"/>
        <v>0</v>
      </c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R477" s="1"/>
      <c r="CS477" s="1"/>
      <c r="CT477" s="1"/>
      <c r="CU477" s="1"/>
      <c r="CV477" s="1"/>
      <c r="CW477" s="1"/>
      <c r="CX477" s="1"/>
      <c r="CY477" s="91" t="str">
        <f t="shared" si="831"/>
        <v/>
      </c>
      <c r="CZ477" s="1"/>
      <c r="DC477" s="96"/>
      <c r="DE477" s="96"/>
    </row>
    <row r="478">
      <c r="A478" s="1"/>
      <c r="B478" s="1"/>
      <c r="C478" s="76"/>
      <c r="D478" s="76"/>
      <c r="E478" s="76"/>
      <c r="F478" s="76"/>
      <c r="G478" s="79"/>
      <c r="H478" s="80"/>
      <c r="I478" s="79"/>
      <c r="J478" s="80"/>
      <c r="K478" s="79"/>
      <c r="L478" s="142"/>
      <c r="M478" s="1"/>
      <c r="N478" s="142"/>
      <c r="O478" s="1"/>
      <c r="P478" s="142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79">
        <f t="shared" si="805"/>
        <v>0</v>
      </c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R478" s="1"/>
      <c r="CS478" s="1"/>
      <c r="CT478" s="1"/>
      <c r="CU478" s="1"/>
      <c r="CV478" s="1"/>
      <c r="CW478" s="1"/>
      <c r="CX478" s="1"/>
      <c r="CY478" s="91" t="str">
        <f t="shared" si="831"/>
        <v/>
      </c>
      <c r="CZ478" s="1"/>
      <c r="DC478" s="96"/>
      <c r="DE478" s="96"/>
    </row>
    <row r="479">
      <c r="A479" s="1"/>
      <c r="B479" s="1"/>
      <c r="C479" s="76"/>
      <c r="D479" s="76"/>
      <c r="E479" s="76"/>
      <c r="F479" s="76"/>
      <c r="G479" s="79"/>
      <c r="H479" s="80"/>
      <c r="I479" s="79"/>
      <c r="J479" s="80"/>
      <c r="K479" s="79"/>
      <c r="L479" s="142"/>
      <c r="M479" s="1"/>
      <c r="N479" s="142"/>
      <c r="O479" s="1"/>
      <c r="P479" s="142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79">
        <f t="shared" si="805"/>
        <v>0</v>
      </c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R479" s="1"/>
      <c r="CS479" s="1"/>
      <c r="CT479" s="1"/>
      <c r="CU479" s="1"/>
      <c r="CV479" s="1"/>
      <c r="CW479" s="1"/>
      <c r="CX479" s="1"/>
      <c r="CY479" s="91" t="str">
        <f t="shared" si="831"/>
        <v/>
      </c>
      <c r="CZ479" s="1"/>
      <c r="DC479" s="96"/>
      <c r="DE479" s="96"/>
    </row>
    <row r="480">
      <c r="A480" s="1"/>
      <c r="B480" s="1"/>
      <c r="C480" s="76"/>
      <c r="D480" s="76"/>
      <c r="E480" s="76"/>
      <c r="F480" s="76"/>
      <c r="G480" s="79"/>
      <c r="H480" s="80"/>
      <c r="I480" s="79"/>
      <c r="J480" s="80"/>
      <c r="K480" s="79"/>
      <c r="L480" s="142"/>
      <c r="M480" s="1"/>
      <c r="N480" s="142"/>
      <c r="O480" s="1"/>
      <c r="P480" s="142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79">
        <f t="shared" si="805"/>
        <v>0</v>
      </c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R480" s="1"/>
      <c r="CS480" s="1"/>
      <c r="CT480" s="1"/>
      <c r="CU480" s="1"/>
      <c r="CV480" s="1"/>
      <c r="CW480" s="1"/>
      <c r="CX480" s="1"/>
      <c r="CY480" s="91" t="str">
        <f t="shared" si="831"/>
        <v/>
      </c>
      <c r="CZ480" s="1"/>
      <c r="DC480" s="96"/>
      <c r="DE480" s="96"/>
    </row>
    <row r="481">
      <c r="A481" s="1"/>
      <c r="B481" s="1"/>
      <c r="C481" s="76"/>
      <c r="D481" s="76"/>
      <c r="E481" s="76"/>
      <c r="F481" s="76"/>
      <c r="G481" s="79"/>
      <c r="H481" s="80"/>
      <c r="I481" s="79"/>
      <c r="J481" s="80"/>
      <c r="K481" s="79"/>
      <c r="L481" s="142"/>
      <c r="M481" s="1"/>
      <c r="N481" s="142"/>
      <c r="O481" s="1"/>
      <c r="P481" s="142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79">
        <f t="shared" si="805"/>
        <v>0</v>
      </c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R481" s="1"/>
      <c r="CS481" s="1"/>
      <c r="CT481" s="1"/>
      <c r="CU481" s="1"/>
      <c r="CV481" s="1"/>
      <c r="CW481" s="1"/>
      <c r="CX481" s="1"/>
      <c r="CY481" s="91" t="str">
        <f t="shared" si="831"/>
        <v/>
      </c>
      <c r="CZ481" s="1"/>
      <c r="DC481" s="96"/>
      <c r="DE481" s="96"/>
    </row>
    <row r="482">
      <c r="A482" s="1"/>
      <c r="B482" s="1"/>
      <c r="C482" s="76"/>
      <c r="D482" s="76"/>
      <c r="E482" s="76"/>
      <c r="F482" s="76"/>
      <c r="G482" s="79"/>
      <c r="H482" s="80"/>
      <c r="I482" s="79"/>
      <c r="J482" s="80"/>
      <c r="K482" s="79"/>
      <c r="L482" s="142"/>
      <c r="M482" s="1"/>
      <c r="N482" s="142"/>
      <c r="O482" s="1"/>
      <c r="P482" s="142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79">
        <f t="shared" si="805"/>
        <v>0</v>
      </c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R482" s="1"/>
      <c r="CS482" s="1"/>
      <c r="CT482" s="1"/>
      <c r="CU482" s="1"/>
      <c r="CV482" s="1"/>
      <c r="CW482" s="1"/>
      <c r="CX482" s="1"/>
      <c r="CY482" s="91" t="str">
        <f t="shared" si="831"/>
        <v/>
      </c>
      <c r="CZ482" s="1"/>
      <c r="DC482" s="96"/>
      <c r="DE482" s="96"/>
    </row>
    <row r="483">
      <c r="A483" s="1"/>
      <c r="B483" s="1"/>
      <c r="C483" s="76"/>
      <c r="D483" s="76"/>
      <c r="E483" s="76"/>
      <c r="F483" s="76"/>
      <c r="G483" s="79"/>
      <c r="H483" s="80"/>
      <c r="I483" s="79"/>
      <c r="J483" s="80"/>
      <c r="K483" s="79"/>
      <c r="L483" s="142"/>
      <c r="M483" s="1"/>
      <c r="N483" s="142"/>
      <c r="O483" s="1"/>
      <c r="P483" s="142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79">
        <f t="shared" si="805"/>
        <v>0</v>
      </c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R483" s="1"/>
      <c r="CS483" s="1"/>
      <c r="CT483" s="1"/>
      <c r="CU483" s="1"/>
      <c r="CV483" s="1"/>
      <c r="CW483" s="1"/>
      <c r="CX483" s="1"/>
      <c r="CY483" s="91" t="str">
        <f t="shared" si="831"/>
        <v/>
      </c>
      <c r="CZ483" s="1"/>
      <c r="DC483" s="96"/>
      <c r="DE483" s="96"/>
    </row>
    <row r="484">
      <c r="A484" s="1"/>
      <c r="B484" s="1"/>
      <c r="C484" s="76"/>
      <c r="D484" s="76"/>
      <c r="E484" s="76"/>
      <c r="F484" s="76"/>
      <c r="G484" s="79"/>
      <c r="H484" s="80"/>
      <c r="I484" s="79"/>
      <c r="J484" s="80"/>
      <c r="K484" s="79"/>
      <c r="L484" s="142"/>
      <c r="M484" s="1"/>
      <c r="N484" s="142"/>
      <c r="O484" s="1"/>
      <c r="P484" s="142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79">
        <f t="shared" si="805"/>
        <v>0</v>
      </c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R484" s="1"/>
      <c r="CS484" s="1"/>
      <c r="CT484" s="1"/>
      <c r="CU484" s="1"/>
      <c r="CV484" s="1"/>
      <c r="CW484" s="1"/>
      <c r="CX484" s="1"/>
      <c r="CY484" s="91" t="str">
        <f t="shared" si="831"/>
        <v/>
      </c>
      <c r="CZ484" s="1"/>
      <c r="DC484" s="96"/>
      <c r="DE484" s="96"/>
    </row>
    <row r="485">
      <c r="A485" s="1"/>
      <c r="B485" s="1"/>
      <c r="C485" s="76"/>
      <c r="D485" s="76"/>
      <c r="E485" s="76"/>
      <c r="F485" s="76"/>
      <c r="G485" s="79"/>
      <c r="H485" s="80"/>
      <c r="I485" s="79"/>
      <c r="J485" s="80"/>
      <c r="K485" s="79"/>
      <c r="L485" s="142"/>
      <c r="M485" s="1"/>
      <c r="N485" s="142"/>
      <c r="O485" s="1"/>
      <c r="P485" s="142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79">
        <f t="shared" si="805"/>
        <v>0</v>
      </c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R485" s="1"/>
      <c r="CS485" s="1"/>
      <c r="CT485" s="1"/>
      <c r="CU485" s="1"/>
      <c r="CV485" s="1"/>
      <c r="CW485" s="1"/>
      <c r="CX485" s="1"/>
      <c r="CY485" s="91" t="str">
        <f t="shared" si="831"/>
        <v/>
      </c>
      <c r="CZ485" s="1"/>
      <c r="DC485" s="96"/>
      <c r="DE485" s="96"/>
    </row>
    <row r="486">
      <c r="A486" s="1"/>
      <c r="B486" s="1"/>
      <c r="C486" s="76"/>
      <c r="D486" s="76"/>
      <c r="E486" s="76"/>
      <c r="F486" s="76"/>
      <c r="G486" s="79"/>
      <c r="H486" s="80"/>
      <c r="I486" s="79"/>
      <c r="J486" s="80"/>
      <c r="K486" s="79"/>
      <c r="L486" s="142"/>
      <c r="M486" s="1"/>
      <c r="N486" s="142"/>
      <c r="O486" s="1"/>
      <c r="P486" s="142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79">
        <f t="shared" si="805"/>
        <v>0</v>
      </c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R486" s="1"/>
      <c r="CS486" s="1"/>
      <c r="CT486" s="1"/>
      <c r="CU486" s="1"/>
      <c r="CV486" s="1"/>
      <c r="CW486" s="1"/>
      <c r="CX486" s="1"/>
      <c r="CY486" s="91" t="str">
        <f t="shared" si="831"/>
        <v/>
      </c>
      <c r="CZ486" s="1"/>
      <c r="DC486" s="96"/>
      <c r="DE486" s="96"/>
    </row>
    <row r="487">
      <c r="A487" s="1"/>
      <c r="B487" s="1"/>
      <c r="C487" s="76"/>
      <c r="D487" s="76"/>
      <c r="E487" s="76"/>
      <c r="F487" s="76"/>
      <c r="G487" s="79"/>
      <c r="H487" s="80"/>
      <c r="I487" s="79"/>
      <c r="J487" s="80"/>
      <c r="K487" s="79"/>
      <c r="L487" s="142"/>
      <c r="M487" s="1"/>
      <c r="N487" s="142"/>
      <c r="O487" s="1"/>
      <c r="P487" s="142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79">
        <f t="shared" si="805"/>
        <v>0</v>
      </c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R487" s="1"/>
      <c r="CS487" s="1"/>
      <c r="CT487" s="1"/>
      <c r="CU487" s="1"/>
      <c r="CV487" s="1"/>
      <c r="CW487" s="1"/>
      <c r="CX487" s="1"/>
      <c r="CY487" s="91" t="str">
        <f t="shared" si="831"/>
        <v/>
      </c>
      <c r="CZ487" s="1"/>
      <c r="DC487" s="96"/>
      <c r="DE487" s="96"/>
    </row>
    <row r="488">
      <c r="A488" s="1"/>
      <c r="B488" s="1"/>
      <c r="C488" s="76"/>
      <c r="D488" s="76"/>
      <c r="E488" s="76"/>
      <c r="F488" s="76"/>
      <c r="G488" s="79"/>
      <c r="H488" s="80"/>
      <c r="I488" s="79"/>
      <c r="J488" s="80"/>
      <c r="K488" s="79"/>
      <c r="L488" s="142"/>
      <c r="M488" s="1"/>
      <c r="N488" s="142"/>
      <c r="O488" s="1"/>
      <c r="P488" s="142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79">
        <f t="shared" si="805"/>
        <v>0</v>
      </c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R488" s="1"/>
      <c r="CS488" s="1"/>
      <c r="CT488" s="1"/>
      <c r="CU488" s="1"/>
      <c r="CV488" s="1"/>
      <c r="CW488" s="1"/>
      <c r="CX488" s="1"/>
      <c r="CY488" s="91" t="str">
        <f t="shared" si="831"/>
        <v/>
      </c>
      <c r="CZ488" s="1"/>
      <c r="DC488" s="96"/>
      <c r="DE488" s="96"/>
    </row>
    <row r="489">
      <c r="A489" s="1"/>
      <c r="B489" s="1"/>
      <c r="C489" s="76"/>
      <c r="D489" s="76"/>
      <c r="E489" s="76"/>
      <c r="F489" s="76"/>
      <c r="G489" s="79"/>
      <c r="H489" s="80"/>
      <c r="I489" s="79"/>
      <c r="J489" s="80"/>
      <c r="K489" s="79"/>
      <c r="L489" s="142"/>
      <c r="M489" s="1"/>
      <c r="N489" s="142"/>
      <c r="O489" s="1"/>
      <c r="P489" s="142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79">
        <f t="shared" si="805"/>
        <v>0</v>
      </c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R489" s="1"/>
      <c r="CS489" s="1"/>
      <c r="CT489" s="1"/>
      <c r="CU489" s="1"/>
      <c r="CV489" s="1"/>
      <c r="CW489" s="1"/>
      <c r="CX489" s="1"/>
      <c r="CY489" s="91" t="str">
        <f t="shared" si="831"/>
        <v/>
      </c>
      <c r="CZ489" s="1"/>
      <c r="DC489" s="96"/>
      <c r="DE489" s="96"/>
    </row>
    <row r="490">
      <c r="A490" s="1"/>
      <c r="B490" s="1"/>
      <c r="C490" s="76"/>
      <c r="D490" s="76"/>
      <c r="E490" s="76"/>
      <c r="F490" s="76"/>
      <c r="G490" s="79"/>
      <c r="H490" s="80"/>
      <c r="I490" s="79"/>
      <c r="J490" s="80"/>
      <c r="K490" s="79"/>
      <c r="L490" s="142"/>
      <c r="M490" s="1"/>
      <c r="N490" s="142"/>
      <c r="O490" s="1"/>
      <c r="P490" s="142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79">
        <f t="shared" si="805"/>
        <v>0</v>
      </c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R490" s="1"/>
      <c r="CS490" s="1"/>
      <c r="CT490" s="1"/>
      <c r="CU490" s="1"/>
      <c r="CV490" s="1"/>
      <c r="CW490" s="1"/>
      <c r="CX490" s="1"/>
      <c r="CY490" s="91" t="str">
        <f t="shared" si="831"/>
        <v/>
      </c>
      <c r="CZ490" s="1"/>
      <c r="DC490" s="96"/>
      <c r="DE490" s="96"/>
    </row>
    <row r="491">
      <c r="A491" s="1"/>
      <c r="B491" s="1"/>
      <c r="C491" s="76"/>
      <c r="D491" s="76"/>
      <c r="E491" s="76"/>
      <c r="F491" s="76"/>
      <c r="G491" s="79"/>
      <c r="H491" s="80"/>
      <c r="I491" s="79"/>
      <c r="J491" s="80"/>
      <c r="K491" s="79"/>
      <c r="L491" s="142"/>
      <c r="M491" s="1"/>
      <c r="N491" s="142"/>
      <c r="O491" s="1"/>
      <c r="P491" s="142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79">
        <f t="shared" si="805"/>
        <v>0</v>
      </c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R491" s="1"/>
      <c r="CS491" s="1"/>
      <c r="CT491" s="1"/>
      <c r="CU491" s="1"/>
      <c r="CV491" s="1"/>
      <c r="CW491" s="1"/>
      <c r="CX491" s="1"/>
      <c r="CY491" s="91" t="str">
        <f t="shared" si="831"/>
        <v/>
      </c>
      <c r="CZ491" s="1"/>
      <c r="DC491" s="96"/>
      <c r="DE491" s="96"/>
    </row>
    <row r="492">
      <c r="A492" s="1"/>
      <c r="B492" s="1"/>
      <c r="C492" s="76"/>
      <c r="D492" s="76"/>
      <c r="E492" s="76"/>
      <c r="F492" s="76"/>
      <c r="G492" s="79"/>
      <c r="H492" s="80"/>
      <c r="I492" s="79"/>
      <c r="J492" s="80"/>
      <c r="K492" s="79"/>
      <c r="L492" s="142"/>
      <c r="M492" s="1"/>
      <c r="N492" s="142"/>
      <c r="O492" s="1"/>
      <c r="P492" s="142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79">
        <f t="shared" si="805"/>
        <v>0</v>
      </c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R492" s="1"/>
      <c r="CS492" s="1"/>
      <c r="CT492" s="1"/>
      <c r="CU492" s="1"/>
      <c r="CV492" s="1"/>
      <c r="CW492" s="1"/>
      <c r="CX492" s="1"/>
      <c r="CY492" s="91" t="str">
        <f t="shared" si="831"/>
        <v/>
      </c>
      <c r="CZ492" s="1"/>
      <c r="DC492" s="96"/>
      <c r="DE492" s="96"/>
    </row>
    <row r="493">
      <c r="A493" s="1"/>
      <c r="B493" s="1"/>
      <c r="C493" s="76"/>
      <c r="D493" s="76"/>
      <c r="E493" s="76"/>
      <c r="F493" s="76"/>
      <c r="G493" s="79"/>
      <c r="H493" s="80"/>
      <c r="I493" s="79"/>
      <c r="J493" s="80"/>
      <c r="K493" s="79"/>
      <c r="L493" s="142"/>
      <c r="M493" s="1"/>
      <c r="N493" s="142"/>
      <c r="O493" s="1"/>
      <c r="P493" s="142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79">
        <f t="shared" si="805"/>
        <v>0</v>
      </c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R493" s="1"/>
      <c r="CS493" s="1"/>
      <c r="CT493" s="1"/>
      <c r="CU493" s="1"/>
      <c r="CV493" s="1"/>
      <c r="CW493" s="1"/>
      <c r="CX493" s="1"/>
      <c r="CY493" s="91" t="str">
        <f t="shared" si="831"/>
        <v/>
      </c>
      <c r="CZ493" s="1"/>
      <c r="DC493" s="96"/>
      <c r="DE493" s="96"/>
    </row>
    <row r="494">
      <c r="A494" s="1"/>
      <c r="B494" s="1"/>
      <c r="C494" s="76"/>
      <c r="D494" s="76"/>
      <c r="E494" s="76"/>
      <c r="F494" s="76"/>
      <c r="G494" s="79"/>
      <c r="H494" s="80"/>
      <c r="I494" s="79"/>
      <c r="J494" s="80"/>
      <c r="K494" s="79"/>
      <c r="L494" s="142"/>
      <c r="M494" s="1"/>
      <c r="N494" s="142"/>
      <c r="O494" s="1"/>
      <c r="P494" s="142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79">
        <f t="shared" si="805"/>
        <v>0</v>
      </c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R494" s="1"/>
      <c r="CS494" s="1"/>
      <c r="CT494" s="1"/>
      <c r="CU494" s="1"/>
      <c r="CV494" s="1"/>
      <c r="CW494" s="1"/>
      <c r="CX494" s="1"/>
      <c r="CY494" s="91" t="str">
        <f t="shared" si="831"/>
        <v/>
      </c>
      <c r="CZ494" s="1"/>
      <c r="DC494" s="96"/>
      <c r="DE494" s="96"/>
    </row>
    <row r="495">
      <c r="A495" s="1"/>
      <c r="B495" s="1"/>
      <c r="C495" s="76"/>
      <c r="D495" s="76"/>
      <c r="E495" s="76"/>
      <c r="F495" s="76"/>
      <c r="G495" s="79"/>
      <c r="H495" s="80"/>
      <c r="I495" s="79"/>
      <c r="J495" s="80"/>
      <c r="K495" s="79"/>
      <c r="L495" s="142"/>
      <c r="M495" s="1"/>
      <c r="N495" s="142"/>
      <c r="O495" s="1"/>
      <c r="P495" s="142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79">
        <f t="shared" si="805"/>
        <v>0</v>
      </c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R495" s="1"/>
      <c r="CS495" s="1"/>
      <c r="CT495" s="1"/>
      <c r="CU495" s="1"/>
      <c r="CV495" s="1"/>
      <c r="CW495" s="1"/>
      <c r="CX495" s="1"/>
      <c r="CY495" s="91" t="str">
        <f t="shared" si="831"/>
        <v/>
      </c>
      <c r="CZ495" s="1"/>
      <c r="DC495" s="96"/>
      <c r="DE495" s="96"/>
    </row>
    <row r="496">
      <c r="A496" s="1"/>
      <c r="B496" s="1"/>
      <c r="C496" s="76"/>
      <c r="D496" s="76"/>
      <c r="E496" s="76"/>
      <c r="F496" s="76"/>
      <c r="G496" s="79"/>
      <c r="H496" s="80"/>
      <c r="I496" s="79"/>
      <c r="J496" s="80"/>
      <c r="K496" s="79"/>
      <c r="L496" s="142"/>
      <c r="M496" s="1"/>
      <c r="N496" s="142"/>
      <c r="O496" s="1"/>
      <c r="P496" s="142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79">
        <f t="shared" si="805"/>
        <v>0</v>
      </c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R496" s="1"/>
      <c r="CS496" s="1"/>
      <c r="CT496" s="1"/>
      <c r="CU496" s="1"/>
      <c r="CV496" s="1"/>
      <c r="CW496" s="1"/>
      <c r="CX496" s="1"/>
      <c r="CY496" s="91" t="str">
        <f t="shared" si="831"/>
        <v/>
      </c>
      <c r="CZ496" s="1"/>
      <c r="DC496" s="96"/>
      <c r="DE496" s="96"/>
    </row>
    <row r="497">
      <c r="A497" s="1"/>
      <c r="B497" s="1"/>
      <c r="C497" s="76"/>
      <c r="D497" s="76"/>
      <c r="E497" s="76"/>
      <c r="F497" s="76"/>
      <c r="G497" s="79"/>
      <c r="H497" s="80"/>
      <c r="I497" s="79"/>
      <c r="J497" s="80"/>
      <c r="K497" s="79"/>
      <c r="L497" s="142"/>
      <c r="M497" s="1"/>
      <c r="N497" s="142"/>
      <c r="O497" s="1"/>
      <c r="P497" s="142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79">
        <f t="shared" si="805"/>
        <v>0</v>
      </c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R497" s="1"/>
      <c r="CS497" s="1"/>
      <c r="CT497" s="1"/>
      <c r="CU497" s="1"/>
      <c r="CV497" s="1"/>
      <c r="CW497" s="1"/>
      <c r="CX497" s="1"/>
      <c r="CY497" s="91" t="str">
        <f t="shared" si="831"/>
        <v/>
      </c>
      <c r="CZ497" s="1"/>
      <c r="DC497" s="96"/>
      <c r="DE497" s="96"/>
    </row>
    <row r="498">
      <c r="A498" s="1"/>
      <c r="B498" s="1"/>
      <c r="C498" s="76"/>
      <c r="D498" s="76"/>
      <c r="E498" s="76"/>
      <c r="F498" s="76"/>
      <c r="G498" s="79"/>
      <c r="H498" s="80"/>
      <c r="I498" s="79"/>
      <c r="J498" s="80"/>
      <c r="K498" s="79"/>
      <c r="L498" s="142"/>
      <c r="M498" s="1"/>
      <c r="N498" s="142"/>
      <c r="O498" s="1"/>
      <c r="P498" s="142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79">
        <f t="shared" si="805"/>
        <v>0</v>
      </c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R498" s="1"/>
      <c r="CS498" s="1"/>
      <c r="CT498" s="1"/>
      <c r="CU498" s="1"/>
      <c r="CV498" s="1"/>
      <c r="CW498" s="1"/>
      <c r="CX498" s="1"/>
      <c r="CY498" s="91" t="str">
        <f t="shared" si="831"/>
        <v/>
      </c>
      <c r="CZ498" s="1"/>
      <c r="DC498" s="96"/>
      <c r="DE498" s="96"/>
    </row>
    <row r="499">
      <c r="A499" s="1"/>
      <c r="B499" s="1"/>
      <c r="C499" s="76"/>
      <c r="D499" s="76"/>
      <c r="E499" s="76"/>
      <c r="F499" s="76"/>
      <c r="G499" s="79"/>
      <c r="H499" s="80"/>
      <c r="I499" s="79"/>
      <c r="J499" s="80"/>
      <c r="K499" s="79"/>
      <c r="L499" s="142"/>
      <c r="M499" s="1"/>
      <c r="N499" s="142"/>
      <c r="O499" s="1"/>
      <c r="P499" s="142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79">
        <f t="shared" si="805"/>
        <v>0</v>
      </c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R499" s="1"/>
      <c r="CS499" s="1"/>
      <c r="CT499" s="1"/>
      <c r="CU499" s="1"/>
      <c r="CV499" s="1"/>
      <c r="CW499" s="1"/>
      <c r="CX499" s="1"/>
      <c r="CY499" s="91" t="str">
        <f t="shared" si="831"/>
        <v/>
      </c>
      <c r="CZ499" s="1"/>
      <c r="DC499" s="96"/>
      <c r="DE499" s="96"/>
    </row>
    <row r="500">
      <c r="A500" s="1"/>
      <c r="B500" s="1"/>
      <c r="C500" s="76"/>
      <c r="D500" s="76"/>
      <c r="E500" s="76"/>
      <c r="F500" s="76"/>
      <c r="G500" s="79"/>
      <c r="H500" s="80"/>
      <c r="I500" s="79"/>
      <c r="J500" s="80"/>
      <c r="K500" s="79"/>
      <c r="L500" s="142"/>
      <c r="M500" s="1"/>
      <c r="N500" s="142"/>
      <c r="O500" s="1"/>
      <c r="P500" s="142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79">
        <f t="shared" si="805"/>
        <v>0</v>
      </c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R500" s="1"/>
      <c r="CS500" s="1"/>
      <c r="CT500" s="1"/>
      <c r="CU500" s="1"/>
      <c r="CV500" s="1"/>
      <c r="CW500" s="1"/>
      <c r="CX500" s="1"/>
      <c r="CY500" s="91" t="str">
        <f t="shared" si="831"/>
        <v/>
      </c>
      <c r="CZ500" s="1"/>
      <c r="DC500" s="96"/>
      <c r="DE500" s="96"/>
    </row>
    <row r="501">
      <c r="A501" s="1"/>
      <c r="B501" s="1"/>
      <c r="C501" s="76"/>
      <c r="D501" s="76"/>
      <c r="E501" s="76"/>
      <c r="F501" s="76"/>
      <c r="G501" s="79"/>
      <c r="H501" s="80"/>
      <c r="I501" s="79"/>
      <c r="J501" s="80"/>
      <c r="K501" s="79"/>
      <c r="L501" s="142"/>
      <c r="M501" s="1"/>
      <c r="N501" s="142"/>
      <c r="O501" s="1"/>
      <c r="P501" s="142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79">
        <f t="shared" si="805"/>
        <v>0</v>
      </c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R501" s="1"/>
      <c r="CS501" s="1"/>
      <c r="CT501" s="1"/>
      <c r="CU501" s="1"/>
      <c r="CV501" s="1"/>
      <c r="CW501" s="1"/>
      <c r="CX501" s="1"/>
      <c r="CY501" s="91" t="str">
        <f t="shared" si="831"/>
        <v/>
      </c>
      <c r="CZ501" s="1"/>
      <c r="DC501" s="96"/>
      <c r="DE501" s="96"/>
    </row>
    <row r="502">
      <c r="A502" s="1"/>
      <c r="B502" s="1"/>
      <c r="C502" s="76"/>
      <c r="D502" s="76"/>
      <c r="E502" s="76"/>
      <c r="F502" s="76"/>
      <c r="G502" s="79"/>
      <c r="H502" s="80"/>
      <c r="I502" s="79"/>
      <c r="J502" s="80"/>
      <c r="K502" s="79"/>
      <c r="L502" s="142"/>
      <c r="M502" s="1"/>
      <c r="N502" s="142"/>
      <c r="O502" s="1"/>
      <c r="P502" s="142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79">
        <f t="shared" si="805"/>
        <v>0</v>
      </c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R502" s="1"/>
      <c r="CS502" s="1"/>
      <c r="CT502" s="1"/>
      <c r="CU502" s="1"/>
      <c r="CV502" s="1"/>
      <c r="CW502" s="1"/>
      <c r="CX502" s="1"/>
      <c r="CY502" s="91" t="str">
        <f t="shared" si="831"/>
        <v/>
      </c>
      <c r="CZ502" s="1"/>
      <c r="DC502" s="96"/>
      <c r="DE502" s="96"/>
    </row>
    <row r="503">
      <c r="A503" s="1"/>
      <c r="B503" s="1"/>
      <c r="C503" s="76"/>
      <c r="D503" s="76"/>
      <c r="E503" s="76"/>
      <c r="F503" s="76"/>
      <c r="G503" s="79"/>
      <c r="H503" s="80"/>
      <c r="I503" s="79"/>
      <c r="J503" s="80"/>
      <c r="K503" s="79"/>
      <c r="L503" s="142"/>
      <c r="M503" s="1"/>
      <c r="N503" s="142"/>
      <c r="O503" s="1"/>
      <c r="P503" s="142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79">
        <f t="shared" si="805"/>
        <v>0</v>
      </c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R503" s="1"/>
      <c r="CS503" s="1"/>
      <c r="CT503" s="1"/>
      <c r="CU503" s="1"/>
      <c r="CV503" s="1"/>
      <c r="CW503" s="1"/>
      <c r="CX503" s="1"/>
      <c r="CY503" s="91" t="str">
        <f t="shared" si="831"/>
        <v/>
      </c>
      <c r="CZ503" s="1"/>
      <c r="DC503" s="96"/>
      <c r="DE503" s="96"/>
    </row>
    <row r="504">
      <c r="A504" s="1"/>
      <c r="B504" s="1"/>
      <c r="C504" s="76"/>
      <c r="D504" s="76"/>
      <c r="E504" s="76"/>
      <c r="F504" s="76"/>
      <c r="G504" s="79"/>
      <c r="H504" s="80"/>
      <c r="I504" s="79"/>
      <c r="J504" s="80"/>
      <c r="K504" s="79"/>
      <c r="L504" s="142"/>
      <c r="M504" s="1"/>
      <c r="N504" s="142"/>
      <c r="O504" s="1"/>
      <c r="P504" s="142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79">
        <f t="shared" si="805"/>
        <v>0</v>
      </c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R504" s="1"/>
      <c r="CS504" s="1"/>
      <c r="CT504" s="1"/>
      <c r="CU504" s="1"/>
      <c r="CV504" s="1"/>
      <c r="CW504" s="1"/>
      <c r="CX504" s="1"/>
      <c r="CY504" s="91" t="str">
        <f t="shared" si="831"/>
        <v/>
      </c>
      <c r="CZ504" s="1"/>
      <c r="DC504" s="96"/>
      <c r="DE504" s="96"/>
    </row>
    <row r="505">
      <c r="A505" s="1"/>
      <c r="B505" s="1"/>
      <c r="C505" s="76"/>
      <c r="D505" s="76"/>
      <c r="E505" s="76"/>
      <c r="F505" s="76"/>
      <c r="G505" s="79"/>
      <c r="H505" s="80"/>
      <c r="I505" s="79"/>
      <c r="J505" s="80"/>
      <c r="K505" s="79"/>
      <c r="L505" s="142"/>
      <c r="M505" s="1"/>
      <c r="N505" s="142"/>
      <c r="O505" s="1"/>
      <c r="P505" s="142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79">
        <f t="shared" si="805"/>
        <v>0</v>
      </c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R505" s="1"/>
      <c r="CS505" s="1"/>
      <c r="CT505" s="1"/>
      <c r="CU505" s="1"/>
      <c r="CV505" s="1"/>
      <c r="CW505" s="1"/>
      <c r="CX505" s="1"/>
      <c r="CY505" s="91" t="str">
        <f t="shared" si="831"/>
        <v/>
      </c>
      <c r="CZ505" s="1"/>
      <c r="DC505" s="96"/>
      <c r="DE505" s="96"/>
    </row>
    <row r="506">
      <c r="A506" s="1"/>
      <c r="B506" s="1"/>
      <c r="C506" s="76"/>
      <c r="D506" s="76"/>
      <c r="E506" s="76"/>
      <c r="F506" s="76"/>
      <c r="G506" s="79"/>
      <c r="H506" s="80"/>
      <c r="I506" s="79"/>
      <c r="J506" s="80"/>
      <c r="K506" s="79"/>
      <c r="L506" s="142"/>
      <c r="M506" s="1"/>
      <c r="N506" s="142"/>
      <c r="O506" s="1"/>
      <c r="P506" s="142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79">
        <f t="shared" si="805"/>
        <v>0</v>
      </c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R506" s="1"/>
      <c r="CS506" s="1"/>
      <c r="CT506" s="1"/>
      <c r="CU506" s="1"/>
      <c r="CV506" s="1"/>
      <c r="CW506" s="1"/>
      <c r="CX506" s="1"/>
      <c r="CY506" s="91" t="str">
        <f t="shared" si="831"/>
        <v/>
      </c>
      <c r="CZ506" s="1"/>
      <c r="DC506" s="96"/>
      <c r="DE506" s="96"/>
    </row>
    <row r="507">
      <c r="A507" s="1"/>
      <c r="B507" s="1"/>
      <c r="C507" s="76"/>
      <c r="D507" s="76"/>
      <c r="E507" s="76"/>
      <c r="F507" s="76"/>
      <c r="G507" s="79"/>
      <c r="H507" s="80"/>
      <c r="I507" s="79"/>
      <c r="J507" s="80"/>
      <c r="K507" s="79"/>
      <c r="L507" s="142"/>
      <c r="M507" s="1"/>
      <c r="N507" s="142"/>
      <c r="O507" s="1"/>
      <c r="P507" s="142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79">
        <f t="shared" si="805"/>
        <v>0</v>
      </c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R507" s="1"/>
      <c r="CS507" s="1"/>
      <c r="CT507" s="1"/>
      <c r="CU507" s="1"/>
      <c r="CV507" s="1"/>
      <c r="CW507" s="1"/>
      <c r="CX507" s="1"/>
      <c r="CY507" s="91" t="str">
        <f t="shared" si="831"/>
        <v/>
      </c>
      <c r="CZ507" s="1"/>
      <c r="DC507" s="96"/>
      <c r="DE507" s="96"/>
    </row>
    <row r="508">
      <c r="A508" s="1"/>
      <c r="B508" s="1"/>
      <c r="C508" s="76"/>
      <c r="D508" s="76"/>
      <c r="E508" s="76"/>
      <c r="F508" s="76"/>
      <c r="G508" s="79"/>
      <c r="H508" s="80"/>
      <c r="I508" s="79"/>
      <c r="J508" s="80"/>
      <c r="K508" s="79"/>
      <c r="L508" s="142"/>
      <c r="M508" s="1"/>
      <c r="N508" s="142"/>
      <c r="O508" s="1"/>
      <c r="P508" s="142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79">
        <f t="shared" si="805"/>
        <v>0</v>
      </c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R508" s="1"/>
      <c r="CS508" s="1"/>
      <c r="CT508" s="1"/>
      <c r="CU508" s="1"/>
      <c r="CV508" s="1"/>
      <c r="CW508" s="1"/>
      <c r="CX508" s="1"/>
      <c r="CY508" s="91" t="str">
        <f t="shared" si="831"/>
        <v/>
      </c>
      <c r="CZ508" s="1"/>
      <c r="DC508" s="96"/>
      <c r="DE508" s="96"/>
    </row>
    <row r="509">
      <c r="A509" s="1"/>
      <c r="B509" s="1"/>
      <c r="C509" s="76"/>
      <c r="D509" s="76"/>
      <c r="E509" s="76"/>
      <c r="F509" s="76"/>
      <c r="G509" s="79"/>
      <c r="H509" s="80"/>
      <c r="I509" s="79"/>
      <c r="J509" s="80"/>
      <c r="K509" s="79"/>
      <c r="L509" s="142"/>
      <c r="M509" s="1"/>
      <c r="N509" s="142"/>
      <c r="O509" s="1"/>
      <c r="P509" s="142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79">
        <f t="shared" si="805"/>
        <v>0</v>
      </c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R509" s="1"/>
      <c r="CS509" s="1"/>
      <c r="CT509" s="1"/>
      <c r="CU509" s="1"/>
      <c r="CV509" s="1"/>
      <c r="CW509" s="1"/>
      <c r="CX509" s="1"/>
      <c r="CY509" s="91" t="str">
        <f t="shared" si="831"/>
        <v/>
      </c>
      <c r="CZ509" s="1"/>
      <c r="DC509" s="96"/>
      <c r="DE509" s="96"/>
    </row>
    <row r="510">
      <c r="A510" s="1"/>
      <c r="B510" s="1"/>
      <c r="C510" s="76"/>
      <c r="D510" s="76"/>
      <c r="E510" s="76"/>
      <c r="F510" s="76"/>
      <c r="G510" s="79"/>
      <c r="H510" s="80"/>
      <c r="I510" s="79"/>
      <c r="J510" s="80"/>
      <c r="K510" s="79"/>
      <c r="L510" s="142"/>
      <c r="M510" s="1"/>
      <c r="N510" s="142"/>
      <c r="O510" s="1"/>
      <c r="P510" s="142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79">
        <f t="shared" si="805"/>
        <v>0</v>
      </c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R510" s="1"/>
      <c r="CS510" s="1"/>
      <c r="CT510" s="1"/>
      <c r="CU510" s="1"/>
      <c r="CV510" s="1"/>
      <c r="CW510" s="1"/>
      <c r="CX510" s="1"/>
      <c r="CY510" s="91" t="str">
        <f t="shared" si="831"/>
        <v/>
      </c>
      <c r="CZ510" s="1"/>
      <c r="DC510" s="96"/>
      <c r="DE510" s="96"/>
    </row>
    <row r="511">
      <c r="A511" s="1"/>
      <c r="B511" s="1"/>
      <c r="C511" s="76"/>
      <c r="D511" s="76"/>
      <c r="E511" s="76"/>
      <c r="F511" s="76"/>
      <c r="G511" s="79"/>
      <c r="H511" s="80"/>
      <c r="I511" s="79"/>
      <c r="J511" s="80"/>
      <c r="K511" s="79"/>
      <c r="L511" s="142"/>
      <c r="M511" s="1"/>
      <c r="N511" s="142"/>
      <c r="O511" s="1"/>
      <c r="P511" s="142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79">
        <f t="shared" si="805"/>
        <v>0</v>
      </c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R511" s="1"/>
      <c r="CS511" s="1"/>
      <c r="CT511" s="1"/>
      <c r="CU511" s="1"/>
      <c r="CV511" s="1"/>
      <c r="CW511" s="1"/>
      <c r="CX511" s="1"/>
      <c r="CY511" s="91" t="str">
        <f t="shared" si="831"/>
        <v/>
      </c>
      <c r="CZ511" s="1"/>
      <c r="DC511" s="96"/>
      <c r="DE511" s="96"/>
    </row>
    <row r="512">
      <c r="A512" s="1"/>
      <c r="B512" s="1"/>
      <c r="C512" s="76"/>
      <c r="D512" s="76"/>
      <c r="E512" s="76"/>
      <c r="F512" s="76"/>
      <c r="G512" s="79"/>
      <c r="H512" s="80"/>
      <c r="I512" s="79"/>
      <c r="J512" s="80"/>
      <c r="K512" s="79"/>
      <c r="L512" s="142"/>
      <c r="M512" s="1"/>
      <c r="N512" s="142"/>
      <c r="O512" s="1"/>
      <c r="P512" s="142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79">
        <f t="shared" si="805"/>
        <v>0</v>
      </c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R512" s="1"/>
      <c r="CS512" s="1"/>
      <c r="CT512" s="1"/>
      <c r="CU512" s="1"/>
      <c r="CV512" s="1"/>
      <c r="CW512" s="1"/>
      <c r="CX512" s="1"/>
      <c r="CY512" s="91" t="str">
        <f t="shared" si="831"/>
        <v/>
      </c>
      <c r="CZ512" s="1"/>
      <c r="DC512" s="96"/>
      <c r="DE512" s="96"/>
    </row>
    <row r="513">
      <c r="A513" s="1"/>
      <c r="B513" s="1"/>
      <c r="C513" s="76"/>
      <c r="D513" s="76"/>
      <c r="E513" s="76"/>
      <c r="F513" s="76"/>
      <c r="G513" s="79"/>
      <c r="H513" s="80"/>
      <c r="I513" s="79"/>
      <c r="J513" s="80"/>
      <c r="K513" s="79"/>
      <c r="L513" s="142"/>
      <c r="M513" s="1"/>
      <c r="N513" s="142"/>
      <c r="O513" s="1"/>
      <c r="P513" s="142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79">
        <f t="shared" si="805"/>
        <v>0</v>
      </c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R513" s="1"/>
      <c r="CS513" s="1"/>
      <c r="CT513" s="1"/>
      <c r="CU513" s="1"/>
      <c r="CV513" s="1"/>
      <c r="CW513" s="1"/>
      <c r="CX513" s="1"/>
      <c r="CY513" s="91" t="str">
        <f t="shared" si="831"/>
        <v/>
      </c>
      <c r="CZ513" s="1"/>
      <c r="DC513" s="96"/>
      <c r="DE513" s="96"/>
    </row>
    <row r="514">
      <c r="A514" s="1"/>
      <c r="B514" s="1"/>
      <c r="C514" s="76"/>
      <c r="D514" s="76"/>
      <c r="E514" s="76"/>
      <c r="F514" s="76"/>
      <c r="G514" s="79"/>
      <c r="H514" s="80"/>
      <c r="I514" s="79"/>
      <c r="J514" s="80"/>
      <c r="K514" s="79"/>
      <c r="L514" s="142"/>
      <c r="M514" s="1"/>
      <c r="N514" s="142"/>
      <c r="O514" s="1"/>
      <c r="P514" s="142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79">
        <f t="shared" si="805"/>
        <v>0</v>
      </c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R514" s="1"/>
      <c r="CS514" s="1"/>
      <c r="CT514" s="1"/>
      <c r="CU514" s="1"/>
      <c r="CV514" s="1"/>
      <c r="CW514" s="1"/>
      <c r="CX514" s="1"/>
      <c r="CY514" s="91" t="str">
        <f t="shared" si="831"/>
        <v/>
      </c>
      <c r="CZ514" s="1"/>
      <c r="DC514" s="96"/>
      <c r="DE514" s="96"/>
    </row>
    <row r="515">
      <c r="A515" s="1"/>
      <c r="B515" s="1"/>
      <c r="C515" s="76"/>
      <c r="D515" s="76"/>
      <c r="E515" s="76"/>
      <c r="F515" s="76"/>
      <c r="G515" s="79"/>
      <c r="H515" s="80"/>
      <c r="I515" s="79"/>
      <c r="J515" s="80"/>
      <c r="K515" s="79"/>
      <c r="L515" s="142"/>
      <c r="M515" s="1"/>
      <c r="N515" s="142"/>
      <c r="O515" s="1"/>
      <c r="P515" s="142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79">
        <f t="shared" si="805"/>
        <v>0</v>
      </c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R515" s="1"/>
      <c r="CS515" s="1"/>
      <c r="CT515" s="1"/>
      <c r="CU515" s="1"/>
      <c r="CV515" s="1"/>
      <c r="CW515" s="1"/>
      <c r="CX515" s="1"/>
      <c r="CY515" s="91" t="str">
        <f t="shared" si="831"/>
        <v/>
      </c>
      <c r="CZ515" s="1"/>
      <c r="DC515" s="96"/>
      <c r="DE515" s="96"/>
    </row>
    <row r="516">
      <c r="A516" s="1"/>
      <c r="B516" s="1"/>
      <c r="C516" s="76"/>
      <c r="D516" s="76"/>
      <c r="E516" s="76"/>
      <c r="F516" s="76"/>
      <c r="G516" s="79"/>
      <c r="H516" s="80"/>
      <c r="I516" s="79"/>
      <c r="J516" s="80"/>
      <c r="K516" s="79"/>
      <c r="L516" s="142"/>
      <c r="M516" s="1"/>
      <c r="N516" s="142"/>
      <c r="O516" s="1"/>
      <c r="P516" s="142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79">
        <f t="shared" si="805"/>
        <v>0</v>
      </c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R516" s="1"/>
      <c r="CS516" s="1"/>
      <c r="CT516" s="1"/>
      <c r="CU516" s="1"/>
      <c r="CV516" s="1"/>
      <c r="CW516" s="1"/>
      <c r="CX516" s="1"/>
      <c r="CY516" s="91" t="str">
        <f t="shared" si="831"/>
        <v/>
      </c>
      <c r="CZ516" s="1"/>
      <c r="DC516" s="96"/>
      <c r="DE516" s="96"/>
    </row>
    <row r="517">
      <c r="A517" s="1"/>
      <c r="B517" s="1"/>
      <c r="C517" s="76"/>
      <c r="D517" s="76"/>
      <c r="E517" s="76"/>
      <c r="F517" s="76"/>
      <c r="G517" s="79"/>
      <c r="H517" s="80"/>
      <c r="I517" s="79"/>
      <c r="J517" s="80"/>
      <c r="K517" s="79"/>
      <c r="L517" s="142"/>
      <c r="M517" s="1"/>
      <c r="N517" s="142"/>
      <c r="O517" s="1"/>
      <c r="P517" s="142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79">
        <f t="shared" si="805"/>
        <v>0</v>
      </c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R517" s="1"/>
      <c r="CS517" s="1"/>
      <c r="CT517" s="1"/>
      <c r="CU517" s="1"/>
      <c r="CV517" s="1"/>
      <c r="CW517" s="1"/>
      <c r="CX517" s="1"/>
      <c r="CY517" s="91" t="str">
        <f t="shared" si="831"/>
        <v/>
      </c>
      <c r="CZ517" s="1"/>
      <c r="DC517" s="96"/>
      <c r="DE517" s="96"/>
    </row>
    <row r="518">
      <c r="A518" s="1"/>
      <c r="B518" s="1"/>
      <c r="C518" s="76"/>
      <c r="D518" s="76"/>
      <c r="E518" s="76"/>
      <c r="F518" s="76"/>
      <c r="G518" s="79"/>
      <c r="H518" s="80"/>
      <c r="I518" s="79"/>
      <c r="J518" s="80"/>
      <c r="K518" s="79"/>
      <c r="L518" s="142"/>
      <c r="M518" s="1"/>
      <c r="N518" s="142"/>
      <c r="O518" s="1"/>
      <c r="P518" s="142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79">
        <f t="shared" si="805"/>
        <v>0</v>
      </c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R518" s="1"/>
      <c r="CS518" s="1"/>
      <c r="CT518" s="1"/>
      <c r="CU518" s="1"/>
      <c r="CV518" s="1"/>
      <c r="CW518" s="1"/>
      <c r="CX518" s="1"/>
      <c r="CY518" s="91" t="str">
        <f t="shared" si="831"/>
        <v/>
      </c>
      <c r="CZ518" s="1"/>
      <c r="DC518" s="96"/>
      <c r="DE518" s="96"/>
    </row>
    <row r="519">
      <c r="A519" s="1"/>
      <c r="B519" s="1"/>
      <c r="C519" s="76"/>
      <c r="D519" s="76"/>
      <c r="E519" s="76"/>
      <c r="F519" s="76"/>
      <c r="G519" s="79"/>
      <c r="H519" s="80"/>
      <c r="I519" s="79"/>
      <c r="J519" s="80"/>
      <c r="K519" s="79"/>
      <c r="L519" s="142"/>
      <c r="M519" s="1"/>
      <c r="N519" s="142"/>
      <c r="O519" s="1"/>
      <c r="P519" s="142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79">
        <f t="shared" si="805"/>
        <v>0</v>
      </c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R519" s="1"/>
      <c r="CS519" s="1"/>
      <c r="CT519" s="1"/>
      <c r="CU519" s="1"/>
      <c r="CV519" s="1"/>
      <c r="CW519" s="1"/>
      <c r="CX519" s="1"/>
      <c r="CY519" s="91" t="str">
        <f t="shared" si="831"/>
        <v/>
      </c>
      <c r="CZ519" s="1"/>
      <c r="DC519" s="96"/>
      <c r="DE519" s="96"/>
    </row>
    <row r="520">
      <c r="A520" s="1"/>
      <c r="B520" s="1"/>
      <c r="C520" s="76"/>
      <c r="D520" s="76"/>
      <c r="E520" s="76"/>
      <c r="F520" s="76"/>
      <c r="G520" s="79"/>
      <c r="H520" s="80"/>
      <c r="I520" s="79"/>
      <c r="J520" s="80"/>
      <c r="K520" s="79"/>
      <c r="L520" s="142"/>
      <c r="M520" s="1"/>
      <c r="N520" s="142"/>
      <c r="O520" s="1"/>
      <c r="P520" s="142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79">
        <f t="shared" si="805"/>
        <v>0</v>
      </c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R520" s="1"/>
      <c r="CS520" s="1"/>
      <c r="CT520" s="1"/>
      <c r="CU520" s="1"/>
      <c r="CV520" s="1"/>
      <c r="CW520" s="1"/>
      <c r="CX520" s="1"/>
      <c r="CY520" s="91" t="str">
        <f t="shared" si="831"/>
        <v/>
      </c>
      <c r="CZ520" s="1"/>
      <c r="DC520" s="96"/>
      <c r="DE520" s="96"/>
    </row>
    <row r="521">
      <c r="A521" s="1"/>
      <c r="B521" s="1"/>
      <c r="C521" s="76"/>
      <c r="D521" s="76"/>
      <c r="E521" s="76"/>
      <c r="F521" s="76"/>
      <c r="G521" s="79"/>
      <c r="H521" s="80"/>
      <c r="I521" s="79"/>
      <c r="J521" s="80"/>
      <c r="K521" s="79"/>
      <c r="L521" s="142"/>
      <c r="M521" s="1"/>
      <c r="N521" s="142"/>
      <c r="O521" s="1"/>
      <c r="P521" s="142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79">
        <f t="shared" si="805"/>
        <v>0</v>
      </c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R521" s="1"/>
      <c r="CS521" s="1"/>
      <c r="CT521" s="1"/>
      <c r="CU521" s="1"/>
      <c r="CV521" s="1"/>
      <c r="CW521" s="1"/>
      <c r="CX521" s="1"/>
      <c r="CY521" s="91" t="str">
        <f t="shared" si="831"/>
        <v/>
      </c>
      <c r="CZ521" s="1"/>
      <c r="DC521" s="96"/>
      <c r="DE521" s="96"/>
    </row>
    <row r="522">
      <c r="A522" s="1"/>
      <c r="B522" s="1"/>
      <c r="C522" s="76"/>
      <c r="D522" s="76"/>
      <c r="E522" s="76"/>
      <c r="F522" s="76"/>
      <c r="G522" s="79"/>
      <c r="H522" s="80"/>
      <c r="I522" s="79"/>
      <c r="J522" s="80"/>
      <c r="K522" s="79"/>
      <c r="L522" s="142"/>
      <c r="M522" s="1"/>
      <c r="N522" s="142"/>
      <c r="O522" s="1"/>
      <c r="P522" s="142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79">
        <f t="shared" si="805"/>
        <v>0</v>
      </c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R522" s="1"/>
      <c r="CS522" s="1"/>
      <c r="CT522" s="1"/>
      <c r="CU522" s="1"/>
      <c r="CV522" s="1"/>
      <c r="CW522" s="1"/>
      <c r="CX522" s="1"/>
      <c r="CY522" s="91" t="str">
        <f t="shared" si="831"/>
        <v/>
      </c>
      <c r="CZ522" s="1"/>
      <c r="DC522" s="96"/>
      <c r="DE522" s="96"/>
    </row>
    <row r="523">
      <c r="A523" s="1"/>
      <c r="B523" s="1"/>
      <c r="C523" s="76"/>
      <c r="D523" s="76"/>
      <c r="E523" s="76"/>
      <c r="F523" s="76"/>
      <c r="G523" s="79"/>
      <c r="H523" s="80"/>
      <c r="I523" s="79"/>
      <c r="J523" s="80"/>
      <c r="K523" s="79"/>
      <c r="L523" s="142"/>
      <c r="M523" s="1"/>
      <c r="N523" s="142"/>
      <c r="O523" s="1"/>
      <c r="P523" s="142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79">
        <f t="shared" si="805"/>
        <v>0</v>
      </c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R523" s="1"/>
      <c r="CS523" s="1"/>
      <c r="CT523" s="1"/>
      <c r="CU523" s="1"/>
      <c r="CV523" s="1"/>
      <c r="CW523" s="1"/>
      <c r="CX523" s="1"/>
      <c r="CY523" s="91" t="str">
        <f t="shared" si="831"/>
        <v/>
      </c>
      <c r="CZ523" s="1"/>
      <c r="DC523" s="96"/>
      <c r="DE523" s="96"/>
    </row>
    <row r="524">
      <c r="A524" s="1"/>
      <c r="B524" s="1"/>
      <c r="C524" s="76"/>
      <c r="D524" s="76"/>
      <c r="E524" s="76"/>
      <c r="F524" s="76"/>
      <c r="G524" s="79"/>
      <c r="H524" s="80"/>
      <c r="I524" s="79"/>
      <c r="J524" s="80"/>
      <c r="K524" s="79"/>
      <c r="L524" s="142"/>
      <c r="M524" s="1"/>
      <c r="N524" s="142"/>
      <c r="O524" s="1"/>
      <c r="P524" s="142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79">
        <f t="shared" si="805"/>
        <v>0</v>
      </c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R524" s="1"/>
      <c r="CS524" s="1"/>
      <c r="CT524" s="1"/>
      <c r="CU524" s="1"/>
      <c r="CV524" s="1"/>
      <c r="CW524" s="1"/>
      <c r="CX524" s="1"/>
      <c r="CY524" s="91" t="str">
        <f t="shared" si="831"/>
        <v/>
      </c>
      <c r="CZ524" s="1"/>
      <c r="DC524" s="96"/>
      <c r="DE524" s="96"/>
    </row>
    <row r="525">
      <c r="A525" s="1"/>
      <c r="B525" s="1"/>
      <c r="C525" s="76"/>
      <c r="D525" s="76"/>
      <c r="E525" s="76"/>
      <c r="F525" s="76"/>
      <c r="G525" s="79"/>
      <c r="H525" s="80"/>
      <c r="I525" s="79"/>
      <c r="J525" s="80"/>
      <c r="K525" s="79"/>
      <c r="L525" s="142"/>
      <c r="M525" s="1"/>
      <c r="N525" s="142"/>
      <c r="O525" s="1"/>
      <c r="P525" s="142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79">
        <f t="shared" si="805"/>
        <v>0</v>
      </c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R525" s="1"/>
      <c r="CS525" s="1"/>
      <c r="CT525" s="1"/>
      <c r="CU525" s="1"/>
      <c r="CV525" s="1"/>
      <c r="CW525" s="1"/>
      <c r="CX525" s="1"/>
      <c r="CY525" s="91" t="str">
        <f t="shared" si="831"/>
        <v/>
      </c>
      <c r="CZ525" s="1"/>
      <c r="DC525" s="96"/>
      <c r="DE525" s="96"/>
    </row>
    <row r="526">
      <c r="A526" s="1"/>
      <c r="B526" s="1"/>
      <c r="C526" s="76"/>
      <c r="D526" s="76"/>
      <c r="E526" s="76"/>
      <c r="F526" s="76"/>
      <c r="G526" s="79"/>
      <c r="H526" s="80"/>
      <c r="I526" s="79"/>
      <c r="J526" s="80"/>
      <c r="K526" s="79"/>
      <c r="L526" s="142"/>
      <c r="M526" s="1"/>
      <c r="N526" s="142"/>
      <c r="O526" s="1"/>
      <c r="P526" s="142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79">
        <f t="shared" si="805"/>
        <v>0</v>
      </c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R526" s="1"/>
      <c r="CS526" s="1"/>
      <c r="CT526" s="1"/>
      <c r="CU526" s="1"/>
      <c r="CV526" s="1"/>
      <c r="CW526" s="1"/>
      <c r="CX526" s="1"/>
      <c r="CY526" s="91" t="str">
        <f t="shared" si="831"/>
        <v/>
      </c>
      <c r="CZ526" s="1"/>
      <c r="DC526" s="96"/>
      <c r="DE526" s="96"/>
    </row>
    <row r="527">
      <c r="A527" s="1"/>
      <c r="B527" s="1"/>
      <c r="C527" s="76"/>
      <c r="D527" s="76"/>
      <c r="E527" s="76"/>
      <c r="F527" s="76"/>
      <c r="G527" s="79"/>
      <c r="H527" s="80"/>
      <c r="I527" s="79"/>
      <c r="J527" s="80"/>
      <c r="K527" s="79"/>
      <c r="L527" s="142"/>
      <c r="M527" s="1"/>
      <c r="N527" s="142"/>
      <c r="O527" s="1"/>
      <c r="P527" s="142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79">
        <f t="shared" si="805"/>
        <v>0</v>
      </c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R527" s="1"/>
      <c r="CS527" s="1"/>
      <c r="CT527" s="1"/>
      <c r="CU527" s="1"/>
      <c r="CV527" s="1"/>
      <c r="CW527" s="1"/>
      <c r="CX527" s="1"/>
      <c r="CY527" s="91" t="str">
        <f t="shared" si="831"/>
        <v/>
      </c>
      <c r="CZ527" s="1"/>
      <c r="DC527" s="96"/>
      <c r="DE527" s="96"/>
    </row>
    <row r="528">
      <c r="A528" s="1"/>
      <c r="B528" s="1"/>
      <c r="C528" s="76"/>
      <c r="D528" s="76"/>
      <c r="E528" s="76"/>
      <c r="F528" s="76"/>
      <c r="G528" s="79"/>
      <c r="H528" s="80"/>
      <c r="I528" s="79"/>
      <c r="J528" s="80"/>
      <c r="K528" s="79"/>
      <c r="L528" s="142"/>
      <c r="M528" s="1"/>
      <c r="N528" s="142"/>
      <c r="O528" s="1"/>
      <c r="P528" s="142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79">
        <f t="shared" si="805"/>
        <v>0</v>
      </c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R528" s="1"/>
      <c r="CS528" s="1"/>
      <c r="CT528" s="1"/>
      <c r="CU528" s="1"/>
      <c r="CV528" s="1"/>
      <c r="CW528" s="1"/>
      <c r="CX528" s="1"/>
      <c r="CY528" s="91" t="str">
        <f t="shared" si="831"/>
        <v/>
      </c>
      <c r="CZ528" s="1"/>
      <c r="DC528" s="96"/>
      <c r="DE528" s="96"/>
    </row>
    <row r="529">
      <c r="A529" s="1"/>
      <c r="B529" s="1"/>
      <c r="C529" s="76"/>
      <c r="D529" s="76"/>
      <c r="E529" s="76"/>
      <c r="F529" s="76"/>
      <c r="G529" s="79"/>
      <c r="H529" s="80"/>
      <c r="I529" s="79"/>
      <c r="J529" s="80"/>
      <c r="K529" s="79"/>
      <c r="L529" s="142"/>
      <c r="M529" s="1"/>
      <c r="N529" s="142"/>
      <c r="O529" s="1"/>
      <c r="P529" s="142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79">
        <f t="shared" si="805"/>
        <v>0</v>
      </c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R529" s="1"/>
      <c r="CS529" s="1"/>
      <c r="CT529" s="1"/>
      <c r="CU529" s="1"/>
      <c r="CV529" s="1"/>
      <c r="CW529" s="1"/>
      <c r="CX529" s="1"/>
      <c r="CY529" s="91" t="str">
        <f t="shared" si="831"/>
        <v/>
      </c>
      <c r="CZ529" s="1"/>
      <c r="DC529" s="96"/>
      <c r="DE529" s="96"/>
    </row>
    <row r="530">
      <c r="A530" s="1"/>
      <c r="B530" s="1"/>
      <c r="C530" s="76"/>
      <c r="D530" s="76"/>
      <c r="E530" s="76"/>
      <c r="F530" s="76"/>
      <c r="G530" s="79"/>
      <c r="H530" s="80"/>
      <c r="I530" s="79"/>
      <c r="J530" s="80"/>
      <c r="K530" s="79"/>
      <c r="L530" s="142"/>
      <c r="M530" s="1"/>
      <c r="N530" s="142"/>
      <c r="O530" s="1"/>
      <c r="P530" s="142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79">
        <f t="shared" si="805"/>
        <v>0</v>
      </c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R530" s="1"/>
      <c r="CS530" s="1"/>
      <c r="CT530" s="1"/>
      <c r="CU530" s="1"/>
      <c r="CV530" s="1"/>
      <c r="CW530" s="1"/>
      <c r="CX530" s="1"/>
      <c r="CY530" s="91" t="str">
        <f t="shared" si="831"/>
        <v/>
      </c>
      <c r="CZ530" s="1"/>
      <c r="DC530" s="96"/>
      <c r="DE530" s="96"/>
    </row>
    <row r="531">
      <c r="A531" s="1"/>
      <c r="B531" s="1"/>
      <c r="C531" s="76"/>
      <c r="D531" s="76"/>
      <c r="E531" s="76"/>
      <c r="F531" s="76"/>
      <c r="G531" s="79"/>
      <c r="H531" s="80"/>
      <c r="I531" s="79"/>
      <c r="J531" s="80"/>
      <c r="K531" s="79"/>
      <c r="L531" s="142"/>
      <c r="M531" s="1"/>
      <c r="N531" s="142"/>
      <c r="O531" s="1"/>
      <c r="P531" s="142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79">
        <f t="shared" si="805"/>
        <v>0</v>
      </c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R531" s="1"/>
      <c r="CS531" s="1"/>
      <c r="CT531" s="1"/>
      <c r="CU531" s="1"/>
      <c r="CV531" s="1"/>
      <c r="CW531" s="1"/>
      <c r="CX531" s="1"/>
      <c r="CY531" s="91" t="str">
        <f t="shared" si="831"/>
        <v/>
      </c>
      <c r="CZ531" s="1"/>
      <c r="DC531" s="96"/>
      <c r="DE531" s="96"/>
    </row>
    <row r="532">
      <c r="A532" s="1"/>
      <c r="B532" s="1"/>
      <c r="C532" s="76"/>
      <c r="D532" s="76"/>
      <c r="E532" s="76"/>
      <c r="F532" s="76"/>
      <c r="G532" s="79"/>
      <c r="H532" s="80"/>
      <c r="I532" s="79"/>
      <c r="J532" s="80"/>
      <c r="K532" s="79"/>
      <c r="L532" s="142"/>
      <c r="M532" s="1"/>
      <c r="N532" s="142"/>
      <c r="O532" s="1"/>
      <c r="P532" s="142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79">
        <f t="shared" si="805"/>
        <v>0</v>
      </c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R532" s="1"/>
      <c r="CS532" s="1"/>
      <c r="CT532" s="1"/>
      <c r="CU532" s="1"/>
      <c r="CV532" s="1"/>
      <c r="CW532" s="1"/>
      <c r="CX532" s="1"/>
      <c r="CY532" s="91" t="str">
        <f t="shared" si="831"/>
        <v/>
      </c>
      <c r="CZ532" s="1"/>
      <c r="DC532" s="96"/>
      <c r="DE532" s="96"/>
    </row>
    <row r="533">
      <c r="A533" s="1"/>
      <c r="B533" s="1"/>
      <c r="C533" s="76"/>
      <c r="D533" s="76"/>
      <c r="E533" s="76"/>
      <c r="F533" s="76"/>
      <c r="G533" s="79"/>
      <c r="H533" s="80"/>
      <c r="I533" s="79"/>
      <c r="J533" s="80"/>
      <c r="K533" s="79"/>
      <c r="L533" s="142"/>
      <c r="M533" s="1"/>
      <c r="N533" s="142"/>
      <c r="O533" s="1"/>
      <c r="P533" s="142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79">
        <f t="shared" si="805"/>
        <v>0</v>
      </c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R533" s="1"/>
      <c r="CS533" s="1"/>
      <c r="CT533" s="1"/>
      <c r="CU533" s="1"/>
      <c r="CV533" s="1"/>
      <c r="CW533" s="1"/>
      <c r="CX533" s="1"/>
      <c r="CY533" s="91" t="str">
        <f t="shared" si="831"/>
        <v/>
      </c>
      <c r="CZ533" s="1"/>
      <c r="DC533" s="96"/>
      <c r="DE533" s="96"/>
    </row>
    <row r="534">
      <c r="A534" s="1"/>
      <c r="B534" s="1"/>
      <c r="C534" s="76"/>
      <c r="D534" s="76"/>
      <c r="E534" s="76"/>
      <c r="F534" s="76"/>
      <c r="G534" s="79"/>
      <c r="H534" s="80"/>
      <c r="I534" s="79"/>
      <c r="J534" s="80"/>
      <c r="K534" s="79"/>
      <c r="L534" s="142"/>
      <c r="M534" s="1"/>
      <c r="N534" s="142"/>
      <c r="O534" s="1"/>
      <c r="P534" s="142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79">
        <f t="shared" si="805"/>
        <v>0</v>
      </c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R534" s="1"/>
      <c r="CS534" s="1"/>
      <c r="CT534" s="1"/>
      <c r="CU534" s="1"/>
      <c r="CV534" s="1"/>
      <c r="CW534" s="1"/>
      <c r="CX534" s="1"/>
      <c r="CY534" s="91" t="str">
        <f t="shared" si="831"/>
        <v/>
      </c>
      <c r="CZ534" s="1"/>
      <c r="DC534" s="96"/>
      <c r="DE534" s="96"/>
    </row>
    <row r="535">
      <c r="A535" s="1"/>
      <c r="B535" s="1"/>
      <c r="C535" s="76"/>
      <c r="D535" s="76"/>
      <c r="E535" s="76"/>
      <c r="F535" s="76"/>
      <c r="G535" s="79"/>
      <c r="H535" s="80"/>
      <c r="I535" s="79"/>
      <c r="J535" s="80"/>
      <c r="K535" s="79"/>
      <c r="L535" s="142"/>
      <c r="M535" s="1"/>
      <c r="N535" s="142"/>
      <c r="O535" s="1"/>
      <c r="P535" s="142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79">
        <f t="shared" si="805"/>
        <v>0</v>
      </c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R535" s="1"/>
      <c r="CS535" s="1"/>
      <c r="CT535" s="1"/>
      <c r="CU535" s="1"/>
      <c r="CV535" s="1"/>
      <c r="CW535" s="1"/>
      <c r="CX535" s="1"/>
      <c r="CY535" s="91" t="str">
        <f t="shared" si="831"/>
        <v/>
      </c>
      <c r="CZ535" s="1"/>
      <c r="DC535" s="96"/>
      <c r="DE535" s="96"/>
    </row>
    <row r="536">
      <c r="A536" s="1"/>
      <c r="B536" s="1"/>
      <c r="C536" s="76"/>
      <c r="D536" s="76"/>
      <c r="E536" s="76"/>
      <c r="F536" s="76"/>
      <c r="G536" s="79"/>
      <c r="H536" s="80"/>
      <c r="I536" s="79"/>
      <c r="J536" s="80"/>
      <c r="K536" s="79"/>
      <c r="L536" s="142"/>
      <c r="M536" s="1"/>
      <c r="N536" s="142"/>
      <c r="O536" s="1"/>
      <c r="P536" s="142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79">
        <f t="shared" si="805"/>
        <v>0</v>
      </c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R536" s="1"/>
      <c r="CS536" s="1"/>
      <c r="CT536" s="1"/>
      <c r="CU536" s="1"/>
      <c r="CV536" s="1"/>
      <c r="CW536" s="1"/>
      <c r="CX536" s="1"/>
      <c r="CY536" s="91" t="str">
        <f t="shared" si="831"/>
        <v/>
      </c>
      <c r="CZ536" s="1"/>
      <c r="DC536" s="96"/>
      <c r="DE536" s="96"/>
    </row>
    <row r="537">
      <c r="A537" s="1"/>
      <c r="B537" s="1"/>
      <c r="C537" s="76"/>
      <c r="D537" s="76"/>
      <c r="E537" s="76"/>
      <c r="F537" s="76"/>
      <c r="G537" s="79"/>
      <c r="H537" s="80"/>
      <c r="I537" s="79"/>
      <c r="J537" s="80"/>
      <c r="K537" s="79"/>
      <c r="L537" s="142"/>
      <c r="M537" s="1"/>
      <c r="N537" s="142"/>
      <c r="O537" s="1"/>
      <c r="P537" s="142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79">
        <f t="shared" si="805"/>
        <v>0</v>
      </c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R537" s="1"/>
      <c r="CS537" s="1"/>
      <c r="CT537" s="1"/>
      <c r="CU537" s="1"/>
      <c r="CV537" s="1"/>
      <c r="CW537" s="1"/>
      <c r="CX537" s="1"/>
      <c r="CY537" s="91" t="str">
        <f t="shared" si="831"/>
        <v/>
      </c>
      <c r="CZ537" s="1"/>
      <c r="DC537" s="96"/>
      <c r="DE537" s="96"/>
    </row>
    <row r="538">
      <c r="A538" s="1"/>
      <c r="B538" s="1"/>
      <c r="C538" s="76"/>
      <c r="D538" s="76"/>
      <c r="E538" s="76"/>
      <c r="F538" s="76"/>
      <c r="G538" s="79"/>
      <c r="H538" s="80"/>
      <c r="I538" s="79"/>
      <c r="J538" s="80"/>
      <c r="K538" s="79"/>
      <c r="L538" s="142"/>
      <c r="M538" s="1"/>
      <c r="N538" s="142"/>
      <c r="O538" s="1"/>
      <c r="P538" s="142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79">
        <f t="shared" si="805"/>
        <v>0</v>
      </c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R538" s="1"/>
      <c r="CS538" s="1"/>
      <c r="CT538" s="1"/>
      <c r="CU538" s="1"/>
      <c r="CV538" s="1"/>
      <c r="CW538" s="1"/>
      <c r="CX538" s="1"/>
      <c r="CY538" s="91" t="str">
        <f t="shared" si="831"/>
        <v/>
      </c>
      <c r="CZ538" s="1"/>
      <c r="DC538" s="96"/>
      <c r="DE538" s="96"/>
    </row>
    <row r="539">
      <c r="A539" s="1"/>
      <c r="B539" s="1"/>
      <c r="C539" s="76"/>
      <c r="D539" s="76"/>
      <c r="E539" s="76"/>
      <c r="F539" s="76"/>
      <c r="G539" s="79"/>
      <c r="H539" s="80"/>
      <c r="I539" s="79"/>
      <c r="J539" s="80"/>
      <c r="K539" s="79"/>
      <c r="L539" s="142"/>
      <c r="M539" s="1"/>
      <c r="N539" s="142"/>
      <c r="O539" s="1"/>
      <c r="P539" s="142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79">
        <f t="shared" si="805"/>
        <v>0</v>
      </c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R539" s="1"/>
      <c r="CS539" s="1"/>
      <c r="CT539" s="1"/>
      <c r="CU539" s="1"/>
      <c r="CV539" s="1"/>
      <c r="CW539" s="1"/>
      <c r="CX539" s="1"/>
      <c r="CY539" s="91" t="str">
        <f t="shared" si="831"/>
        <v/>
      </c>
      <c r="CZ539" s="1"/>
      <c r="DC539" s="96"/>
      <c r="DE539" s="96"/>
    </row>
    <row r="540">
      <c r="A540" s="1"/>
      <c r="B540" s="1"/>
      <c r="C540" s="76"/>
      <c r="D540" s="76"/>
      <c r="E540" s="76"/>
      <c r="F540" s="76"/>
      <c r="G540" s="79"/>
      <c r="H540" s="80"/>
      <c r="I540" s="79"/>
      <c r="J540" s="80"/>
      <c r="K540" s="79"/>
      <c r="L540" s="142"/>
      <c r="M540" s="1"/>
      <c r="N540" s="142"/>
      <c r="O540" s="1"/>
      <c r="P540" s="142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79">
        <f t="shared" si="805"/>
        <v>0</v>
      </c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R540" s="1"/>
      <c r="CS540" s="1"/>
      <c r="CT540" s="1"/>
      <c r="CU540" s="1"/>
      <c r="CV540" s="1"/>
      <c r="CW540" s="1"/>
      <c r="CX540" s="1"/>
      <c r="CY540" s="91" t="str">
        <f t="shared" si="831"/>
        <v/>
      </c>
      <c r="CZ540" s="1"/>
      <c r="DC540" s="96"/>
      <c r="DE540" s="96"/>
    </row>
    <row r="541">
      <c r="A541" s="1"/>
      <c r="B541" s="1"/>
      <c r="C541" s="76"/>
      <c r="D541" s="76"/>
      <c r="E541" s="76"/>
      <c r="F541" s="76"/>
      <c r="G541" s="79"/>
      <c r="H541" s="80"/>
      <c r="I541" s="79"/>
      <c r="J541" s="80"/>
      <c r="K541" s="79"/>
      <c r="L541" s="142"/>
      <c r="M541" s="1"/>
      <c r="N541" s="142"/>
      <c r="O541" s="1"/>
      <c r="P541" s="142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79">
        <f t="shared" si="805"/>
        <v>0</v>
      </c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R541" s="1"/>
      <c r="CS541" s="1"/>
      <c r="CT541" s="1"/>
      <c r="CU541" s="1"/>
      <c r="CV541" s="1"/>
      <c r="CW541" s="1"/>
      <c r="CX541" s="1"/>
      <c r="CY541" s="91" t="str">
        <f t="shared" si="831"/>
        <v/>
      </c>
      <c r="CZ541" s="1"/>
      <c r="DC541" s="96"/>
      <c r="DE541" s="96"/>
    </row>
    <row r="542">
      <c r="A542" s="1"/>
      <c r="B542" s="1"/>
      <c r="C542" s="76"/>
      <c r="D542" s="76"/>
      <c r="E542" s="76"/>
      <c r="F542" s="76"/>
      <c r="G542" s="79"/>
      <c r="H542" s="80"/>
      <c r="I542" s="79"/>
      <c r="J542" s="80"/>
      <c r="K542" s="79"/>
      <c r="L542" s="142"/>
      <c r="M542" s="1"/>
      <c r="N542" s="142"/>
      <c r="O542" s="1"/>
      <c r="P542" s="142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79">
        <f t="shared" si="805"/>
        <v>0</v>
      </c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R542" s="1"/>
      <c r="CS542" s="1"/>
      <c r="CT542" s="1"/>
      <c r="CU542" s="1"/>
      <c r="CV542" s="1"/>
      <c r="CW542" s="1"/>
      <c r="CX542" s="1"/>
      <c r="CY542" s="91" t="str">
        <f t="shared" si="831"/>
        <v/>
      </c>
      <c r="CZ542" s="1"/>
      <c r="DC542" s="96"/>
      <c r="DE542" s="96"/>
    </row>
    <row r="543">
      <c r="A543" s="1"/>
      <c r="B543" s="1"/>
      <c r="C543" s="76"/>
      <c r="D543" s="76"/>
      <c r="E543" s="76"/>
      <c r="F543" s="76"/>
      <c r="G543" s="79"/>
      <c r="H543" s="80"/>
      <c r="I543" s="79"/>
      <c r="J543" s="80"/>
      <c r="K543" s="79"/>
      <c r="L543" s="142"/>
      <c r="M543" s="1"/>
      <c r="N543" s="142"/>
      <c r="O543" s="1"/>
      <c r="P543" s="142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79">
        <f t="shared" si="805"/>
        <v>0</v>
      </c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R543" s="1"/>
      <c r="CS543" s="1"/>
      <c r="CT543" s="1"/>
      <c r="CU543" s="1"/>
      <c r="CV543" s="1"/>
      <c r="CW543" s="1"/>
      <c r="CX543" s="1"/>
      <c r="CY543" s="91" t="str">
        <f t="shared" si="831"/>
        <v/>
      </c>
      <c r="CZ543" s="1"/>
      <c r="DC543" s="96"/>
      <c r="DE543" s="96"/>
    </row>
    <row r="544">
      <c r="A544" s="1"/>
      <c r="B544" s="1"/>
      <c r="C544" s="76"/>
      <c r="D544" s="76"/>
      <c r="E544" s="76"/>
      <c r="F544" s="76"/>
      <c r="G544" s="79"/>
      <c r="H544" s="80"/>
      <c r="I544" s="79"/>
      <c r="J544" s="80"/>
      <c r="K544" s="79"/>
      <c r="L544" s="142"/>
      <c r="M544" s="1"/>
      <c r="N544" s="142"/>
      <c r="O544" s="1"/>
      <c r="P544" s="142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79">
        <f t="shared" si="805"/>
        <v>0</v>
      </c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R544" s="1"/>
      <c r="CS544" s="1"/>
      <c r="CT544" s="1"/>
      <c r="CU544" s="1"/>
      <c r="CV544" s="1"/>
      <c r="CW544" s="1"/>
      <c r="CX544" s="1"/>
      <c r="CY544" s="91" t="str">
        <f t="shared" si="831"/>
        <v/>
      </c>
      <c r="CZ544" s="1"/>
      <c r="DC544" s="96"/>
      <c r="DE544" s="96"/>
    </row>
    <row r="545">
      <c r="A545" s="1"/>
      <c r="B545" s="1"/>
      <c r="C545" s="76"/>
      <c r="D545" s="76"/>
      <c r="E545" s="76"/>
      <c r="F545" s="76"/>
      <c r="G545" s="79"/>
      <c r="H545" s="80"/>
      <c r="I545" s="79"/>
      <c r="J545" s="80"/>
      <c r="K545" s="79"/>
      <c r="L545" s="142"/>
      <c r="M545" s="1"/>
      <c r="N545" s="142"/>
      <c r="O545" s="1"/>
      <c r="P545" s="142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79">
        <f t="shared" si="805"/>
        <v>0</v>
      </c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R545" s="1"/>
      <c r="CS545" s="1"/>
      <c r="CT545" s="1"/>
      <c r="CU545" s="1"/>
      <c r="CV545" s="1"/>
      <c r="CW545" s="1"/>
      <c r="CX545" s="1"/>
      <c r="CY545" s="91" t="str">
        <f t="shared" si="831"/>
        <v/>
      </c>
      <c r="CZ545" s="1"/>
      <c r="DC545" s="96"/>
      <c r="DE545" s="96"/>
    </row>
    <row r="546">
      <c r="A546" s="1"/>
      <c r="B546" s="1"/>
      <c r="C546" s="76"/>
      <c r="D546" s="76"/>
      <c r="E546" s="76"/>
      <c r="F546" s="76"/>
      <c r="G546" s="79"/>
      <c r="H546" s="80"/>
      <c r="I546" s="79"/>
      <c r="J546" s="80"/>
      <c r="K546" s="79"/>
      <c r="L546" s="142"/>
      <c r="M546" s="1"/>
      <c r="N546" s="142"/>
      <c r="O546" s="1"/>
      <c r="P546" s="142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79">
        <f t="shared" si="805"/>
        <v>0</v>
      </c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R546" s="1"/>
      <c r="CS546" s="1"/>
      <c r="CT546" s="1"/>
      <c r="CU546" s="1"/>
      <c r="CV546" s="1"/>
      <c r="CW546" s="1"/>
      <c r="CX546" s="1"/>
      <c r="CY546" s="91" t="str">
        <f t="shared" si="831"/>
        <v/>
      </c>
      <c r="CZ546" s="1"/>
      <c r="DC546" s="96"/>
      <c r="DE546" s="96"/>
    </row>
    <row r="547">
      <c r="A547" s="1"/>
      <c r="B547" s="1"/>
      <c r="C547" s="76"/>
      <c r="D547" s="76"/>
      <c r="E547" s="76"/>
      <c r="F547" s="76"/>
      <c r="G547" s="79"/>
      <c r="H547" s="80"/>
      <c r="I547" s="79"/>
      <c r="J547" s="80"/>
      <c r="K547" s="79"/>
      <c r="L547" s="142"/>
      <c r="M547" s="1"/>
      <c r="N547" s="142"/>
      <c r="O547" s="1"/>
      <c r="P547" s="142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79">
        <f t="shared" si="805"/>
        <v>0</v>
      </c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R547" s="1"/>
      <c r="CS547" s="1"/>
      <c r="CT547" s="1"/>
      <c r="CU547" s="1"/>
      <c r="CV547" s="1"/>
      <c r="CW547" s="1"/>
      <c r="CX547" s="1"/>
      <c r="CY547" s="91" t="str">
        <f t="shared" si="831"/>
        <v/>
      </c>
      <c r="CZ547" s="1"/>
      <c r="DC547" s="96"/>
      <c r="DE547" s="96"/>
    </row>
    <row r="548">
      <c r="A548" s="1"/>
      <c r="B548" s="1"/>
      <c r="C548" s="76"/>
      <c r="D548" s="76"/>
      <c r="E548" s="76"/>
      <c r="F548" s="76"/>
      <c r="G548" s="79"/>
      <c r="H548" s="80"/>
      <c r="I548" s="79"/>
      <c r="J548" s="80"/>
      <c r="K548" s="79"/>
      <c r="L548" s="142"/>
      <c r="M548" s="1"/>
      <c r="N548" s="142"/>
      <c r="O548" s="1"/>
      <c r="P548" s="142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79">
        <f t="shared" si="805"/>
        <v>0</v>
      </c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R548" s="1"/>
      <c r="CS548" s="1"/>
      <c r="CT548" s="1"/>
      <c r="CU548" s="1"/>
      <c r="CV548" s="1"/>
      <c r="CW548" s="1"/>
      <c r="CX548" s="1"/>
      <c r="CY548" s="91" t="str">
        <f t="shared" si="831"/>
        <v/>
      </c>
      <c r="CZ548" s="1"/>
      <c r="DC548" s="96"/>
      <c r="DE548" s="96"/>
    </row>
    <row r="549">
      <c r="A549" s="1"/>
      <c r="B549" s="1"/>
      <c r="C549" s="76"/>
      <c r="D549" s="76"/>
      <c r="E549" s="76"/>
      <c r="F549" s="76"/>
      <c r="G549" s="79"/>
      <c r="H549" s="80"/>
      <c r="I549" s="79"/>
      <c r="J549" s="80"/>
      <c r="K549" s="79"/>
      <c r="L549" s="142"/>
      <c r="M549" s="1"/>
      <c r="N549" s="142"/>
      <c r="O549" s="1"/>
      <c r="P549" s="142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79">
        <f t="shared" si="805"/>
        <v>0</v>
      </c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R549" s="1"/>
      <c r="CS549" s="1"/>
      <c r="CT549" s="1"/>
      <c r="CU549" s="1"/>
      <c r="CV549" s="1"/>
      <c r="CW549" s="1"/>
      <c r="CX549" s="1"/>
      <c r="CY549" s="91" t="str">
        <f t="shared" si="831"/>
        <v/>
      </c>
      <c r="CZ549" s="1"/>
      <c r="DC549" s="96"/>
      <c r="DE549" s="96"/>
    </row>
    <row r="550">
      <c r="A550" s="1"/>
      <c r="B550" s="1"/>
      <c r="C550" s="76"/>
      <c r="D550" s="76"/>
      <c r="E550" s="76"/>
      <c r="F550" s="76"/>
      <c r="G550" s="79"/>
      <c r="H550" s="80"/>
      <c r="I550" s="79"/>
      <c r="J550" s="80"/>
      <c r="K550" s="79"/>
      <c r="L550" s="142"/>
      <c r="M550" s="1"/>
      <c r="N550" s="142"/>
      <c r="O550" s="1"/>
      <c r="P550" s="142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79">
        <f t="shared" si="805"/>
        <v>0</v>
      </c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R550" s="1"/>
      <c r="CS550" s="1"/>
      <c r="CT550" s="1"/>
      <c r="CU550" s="1"/>
      <c r="CV550" s="1"/>
      <c r="CW550" s="1"/>
      <c r="CX550" s="1"/>
      <c r="CY550" s="91" t="str">
        <f t="shared" si="831"/>
        <v/>
      </c>
      <c r="CZ550" s="1"/>
      <c r="DC550" s="96"/>
      <c r="DE550" s="96"/>
    </row>
    <row r="551">
      <c r="A551" s="1"/>
      <c r="B551" s="1"/>
      <c r="C551" s="76"/>
      <c r="D551" s="76"/>
      <c r="E551" s="76"/>
      <c r="F551" s="76"/>
      <c r="G551" s="79"/>
      <c r="H551" s="80"/>
      <c r="I551" s="79"/>
      <c r="J551" s="80"/>
      <c r="K551" s="79"/>
      <c r="L551" s="142"/>
      <c r="M551" s="1"/>
      <c r="N551" s="142"/>
      <c r="O551" s="1"/>
      <c r="P551" s="142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79">
        <f t="shared" si="805"/>
        <v>0</v>
      </c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R551" s="1"/>
      <c r="CS551" s="1"/>
      <c r="CT551" s="1"/>
      <c r="CU551" s="1"/>
      <c r="CV551" s="1"/>
      <c r="CW551" s="1"/>
      <c r="CX551" s="1"/>
      <c r="CY551" s="91" t="str">
        <f t="shared" si="831"/>
        <v/>
      </c>
      <c r="CZ551" s="1"/>
      <c r="DC551" s="96"/>
      <c r="DE551" s="96"/>
    </row>
    <row r="552">
      <c r="A552" s="1"/>
      <c r="B552" s="1"/>
      <c r="C552" s="76"/>
      <c r="D552" s="76"/>
      <c r="E552" s="76"/>
      <c r="F552" s="76"/>
      <c r="G552" s="79"/>
      <c r="H552" s="80"/>
      <c r="I552" s="79"/>
      <c r="J552" s="80"/>
      <c r="K552" s="79"/>
      <c r="L552" s="142"/>
      <c r="M552" s="1"/>
      <c r="N552" s="142"/>
      <c r="O552" s="1"/>
      <c r="P552" s="142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79">
        <f t="shared" si="805"/>
        <v>0</v>
      </c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R552" s="1"/>
      <c r="CS552" s="1"/>
      <c r="CT552" s="1"/>
      <c r="CU552" s="1"/>
      <c r="CV552" s="1"/>
      <c r="CW552" s="1"/>
      <c r="CX552" s="1"/>
      <c r="CY552" s="91" t="str">
        <f t="shared" si="831"/>
        <v/>
      </c>
      <c r="CZ552" s="1"/>
      <c r="DC552" s="96"/>
      <c r="DE552" s="96"/>
    </row>
    <row r="553">
      <c r="A553" s="1"/>
      <c r="B553" s="1"/>
      <c r="C553" s="76"/>
      <c r="D553" s="76"/>
      <c r="E553" s="76"/>
      <c r="F553" s="76"/>
      <c r="G553" s="79"/>
      <c r="H553" s="80"/>
      <c r="I553" s="79"/>
      <c r="J553" s="80"/>
      <c r="K553" s="79"/>
      <c r="L553" s="142"/>
      <c r="M553" s="1"/>
      <c r="N553" s="142"/>
      <c r="O553" s="1"/>
      <c r="P553" s="142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79">
        <f t="shared" si="805"/>
        <v>0</v>
      </c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R553" s="1"/>
      <c r="CS553" s="1"/>
      <c r="CT553" s="1"/>
      <c r="CU553" s="1"/>
      <c r="CV553" s="1"/>
      <c r="CW553" s="1"/>
      <c r="CX553" s="1"/>
      <c r="CY553" s="91" t="str">
        <f t="shared" si="831"/>
        <v/>
      </c>
      <c r="CZ553" s="1"/>
      <c r="DC553" s="96"/>
      <c r="DE553" s="96"/>
    </row>
    <row r="554">
      <c r="A554" s="1"/>
      <c r="B554" s="1"/>
      <c r="C554" s="76"/>
      <c r="D554" s="76"/>
      <c r="E554" s="76"/>
      <c r="F554" s="76"/>
      <c r="G554" s="79"/>
      <c r="H554" s="80"/>
      <c r="I554" s="79"/>
      <c r="J554" s="80"/>
      <c r="K554" s="79"/>
      <c r="L554" s="142"/>
      <c r="M554" s="1"/>
      <c r="N554" s="142"/>
      <c r="O554" s="1"/>
      <c r="P554" s="142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79">
        <f t="shared" si="805"/>
        <v>0</v>
      </c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R554" s="1"/>
      <c r="CS554" s="1"/>
      <c r="CT554" s="1"/>
      <c r="CU554" s="1"/>
      <c r="CV554" s="1"/>
      <c r="CW554" s="1"/>
      <c r="CX554" s="1"/>
      <c r="CY554" s="91" t="str">
        <f t="shared" si="831"/>
        <v/>
      </c>
      <c r="CZ554" s="1"/>
      <c r="DC554" s="96"/>
      <c r="DE554" s="96"/>
    </row>
    <row r="555">
      <c r="A555" s="1"/>
      <c r="B555" s="1"/>
      <c r="C555" s="76"/>
      <c r="D555" s="76"/>
      <c r="E555" s="76"/>
      <c r="F555" s="76"/>
      <c r="G555" s="79"/>
      <c r="H555" s="80"/>
      <c r="I555" s="79"/>
      <c r="J555" s="80"/>
      <c r="K555" s="79"/>
      <c r="L555" s="142"/>
      <c r="M555" s="1"/>
      <c r="N555" s="142"/>
      <c r="O555" s="1"/>
      <c r="P555" s="142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79">
        <f t="shared" si="805"/>
        <v>0</v>
      </c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R555" s="1"/>
      <c r="CS555" s="1"/>
      <c r="CT555" s="1"/>
      <c r="CU555" s="1"/>
      <c r="CV555" s="1"/>
      <c r="CW555" s="1"/>
      <c r="CX555" s="1"/>
      <c r="CY555" s="91" t="str">
        <f t="shared" si="831"/>
        <v/>
      </c>
      <c r="CZ555" s="1"/>
      <c r="DC555" s="96"/>
      <c r="DE555" s="96"/>
    </row>
    <row r="556">
      <c r="A556" s="1"/>
      <c r="B556" s="1"/>
      <c r="C556" s="76"/>
      <c r="D556" s="76"/>
      <c r="E556" s="76"/>
      <c r="F556" s="76"/>
      <c r="G556" s="79"/>
      <c r="H556" s="80"/>
      <c r="I556" s="79"/>
      <c r="J556" s="80"/>
      <c r="K556" s="79"/>
      <c r="L556" s="142"/>
      <c r="M556" s="1"/>
      <c r="N556" s="142"/>
      <c r="O556" s="1"/>
      <c r="P556" s="142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79">
        <f t="shared" si="805"/>
        <v>0</v>
      </c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R556" s="1"/>
      <c r="CS556" s="1"/>
      <c r="CT556" s="1"/>
      <c r="CU556" s="1"/>
      <c r="CV556" s="1"/>
      <c r="CW556" s="1"/>
      <c r="CX556" s="1"/>
      <c r="CY556" s="91" t="str">
        <f t="shared" si="831"/>
        <v/>
      </c>
      <c r="CZ556" s="1"/>
      <c r="DC556" s="96"/>
      <c r="DE556" s="96"/>
    </row>
    <row r="557">
      <c r="A557" s="1"/>
      <c r="B557" s="1"/>
      <c r="C557" s="76"/>
      <c r="D557" s="76"/>
      <c r="E557" s="76"/>
      <c r="F557" s="76"/>
      <c r="G557" s="79"/>
      <c r="H557" s="80"/>
      <c r="I557" s="79"/>
      <c r="J557" s="80"/>
      <c r="K557" s="79"/>
      <c r="L557" s="142"/>
      <c r="M557" s="1"/>
      <c r="N557" s="142"/>
      <c r="O557" s="1"/>
      <c r="P557" s="142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79">
        <f t="shared" si="805"/>
        <v>0</v>
      </c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R557" s="1"/>
      <c r="CS557" s="1"/>
      <c r="CT557" s="1"/>
      <c r="CU557" s="1"/>
      <c r="CV557" s="1"/>
      <c r="CW557" s="1"/>
      <c r="CX557" s="1"/>
      <c r="CY557" s="91" t="str">
        <f t="shared" si="831"/>
        <v/>
      </c>
      <c r="CZ557" s="1"/>
      <c r="DC557" s="96"/>
      <c r="DE557" s="96"/>
    </row>
    <row r="558">
      <c r="A558" s="1"/>
      <c r="B558" s="1"/>
      <c r="C558" s="76"/>
      <c r="D558" s="76"/>
      <c r="E558" s="76"/>
      <c r="F558" s="76"/>
      <c r="G558" s="79"/>
      <c r="H558" s="80"/>
      <c r="I558" s="79"/>
      <c r="J558" s="80"/>
      <c r="K558" s="79"/>
      <c r="L558" s="142"/>
      <c r="M558" s="1"/>
      <c r="N558" s="142"/>
      <c r="O558" s="1"/>
      <c r="P558" s="142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79">
        <f t="shared" si="805"/>
        <v>0</v>
      </c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R558" s="1"/>
      <c r="CS558" s="1"/>
      <c r="CT558" s="1"/>
      <c r="CU558" s="1"/>
      <c r="CV558" s="1"/>
      <c r="CW558" s="1"/>
      <c r="CX558" s="1"/>
      <c r="CY558" s="91" t="str">
        <f t="shared" si="831"/>
        <v/>
      </c>
      <c r="CZ558" s="1"/>
      <c r="DC558" s="96"/>
      <c r="DE558" s="96"/>
    </row>
    <row r="559">
      <c r="A559" s="1"/>
      <c r="B559" s="1"/>
      <c r="C559" s="76"/>
      <c r="D559" s="76"/>
      <c r="E559" s="76"/>
      <c r="F559" s="76"/>
      <c r="G559" s="79"/>
      <c r="H559" s="80"/>
      <c r="I559" s="79"/>
      <c r="J559" s="80"/>
      <c r="K559" s="79"/>
      <c r="L559" s="142"/>
      <c r="M559" s="1"/>
      <c r="N559" s="142"/>
      <c r="O559" s="1"/>
      <c r="P559" s="142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79">
        <f t="shared" si="805"/>
        <v>0</v>
      </c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R559" s="1"/>
      <c r="CS559" s="1"/>
      <c r="CT559" s="1"/>
      <c r="CU559" s="1"/>
      <c r="CV559" s="1"/>
      <c r="CW559" s="1"/>
      <c r="CX559" s="1"/>
      <c r="CY559" s="91" t="str">
        <f t="shared" si="831"/>
        <v/>
      </c>
      <c r="CZ559" s="1"/>
      <c r="DC559" s="96"/>
      <c r="DE559" s="96"/>
    </row>
    <row r="560">
      <c r="A560" s="1"/>
      <c r="B560" s="1"/>
      <c r="C560" s="76"/>
      <c r="D560" s="76"/>
      <c r="E560" s="76"/>
      <c r="F560" s="76"/>
      <c r="G560" s="79"/>
      <c r="H560" s="80"/>
      <c r="I560" s="79"/>
      <c r="J560" s="80"/>
      <c r="K560" s="79"/>
      <c r="L560" s="142"/>
      <c r="M560" s="1"/>
      <c r="N560" s="142"/>
      <c r="O560" s="1"/>
      <c r="P560" s="142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79">
        <f t="shared" si="805"/>
        <v>0</v>
      </c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R560" s="1"/>
      <c r="CS560" s="1"/>
      <c r="CT560" s="1"/>
      <c r="CU560" s="1"/>
      <c r="CV560" s="1"/>
      <c r="CW560" s="1"/>
      <c r="CX560" s="1"/>
      <c r="CY560" s="91" t="str">
        <f t="shared" si="831"/>
        <v/>
      </c>
      <c r="CZ560" s="1"/>
      <c r="DC560" s="96"/>
      <c r="DE560" s="96"/>
    </row>
    <row r="561">
      <c r="A561" s="1"/>
      <c r="B561" s="1"/>
      <c r="C561" s="76"/>
      <c r="D561" s="76"/>
      <c r="E561" s="76"/>
      <c r="F561" s="76"/>
      <c r="G561" s="79"/>
      <c r="H561" s="80"/>
      <c r="I561" s="79"/>
      <c r="J561" s="80"/>
      <c r="K561" s="79"/>
      <c r="L561" s="142"/>
      <c r="M561" s="1"/>
      <c r="N561" s="142"/>
      <c r="O561" s="1"/>
      <c r="P561" s="142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79">
        <f t="shared" si="805"/>
        <v>0</v>
      </c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R561" s="1"/>
      <c r="CS561" s="1"/>
      <c r="CT561" s="1"/>
      <c r="CU561" s="1"/>
      <c r="CV561" s="1"/>
      <c r="CW561" s="1"/>
      <c r="CX561" s="1"/>
      <c r="CY561" s="91" t="str">
        <f t="shared" si="831"/>
        <v/>
      </c>
      <c r="CZ561" s="1"/>
      <c r="DC561" s="96"/>
      <c r="DE561" s="96"/>
    </row>
    <row r="562">
      <c r="A562" s="1"/>
      <c r="B562" s="1"/>
      <c r="C562" s="76"/>
      <c r="D562" s="76"/>
      <c r="E562" s="76"/>
      <c r="F562" s="76"/>
      <c r="G562" s="79"/>
      <c r="H562" s="80"/>
      <c r="I562" s="79"/>
      <c r="J562" s="80"/>
      <c r="K562" s="79"/>
      <c r="L562" s="142"/>
      <c r="M562" s="1"/>
      <c r="N562" s="142"/>
      <c r="O562" s="1"/>
      <c r="P562" s="142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79">
        <f t="shared" si="805"/>
        <v>0</v>
      </c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R562" s="1"/>
      <c r="CS562" s="1"/>
      <c r="CT562" s="1"/>
      <c r="CU562" s="1"/>
      <c r="CV562" s="1"/>
      <c r="CW562" s="1"/>
      <c r="CX562" s="1"/>
      <c r="CY562" s="91" t="str">
        <f t="shared" si="831"/>
        <v/>
      </c>
      <c r="CZ562" s="1"/>
      <c r="DC562" s="96"/>
      <c r="DE562" s="96"/>
    </row>
    <row r="563">
      <c r="A563" s="1"/>
      <c r="B563" s="1"/>
      <c r="C563" s="76"/>
      <c r="D563" s="76"/>
      <c r="E563" s="76"/>
      <c r="F563" s="76"/>
      <c r="G563" s="79"/>
      <c r="H563" s="80"/>
      <c r="I563" s="79"/>
      <c r="J563" s="80"/>
      <c r="K563" s="79"/>
      <c r="L563" s="142"/>
      <c r="M563" s="1"/>
      <c r="N563" s="142"/>
      <c r="O563" s="1"/>
      <c r="P563" s="142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79">
        <f t="shared" si="805"/>
        <v>0</v>
      </c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R563" s="1"/>
      <c r="CS563" s="1"/>
      <c r="CT563" s="1"/>
      <c r="CU563" s="1"/>
      <c r="CV563" s="1"/>
      <c r="CW563" s="1"/>
      <c r="CX563" s="1"/>
      <c r="CY563" s="91" t="str">
        <f t="shared" si="831"/>
        <v/>
      </c>
      <c r="CZ563" s="1"/>
      <c r="DC563" s="96"/>
      <c r="DE563" s="96"/>
    </row>
    <row r="564">
      <c r="A564" s="1"/>
      <c r="B564" s="1"/>
      <c r="C564" s="76"/>
      <c r="D564" s="76"/>
      <c r="E564" s="76"/>
      <c r="F564" s="76"/>
      <c r="G564" s="79"/>
      <c r="H564" s="80"/>
      <c r="I564" s="79"/>
      <c r="J564" s="80"/>
      <c r="K564" s="79"/>
      <c r="L564" s="142"/>
      <c r="M564" s="1"/>
      <c r="N564" s="142"/>
      <c r="O564" s="1"/>
      <c r="P564" s="142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79">
        <f t="shared" si="805"/>
        <v>0</v>
      </c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R564" s="1"/>
      <c r="CS564" s="1"/>
      <c r="CT564" s="1"/>
      <c r="CU564" s="1"/>
      <c r="CV564" s="1"/>
      <c r="CW564" s="1"/>
      <c r="CX564" s="1"/>
      <c r="CY564" s="91" t="str">
        <f t="shared" si="831"/>
        <v/>
      </c>
      <c r="CZ564" s="1"/>
      <c r="DC564" s="96"/>
      <c r="DE564" s="96"/>
    </row>
    <row r="565">
      <c r="A565" s="1"/>
      <c r="B565" s="1"/>
      <c r="C565" s="76"/>
      <c r="D565" s="76"/>
      <c r="E565" s="76"/>
      <c r="F565" s="76"/>
      <c r="G565" s="79"/>
      <c r="H565" s="80"/>
      <c r="I565" s="79"/>
      <c r="J565" s="80"/>
      <c r="K565" s="79"/>
      <c r="L565" s="142"/>
      <c r="M565" s="1"/>
      <c r="N565" s="142"/>
      <c r="O565" s="1"/>
      <c r="P565" s="142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79">
        <f t="shared" si="805"/>
        <v>0</v>
      </c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R565" s="1"/>
      <c r="CS565" s="1"/>
      <c r="CT565" s="1"/>
      <c r="CU565" s="1"/>
      <c r="CV565" s="1"/>
      <c r="CW565" s="1"/>
      <c r="CX565" s="1"/>
      <c r="CY565" s="91" t="str">
        <f t="shared" si="831"/>
        <v/>
      </c>
      <c r="CZ565" s="1"/>
      <c r="DC565" s="96"/>
      <c r="DE565" s="96"/>
    </row>
    <row r="566">
      <c r="A566" s="1"/>
      <c r="B566" s="1"/>
      <c r="C566" s="76"/>
      <c r="D566" s="76"/>
      <c r="E566" s="76"/>
      <c r="F566" s="76"/>
      <c r="G566" s="79"/>
      <c r="H566" s="80"/>
      <c r="I566" s="79"/>
      <c r="J566" s="80"/>
      <c r="K566" s="79"/>
      <c r="L566" s="142"/>
      <c r="M566" s="1"/>
      <c r="N566" s="142"/>
      <c r="O566" s="1"/>
      <c r="P566" s="142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79">
        <f t="shared" si="805"/>
        <v>0</v>
      </c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R566" s="1"/>
      <c r="CS566" s="1"/>
      <c r="CT566" s="1"/>
      <c r="CU566" s="1"/>
      <c r="CV566" s="1"/>
      <c r="CW566" s="1"/>
      <c r="CX566" s="1"/>
      <c r="CY566" s="91" t="str">
        <f t="shared" si="831"/>
        <v/>
      </c>
      <c r="CZ566" s="1"/>
      <c r="DC566" s="96"/>
      <c r="DE566" s="96"/>
    </row>
    <row r="567">
      <c r="A567" s="1"/>
      <c r="B567" s="1"/>
      <c r="C567" s="76"/>
      <c r="D567" s="76"/>
      <c r="E567" s="76"/>
      <c r="F567" s="76"/>
      <c r="G567" s="79"/>
      <c r="H567" s="80"/>
      <c r="I567" s="79"/>
      <c r="J567" s="80"/>
      <c r="K567" s="79"/>
      <c r="L567" s="142"/>
      <c r="M567" s="1"/>
      <c r="N567" s="142"/>
      <c r="O567" s="1"/>
      <c r="P567" s="142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79">
        <f t="shared" si="805"/>
        <v>0</v>
      </c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R567" s="1"/>
      <c r="CS567" s="1"/>
      <c r="CT567" s="1"/>
      <c r="CU567" s="1"/>
      <c r="CV567" s="1"/>
      <c r="CW567" s="1"/>
      <c r="CX567" s="1"/>
      <c r="CY567" s="91" t="str">
        <f t="shared" si="831"/>
        <v/>
      </c>
      <c r="CZ567" s="1"/>
      <c r="DC567" s="96"/>
      <c r="DE567" s="96"/>
    </row>
    <row r="568">
      <c r="A568" s="1"/>
      <c r="B568" s="1"/>
      <c r="C568" s="76"/>
      <c r="D568" s="76"/>
      <c r="E568" s="76"/>
      <c r="F568" s="76"/>
      <c r="G568" s="79"/>
      <c r="H568" s="80"/>
      <c r="I568" s="79"/>
      <c r="J568" s="80"/>
      <c r="K568" s="79"/>
      <c r="L568" s="142"/>
      <c r="M568" s="1"/>
      <c r="N568" s="142"/>
      <c r="O568" s="1"/>
      <c r="P568" s="142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79">
        <f t="shared" si="805"/>
        <v>0</v>
      </c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R568" s="1"/>
      <c r="CS568" s="1"/>
      <c r="CT568" s="1"/>
      <c r="CU568" s="1"/>
      <c r="CV568" s="1"/>
      <c r="CW568" s="1"/>
      <c r="CX568" s="1"/>
      <c r="CY568" s="91" t="str">
        <f t="shared" si="831"/>
        <v/>
      </c>
      <c r="CZ568" s="1"/>
      <c r="DC568" s="96"/>
      <c r="DE568" s="96"/>
    </row>
    <row r="569">
      <c r="A569" s="1"/>
      <c r="B569" s="1"/>
      <c r="C569" s="76"/>
      <c r="D569" s="76"/>
      <c r="E569" s="76"/>
      <c r="F569" s="76"/>
      <c r="G569" s="79"/>
      <c r="H569" s="80"/>
      <c r="I569" s="79"/>
      <c r="J569" s="80"/>
      <c r="K569" s="79"/>
      <c r="L569" s="142"/>
      <c r="M569" s="1"/>
      <c r="N569" s="142"/>
      <c r="O569" s="1"/>
      <c r="P569" s="142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79">
        <f t="shared" si="805"/>
        <v>0</v>
      </c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R569" s="1"/>
      <c r="CS569" s="1"/>
      <c r="CT569" s="1"/>
      <c r="CU569" s="1"/>
      <c r="CV569" s="1"/>
      <c r="CW569" s="1"/>
      <c r="CX569" s="1"/>
      <c r="CY569" s="91" t="str">
        <f t="shared" si="831"/>
        <v/>
      </c>
      <c r="CZ569" s="1"/>
      <c r="DC569" s="96"/>
      <c r="DE569" s="96"/>
    </row>
    <row r="570">
      <c r="A570" s="1"/>
      <c r="B570" s="1"/>
      <c r="C570" s="76"/>
      <c r="D570" s="76"/>
      <c r="E570" s="76"/>
      <c r="F570" s="76"/>
      <c r="G570" s="79"/>
      <c r="H570" s="80"/>
      <c r="I570" s="79"/>
      <c r="J570" s="80"/>
      <c r="K570" s="79"/>
      <c r="L570" s="142"/>
      <c r="M570" s="1"/>
      <c r="N570" s="142"/>
      <c r="O570" s="1"/>
      <c r="P570" s="142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79">
        <f t="shared" si="805"/>
        <v>0</v>
      </c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R570" s="1"/>
      <c r="CS570" s="1"/>
      <c r="CT570" s="1"/>
      <c r="CU570" s="1"/>
      <c r="CV570" s="1"/>
      <c r="CW570" s="1"/>
      <c r="CX570" s="1"/>
      <c r="CY570" s="91" t="str">
        <f t="shared" si="831"/>
        <v/>
      </c>
      <c r="CZ570" s="1"/>
      <c r="DC570" s="96"/>
      <c r="DE570" s="96"/>
    </row>
    <row r="571">
      <c r="A571" s="1"/>
      <c r="B571" s="1"/>
      <c r="C571" s="76"/>
      <c r="D571" s="76"/>
      <c r="E571" s="76"/>
      <c r="F571" s="76"/>
      <c r="G571" s="79"/>
      <c r="H571" s="80"/>
      <c r="I571" s="79"/>
      <c r="J571" s="80"/>
      <c r="K571" s="79"/>
      <c r="L571" s="142"/>
      <c r="M571" s="1"/>
      <c r="N571" s="142"/>
      <c r="O571" s="1"/>
      <c r="P571" s="142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79">
        <f t="shared" si="805"/>
        <v>0</v>
      </c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R571" s="1"/>
      <c r="CS571" s="1"/>
      <c r="CT571" s="1"/>
      <c r="CU571" s="1"/>
      <c r="CV571" s="1"/>
      <c r="CW571" s="1"/>
      <c r="CX571" s="1"/>
      <c r="CY571" s="91" t="str">
        <f t="shared" si="831"/>
        <v/>
      </c>
      <c r="CZ571" s="1"/>
      <c r="DC571" s="96"/>
      <c r="DE571" s="96"/>
    </row>
    <row r="572">
      <c r="A572" s="1"/>
      <c r="B572" s="1"/>
      <c r="C572" s="76"/>
      <c r="D572" s="76"/>
      <c r="E572" s="76"/>
      <c r="F572" s="76"/>
      <c r="G572" s="79"/>
      <c r="H572" s="80"/>
      <c r="I572" s="79"/>
      <c r="J572" s="80"/>
      <c r="K572" s="79"/>
      <c r="L572" s="142"/>
      <c r="M572" s="1"/>
      <c r="N572" s="142"/>
      <c r="O572" s="1"/>
      <c r="P572" s="142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79">
        <f t="shared" si="805"/>
        <v>0</v>
      </c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R572" s="1"/>
      <c r="CS572" s="1"/>
      <c r="CT572" s="1"/>
      <c r="CU572" s="1"/>
      <c r="CV572" s="1"/>
      <c r="CW572" s="1"/>
      <c r="CX572" s="1"/>
      <c r="CY572" s="91" t="str">
        <f t="shared" si="831"/>
        <v/>
      </c>
      <c r="CZ572" s="1"/>
      <c r="DC572" s="96"/>
      <c r="DE572" s="96"/>
    </row>
    <row r="573">
      <c r="A573" s="1"/>
      <c r="B573" s="1"/>
      <c r="C573" s="76"/>
      <c r="D573" s="76"/>
      <c r="E573" s="76"/>
      <c r="F573" s="76"/>
      <c r="G573" s="79"/>
      <c r="H573" s="80"/>
      <c r="I573" s="79"/>
      <c r="J573" s="80"/>
      <c r="K573" s="79"/>
      <c r="L573" s="142"/>
      <c r="M573" s="1"/>
      <c r="N573" s="142"/>
      <c r="O573" s="1"/>
      <c r="P573" s="142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79">
        <f t="shared" si="805"/>
        <v>0</v>
      </c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R573" s="1"/>
      <c r="CS573" s="1"/>
      <c r="CT573" s="1"/>
      <c r="CU573" s="1"/>
      <c r="CV573" s="1"/>
      <c r="CW573" s="1"/>
      <c r="CX573" s="1"/>
      <c r="CY573" s="91" t="str">
        <f t="shared" si="831"/>
        <v/>
      </c>
      <c r="CZ573" s="1"/>
      <c r="DC573" s="96"/>
      <c r="DE573" s="96"/>
    </row>
    <row r="574">
      <c r="A574" s="1"/>
      <c r="B574" s="1"/>
      <c r="C574" s="76"/>
      <c r="D574" s="76"/>
      <c r="E574" s="76"/>
      <c r="F574" s="76"/>
      <c r="G574" s="79"/>
      <c r="H574" s="80"/>
      <c r="I574" s="79"/>
      <c r="J574" s="80"/>
      <c r="K574" s="79"/>
      <c r="L574" s="142"/>
      <c r="M574" s="1"/>
      <c r="N574" s="142"/>
      <c r="O574" s="1"/>
      <c r="P574" s="142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79">
        <f t="shared" si="805"/>
        <v>0</v>
      </c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R574" s="1"/>
      <c r="CS574" s="1"/>
      <c r="CT574" s="1"/>
      <c r="CU574" s="1"/>
      <c r="CV574" s="1"/>
      <c r="CW574" s="1"/>
      <c r="CX574" s="1"/>
      <c r="CY574" s="91" t="str">
        <f t="shared" si="831"/>
        <v/>
      </c>
      <c r="CZ574" s="1"/>
      <c r="DC574" s="96"/>
      <c r="DE574" s="96"/>
    </row>
    <row r="575">
      <c r="A575" s="1"/>
      <c r="B575" s="1"/>
      <c r="C575" s="76"/>
      <c r="D575" s="76"/>
      <c r="E575" s="76"/>
      <c r="F575" s="76"/>
      <c r="G575" s="79"/>
      <c r="H575" s="80"/>
      <c r="I575" s="79"/>
      <c r="J575" s="80"/>
      <c r="K575" s="79"/>
      <c r="L575" s="142"/>
      <c r="M575" s="1"/>
      <c r="N575" s="142"/>
      <c r="O575" s="1"/>
      <c r="P575" s="142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79">
        <f t="shared" si="805"/>
        <v>0</v>
      </c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R575" s="1"/>
      <c r="CS575" s="1"/>
      <c r="CT575" s="1"/>
      <c r="CU575" s="1"/>
      <c r="CV575" s="1"/>
      <c r="CW575" s="1"/>
      <c r="CX575" s="1"/>
      <c r="CY575" s="91" t="str">
        <f t="shared" si="831"/>
        <v/>
      </c>
      <c r="CZ575" s="1"/>
      <c r="DC575" s="96"/>
      <c r="DE575" s="96"/>
    </row>
    <row r="576">
      <c r="A576" s="1"/>
      <c r="B576" s="1"/>
      <c r="C576" s="76"/>
      <c r="D576" s="76"/>
      <c r="E576" s="76"/>
      <c r="F576" s="76"/>
      <c r="G576" s="79"/>
      <c r="H576" s="80"/>
      <c r="I576" s="79"/>
      <c r="J576" s="80"/>
      <c r="K576" s="79"/>
      <c r="L576" s="142"/>
      <c r="M576" s="1"/>
      <c r="N576" s="142"/>
      <c r="O576" s="1"/>
      <c r="P576" s="142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79">
        <f t="shared" si="805"/>
        <v>0</v>
      </c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R576" s="1"/>
      <c r="CS576" s="1"/>
      <c r="CT576" s="1"/>
      <c r="CU576" s="1"/>
      <c r="CV576" s="1"/>
      <c r="CW576" s="1"/>
      <c r="CX576" s="1"/>
      <c r="CY576" s="91" t="str">
        <f t="shared" si="831"/>
        <v/>
      </c>
      <c r="CZ576" s="1"/>
      <c r="DC576" s="96"/>
      <c r="DE576" s="96"/>
    </row>
    <row r="577">
      <c r="A577" s="1"/>
      <c r="B577" s="1"/>
      <c r="C577" s="76"/>
      <c r="D577" s="76"/>
      <c r="E577" s="76"/>
      <c r="F577" s="76"/>
      <c r="G577" s="79"/>
      <c r="H577" s="80"/>
      <c r="I577" s="79"/>
      <c r="J577" s="80"/>
      <c r="K577" s="79"/>
      <c r="L577" s="142"/>
      <c r="M577" s="1"/>
      <c r="N577" s="142"/>
      <c r="O577" s="1"/>
      <c r="P577" s="142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79">
        <f t="shared" si="805"/>
        <v>0</v>
      </c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R577" s="1"/>
      <c r="CS577" s="1"/>
      <c r="CT577" s="1"/>
      <c r="CU577" s="1"/>
      <c r="CV577" s="1"/>
      <c r="CW577" s="1"/>
      <c r="CX577" s="1"/>
      <c r="CY577" s="91" t="str">
        <f t="shared" si="831"/>
        <v/>
      </c>
      <c r="CZ577" s="1"/>
      <c r="DC577" s="96"/>
      <c r="DE577" s="96"/>
    </row>
    <row r="578">
      <c r="A578" s="1"/>
      <c r="B578" s="1"/>
      <c r="C578" s="76"/>
      <c r="D578" s="76"/>
      <c r="E578" s="76"/>
      <c r="F578" s="76"/>
      <c r="G578" s="79"/>
      <c r="H578" s="80"/>
      <c r="I578" s="79"/>
      <c r="J578" s="80"/>
      <c r="K578" s="79"/>
      <c r="L578" s="142"/>
      <c r="M578" s="1"/>
      <c r="N578" s="142"/>
      <c r="O578" s="1"/>
      <c r="P578" s="142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79">
        <f t="shared" si="805"/>
        <v>0</v>
      </c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R578" s="1"/>
      <c r="CS578" s="1"/>
      <c r="CT578" s="1"/>
      <c r="CU578" s="1"/>
      <c r="CV578" s="1"/>
      <c r="CW578" s="1"/>
      <c r="CX578" s="1"/>
      <c r="CY578" s="91" t="str">
        <f t="shared" si="831"/>
        <v/>
      </c>
      <c r="CZ578" s="1"/>
      <c r="DC578" s="96"/>
      <c r="DE578" s="96"/>
    </row>
    <row r="579">
      <c r="A579" s="1"/>
      <c r="B579" s="1"/>
      <c r="C579" s="76"/>
      <c r="D579" s="76"/>
      <c r="E579" s="76"/>
      <c r="F579" s="76"/>
      <c r="G579" s="79"/>
      <c r="H579" s="80"/>
      <c r="I579" s="79"/>
      <c r="J579" s="80"/>
      <c r="K579" s="79"/>
      <c r="L579" s="142"/>
      <c r="M579" s="1"/>
      <c r="N579" s="142"/>
      <c r="O579" s="1"/>
      <c r="P579" s="142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79">
        <f t="shared" si="805"/>
        <v>0</v>
      </c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R579" s="1"/>
      <c r="CS579" s="1"/>
      <c r="CT579" s="1"/>
      <c r="CU579" s="1"/>
      <c r="CV579" s="1"/>
      <c r="CW579" s="1"/>
      <c r="CX579" s="1"/>
      <c r="CY579" s="91" t="str">
        <f t="shared" si="831"/>
        <v/>
      </c>
      <c r="CZ579" s="1"/>
      <c r="DC579" s="96"/>
      <c r="DE579" s="96"/>
    </row>
    <row r="580">
      <c r="A580" s="1"/>
      <c r="B580" s="1"/>
      <c r="C580" s="76"/>
      <c r="D580" s="76"/>
      <c r="E580" s="76"/>
      <c r="F580" s="76"/>
      <c r="G580" s="79"/>
      <c r="H580" s="80"/>
      <c r="I580" s="79"/>
      <c r="J580" s="80"/>
      <c r="K580" s="79"/>
      <c r="L580" s="142"/>
      <c r="M580" s="1"/>
      <c r="N580" s="142"/>
      <c r="O580" s="1"/>
      <c r="P580" s="142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79">
        <f t="shared" si="805"/>
        <v>0</v>
      </c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R580" s="1"/>
      <c r="CS580" s="1"/>
      <c r="CT580" s="1"/>
      <c r="CU580" s="1"/>
      <c r="CV580" s="1"/>
      <c r="CW580" s="1"/>
      <c r="CX580" s="1"/>
      <c r="CY580" s="91" t="str">
        <f t="shared" si="831"/>
        <v/>
      </c>
      <c r="CZ580" s="1"/>
      <c r="DC580" s="96"/>
      <c r="DE580" s="96"/>
    </row>
    <row r="581">
      <c r="A581" s="1"/>
      <c r="B581" s="1"/>
      <c r="C581" s="76"/>
      <c r="D581" s="76"/>
      <c r="E581" s="76"/>
      <c r="F581" s="76"/>
      <c r="G581" s="79"/>
      <c r="H581" s="80"/>
      <c r="I581" s="79"/>
      <c r="J581" s="80"/>
      <c r="K581" s="79"/>
      <c r="L581" s="142"/>
      <c r="M581" s="1"/>
      <c r="N581" s="142"/>
      <c r="O581" s="1"/>
      <c r="P581" s="142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79">
        <f t="shared" si="805"/>
        <v>0</v>
      </c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R581" s="1"/>
      <c r="CS581" s="1"/>
      <c r="CT581" s="1"/>
      <c r="CU581" s="1"/>
      <c r="CV581" s="1"/>
      <c r="CW581" s="1"/>
      <c r="CX581" s="1"/>
      <c r="CY581" s="91" t="str">
        <f t="shared" si="831"/>
        <v/>
      </c>
      <c r="CZ581" s="1"/>
      <c r="DC581" s="96"/>
      <c r="DE581" s="96"/>
    </row>
    <row r="582">
      <c r="A582" s="1"/>
      <c r="B582" s="1"/>
      <c r="C582" s="76"/>
      <c r="D582" s="76"/>
      <c r="E582" s="76"/>
      <c r="F582" s="76"/>
      <c r="G582" s="79"/>
      <c r="H582" s="80"/>
      <c r="I582" s="79"/>
      <c r="J582" s="80"/>
      <c r="K582" s="79"/>
      <c r="L582" s="142"/>
      <c r="M582" s="1"/>
      <c r="N582" s="142"/>
      <c r="O582" s="1"/>
      <c r="P582" s="142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79">
        <f t="shared" si="805"/>
        <v>0</v>
      </c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R582" s="1"/>
      <c r="CS582" s="1"/>
      <c r="CT582" s="1"/>
      <c r="CU582" s="1"/>
      <c r="CV582" s="1"/>
      <c r="CW582" s="1"/>
      <c r="CX582" s="1"/>
      <c r="CY582" s="91" t="str">
        <f t="shared" si="831"/>
        <v/>
      </c>
      <c r="CZ582" s="1"/>
      <c r="DC582" s="96"/>
      <c r="DE582" s="96"/>
    </row>
    <row r="583">
      <c r="A583" s="1"/>
      <c r="B583" s="1"/>
      <c r="C583" s="76"/>
      <c r="D583" s="76"/>
      <c r="E583" s="76"/>
      <c r="F583" s="76"/>
      <c r="G583" s="79"/>
      <c r="H583" s="80"/>
      <c r="I583" s="79"/>
      <c r="J583" s="80"/>
      <c r="K583" s="79"/>
      <c r="L583" s="142"/>
      <c r="M583" s="1"/>
      <c r="N583" s="142"/>
      <c r="O583" s="1"/>
      <c r="P583" s="142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79">
        <f t="shared" si="805"/>
        <v>0</v>
      </c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R583" s="1"/>
      <c r="CS583" s="1"/>
      <c r="CT583" s="1"/>
      <c r="CU583" s="1"/>
      <c r="CV583" s="1"/>
      <c r="CW583" s="1"/>
      <c r="CX583" s="1"/>
      <c r="CY583" s="91" t="str">
        <f t="shared" si="831"/>
        <v/>
      </c>
      <c r="CZ583" s="1"/>
      <c r="DC583" s="96"/>
      <c r="DE583" s="96"/>
    </row>
    <row r="584">
      <c r="A584" s="1"/>
      <c r="B584" s="1"/>
      <c r="C584" s="76"/>
      <c r="D584" s="76"/>
      <c r="E584" s="76"/>
      <c r="F584" s="76"/>
      <c r="G584" s="79"/>
      <c r="H584" s="80"/>
      <c r="I584" s="79"/>
      <c r="J584" s="80"/>
      <c r="K584" s="79"/>
      <c r="L584" s="142"/>
      <c r="M584" s="1"/>
      <c r="N584" s="142"/>
      <c r="O584" s="1"/>
      <c r="P584" s="142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79">
        <f t="shared" si="805"/>
        <v>0</v>
      </c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R584" s="1"/>
      <c r="CS584" s="1"/>
      <c r="CT584" s="1"/>
      <c r="CU584" s="1"/>
      <c r="CV584" s="1"/>
      <c r="CW584" s="1"/>
      <c r="CX584" s="1"/>
      <c r="CY584" s="91" t="str">
        <f t="shared" si="831"/>
        <v/>
      </c>
      <c r="CZ584" s="1"/>
      <c r="DC584" s="96"/>
      <c r="DE584" s="96"/>
    </row>
    <row r="585">
      <c r="A585" s="1"/>
      <c r="B585" s="1"/>
      <c r="C585" s="76"/>
      <c r="D585" s="76"/>
      <c r="E585" s="76"/>
      <c r="F585" s="76"/>
      <c r="G585" s="79"/>
      <c r="H585" s="80"/>
      <c r="I585" s="79"/>
      <c r="J585" s="80"/>
      <c r="K585" s="79"/>
      <c r="L585" s="142"/>
      <c r="M585" s="1"/>
      <c r="N585" s="142"/>
      <c r="O585" s="1"/>
      <c r="P585" s="142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79">
        <f t="shared" si="805"/>
        <v>0</v>
      </c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R585" s="1"/>
      <c r="CS585" s="1"/>
      <c r="CT585" s="1"/>
      <c r="CU585" s="1"/>
      <c r="CV585" s="1"/>
      <c r="CW585" s="1"/>
      <c r="CX585" s="1"/>
      <c r="CY585" s="91" t="str">
        <f t="shared" si="831"/>
        <v/>
      </c>
      <c r="CZ585" s="1"/>
      <c r="DC585" s="96"/>
      <c r="DE585" s="96"/>
    </row>
    <row r="586">
      <c r="A586" s="1"/>
      <c r="B586" s="1"/>
      <c r="C586" s="76"/>
      <c r="D586" s="76"/>
      <c r="E586" s="76"/>
      <c r="F586" s="76"/>
      <c r="G586" s="79"/>
      <c r="H586" s="80"/>
      <c r="I586" s="79"/>
      <c r="J586" s="80"/>
      <c r="K586" s="79"/>
      <c r="L586" s="142"/>
      <c r="M586" s="1"/>
      <c r="N586" s="142"/>
      <c r="O586" s="1"/>
      <c r="P586" s="142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79">
        <f t="shared" si="805"/>
        <v>0</v>
      </c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R586" s="1"/>
      <c r="CS586" s="1"/>
      <c r="CT586" s="1"/>
      <c r="CU586" s="1"/>
      <c r="CV586" s="1"/>
      <c r="CW586" s="1"/>
      <c r="CX586" s="1"/>
      <c r="CY586" s="91" t="str">
        <f t="shared" si="831"/>
        <v/>
      </c>
      <c r="CZ586" s="1"/>
      <c r="DC586" s="96"/>
      <c r="DE586" s="96"/>
    </row>
    <row r="587">
      <c r="A587" s="1"/>
      <c r="B587" s="1"/>
      <c r="C587" s="76"/>
      <c r="D587" s="76"/>
      <c r="E587" s="76"/>
      <c r="F587" s="76"/>
      <c r="G587" s="79"/>
      <c r="H587" s="80"/>
      <c r="I587" s="79"/>
      <c r="J587" s="80"/>
      <c r="K587" s="79"/>
      <c r="L587" s="142"/>
      <c r="M587" s="1"/>
      <c r="N587" s="142"/>
      <c r="O587" s="1"/>
      <c r="P587" s="142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79">
        <f t="shared" si="805"/>
        <v>0</v>
      </c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R587" s="1"/>
      <c r="CS587" s="1"/>
      <c r="CT587" s="1"/>
      <c r="CU587" s="1"/>
      <c r="CV587" s="1"/>
      <c r="CW587" s="1"/>
      <c r="CX587" s="1"/>
      <c r="CY587" s="91" t="str">
        <f t="shared" si="831"/>
        <v/>
      </c>
      <c r="CZ587" s="1"/>
      <c r="DC587" s="96"/>
      <c r="DE587" s="96"/>
    </row>
    <row r="588">
      <c r="A588" s="1"/>
      <c r="B588" s="1"/>
      <c r="C588" s="76"/>
      <c r="D588" s="76"/>
      <c r="E588" s="76"/>
      <c r="F588" s="76"/>
      <c r="G588" s="79"/>
      <c r="H588" s="80"/>
      <c r="I588" s="79"/>
      <c r="J588" s="80"/>
      <c r="K588" s="79"/>
      <c r="L588" s="142"/>
      <c r="M588" s="1"/>
      <c r="N588" s="142"/>
      <c r="O588" s="1"/>
      <c r="P588" s="142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79">
        <f t="shared" si="805"/>
        <v>0</v>
      </c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R588" s="1"/>
      <c r="CS588" s="1"/>
      <c r="CT588" s="1"/>
      <c r="CU588" s="1"/>
      <c r="CV588" s="1"/>
      <c r="CW588" s="1"/>
      <c r="CX588" s="1"/>
      <c r="CY588" s="91" t="str">
        <f t="shared" si="831"/>
        <v/>
      </c>
      <c r="CZ588" s="1"/>
      <c r="DC588" s="96"/>
      <c r="DE588" s="96"/>
    </row>
    <row r="589">
      <c r="A589" s="1"/>
      <c r="B589" s="1"/>
      <c r="C589" s="76"/>
      <c r="D589" s="76"/>
      <c r="E589" s="76"/>
      <c r="F589" s="76"/>
      <c r="G589" s="79"/>
      <c r="H589" s="80"/>
      <c r="I589" s="79"/>
      <c r="J589" s="80"/>
      <c r="K589" s="79"/>
      <c r="L589" s="142"/>
      <c r="M589" s="1"/>
      <c r="N589" s="142"/>
      <c r="O589" s="1"/>
      <c r="P589" s="142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79">
        <f t="shared" si="805"/>
        <v>0</v>
      </c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R589" s="1"/>
      <c r="CS589" s="1"/>
      <c r="CT589" s="1"/>
      <c r="CU589" s="1"/>
      <c r="CV589" s="1"/>
      <c r="CW589" s="1"/>
      <c r="CX589" s="1"/>
      <c r="CY589" s="91" t="str">
        <f t="shared" si="831"/>
        <v/>
      </c>
      <c r="CZ589" s="1"/>
      <c r="DC589" s="96"/>
      <c r="DE589" s="96"/>
    </row>
    <row r="590">
      <c r="A590" s="1"/>
      <c r="B590" s="1"/>
      <c r="C590" s="76"/>
      <c r="D590" s="76"/>
      <c r="E590" s="76"/>
      <c r="F590" s="76"/>
      <c r="G590" s="79"/>
      <c r="H590" s="80"/>
      <c r="I590" s="79"/>
      <c r="J590" s="80"/>
      <c r="K590" s="79"/>
      <c r="L590" s="142"/>
      <c r="M590" s="1"/>
      <c r="N590" s="142"/>
      <c r="O590" s="1"/>
      <c r="P590" s="142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79">
        <f t="shared" si="805"/>
        <v>0</v>
      </c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R590" s="1"/>
      <c r="CS590" s="1"/>
      <c r="CT590" s="1"/>
      <c r="CU590" s="1"/>
      <c r="CV590" s="1"/>
      <c r="CW590" s="1"/>
      <c r="CX590" s="1"/>
      <c r="CY590" s="91" t="str">
        <f t="shared" si="831"/>
        <v/>
      </c>
      <c r="CZ590" s="1"/>
      <c r="DC590" s="96"/>
      <c r="DE590" s="96"/>
    </row>
    <row r="591">
      <c r="A591" s="1"/>
      <c r="B591" s="1"/>
      <c r="C591" s="76"/>
      <c r="D591" s="76"/>
      <c r="E591" s="76"/>
      <c r="F591" s="76"/>
      <c r="G591" s="79"/>
      <c r="H591" s="80"/>
      <c r="I591" s="79"/>
      <c r="J591" s="80"/>
      <c r="K591" s="79"/>
      <c r="L591" s="142"/>
      <c r="M591" s="1"/>
      <c r="N591" s="142"/>
      <c r="O591" s="1"/>
      <c r="P591" s="142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79">
        <f t="shared" si="805"/>
        <v>0</v>
      </c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R591" s="1"/>
      <c r="CS591" s="1"/>
      <c r="CT591" s="1"/>
      <c r="CU591" s="1"/>
      <c r="CV591" s="1"/>
      <c r="CW591" s="1"/>
      <c r="CX591" s="1"/>
      <c r="CY591" s="91" t="str">
        <f t="shared" si="831"/>
        <v/>
      </c>
      <c r="CZ591" s="1"/>
      <c r="DC591" s="96"/>
      <c r="DE591" s="96"/>
    </row>
    <row r="592">
      <c r="A592" s="1"/>
      <c r="B592" s="1"/>
      <c r="C592" s="76"/>
      <c r="D592" s="76"/>
      <c r="E592" s="76"/>
      <c r="F592" s="76"/>
      <c r="G592" s="79"/>
      <c r="H592" s="80"/>
      <c r="I592" s="79"/>
      <c r="J592" s="80"/>
      <c r="K592" s="79"/>
      <c r="L592" s="142"/>
      <c r="M592" s="1"/>
      <c r="N592" s="142"/>
      <c r="O592" s="1"/>
      <c r="P592" s="142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79">
        <f t="shared" si="805"/>
        <v>0</v>
      </c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R592" s="1"/>
      <c r="CS592" s="1"/>
      <c r="CT592" s="1"/>
      <c r="CU592" s="1"/>
      <c r="CV592" s="1"/>
      <c r="CW592" s="1"/>
      <c r="CX592" s="1"/>
      <c r="CY592" s="91" t="str">
        <f t="shared" si="831"/>
        <v/>
      </c>
      <c r="CZ592" s="1"/>
      <c r="DC592" s="96"/>
      <c r="DE592" s="96"/>
    </row>
    <row r="593">
      <c r="A593" s="1"/>
      <c r="B593" s="1"/>
      <c r="C593" s="76"/>
      <c r="D593" s="76"/>
      <c r="E593" s="76"/>
      <c r="F593" s="76"/>
      <c r="G593" s="79"/>
      <c r="H593" s="80"/>
      <c r="I593" s="79"/>
      <c r="J593" s="80"/>
      <c r="K593" s="79"/>
      <c r="L593" s="142"/>
      <c r="M593" s="1"/>
      <c r="N593" s="142"/>
      <c r="O593" s="1"/>
      <c r="P593" s="142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79">
        <f t="shared" si="805"/>
        <v>0</v>
      </c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R593" s="1"/>
      <c r="CS593" s="1"/>
      <c r="CT593" s="1"/>
      <c r="CU593" s="1"/>
      <c r="CV593" s="1"/>
      <c r="CW593" s="1"/>
      <c r="CX593" s="1"/>
      <c r="CY593" s="91" t="str">
        <f t="shared" si="831"/>
        <v/>
      </c>
      <c r="CZ593" s="1"/>
      <c r="DC593" s="96"/>
      <c r="DE593" s="96"/>
    </row>
    <row r="594">
      <c r="A594" s="1"/>
      <c r="B594" s="1"/>
      <c r="C594" s="76"/>
      <c r="D594" s="76"/>
      <c r="E594" s="76"/>
      <c r="F594" s="76"/>
      <c r="G594" s="79"/>
      <c r="H594" s="80"/>
      <c r="I594" s="79"/>
      <c r="J594" s="80"/>
      <c r="K594" s="79"/>
      <c r="L594" s="142"/>
      <c r="M594" s="1"/>
      <c r="N594" s="142"/>
      <c r="O594" s="1"/>
      <c r="P594" s="142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79">
        <f t="shared" si="805"/>
        <v>0</v>
      </c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R594" s="1"/>
      <c r="CS594" s="1"/>
      <c r="CT594" s="1"/>
      <c r="CU594" s="1"/>
      <c r="CV594" s="1"/>
      <c r="CW594" s="1"/>
      <c r="CX594" s="1"/>
      <c r="CY594" s="91" t="str">
        <f t="shared" si="831"/>
        <v/>
      </c>
      <c r="CZ594" s="1"/>
      <c r="DC594" s="96"/>
      <c r="DE594" s="96"/>
    </row>
    <row r="595">
      <c r="A595" s="1"/>
      <c r="B595" s="1"/>
      <c r="C595" s="76"/>
      <c r="D595" s="76"/>
      <c r="E595" s="76"/>
      <c r="F595" s="76"/>
      <c r="G595" s="79"/>
      <c r="H595" s="80"/>
      <c r="I595" s="79"/>
      <c r="J595" s="80"/>
      <c r="K595" s="79"/>
      <c r="L595" s="142"/>
      <c r="M595" s="1"/>
      <c r="N595" s="142"/>
      <c r="O595" s="1"/>
      <c r="P595" s="142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79">
        <f t="shared" si="805"/>
        <v>0</v>
      </c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R595" s="1"/>
      <c r="CS595" s="1"/>
      <c r="CT595" s="1"/>
      <c r="CU595" s="1"/>
      <c r="CV595" s="1"/>
      <c r="CW595" s="1"/>
      <c r="CX595" s="1"/>
      <c r="CY595" s="91" t="str">
        <f t="shared" si="831"/>
        <v/>
      </c>
      <c r="CZ595" s="1"/>
      <c r="DC595" s="96"/>
      <c r="DE595" s="96"/>
    </row>
    <row r="596">
      <c r="A596" s="1"/>
      <c r="B596" s="1"/>
      <c r="C596" s="76"/>
      <c r="D596" s="76"/>
      <c r="E596" s="76"/>
      <c r="F596" s="76"/>
      <c r="G596" s="79"/>
      <c r="H596" s="80"/>
      <c r="I596" s="79"/>
      <c r="J596" s="80"/>
      <c r="K596" s="79"/>
      <c r="L596" s="142"/>
      <c r="M596" s="1"/>
      <c r="N596" s="142"/>
      <c r="O596" s="1"/>
      <c r="P596" s="142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79">
        <f t="shared" si="805"/>
        <v>0</v>
      </c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R596" s="1"/>
      <c r="CS596" s="1"/>
      <c r="CT596" s="1"/>
      <c r="CU596" s="1"/>
      <c r="CV596" s="1"/>
      <c r="CW596" s="1"/>
      <c r="CX596" s="1"/>
      <c r="CY596" s="91" t="str">
        <f t="shared" si="831"/>
        <v/>
      </c>
      <c r="CZ596" s="1"/>
      <c r="DC596" s="96"/>
      <c r="DE596" s="96"/>
    </row>
    <row r="597">
      <c r="A597" s="1"/>
      <c r="B597" s="1"/>
      <c r="C597" s="76"/>
      <c r="D597" s="76"/>
      <c r="E597" s="76"/>
      <c r="F597" s="76"/>
      <c r="G597" s="79"/>
      <c r="H597" s="80"/>
      <c r="I597" s="79"/>
      <c r="J597" s="80"/>
      <c r="K597" s="79"/>
      <c r="L597" s="142"/>
      <c r="M597" s="1"/>
      <c r="N597" s="142"/>
      <c r="O597" s="1"/>
      <c r="P597" s="142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79">
        <f t="shared" si="805"/>
        <v>0</v>
      </c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R597" s="1"/>
      <c r="CS597" s="1"/>
      <c r="CT597" s="1"/>
      <c r="CU597" s="1"/>
      <c r="CV597" s="1"/>
      <c r="CW597" s="1"/>
      <c r="CX597" s="1"/>
      <c r="CY597" s="91" t="str">
        <f t="shared" si="831"/>
        <v/>
      </c>
      <c r="CZ597" s="1"/>
      <c r="DC597" s="96"/>
      <c r="DE597" s="96"/>
    </row>
    <row r="598">
      <c r="A598" s="1"/>
      <c r="B598" s="1"/>
      <c r="C598" s="76"/>
      <c r="D598" s="76"/>
      <c r="E598" s="76"/>
      <c r="F598" s="76"/>
      <c r="G598" s="79"/>
      <c r="H598" s="80"/>
      <c r="I598" s="79"/>
      <c r="J598" s="80"/>
      <c r="K598" s="79"/>
      <c r="L598" s="142"/>
      <c r="M598" s="1"/>
      <c r="N598" s="142"/>
      <c r="O598" s="1"/>
      <c r="P598" s="142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79">
        <f t="shared" si="805"/>
        <v>0</v>
      </c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R598" s="1"/>
      <c r="CS598" s="1"/>
      <c r="CT598" s="1"/>
      <c r="CU598" s="1"/>
      <c r="CV598" s="1"/>
      <c r="CW598" s="1"/>
      <c r="CX598" s="1"/>
      <c r="CY598" s="91" t="str">
        <f t="shared" si="831"/>
        <v/>
      </c>
      <c r="CZ598" s="1"/>
      <c r="DC598" s="96"/>
      <c r="DE598" s="96"/>
    </row>
    <row r="599">
      <c r="A599" s="1"/>
      <c r="B599" s="1"/>
      <c r="C599" s="76"/>
      <c r="D599" s="76"/>
      <c r="E599" s="76"/>
      <c r="F599" s="76"/>
      <c r="G599" s="79"/>
      <c r="H599" s="80"/>
      <c r="I599" s="79"/>
      <c r="J599" s="80"/>
      <c r="K599" s="79"/>
      <c r="L599" s="142"/>
      <c r="M599" s="1"/>
      <c r="N599" s="142"/>
      <c r="O599" s="1"/>
      <c r="P599" s="142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79">
        <f t="shared" si="805"/>
        <v>0</v>
      </c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R599" s="1"/>
      <c r="CS599" s="1"/>
      <c r="CT599" s="1"/>
      <c r="CU599" s="1"/>
      <c r="CV599" s="1"/>
      <c r="CW599" s="1"/>
      <c r="CX599" s="1"/>
      <c r="CY599" s="91" t="str">
        <f t="shared" si="831"/>
        <v/>
      </c>
      <c r="CZ599" s="1"/>
      <c r="DC599" s="96"/>
      <c r="DE599" s="96"/>
    </row>
    <row r="600">
      <c r="A600" s="1"/>
      <c r="B600" s="1"/>
      <c r="C600" s="76"/>
      <c r="D600" s="76"/>
      <c r="E600" s="76"/>
      <c r="F600" s="76"/>
      <c r="G600" s="79"/>
      <c r="H600" s="80"/>
      <c r="I600" s="79"/>
      <c r="J600" s="80"/>
      <c r="K600" s="79"/>
      <c r="L600" s="142"/>
      <c r="M600" s="1"/>
      <c r="N600" s="142"/>
      <c r="O600" s="1"/>
      <c r="P600" s="142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79">
        <f t="shared" si="805"/>
        <v>0</v>
      </c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R600" s="1"/>
      <c r="CS600" s="1"/>
      <c r="CT600" s="1"/>
      <c r="CU600" s="1"/>
      <c r="CV600" s="1"/>
      <c r="CW600" s="1"/>
      <c r="CX600" s="1"/>
      <c r="CY600" s="91" t="str">
        <f t="shared" si="831"/>
        <v/>
      </c>
      <c r="CZ600" s="1"/>
      <c r="DC600" s="96"/>
      <c r="DE600" s="96"/>
    </row>
    <row r="601">
      <c r="A601" s="1"/>
      <c r="B601" s="1"/>
      <c r="C601" s="76"/>
      <c r="D601" s="76"/>
      <c r="E601" s="76"/>
      <c r="F601" s="76"/>
      <c r="G601" s="79"/>
      <c r="H601" s="80"/>
      <c r="I601" s="79"/>
      <c r="J601" s="80"/>
      <c r="K601" s="79"/>
      <c r="L601" s="142"/>
      <c r="M601" s="1"/>
      <c r="N601" s="142"/>
      <c r="O601" s="1"/>
      <c r="P601" s="142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79">
        <f t="shared" si="805"/>
        <v>0</v>
      </c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R601" s="1"/>
      <c r="CS601" s="1"/>
      <c r="CT601" s="1"/>
      <c r="CU601" s="1"/>
      <c r="CV601" s="1"/>
      <c r="CW601" s="1"/>
      <c r="CX601" s="1"/>
      <c r="CY601" s="91" t="str">
        <f t="shared" si="831"/>
        <v/>
      </c>
      <c r="CZ601" s="1"/>
      <c r="DC601" s="96"/>
      <c r="DE601" s="96"/>
    </row>
    <row r="602">
      <c r="A602" s="1"/>
      <c r="B602" s="1"/>
      <c r="C602" s="76"/>
      <c r="D602" s="76"/>
      <c r="E602" s="76"/>
      <c r="F602" s="76"/>
      <c r="G602" s="79"/>
      <c r="H602" s="80"/>
      <c r="I602" s="79"/>
      <c r="J602" s="80"/>
      <c r="K602" s="79"/>
      <c r="L602" s="142"/>
      <c r="M602" s="1"/>
      <c r="N602" s="142"/>
      <c r="O602" s="1"/>
      <c r="P602" s="142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79">
        <f t="shared" si="805"/>
        <v>0</v>
      </c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R602" s="1"/>
      <c r="CS602" s="1"/>
      <c r="CT602" s="1"/>
      <c r="CU602" s="1"/>
      <c r="CV602" s="1"/>
      <c r="CW602" s="1"/>
      <c r="CX602" s="1"/>
      <c r="CY602" s="91" t="str">
        <f t="shared" si="831"/>
        <v/>
      </c>
      <c r="CZ602" s="1"/>
      <c r="DC602" s="96"/>
      <c r="DE602" s="96"/>
    </row>
    <row r="603">
      <c r="A603" s="1"/>
      <c r="B603" s="1"/>
      <c r="C603" s="76"/>
      <c r="D603" s="76"/>
      <c r="E603" s="76"/>
      <c r="F603" s="76"/>
      <c r="G603" s="79"/>
      <c r="H603" s="80"/>
      <c r="I603" s="79"/>
      <c r="J603" s="80"/>
      <c r="K603" s="79"/>
      <c r="L603" s="142"/>
      <c r="M603" s="1"/>
      <c r="N603" s="142"/>
      <c r="O603" s="1"/>
      <c r="P603" s="142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79">
        <f t="shared" si="805"/>
        <v>0</v>
      </c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R603" s="1"/>
      <c r="CS603" s="1"/>
      <c r="CT603" s="1"/>
      <c r="CU603" s="1"/>
      <c r="CV603" s="1"/>
      <c r="CW603" s="1"/>
      <c r="CX603" s="1"/>
      <c r="CY603" s="91" t="str">
        <f t="shared" si="831"/>
        <v/>
      </c>
      <c r="CZ603" s="1"/>
      <c r="DC603" s="96"/>
      <c r="DE603" s="96"/>
    </row>
    <row r="604">
      <c r="A604" s="1"/>
      <c r="B604" s="1"/>
      <c r="C604" s="76"/>
      <c r="D604" s="76"/>
      <c r="E604" s="76"/>
      <c r="F604" s="76"/>
      <c r="G604" s="79"/>
      <c r="H604" s="80"/>
      <c r="I604" s="79"/>
      <c r="J604" s="80"/>
      <c r="K604" s="79"/>
      <c r="L604" s="142"/>
      <c r="M604" s="1"/>
      <c r="N604" s="142"/>
      <c r="O604" s="1"/>
      <c r="P604" s="142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79">
        <f t="shared" si="805"/>
        <v>0</v>
      </c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R604" s="1"/>
      <c r="CS604" s="1"/>
      <c r="CT604" s="1"/>
      <c r="CU604" s="1"/>
      <c r="CV604" s="1"/>
      <c r="CW604" s="1"/>
      <c r="CX604" s="1"/>
      <c r="CY604" s="91" t="str">
        <f t="shared" si="831"/>
        <v/>
      </c>
      <c r="CZ604" s="1"/>
      <c r="DC604" s="96"/>
      <c r="DE604" s="96"/>
    </row>
    <row r="605">
      <c r="A605" s="1"/>
      <c r="B605" s="1"/>
      <c r="C605" s="76"/>
      <c r="D605" s="76"/>
      <c r="E605" s="76"/>
      <c r="F605" s="76"/>
      <c r="G605" s="79"/>
      <c r="H605" s="80"/>
      <c r="I605" s="79"/>
      <c r="J605" s="80"/>
      <c r="K605" s="79"/>
      <c r="L605" s="142"/>
      <c r="M605" s="1"/>
      <c r="N605" s="142"/>
      <c r="O605" s="1"/>
      <c r="P605" s="142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79">
        <f t="shared" si="805"/>
        <v>0</v>
      </c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R605" s="1"/>
      <c r="CS605" s="1"/>
      <c r="CT605" s="1"/>
      <c r="CU605" s="1"/>
      <c r="CV605" s="1"/>
      <c r="CW605" s="1"/>
      <c r="CX605" s="1"/>
      <c r="CY605" s="91" t="str">
        <f t="shared" si="831"/>
        <v/>
      </c>
      <c r="CZ605" s="1"/>
      <c r="DC605" s="96"/>
      <c r="DE605" s="96"/>
    </row>
    <row r="606">
      <c r="A606" s="1"/>
      <c r="B606" s="1"/>
      <c r="C606" s="76"/>
      <c r="D606" s="76"/>
      <c r="E606" s="76"/>
      <c r="F606" s="76"/>
      <c r="G606" s="79"/>
      <c r="H606" s="80"/>
      <c r="I606" s="79"/>
      <c r="J606" s="80"/>
      <c r="K606" s="79"/>
      <c r="L606" s="142"/>
      <c r="M606" s="1"/>
      <c r="N606" s="142"/>
      <c r="O606" s="1"/>
      <c r="P606" s="142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79">
        <f t="shared" si="805"/>
        <v>0</v>
      </c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R606" s="1"/>
      <c r="CS606" s="1"/>
      <c r="CT606" s="1"/>
      <c r="CU606" s="1"/>
      <c r="CV606" s="1"/>
      <c r="CW606" s="1"/>
      <c r="CX606" s="1"/>
      <c r="CY606" s="91" t="str">
        <f t="shared" si="831"/>
        <v/>
      </c>
      <c r="CZ606" s="1"/>
      <c r="DC606" s="96"/>
      <c r="DE606" s="96"/>
    </row>
    <row r="607">
      <c r="A607" s="1"/>
      <c r="B607" s="1"/>
      <c r="C607" s="76"/>
      <c r="D607" s="76"/>
      <c r="E607" s="76"/>
      <c r="F607" s="76"/>
      <c r="G607" s="79"/>
      <c r="H607" s="80"/>
      <c r="I607" s="79"/>
      <c r="J607" s="80"/>
      <c r="K607" s="79"/>
      <c r="L607" s="142"/>
      <c r="M607" s="1"/>
      <c r="N607" s="142"/>
      <c r="O607" s="1"/>
      <c r="P607" s="142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79">
        <f t="shared" si="805"/>
        <v>0</v>
      </c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R607" s="1"/>
      <c r="CS607" s="1"/>
      <c r="CT607" s="1"/>
      <c r="CU607" s="1"/>
      <c r="CV607" s="1"/>
      <c r="CW607" s="1"/>
      <c r="CX607" s="1"/>
      <c r="CY607" s="91" t="str">
        <f t="shared" si="831"/>
        <v/>
      </c>
      <c r="CZ607" s="1"/>
      <c r="DC607" s="96"/>
      <c r="DE607" s="96"/>
    </row>
    <row r="608">
      <c r="A608" s="1"/>
      <c r="B608" s="1"/>
      <c r="C608" s="76"/>
      <c r="D608" s="76"/>
      <c r="E608" s="76"/>
      <c r="F608" s="76"/>
      <c r="G608" s="79"/>
      <c r="H608" s="80"/>
      <c r="I608" s="79"/>
      <c r="J608" s="80"/>
      <c r="K608" s="79"/>
      <c r="L608" s="142"/>
      <c r="M608" s="1"/>
      <c r="N608" s="142"/>
      <c r="O608" s="1"/>
      <c r="P608" s="142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79">
        <f t="shared" si="805"/>
        <v>0</v>
      </c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R608" s="1"/>
      <c r="CS608" s="1"/>
      <c r="CT608" s="1"/>
      <c r="CU608" s="1"/>
      <c r="CV608" s="1"/>
      <c r="CW608" s="1"/>
      <c r="CX608" s="1"/>
      <c r="CY608" s="91" t="str">
        <f t="shared" si="831"/>
        <v/>
      </c>
      <c r="CZ608" s="1"/>
      <c r="DC608" s="96"/>
      <c r="DE608" s="96"/>
    </row>
    <row r="609">
      <c r="A609" s="1"/>
      <c r="B609" s="1"/>
      <c r="C609" s="76"/>
      <c r="D609" s="76"/>
      <c r="E609" s="76"/>
      <c r="F609" s="76"/>
      <c r="G609" s="79"/>
      <c r="H609" s="80"/>
      <c r="I609" s="79"/>
      <c r="J609" s="80"/>
      <c r="K609" s="79"/>
      <c r="L609" s="142"/>
      <c r="M609" s="1"/>
      <c r="N609" s="142"/>
      <c r="O609" s="1"/>
      <c r="P609" s="142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79">
        <f t="shared" si="805"/>
        <v>0</v>
      </c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R609" s="1"/>
      <c r="CS609" s="1"/>
      <c r="CT609" s="1"/>
      <c r="CU609" s="1"/>
      <c r="CV609" s="1"/>
      <c r="CW609" s="1"/>
      <c r="CX609" s="1"/>
      <c r="CY609" s="91" t="str">
        <f t="shared" si="831"/>
        <v/>
      </c>
      <c r="CZ609" s="1"/>
      <c r="DC609" s="96"/>
      <c r="DE609" s="96"/>
    </row>
    <row r="610">
      <c r="A610" s="1"/>
      <c r="B610" s="1"/>
      <c r="C610" s="76"/>
      <c r="D610" s="76"/>
      <c r="E610" s="76"/>
      <c r="F610" s="76"/>
      <c r="G610" s="79"/>
      <c r="H610" s="80"/>
      <c r="I610" s="79"/>
      <c r="J610" s="80"/>
      <c r="K610" s="79"/>
      <c r="L610" s="142"/>
      <c r="M610" s="1"/>
      <c r="N610" s="142"/>
      <c r="O610" s="1"/>
      <c r="P610" s="142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79">
        <f t="shared" si="805"/>
        <v>0</v>
      </c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R610" s="1"/>
      <c r="CS610" s="1"/>
      <c r="CT610" s="1"/>
      <c r="CU610" s="1"/>
      <c r="CV610" s="1"/>
      <c r="CW610" s="1"/>
      <c r="CX610" s="1"/>
      <c r="CY610" s="91" t="str">
        <f t="shared" si="831"/>
        <v/>
      </c>
      <c r="CZ610" s="1"/>
      <c r="DC610" s="96"/>
      <c r="DE610" s="96"/>
    </row>
    <row r="611">
      <c r="A611" s="1"/>
      <c r="B611" s="1"/>
      <c r="C611" s="76"/>
      <c r="D611" s="76"/>
      <c r="E611" s="76"/>
      <c r="F611" s="76"/>
      <c r="G611" s="79"/>
      <c r="H611" s="80"/>
      <c r="I611" s="79"/>
      <c r="J611" s="80"/>
      <c r="K611" s="79"/>
      <c r="L611" s="142"/>
      <c r="M611" s="1"/>
      <c r="N611" s="142"/>
      <c r="O611" s="1"/>
      <c r="P611" s="142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79">
        <f t="shared" si="805"/>
        <v>0</v>
      </c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R611" s="1"/>
      <c r="CS611" s="1"/>
      <c r="CT611" s="1"/>
      <c r="CU611" s="1"/>
      <c r="CV611" s="1"/>
      <c r="CW611" s="1"/>
      <c r="CX611" s="1"/>
      <c r="CY611" s="91" t="str">
        <f t="shared" si="831"/>
        <v/>
      </c>
      <c r="CZ611" s="1"/>
      <c r="DC611" s="96"/>
      <c r="DE611" s="96"/>
    </row>
    <row r="612">
      <c r="A612" s="1"/>
      <c r="B612" s="1"/>
      <c r="C612" s="76"/>
      <c r="D612" s="76"/>
      <c r="E612" s="76"/>
      <c r="F612" s="76"/>
      <c r="G612" s="79"/>
      <c r="H612" s="80"/>
      <c r="I612" s="79"/>
      <c r="J612" s="80"/>
      <c r="K612" s="79"/>
      <c r="L612" s="142"/>
      <c r="M612" s="1"/>
      <c r="N612" s="142"/>
      <c r="O612" s="1"/>
      <c r="P612" s="142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79">
        <f t="shared" si="805"/>
        <v>0</v>
      </c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R612" s="1"/>
      <c r="CS612" s="1"/>
      <c r="CT612" s="1"/>
      <c r="CU612" s="1"/>
      <c r="CV612" s="1"/>
      <c r="CW612" s="1"/>
      <c r="CX612" s="1"/>
      <c r="CY612" s="91" t="str">
        <f t="shared" si="831"/>
        <v/>
      </c>
      <c r="CZ612" s="1"/>
      <c r="DC612" s="96"/>
      <c r="DE612" s="96"/>
    </row>
    <row r="613">
      <c r="A613" s="1"/>
      <c r="B613" s="1"/>
      <c r="C613" s="76"/>
      <c r="D613" s="76"/>
      <c r="E613" s="76"/>
      <c r="F613" s="76"/>
      <c r="G613" s="79"/>
      <c r="H613" s="80"/>
      <c r="I613" s="79"/>
      <c r="J613" s="80"/>
      <c r="K613" s="79"/>
      <c r="L613" s="142"/>
      <c r="M613" s="1"/>
      <c r="N613" s="142"/>
      <c r="O613" s="1"/>
      <c r="P613" s="142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79">
        <f t="shared" si="805"/>
        <v>0</v>
      </c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R613" s="1"/>
      <c r="CS613" s="1"/>
      <c r="CT613" s="1"/>
      <c r="CU613" s="1"/>
      <c r="CV613" s="1"/>
      <c r="CW613" s="1"/>
      <c r="CX613" s="1"/>
      <c r="CY613" s="91" t="str">
        <f t="shared" si="831"/>
        <v/>
      </c>
      <c r="CZ613" s="1"/>
      <c r="DC613" s="96"/>
      <c r="DE613" s="96"/>
    </row>
    <row r="614">
      <c r="A614" s="1"/>
      <c r="B614" s="1"/>
      <c r="C614" s="76"/>
      <c r="D614" s="76"/>
      <c r="E614" s="76"/>
      <c r="F614" s="76"/>
      <c r="G614" s="79"/>
      <c r="H614" s="80"/>
      <c r="I614" s="79"/>
      <c r="J614" s="80"/>
      <c r="K614" s="79"/>
      <c r="L614" s="142"/>
      <c r="M614" s="1"/>
      <c r="N614" s="142"/>
      <c r="O614" s="1"/>
      <c r="P614" s="142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79">
        <f t="shared" si="805"/>
        <v>0</v>
      </c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R614" s="1"/>
      <c r="CS614" s="1"/>
      <c r="CT614" s="1"/>
      <c r="CU614" s="1"/>
      <c r="CV614" s="1"/>
      <c r="CW614" s="1"/>
      <c r="CX614" s="1"/>
      <c r="CY614" s="91" t="str">
        <f t="shared" si="831"/>
        <v/>
      </c>
      <c r="CZ614" s="1"/>
      <c r="DC614" s="96"/>
      <c r="DE614" s="96"/>
    </row>
    <row r="615">
      <c r="A615" s="1"/>
      <c r="B615" s="1"/>
      <c r="C615" s="76"/>
      <c r="D615" s="76"/>
      <c r="E615" s="76"/>
      <c r="F615" s="76"/>
      <c r="G615" s="79"/>
      <c r="H615" s="80"/>
      <c r="I615" s="79"/>
      <c r="J615" s="80"/>
      <c r="K615" s="79"/>
      <c r="L615" s="142"/>
      <c r="M615" s="1"/>
      <c r="N615" s="142"/>
      <c r="O615" s="1"/>
      <c r="P615" s="142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79">
        <f t="shared" si="805"/>
        <v>0</v>
      </c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R615" s="1"/>
      <c r="CS615" s="1"/>
      <c r="CT615" s="1"/>
      <c r="CU615" s="1"/>
      <c r="CV615" s="1"/>
      <c r="CW615" s="1"/>
      <c r="CX615" s="1"/>
      <c r="CY615" s="91" t="str">
        <f t="shared" si="831"/>
        <v/>
      </c>
      <c r="CZ615" s="1"/>
      <c r="DC615" s="96"/>
      <c r="DE615" s="96"/>
    </row>
    <row r="616">
      <c r="A616" s="1"/>
      <c r="B616" s="1"/>
      <c r="C616" s="76"/>
      <c r="D616" s="76"/>
      <c r="E616" s="76"/>
      <c r="F616" s="76"/>
      <c r="G616" s="79"/>
      <c r="H616" s="80"/>
      <c r="I616" s="79"/>
      <c r="J616" s="80"/>
      <c r="K616" s="79"/>
      <c r="L616" s="142"/>
      <c r="M616" s="1"/>
      <c r="N616" s="142"/>
      <c r="O616" s="1"/>
      <c r="P616" s="142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79">
        <f t="shared" si="805"/>
        <v>0</v>
      </c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R616" s="1"/>
      <c r="CS616" s="1"/>
      <c r="CT616" s="1"/>
      <c r="CU616" s="1"/>
      <c r="CV616" s="1"/>
      <c r="CW616" s="1"/>
      <c r="CX616" s="1"/>
      <c r="CY616" s="91" t="str">
        <f t="shared" si="831"/>
        <v/>
      </c>
      <c r="CZ616" s="1"/>
      <c r="DC616" s="96"/>
      <c r="DE616" s="96"/>
    </row>
    <row r="617">
      <c r="A617" s="1"/>
      <c r="B617" s="1"/>
      <c r="C617" s="76"/>
      <c r="D617" s="76"/>
      <c r="E617" s="76"/>
      <c r="F617" s="76"/>
      <c r="G617" s="79"/>
      <c r="H617" s="80"/>
      <c r="I617" s="79"/>
      <c r="J617" s="80"/>
      <c r="K617" s="79"/>
      <c r="L617" s="142"/>
      <c r="M617" s="1"/>
      <c r="N617" s="142"/>
      <c r="O617" s="1"/>
      <c r="P617" s="142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79">
        <f t="shared" si="805"/>
        <v>0</v>
      </c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R617" s="1"/>
      <c r="CS617" s="1"/>
      <c r="CT617" s="1"/>
      <c r="CU617" s="1"/>
      <c r="CV617" s="1"/>
      <c r="CW617" s="1"/>
      <c r="CX617" s="1"/>
      <c r="CY617" s="91" t="str">
        <f t="shared" si="831"/>
        <v/>
      </c>
      <c r="CZ617" s="1"/>
      <c r="DC617" s="96"/>
      <c r="DE617" s="96"/>
    </row>
    <row r="618">
      <c r="A618" s="1"/>
      <c r="B618" s="1"/>
      <c r="C618" s="76"/>
      <c r="D618" s="76"/>
      <c r="E618" s="76"/>
      <c r="F618" s="76"/>
      <c r="G618" s="79"/>
      <c r="H618" s="80"/>
      <c r="I618" s="79"/>
      <c r="J618" s="80"/>
      <c r="K618" s="79"/>
      <c r="L618" s="142"/>
      <c r="M618" s="1"/>
      <c r="N618" s="142"/>
      <c r="O618" s="1"/>
      <c r="P618" s="142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79">
        <f t="shared" si="805"/>
        <v>0</v>
      </c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R618" s="1"/>
      <c r="CS618" s="1"/>
      <c r="CT618" s="1"/>
      <c r="CU618" s="1"/>
      <c r="CV618" s="1"/>
      <c r="CW618" s="1"/>
      <c r="CX618" s="1"/>
      <c r="CY618" s="91" t="str">
        <f t="shared" si="831"/>
        <v/>
      </c>
      <c r="CZ618" s="1"/>
      <c r="DC618" s="96"/>
      <c r="DE618" s="96"/>
    </row>
    <row r="619">
      <c r="A619" s="1"/>
      <c r="B619" s="1"/>
      <c r="C619" s="76"/>
      <c r="D619" s="76"/>
      <c r="E619" s="76"/>
      <c r="F619" s="76"/>
      <c r="G619" s="79"/>
      <c r="H619" s="80"/>
      <c r="I619" s="79"/>
      <c r="J619" s="80"/>
      <c r="K619" s="79"/>
      <c r="L619" s="142"/>
      <c r="M619" s="1"/>
      <c r="N619" s="142"/>
      <c r="O619" s="1"/>
      <c r="P619" s="142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79">
        <f t="shared" si="805"/>
        <v>0</v>
      </c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R619" s="1"/>
      <c r="CS619" s="1"/>
      <c r="CT619" s="1"/>
      <c r="CU619" s="1"/>
      <c r="CV619" s="1"/>
      <c r="CW619" s="1"/>
      <c r="CX619" s="1"/>
      <c r="CY619" s="91" t="str">
        <f t="shared" si="831"/>
        <v/>
      </c>
      <c r="CZ619" s="1"/>
      <c r="DC619" s="96"/>
      <c r="DE619" s="96"/>
    </row>
    <row r="620">
      <c r="A620" s="1"/>
      <c r="B620" s="1"/>
      <c r="C620" s="76"/>
      <c r="D620" s="76"/>
      <c r="E620" s="76"/>
      <c r="F620" s="76"/>
      <c r="G620" s="79"/>
      <c r="H620" s="80"/>
      <c r="I620" s="79"/>
      <c r="J620" s="80"/>
      <c r="K620" s="79"/>
      <c r="L620" s="142"/>
      <c r="M620" s="1"/>
      <c r="N620" s="142"/>
      <c r="O620" s="1"/>
      <c r="P620" s="142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79">
        <f t="shared" si="805"/>
        <v>0</v>
      </c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R620" s="1"/>
      <c r="CS620" s="1"/>
      <c r="CT620" s="1"/>
      <c r="CU620" s="1"/>
      <c r="CV620" s="1"/>
      <c r="CW620" s="1"/>
      <c r="CX620" s="1"/>
      <c r="CY620" s="91" t="str">
        <f t="shared" si="831"/>
        <v/>
      </c>
      <c r="CZ620" s="1"/>
      <c r="DC620" s="96"/>
      <c r="DE620" s="96"/>
    </row>
    <row r="621">
      <c r="A621" s="1"/>
      <c r="B621" s="1"/>
      <c r="C621" s="76"/>
      <c r="D621" s="76"/>
      <c r="E621" s="76"/>
      <c r="F621" s="76"/>
      <c r="G621" s="79"/>
      <c r="H621" s="80"/>
      <c r="I621" s="79"/>
      <c r="J621" s="80"/>
      <c r="K621" s="79"/>
      <c r="L621" s="142"/>
      <c r="M621" s="1"/>
      <c r="N621" s="142"/>
      <c r="O621" s="1"/>
      <c r="P621" s="142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79">
        <f t="shared" si="805"/>
        <v>0</v>
      </c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R621" s="1"/>
      <c r="CS621" s="1"/>
      <c r="CT621" s="1"/>
      <c r="CU621" s="1"/>
      <c r="CV621" s="1"/>
      <c r="CW621" s="1"/>
      <c r="CX621" s="1"/>
      <c r="CY621" s="91" t="str">
        <f t="shared" si="831"/>
        <v/>
      </c>
      <c r="CZ621" s="1"/>
      <c r="DC621" s="96"/>
      <c r="DE621" s="96"/>
    </row>
    <row r="622">
      <c r="A622" s="1"/>
      <c r="B622" s="1"/>
      <c r="C622" s="76"/>
      <c r="D622" s="76"/>
      <c r="E622" s="76"/>
      <c r="F622" s="76"/>
      <c r="G622" s="79"/>
      <c r="H622" s="80"/>
      <c r="I622" s="79"/>
      <c r="J622" s="80"/>
      <c r="K622" s="79"/>
      <c r="L622" s="142"/>
      <c r="M622" s="1"/>
      <c r="N622" s="142"/>
      <c r="O622" s="1"/>
      <c r="P622" s="142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79">
        <f t="shared" si="805"/>
        <v>0</v>
      </c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R622" s="1"/>
      <c r="CS622" s="1"/>
      <c r="CT622" s="1"/>
      <c r="CU622" s="1"/>
      <c r="CV622" s="1"/>
      <c r="CW622" s="1"/>
      <c r="CX622" s="1"/>
      <c r="CY622" s="91" t="str">
        <f t="shared" si="831"/>
        <v/>
      </c>
      <c r="CZ622" s="1"/>
      <c r="DC622" s="96"/>
      <c r="DE622" s="96"/>
    </row>
    <row r="623">
      <c r="A623" s="1"/>
      <c r="B623" s="1"/>
      <c r="C623" s="76"/>
      <c r="D623" s="76"/>
      <c r="E623" s="76"/>
      <c r="F623" s="76"/>
      <c r="G623" s="79"/>
      <c r="H623" s="80"/>
      <c r="I623" s="79"/>
      <c r="J623" s="80"/>
      <c r="K623" s="79"/>
      <c r="L623" s="142"/>
      <c r="M623" s="1"/>
      <c r="N623" s="142"/>
      <c r="O623" s="1"/>
      <c r="P623" s="142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79">
        <f t="shared" si="805"/>
        <v>0</v>
      </c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R623" s="1"/>
      <c r="CS623" s="1"/>
      <c r="CT623" s="1"/>
      <c r="CU623" s="1"/>
      <c r="CV623" s="1"/>
      <c r="CW623" s="1"/>
      <c r="CX623" s="1"/>
      <c r="CY623" s="91" t="str">
        <f t="shared" si="831"/>
        <v/>
      </c>
      <c r="CZ623" s="1"/>
      <c r="DC623" s="96"/>
      <c r="DE623" s="96"/>
    </row>
    <row r="624">
      <c r="A624" s="1"/>
      <c r="B624" s="1"/>
      <c r="C624" s="76"/>
      <c r="D624" s="76"/>
      <c r="E624" s="76"/>
      <c r="F624" s="76"/>
      <c r="G624" s="79"/>
      <c r="H624" s="80"/>
      <c r="I624" s="79"/>
      <c r="J624" s="80"/>
      <c r="K624" s="79"/>
      <c r="L624" s="142"/>
      <c r="M624" s="1"/>
      <c r="N624" s="142"/>
      <c r="O624" s="1"/>
      <c r="P624" s="142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79">
        <f t="shared" si="805"/>
        <v>0</v>
      </c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R624" s="1"/>
      <c r="CS624" s="1"/>
      <c r="CT624" s="1"/>
      <c r="CU624" s="1"/>
      <c r="CV624" s="1"/>
      <c r="CW624" s="1"/>
      <c r="CX624" s="1"/>
      <c r="CY624" s="91" t="str">
        <f t="shared" si="831"/>
        <v/>
      </c>
      <c r="CZ624" s="1"/>
      <c r="DC624" s="96"/>
      <c r="DE624" s="96"/>
    </row>
    <row r="625">
      <c r="A625" s="1"/>
      <c r="B625" s="1"/>
      <c r="C625" s="76"/>
      <c r="D625" s="76"/>
      <c r="E625" s="76"/>
      <c r="F625" s="76"/>
      <c r="G625" s="79"/>
      <c r="H625" s="80"/>
      <c r="I625" s="79"/>
      <c r="J625" s="80"/>
      <c r="K625" s="79"/>
      <c r="L625" s="142"/>
      <c r="M625" s="1"/>
      <c r="N625" s="142"/>
      <c r="O625" s="1"/>
      <c r="P625" s="142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79">
        <f t="shared" si="805"/>
        <v>0</v>
      </c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R625" s="1"/>
      <c r="CS625" s="1"/>
      <c r="CT625" s="1"/>
      <c r="CU625" s="1"/>
      <c r="CV625" s="1"/>
      <c r="CW625" s="1"/>
      <c r="CX625" s="1"/>
      <c r="CY625" s="91" t="str">
        <f t="shared" si="831"/>
        <v/>
      </c>
      <c r="CZ625" s="1"/>
      <c r="DC625" s="96"/>
      <c r="DE625" s="96"/>
    </row>
    <row r="626">
      <c r="A626" s="1"/>
      <c r="B626" s="1"/>
      <c r="C626" s="76"/>
      <c r="D626" s="76"/>
      <c r="E626" s="76"/>
      <c r="F626" s="76"/>
      <c r="G626" s="79"/>
      <c r="H626" s="80"/>
      <c r="I626" s="79"/>
      <c r="J626" s="80"/>
      <c r="K626" s="79"/>
      <c r="L626" s="142"/>
      <c r="M626" s="1"/>
      <c r="N626" s="142"/>
      <c r="O626" s="1"/>
      <c r="P626" s="142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79">
        <f t="shared" si="805"/>
        <v>0</v>
      </c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R626" s="1"/>
      <c r="CS626" s="1"/>
      <c r="CT626" s="1"/>
      <c r="CU626" s="1"/>
      <c r="CV626" s="1"/>
      <c r="CW626" s="1"/>
      <c r="CX626" s="1"/>
      <c r="CY626" s="91" t="str">
        <f t="shared" si="831"/>
        <v/>
      </c>
      <c r="CZ626" s="1"/>
      <c r="DC626" s="96"/>
      <c r="DE626" s="96"/>
    </row>
    <row r="627">
      <c r="A627" s="1"/>
      <c r="B627" s="1"/>
      <c r="C627" s="76"/>
      <c r="D627" s="76"/>
      <c r="E627" s="76"/>
      <c r="F627" s="76"/>
      <c r="G627" s="79"/>
      <c r="H627" s="80"/>
      <c r="I627" s="79"/>
      <c r="J627" s="80"/>
      <c r="K627" s="79"/>
      <c r="L627" s="142"/>
      <c r="M627" s="1"/>
      <c r="N627" s="142"/>
      <c r="O627" s="1"/>
      <c r="P627" s="142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79">
        <f t="shared" si="805"/>
        <v>0</v>
      </c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R627" s="1"/>
      <c r="CS627" s="1"/>
      <c r="CT627" s="1"/>
      <c r="CU627" s="1"/>
      <c r="CV627" s="1"/>
      <c r="CW627" s="1"/>
      <c r="CX627" s="1"/>
      <c r="CY627" s="91" t="str">
        <f t="shared" si="831"/>
        <v/>
      </c>
      <c r="CZ627" s="1"/>
      <c r="DC627" s="96"/>
      <c r="DE627" s="96"/>
    </row>
    <row r="628">
      <c r="A628" s="1"/>
      <c r="B628" s="1"/>
      <c r="C628" s="76"/>
      <c r="D628" s="76"/>
      <c r="E628" s="76"/>
      <c r="F628" s="76"/>
      <c r="G628" s="79"/>
      <c r="H628" s="80"/>
      <c r="I628" s="79"/>
      <c r="J628" s="80"/>
      <c r="K628" s="79"/>
      <c r="L628" s="142"/>
      <c r="M628" s="1"/>
      <c r="N628" s="142"/>
      <c r="O628" s="1"/>
      <c r="P628" s="142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79">
        <f t="shared" si="805"/>
        <v>0</v>
      </c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R628" s="1"/>
      <c r="CS628" s="1"/>
      <c r="CT628" s="1"/>
      <c r="CU628" s="1"/>
      <c r="CV628" s="1"/>
      <c r="CW628" s="1"/>
      <c r="CX628" s="1"/>
      <c r="CY628" s="91" t="str">
        <f t="shared" si="831"/>
        <v/>
      </c>
      <c r="CZ628" s="1"/>
      <c r="DC628" s="96"/>
      <c r="DE628" s="96"/>
    </row>
    <row r="629">
      <c r="A629" s="1"/>
      <c r="B629" s="1"/>
      <c r="C629" s="76"/>
      <c r="D629" s="76"/>
      <c r="E629" s="76"/>
      <c r="F629" s="76"/>
      <c r="G629" s="79"/>
      <c r="H629" s="80"/>
      <c r="I629" s="79"/>
      <c r="J629" s="80"/>
      <c r="K629" s="79"/>
      <c r="L629" s="142"/>
      <c r="M629" s="1"/>
      <c r="N629" s="142"/>
      <c r="O629" s="1"/>
      <c r="P629" s="142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79">
        <f t="shared" si="805"/>
        <v>0</v>
      </c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R629" s="1"/>
      <c r="CS629" s="1"/>
      <c r="CT629" s="1"/>
      <c r="CU629" s="1"/>
      <c r="CV629" s="1"/>
      <c r="CW629" s="1"/>
      <c r="CX629" s="1"/>
      <c r="CY629" s="91" t="str">
        <f t="shared" si="831"/>
        <v/>
      </c>
      <c r="CZ629" s="1"/>
      <c r="DC629" s="96"/>
      <c r="DE629" s="96"/>
    </row>
    <row r="630">
      <c r="A630" s="1"/>
      <c r="B630" s="1"/>
      <c r="C630" s="76"/>
      <c r="D630" s="76"/>
      <c r="E630" s="76"/>
      <c r="F630" s="76"/>
      <c r="G630" s="79"/>
      <c r="H630" s="80"/>
      <c r="I630" s="79"/>
      <c r="J630" s="80"/>
      <c r="K630" s="79"/>
      <c r="L630" s="142"/>
      <c r="M630" s="1"/>
      <c r="N630" s="142"/>
      <c r="O630" s="1"/>
      <c r="P630" s="142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79">
        <f t="shared" si="805"/>
        <v>0</v>
      </c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R630" s="1"/>
      <c r="CS630" s="1"/>
      <c r="CT630" s="1"/>
      <c r="CU630" s="1"/>
      <c r="CV630" s="1"/>
      <c r="CW630" s="1"/>
      <c r="CX630" s="1"/>
      <c r="CY630" s="91" t="str">
        <f t="shared" si="831"/>
        <v/>
      </c>
      <c r="CZ630" s="1"/>
      <c r="DC630" s="96"/>
      <c r="DE630" s="96"/>
    </row>
    <row r="631">
      <c r="A631" s="1"/>
      <c r="B631" s="1"/>
      <c r="C631" s="76"/>
      <c r="D631" s="76"/>
      <c r="E631" s="76"/>
      <c r="F631" s="76"/>
      <c r="G631" s="79"/>
      <c r="H631" s="80"/>
      <c r="I631" s="79"/>
      <c r="J631" s="80"/>
      <c r="K631" s="79"/>
      <c r="L631" s="142"/>
      <c r="M631" s="1"/>
      <c r="N631" s="142"/>
      <c r="O631" s="1"/>
      <c r="P631" s="142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79">
        <f t="shared" si="805"/>
        <v>0</v>
      </c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R631" s="1"/>
      <c r="CS631" s="1"/>
      <c r="CT631" s="1"/>
      <c r="CU631" s="1"/>
      <c r="CV631" s="1"/>
      <c r="CW631" s="1"/>
      <c r="CX631" s="1"/>
      <c r="CY631" s="91" t="str">
        <f t="shared" si="831"/>
        <v/>
      </c>
      <c r="CZ631" s="1"/>
      <c r="DC631" s="96"/>
      <c r="DE631" s="96"/>
    </row>
    <row r="632">
      <c r="A632" s="1"/>
      <c r="B632" s="1"/>
      <c r="C632" s="76"/>
      <c r="D632" s="76"/>
      <c r="E632" s="76"/>
      <c r="F632" s="76"/>
      <c r="G632" s="79"/>
      <c r="H632" s="80"/>
      <c r="I632" s="79"/>
      <c r="J632" s="80"/>
      <c r="K632" s="79"/>
      <c r="L632" s="142"/>
      <c r="M632" s="1"/>
      <c r="N632" s="142"/>
      <c r="O632" s="1"/>
      <c r="P632" s="142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79">
        <f t="shared" si="805"/>
        <v>0</v>
      </c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R632" s="1"/>
      <c r="CS632" s="1"/>
      <c r="CT632" s="1"/>
      <c r="CU632" s="1"/>
      <c r="CV632" s="1"/>
      <c r="CW632" s="1"/>
      <c r="CX632" s="1"/>
      <c r="CY632" s="91" t="str">
        <f t="shared" si="831"/>
        <v/>
      </c>
      <c r="CZ632" s="1"/>
      <c r="DC632" s="96"/>
      <c r="DE632" s="96"/>
    </row>
    <row r="633">
      <c r="A633" s="1"/>
      <c r="B633" s="1"/>
      <c r="C633" s="76"/>
      <c r="D633" s="76"/>
      <c r="E633" s="76"/>
      <c r="F633" s="76"/>
      <c r="G633" s="79"/>
      <c r="H633" s="80"/>
      <c r="I633" s="79"/>
      <c r="J633" s="80"/>
      <c r="K633" s="79"/>
      <c r="L633" s="142"/>
      <c r="M633" s="1"/>
      <c r="N633" s="142"/>
      <c r="O633" s="1"/>
      <c r="P633" s="142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79">
        <f t="shared" si="805"/>
        <v>0</v>
      </c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R633" s="1"/>
      <c r="CS633" s="1"/>
      <c r="CT633" s="1"/>
      <c r="CU633" s="1"/>
      <c r="CV633" s="1"/>
      <c r="CW633" s="1"/>
      <c r="CX633" s="1"/>
      <c r="CY633" s="91" t="str">
        <f t="shared" si="831"/>
        <v/>
      </c>
      <c r="CZ633" s="1"/>
      <c r="DC633" s="96"/>
      <c r="DE633" s="96"/>
    </row>
    <row r="634">
      <c r="A634" s="1"/>
      <c r="B634" s="1"/>
      <c r="C634" s="76"/>
      <c r="D634" s="76"/>
      <c r="E634" s="76"/>
      <c r="F634" s="76"/>
      <c r="G634" s="79"/>
      <c r="H634" s="80"/>
      <c r="I634" s="79"/>
      <c r="J634" s="80"/>
      <c r="K634" s="79"/>
      <c r="L634" s="142"/>
      <c r="M634" s="1"/>
      <c r="N634" s="142"/>
      <c r="O634" s="1"/>
      <c r="P634" s="142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79">
        <f t="shared" si="805"/>
        <v>0</v>
      </c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R634" s="1"/>
      <c r="CS634" s="1"/>
      <c r="CT634" s="1"/>
      <c r="CU634" s="1"/>
      <c r="CV634" s="1"/>
      <c r="CW634" s="1"/>
      <c r="CX634" s="1"/>
      <c r="CY634" s="91" t="str">
        <f t="shared" si="831"/>
        <v/>
      </c>
      <c r="CZ634" s="1"/>
      <c r="DC634" s="96"/>
      <c r="DE634" s="96"/>
    </row>
    <row r="635">
      <c r="A635" s="1"/>
      <c r="B635" s="1"/>
      <c r="C635" s="76"/>
      <c r="D635" s="76"/>
      <c r="E635" s="76"/>
      <c r="F635" s="76"/>
      <c r="G635" s="79"/>
      <c r="H635" s="80"/>
      <c r="I635" s="79"/>
      <c r="J635" s="80"/>
      <c r="K635" s="79"/>
      <c r="L635" s="142"/>
      <c r="M635" s="1"/>
      <c r="N635" s="142"/>
      <c r="O635" s="1"/>
      <c r="P635" s="142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79">
        <f t="shared" si="805"/>
        <v>0</v>
      </c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R635" s="1"/>
      <c r="CS635" s="1"/>
      <c r="CT635" s="1"/>
      <c r="CU635" s="1"/>
      <c r="CV635" s="1"/>
      <c r="CW635" s="1"/>
      <c r="CX635" s="1"/>
      <c r="CY635" s="91" t="str">
        <f t="shared" si="831"/>
        <v/>
      </c>
      <c r="CZ635" s="1"/>
      <c r="DC635" s="96"/>
      <c r="DE635" s="96"/>
    </row>
    <row r="636">
      <c r="A636" s="1"/>
      <c r="B636" s="1"/>
      <c r="C636" s="76"/>
      <c r="D636" s="76"/>
      <c r="E636" s="76"/>
      <c r="F636" s="76"/>
      <c r="G636" s="79"/>
      <c r="H636" s="80"/>
      <c r="I636" s="79"/>
      <c r="J636" s="80"/>
      <c r="K636" s="79"/>
      <c r="L636" s="142"/>
      <c r="M636" s="1"/>
      <c r="N636" s="142"/>
      <c r="O636" s="1"/>
      <c r="P636" s="142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79">
        <f t="shared" si="805"/>
        <v>0</v>
      </c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R636" s="1"/>
      <c r="CS636" s="1"/>
      <c r="CT636" s="1"/>
      <c r="CU636" s="1"/>
      <c r="CV636" s="1"/>
      <c r="CW636" s="1"/>
      <c r="CX636" s="1"/>
      <c r="CY636" s="91" t="str">
        <f t="shared" si="831"/>
        <v/>
      </c>
      <c r="CZ636" s="1"/>
      <c r="DC636" s="96"/>
      <c r="DE636" s="96"/>
    </row>
    <row r="637">
      <c r="A637" s="1"/>
      <c r="B637" s="1"/>
      <c r="C637" s="76"/>
      <c r="D637" s="76"/>
      <c r="E637" s="76"/>
      <c r="F637" s="76"/>
      <c r="G637" s="79"/>
      <c r="H637" s="80"/>
      <c r="I637" s="79"/>
      <c r="J637" s="80"/>
      <c r="K637" s="79"/>
      <c r="L637" s="142"/>
      <c r="M637" s="1"/>
      <c r="N637" s="142"/>
      <c r="O637" s="1"/>
      <c r="P637" s="142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79">
        <f t="shared" si="805"/>
        <v>0</v>
      </c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R637" s="1"/>
      <c r="CS637" s="1"/>
      <c r="CT637" s="1"/>
      <c r="CU637" s="1"/>
      <c r="CV637" s="1"/>
      <c r="CW637" s="1"/>
      <c r="CX637" s="1"/>
      <c r="CY637" s="91" t="str">
        <f t="shared" si="831"/>
        <v/>
      </c>
      <c r="CZ637" s="1"/>
      <c r="DC637" s="96"/>
      <c r="DE637" s="96"/>
    </row>
    <row r="638">
      <c r="A638" s="1"/>
      <c r="B638" s="1"/>
      <c r="C638" s="76"/>
      <c r="D638" s="76"/>
      <c r="E638" s="76"/>
      <c r="F638" s="76"/>
      <c r="G638" s="79"/>
      <c r="H638" s="80"/>
      <c r="I638" s="79"/>
      <c r="J638" s="80"/>
      <c r="K638" s="79"/>
      <c r="L638" s="142"/>
      <c r="M638" s="1"/>
      <c r="N638" s="142"/>
      <c r="O638" s="1"/>
      <c r="P638" s="142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79">
        <f t="shared" si="805"/>
        <v>0</v>
      </c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R638" s="1"/>
      <c r="CS638" s="1"/>
      <c r="CT638" s="1"/>
      <c r="CU638" s="1"/>
      <c r="CV638" s="1"/>
      <c r="CW638" s="1"/>
      <c r="CX638" s="1"/>
      <c r="CY638" s="91" t="str">
        <f t="shared" si="831"/>
        <v/>
      </c>
      <c r="CZ638" s="1"/>
      <c r="DC638" s="96"/>
      <c r="DE638" s="96"/>
    </row>
    <row r="639">
      <c r="A639" s="1"/>
      <c r="B639" s="1"/>
      <c r="C639" s="76"/>
      <c r="D639" s="76"/>
      <c r="E639" s="76"/>
      <c r="F639" s="76"/>
      <c r="G639" s="79"/>
      <c r="H639" s="80"/>
      <c r="I639" s="79"/>
      <c r="J639" s="80"/>
      <c r="K639" s="79"/>
      <c r="L639" s="142"/>
      <c r="M639" s="1"/>
      <c r="N639" s="142"/>
      <c r="O639" s="1"/>
      <c r="P639" s="142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79">
        <f t="shared" si="805"/>
        <v>0</v>
      </c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R639" s="1"/>
      <c r="CS639" s="1"/>
      <c r="CT639" s="1"/>
      <c r="CU639" s="1"/>
      <c r="CV639" s="1"/>
      <c r="CW639" s="1"/>
      <c r="CX639" s="1"/>
      <c r="CY639" s="91" t="str">
        <f t="shared" si="831"/>
        <v/>
      </c>
      <c r="CZ639" s="1"/>
      <c r="DC639" s="96"/>
      <c r="DE639" s="96"/>
    </row>
    <row r="640">
      <c r="A640" s="1"/>
      <c r="B640" s="1"/>
      <c r="C640" s="76"/>
      <c r="D640" s="76"/>
      <c r="E640" s="76"/>
      <c r="F640" s="76"/>
      <c r="G640" s="79"/>
      <c r="H640" s="80"/>
      <c r="I640" s="79"/>
      <c r="J640" s="80"/>
      <c r="K640" s="79"/>
      <c r="L640" s="142"/>
      <c r="M640" s="1"/>
      <c r="N640" s="142"/>
      <c r="O640" s="1"/>
      <c r="P640" s="142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79">
        <f t="shared" si="805"/>
        <v>0</v>
      </c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R640" s="1"/>
      <c r="CS640" s="1"/>
      <c r="CT640" s="1"/>
      <c r="CU640" s="1"/>
      <c r="CV640" s="1"/>
      <c r="CW640" s="1"/>
      <c r="CX640" s="1"/>
      <c r="CY640" s="91" t="str">
        <f t="shared" si="831"/>
        <v/>
      </c>
      <c r="CZ640" s="1"/>
      <c r="DC640" s="96"/>
      <c r="DE640" s="96"/>
    </row>
    <row r="641">
      <c r="A641" s="1"/>
      <c r="B641" s="1"/>
      <c r="C641" s="76"/>
      <c r="D641" s="76"/>
      <c r="E641" s="76"/>
      <c r="F641" s="76"/>
      <c r="G641" s="79"/>
      <c r="H641" s="80"/>
      <c r="I641" s="79"/>
      <c r="J641" s="80"/>
      <c r="K641" s="79"/>
      <c r="L641" s="142"/>
      <c r="M641" s="1"/>
      <c r="N641" s="142"/>
      <c r="O641" s="1"/>
      <c r="P641" s="142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79">
        <f t="shared" si="805"/>
        <v>0</v>
      </c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R641" s="1"/>
      <c r="CS641" s="1"/>
      <c r="CT641" s="1"/>
      <c r="CU641" s="1"/>
      <c r="CV641" s="1"/>
      <c r="CW641" s="1"/>
      <c r="CX641" s="1"/>
      <c r="CY641" s="91" t="str">
        <f t="shared" si="831"/>
        <v/>
      </c>
      <c r="CZ641" s="1"/>
      <c r="DC641" s="96"/>
      <c r="DE641" s="96"/>
    </row>
    <row r="642">
      <c r="A642" s="1"/>
      <c r="B642" s="1"/>
      <c r="C642" s="76"/>
      <c r="D642" s="76"/>
      <c r="E642" s="76"/>
      <c r="F642" s="76"/>
      <c r="G642" s="79"/>
      <c r="H642" s="80"/>
      <c r="I642" s="79"/>
      <c r="J642" s="80"/>
      <c r="K642" s="79"/>
      <c r="L642" s="142"/>
      <c r="M642" s="1"/>
      <c r="N642" s="142"/>
      <c r="O642" s="1"/>
      <c r="P642" s="142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79">
        <f t="shared" si="805"/>
        <v>0</v>
      </c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R642" s="1"/>
      <c r="CS642" s="1"/>
      <c r="CT642" s="1"/>
      <c r="CU642" s="1"/>
      <c r="CV642" s="1"/>
      <c r="CW642" s="1"/>
      <c r="CX642" s="1"/>
      <c r="CY642" s="91" t="str">
        <f t="shared" si="831"/>
        <v/>
      </c>
      <c r="CZ642" s="1"/>
      <c r="DC642" s="96"/>
      <c r="DE642" s="96"/>
    </row>
    <row r="643">
      <c r="A643" s="1"/>
      <c r="B643" s="1"/>
      <c r="C643" s="76"/>
      <c r="D643" s="76"/>
      <c r="E643" s="76"/>
      <c r="F643" s="76"/>
      <c r="G643" s="79"/>
      <c r="H643" s="80"/>
      <c r="I643" s="79"/>
      <c r="J643" s="80"/>
      <c r="K643" s="79"/>
      <c r="L643" s="142"/>
      <c r="M643" s="1"/>
      <c r="N643" s="142"/>
      <c r="O643" s="1"/>
      <c r="P643" s="142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79">
        <f t="shared" si="805"/>
        <v>0</v>
      </c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R643" s="1"/>
      <c r="CS643" s="1"/>
      <c r="CT643" s="1"/>
      <c r="CU643" s="1"/>
      <c r="CV643" s="1"/>
      <c r="CW643" s="1"/>
      <c r="CX643" s="1"/>
      <c r="CY643" s="91" t="str">
        <f t="shared" si="831"/>
        <v/>
      </c>
      <c r="CZ643" s="1"/>
      <c r="DC643" s="96"/>
      <c r="DE643" s="96"/>
    </row>
    <row r="644">
      <c r="A644" s="1"/>
      <c r="B644" s="1"/>
      <c r="C644" s="76"/>
      <c r="D644" s="76"/>
      <c r="E644" s="76"/>
      <c r="F644" s="76"/>
      <c r="G644" s="79"/>
      <c r="H644" s="80"/>
      <c r="I644" s="79"/>
      <c r="J644" s="80"/>
      <c r="K644" s="79"/>
      <c r="L644" s="142"/>
      <c r="M644" s="1"/>
      <c r="N644" s="142"/>
      <c r="O644" s="1"/>
      <c r="P644" s="142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79">
        <f t="shared" si="805"/>
        <v>0</v>
      </c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R644" s="1"/>
      <c r="CS644" s="1"/>
      <c r="CT644" s="1"/>
      <c r="CU644" s="1"/>
      <c r="CV644" s="1"/>
      <c r="CW644" s="1"/>
      <c r="CX644" s="1"/>
      <c r="CY644" s="91" t="str">
        <f t="shared" si="831"/>
        <v/>
      </c>
      <c r="CZ644" s="1"/>
      <c r="DC644" s="96"/>
      <c r="DE644" s="96"/>
    </row>
    <row r="645">
      <c r="A645" s="1"/>
      <c r="B645" s="1"/>
      <c r="C645" s="76"/>
      <c r="D645" s="76"/>
      <c r="E645" s="76"/>
      <c r="F645" s="76"/>
      <c r="G645" s="79"/>
      <c r="H645" s="80"/>
      <c r="I645" s="79"/>
      <c r="J645" s="80"/>
      <c r="K645" s="79"/>
      <c r="L645" s="142"/>
      <c r="M645" s="1"/>
      <c r="N645" s="142"/>
      <c r="O645" s="1"/>
      <c r="P645" s="142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79">
        <f t="shared" si="805"/>
        <v>0</v>
      </c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R645" s="1"/>
      <c r="CS645" s="1"/>
      <c r="CT645" s="1"/>
      <c r="CU645" s="1"/>
      <c r="CV645" s="1"/>
      <c r="CW645" s="1"/>
      <c r="CX645" s="1"/>
      <c r="CY645" s="91" t="str">
        <f t="shared" si="831"/>
        <v/>
      </c>
      <c r="CZ645" s="1"/>
      <c r="DC645" s="96"/>
      <c r="DE645" s="96"/>
    </row>
    <row r="646">
      <c r="A646" s="1"/>
      <c r="B646" s="1"/>
      <c r="C646" s="76"/>
      <c r="D646" s="76"/>
      <c r="E646" s="76"/>
      <c r="F646" s="76"/>
      <c r="G646" s="79"/>
      <c r="H646" s="80"/>
      <c r="I646" s="79"/>
      <c r="J646" s="80"/>
      <c r="K646" s="79"/>
      <c r="L646" s="142"/>
      <c r="M646" s="1"/>
      <c r="N646" s="142"/>
      <c r="O646" s="1"/>
      <c r="P646" s="142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79">
        <f t="shared" si="805"/>
        <v>0</v>
      </c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R646" s="1"/>
      <c r="CS646" s="1"/>
      <c r="CT646" s="1"/>
      <c r="CU646" s="1"/>
      <c r="CV646" s="1"/>
      <c r="CW646" s="1"/>
      <c r="CX646" s="1"/>
      <c r="CY646" s="91" t="str">
        <f t="shared" si="831"/>
        <v/>
      </c>
      <c r="CZ646" s="1"/>
      <c r="DC646" s="96"/>
      <c r="DE646" s="96"/>
    </row>
    <row r="647">
      <c r="A647" s="1"/>
      <c r="B647" s="1"/>
      <c r="C647" s="76"/>
      <c r="D647" s="76"/>
      <c r="E647" s="76"/>
      <c r="F647" s="76"/>
      <c r="G647" s="79"/>
      <c r="H647" s="80"/>
      <c r="I647" s="79"/>
      <c r="J647" s="80"/>
      <c r="K647" s="79"/>
      <c r="L647" s="142"/>
      <c r="M647" s="1"/>
      <c r="N647" s="142"/>
      <c r="O647" s="1"/>
      <c r="P647" s="142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79">
        <f t="shared" si="805"/>
        <v>0</v>
      </c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R647" s="1"/>
      <c r="CS647" s="1"/>
      <c r="CT647" s="1"/>
      <c r="CU647" s="1"/>
      <c r="CV647" s="1"/>
      <c r="CW647" s="1"/>
      <c r="CX647" s="1"/>
      <c r="CY647" s="91" t="str">
        <f t="shared" si="831"/>
        <v/>
      </c>
      <c r="CZ647" s="1"/>
      <c r="DC647" s="96"/>
      <c r="DE647" s="96"/>
    </row>
    <row r="648">
      <c r="A648" s="1"/>
      <c r="B648" s="1"/>
      <c r="C648" s="76"/>
      <c r="D648" s="76"/>
      <c r="E648" s="76"/>
      <c r="F648" s="76"/>
      <c r="G648" s="79"/>
      <c r="H648" s="80"/>
      <c r="I648" s="79"/>
      <c r="J648" s="80"/>
      <c r="K648" s="79"/>
      <c r="L648" s="142"/>
      <c r="M648" s="1"/>
      <c r="N648" s="142"/>
      <c r="O648" s="1"/>
      <c r="P648" s="142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79">
        <f t="shared" si="805"/>
        <v>0</v>
      </c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R648" s="1"/>
      <c r="CS648" s="1"/>
      <c r="CT648" s="1"/>
      <c r="CU648" s="1"/>
      <c r="CV648" s="1"/>
      <c r="CW648" s="1"/>
      <c r="CX648" s="1"/>
      <c r="CY648" s="91" t="str">
        <f t="shared" si="831"/>
        <v/>
      </c>
      <c r="CZ648" s="1"/>
      <c r="DC648" s="96"/>
      <c r="DE648" s="96"/>
    </row>
    <row r="649">
      <c r="A649" s="1"/>
      <c r="B649" s="1"/>
      <c r="C649" s="76"/>
      <c r="D649" s="76"/>
      <c r="E649" s="76"/>
      <c r="F649" s="76"/>
      <c r="G649" s="79"/>
      <c r="H649" s="80"/>
      <c r="I649" s="79"/>
      <c r="J649" s="80"/>
      <c r="K649" s="79"/>
      <c r="L649" s="142"/>
      <c r="M649" s="1"/>
      <c r="N649" s="142"/>
      <c r="O649" s="1"/>
      <c r="P649" s="142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79">
        <f t="shared" si="805"/>
        <v>0</v>
      </c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R649" s="1"/>
      <c r="CS649" s="1"/>
      <c r="CT649" s="1"/>
      <c r="CU649" s="1"/>
      <c r="CV649" s="1"/>
      <c r="CW649" s="1"/>
      <c r="CX649" s="1"/>
      <c r="CY649" s="91" t="str">
        <f t="shared" si="831"/>
        <v/>
      </c>
      <c r="CZ649" s="1"/>
      <c r="DC649" s="96"/>
      <c r="DE649" s="96"/>
    </row>
    <row r="650">
      <c r="A650" s="1"/>
      <c r="B650" s="1"/>
      <c r="C650" s="76"/>
      <c r="D650" s="76"/>
      <c r="E650" s="76"/>
      <c r="F650" s="76"/>
      <c r="G650" s="79"/>
      <c r="H650" s="80"/>
      <c r="I650" s="79"/>
      <c r="J650" s="80"/>
      <c r="K650" s="79"/>
      <c r="L650" s="142"/>
      <c r="M650" s="1"/>
      <c r="N650" s="142"/>
      <c r="O650" s="1"/>
      <c r="P650" s="142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79">
        <f t="shared" si="805"/>
        <v>0</v>
      </c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R650" s="1"/>
      <c r="CS650" s="1"/>
      <c r="CT650" s="1"/>
      <c r="CU650" s="1"/>
      <c r="CV650" s="1"/>
      <c r="CW650" s="1"/>
      <c r="CX650" s="1"/>
      <c r="CY650" s="91" t="str">
        <f t="shared" si="831"/>
        <v/>
      </c>
      <c r="CZ650" s="1"/>
      <c r="DC650" s="96"/>
      <c r="DE650" s="96"/>
    </row>
    <row r="651">
      <c r="A651" s="1"/>
      <c r="B651" s="1"/>
      <c r="C651" s="76"/>
      <c r="D651" s="76"/>
      <c r="E651" s="76"/>
      <c r="F651" s="76"/>
      <c r="G651" s="79"/>
      <c r="H651" s="80"/>
      <c r="I651" s="79"/>
      <c r="J651" s="80"/>
      <c r="K651" s="79"/>
      <c r="L651" s="142"/>
      <c r="M651" s="1"/>
      <c r="N651" s="142"/>
      <c r="O651" s="1"/>
      <c r="P651" s="142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79">
        <f t="shared" si="805"/>
        <v>0</v>
      </c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R651" s="1"/>
      <c r="CS651" s="1"/>
      <c r="CT651" s="1"/>
      <c r="CU651" s="1"/>
      <c r="CV651" s="1"/>
      <c r="CW651" s="1"/>
      <c r="CX651" s="1"/>
      <c r="CY651" s="91" t="str">
        <f t="shared" si="831"/>
        <v/>
      </c>
      <c r="CZ651" s="1"/>
      <c r="DC651" s="96"/>
      <c r="DE651" s="96"/>
    </row>
    <row r="652">
      <c r="A652" s="1"/>
      <c r="B652" s="1"/>
      <c r="C652" s="76"/>
      <c r="D652" s="76"/>
      <c r="E652" s="76"/>
      <c r="F652" s="76"/>
      <c r="G652" s="79"/>
      <c r="H652" s="80"/>
      <c r="I652" s="79"/>
      <c r="J652" s="80"/>
      <c r="K652" s="79"/>
      <c r="L652" s="142"/>
      <c r="M652" s="1"/>
      <c r="N652" s="142"/>
      <c r="O652" s="1"/>
      <c r="P652" s="142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79">
        <f t="shared" si="805"/>
        <v>0</v>
      </c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R652" s="1"/>
      <c r="CS652" s="1"/>
      <c r="CT652" s="1"/>
      <c r="CU652" s="1"/>
      <c r="CV652" s="1"/>
      <c r="CW652" s="1"/>
      <c r="CX652" s="1"/>
      <c r="CY652" s="91" t="str">
        <f t="shared" si="831"/>
        <v/>
      </c>
      <c r="CZ652" s="1"/>
      <c r="DC652" s="96"/>
      <c r="DE652" s="96"/>
    </row>
    <row r="653">
      <c r="A653" s="1"/>
      <c r="B653" s="1"/>
      <c r="C653" s="76"/>
      <c r="D653" s="76"/>
      <c r="E653" s="76"/>
      <c r="F653" s="76"/>
      <c r="G653" s="79"/>
      <c r="H653" s="80"/>
      <c r="I653" s="79"/>
      <c r="J653" s="80"/>
      <c r="K653" s="79"/>
      <c r="L653" s="142"/>
      <c r="M653" s="1"/>
      <c r="N653" s="142"/>
      <c r="O653" s="1"/>
      <c r="P653" s="142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79">
        <f t="shared" si="805"/>
        <v>0</v>
      </c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R653" s="1"/>
      <c r="CS653" s="1"/>
      <c r="CT653" s="1"/>
      <c r="CU653" s="1"/>
      <c r="CV653" s="1"/>
      <c r="CW653" s="1"/>
      <c r="CX653" s="1"/>
      <c r="CY653" s="91" t="str">
        <f t="shared" si="831"/>
        <v/>
      </c>
      <c r="CZ653" s="1"/>
      <c r="DC653" s="96"/>
      <c r="DE653" s="96"/>
    </row>
    <row r="654">
      <c r="A654" s="1"/>
      <c r="B654" s="1"/>
      <c r="C654" s="76"/>
      <c r="D654" s="76"/>
      <c r="E654" s="76"/>
      <c r="F654" s="76"/>
      <c r="G654" s="79"/>
      <c r="H654" s="80"/>
      <c r="I654" s="79"/>
      <c r="J654" s="80"/>
      <c r="K654" s="79"/>
      <c r="L654" s="142"/>
      <c r="M654" s="1"/>
      <c r="N654" s="142"/>
      <c r="O654" s="1"/>
      <c r="P654" s="142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79">
        <f t="shared" si="805"/>
        <v>0</v>
      </c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R654" s="1"/>
      <c r="CS654" s="1"/>
      <c r="CT654" s="1"/>
      <c r="CU654" s="1"/>
      <c r="CV654" s="1"/>
      <c r="CW654" s="1"/>
      <c r="CX654" s="1"/>
      <c r="CY654" s="91" t="str">
        <f t="shared" si="831"/>
        <v/>
      </c>
      <c r="CZ654" s="1"/>
      <c r="DC654" s="96"/>
      <c r="DE654" s="96"/>
    </row>
    <row r="655">
      <c r="A655" s="1"/>
      <c r="B655" s="1"/>
      <c r="C655" s="76"/>
      <c r="D655" s="76"/>
      <c r="E655" s="76"/>
      <c r="F655" s="76"/>
      <c r="G655" s="79"/>
      <c r="H655" s="80"/>
      <c r="I655" s="79"/>
      <c r="J655" s="80"/>
      <c r="K655" s="79"/>
      <c r="L655" s="142"/>
      <c r="M655" s="1"/>
      <c r="N655" s="142"/>
      <c r="O655" s="1"/>
      <c r="P655" s="142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79">
        <f t="shared" si="805"/>
        <v>0</v>
      </c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R655" s="1"/>
      <c r="CS655" s="1"/>
      <c r="CT655" s="1"/>
      <c r="CU655" s="1"/>
      <c r="CV655" s="1"/>
      <c r="CW655" s="1"/>
      <c r="CX655" s="1"/>
      <c r="CY655" s="91" t="str">
        <f t="shared" si="831"/>
        <v/>
      </c>
      <c r="CZ655" s="1"/>
      <c r="DC655" s="96"/>
      <c r="DE655" s="96"/>
    </row>
    <row r="656">
      <c r="A656" s="1"/>
      <c r="B656" s="1"/>
      <c r="C656" s="76"/>
      <c r="D656" s="76"/>
      <c r="E656" s="76"/>
      <c r="F656" s="76"/>
      <c r="G656" s="79"/>
      <c r="H656" s="80"/>
      <c r="I656" s="79"/>
      <c r="J656" s="80"/>
      <c r="K656" s="79"/>
      <c r="L656" s="142"/>
      <c r="M656" s="1"/>
      <c r="N656" s="142"/>
      <c r="O656" s="1"/>
      <c r="P656" s="142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79">
        <f t="shared" si="805"/>
        <v>0</v>
      </c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R656" s="1"/>
      <c r="CS656" s="1"/>
      <c r="CT656" s="1"/>
      <c r="CU656" s="1"/>
      <c r="CV656" s="1"/>
      <c r="CW656" s="1"/>
      <c r="CX656" s="1"/>
      <c r="CY656" s="91" t="str">
        <f t="shared" si="831"/>
        <v/>
      </c>
      <c r="CZ656" s="1"/>
      <c r="DC656" s="96"/>
      <c r="DE656" s="96"/>
    </row>
    <row r="657">
      <c r="A657" s="1"/>
      <c r="B657" s="1"/>
      <c r="C657" s="76"/>
      <c r="D657" s="76"/>
      <c r="E657" s="76"/>
      <c r="F657" s="76"/>
      <c r="G657" s="79"/>
      <c r="H657" s="80"/>
      <c r="I657" s="79"/>
      <c r="J657" s="80"/>
      <c r="K657" s="79"/>
      <c r="L657" s="142"/>
      <c r="M657" s="1"/>
      <c r="N657" s="142"/>
      <c r="O657" s="1"/>
      <c r="P657" s="142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79">
        <f t="shared" si="805"/>
        <v>0</v>
      </c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R657" s="1"/>
      <c r="CS657" s="1"/>
      <c r="CT657" s="1"/>
      <c r="CU657" s="1"/>
      <c r="CV657" s="1"/>
      <c r="CW657" s="1"/>
      <c r="CX657" s="1"/>
      <c r="CY657" s="91" t="str">
        <f t="shared" si="831"/>
        <v/>
      </c>
      <c r="CZ657" s="1"/>
      <c r="DC657" s="96"/>
      <c r="DE657" s="96"/>
    </row>
    <row r="658">
      <c r="A658" s="1"/>
      <c r="B658" s="1"/>
      <c r="C658" s="76"/>
      <c r="D658" s="76"/>
      <c r="E658" s="76"/>
      <c r="F658" s="76"/>
      <c r="G658" s="79"/>
      <c r="H658" s="80"/>
      <c r="I658" s="79"/>
      <c r="J658" s="80"/>
      <c r="K658" s="79"/>
      <c r="L658" s="142"/>
      <c r="M658" s="1"/>
      <c r="N658" s="142"/>
      <c r="O658" s="1"/>
      <c r="P658" s="142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79">
        <f t="shared" si="805"/>
        <v>0</v>
      </c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R658" s="1"/>
      <c r="CS658" s="1"/>
      <c r="CT658" s="1"/>
      <c r="CU658" s="1"/>
      <c r="CV658" s="1"/>
      <c r="CW658" s="1"/>
      <c r="CX658" s="1"/>
      <c r="CY658" s="91" t="str">
        <f t="shared" si="831"/>
        <v/>
      </c>
      <c r="CZ658" s="1"/>
      <c r="DC658" s="96"/>
      <c r="DE658" s="96"/>
    </row>
    <row r="659">
      <c r="A659" s="1"/>
      <c r="B659" s="1"/>
      <c r="C659" s="76"/>
      <c r="D659" s="76"/>
      <c r="E659" s="76"/>
      <c r="F659" s="76"/>
      <c r="G659" s="79"/>
      <c r="H659" s="80"/>
      <c r="I659" s="79"/>
      <c r="J659" s="80"/>
      <c r="K659" s="79"/>
      <c r="L659" s="142"/>
      <c r="M659" s="1"/>
      <c r="N659" s="142"/>
      <c r="O659" s="1"/>
      <c r="P659" s="142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79">
        <f t="shared" si="805"/>
        <v>0</v>
      </c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R659" s="1"/>
      <c r="CS659" s="1"/>
      <c r="CT659" s="1"/>
      <c r="CU659" s="1"/>
      <c r="CV659" s="1"/>
      <c r="CW659" s="1"/>
      <c r="CX659" s="1"/>
      <c r="CY659" s="91" t="str">
        <f t="shared" si="831"/>
        <v/>
      </c>
      <c r="CZ659" s="1"/>
      <c r="DC659" s="96"/>
      <c r="DE659" s="96"/>
    </row>
    <row r="660">
      <c r="A660" s="1"/>
      <c r="B660" s="1"/>
      <c r="C660" s="76"/>
      <c r="D660" s="76"/>
      <c r="E660" s="76"/>
      <c r="F660" s="76"/>
      <c r="G660" s="79"/>
      <c r="H660" s="80"/>
      <c r="I660" s="79"/>
      <c r="J660" s="80"/>
      <c r="K660" s="79"/>
      <c r="L660" s="142"/>
      <c r="M660" s="1"/>
      <c r="N660" s="142"/>
      <c r="O660" s="1"/>
      <c r="P660" s="142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79">
        <f t="shared" si="805"/>
        <v>0</v>
      </c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R660" s="1"/>
      <c r="CS660" s="1"/>
      <c r="CT660" s="1"/>
      <c r="CU660" s="1"/>
      <c r="CV660" s="1"/>
      <c r="CW660" s="1"/>
      <c r="CX660" s="1"/>
      <c r="CY660" s="91" t="str">
        <f t="shared" si="831"/>
        <v/>
      </c>
      <c r="CZ660" s="1"/>
      <c r="DC660" s="96"/>
      <c r="DE660" s="96"/>
    </row>
    <row r="661">
      <c r="A661" s="1"/>
      <c r="B661" s="1"/>
      <c r="C661" s="76"/>
      <c r="D661" s="76"/>
      <c r="E661" s="76"/>
      <c r="F661" s="76"/>
      <c r="G661" s="79"/>
      <c r="H661" s="80"/>
      <c r="I661" s="79"/>
      <c r="J661" s="80"/>
      <c r="K661" s="79"/>
      <c r="L661" s="142"/>
      <c r="M661" s="1"/>
      <c r="N661" s="142"/>
      <c r="O661" s="1"/>
      <c r="P661" s="142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79">
        <f t="shared" si="805"/>
        <v>0</v>
      </c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R661" s="1"/>
      <c r="CS661" s="1"/>
      <c r="CT661" s="1"/>
      <c r="CU661" s="1"/>
      <c r="CV661" s="1"/>
      <c r="CW661" s="1"/>
      <c r="CX661" s="1"/>
      <c r="CY661" s="91" t="str">
        <f t="shared" si="831"/>
        <v/>
      </c>
      <c r="CZ661" s="1"/>
      <c r="DC661" s="96"/>
      <c r="DE661" s="96"/>
    </row>
    <row r="662">
      <c r="A662" s="1"/>
      <c r="B662" s="1"/>
      <c r="C662" s="76"/>
      <c r="D662" s="76"/>
      <c r="E662" s="76"/>
      <c r="F662" s="76"/>
      <c r="G662" s="79"/>
      <c r="H662" s="80"/>
      <c r="I662" s="79"/>
      <c r="J662" s="80"/>
      <c r="K662" s="79"/>
      <c r="L662" s="142"/>
      <c r="M662" s="1"/>
      <c r="N662" s="142"/>
      <c r="O662" s="1"/>
      <c r="P662" s="142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79">
        <f t="shared" si="805"/>
        <v>0</v>
      </c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R662" s="1"/>
      <c r="CS662" s="1"/>
      <c r="CT662" s="1"/>
      <c r="CU662" s="1"/>
      <c r="CV662" s="1"/>
      <c r="CW662" s="1"/>
      <c r="CX662" s="1"/>
      <c r="CY662" s="91" t="str">
        <f t="shared" si="831"/>
        <v/>
      </c>
      <c r="CZ662" s="1"/>
      <c r="DC662" s="96"/>
      <c r="DE662" s="96"/>
    </row>
    <row r="663">
      <c r="A663" s="1"/>
      <c r="B663" s="1"/>
      <c r="C663" s="76"/>
      <c r="D663" s="76"/>
      <c r="E663" s="76"/>
      <c r="F663" s="76"/>
      <c r="G663" s="79"/>
      <c r="H663" s="80"/>
      <c r="I663" s="79"/>
      <c r="J663" s="80"/>
      <c r="K663" s="79"/>
      <c r="L663" s="142"/>
      <c r="M663" s="1"/>
      <c r="N663" s="142"/>
      <c r="O663" s="1"/>
      <c r="P663" s="142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79">
        <f t="shared" si="805"/>
        <v>0</v>
      </c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R663" s="1"/>
      <c r="CS663" s="1"/>
      <c r="CT663" s="1"/>
      <c r="CU663" s="1"/>
      <c r="CV663" s="1"/>
      <c r="CW663" s="1"/>
      <c r="CX663" s="1"/>
      <c r="CY663" s="91" t="str">
        <f t="shared" si="831"/>
        <v/>
      </c>
      <c r="CZ663" s="1"/>
      <c r="DC663" s="96"/>
      <c r="DE663" s="96"/>
    </row>
    <row r="664">
      <c r="A664" s="1"/>
      <c r="B664" s="1"/>
      <c r="C664" s="76"/>
      <c r="D664" s="76"/>
      <c r="E664" s="76"/>
      <c r="F664" s="76"/>
      <c r="G664" s="79"/>
      <c r="H664" s="80"/>
      <c r="I664" s="79"/>
      <c r="J664" s="80"/>
      <c r="K664" s="79"/>
      <c r="L664" s="142"/>
      <c r="M664" s="1"/>
      <c r="N664" s="142"/>
      <c r="O664" s="1"/>
      <c r="P664" s="142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79">
        <f t="shared" si="805"/>
        <v>0</v>
      </c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R664" s="1"/>
      <c r="CS664" s="1"/>
      <c r="CT664" s="1"/>
      <c r="CU664" s="1"/>
      <c r="CV664" s="1"/>
      <c r="CW664" s="1"/>
      <c r="CX664" s="1"/>
      <c r="CY664" s="91" t="str">
        <f t="shared" si="831"/>
        <v/>
      </c>
      <c r="CZ664" s="1"/>
      <c r="DC664" s="96"/>
      <c r="DE664" s="96"/>
    </row>
    <row r="665">
      <c r="A665" s="1"/>
      <c r="B665" s="1"/>
      <c r="C665" s="76"/>
      <c r="D665" s="76"/>
      <c r="E665" s="76"/>
      <c r="F665" s="76"/>
      <c r="G665" s="79"/>
      <c r="H665" s="80"/>
      <c r="I665" s="79"/>
      <c r="J665" s="80"/>
      <c r="K665" s="79"/>
      <c r="L665" s="142"/>
      <c r="M665" s="1"/>
      <c r="N665" s="142"/>
      <c r="O665" s="1"/>
      <c r="P665" s="142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79">
        <f t="shared" si="805"/>
        <v>0</v>
      </c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R665" s="1"/>
      <c r="CS665" s="1"/>
      <c r="CT665" s="1"/>
      <c r="CU665" s="1"/>
      <c r="CV665" s="1"/>
      <c r="CW665" s="1"/>
      <c r="CX665" s="1"/>
      <c r="CY665" s="91" t="str">
        <f t="shared" si="831"/>
        <v/>
      </c>
      <c r="CZ665" s="1"/>
      <c r="DC665" s="96"/>
      <c r="DE665" s="96"/>
    </row>
    <row r="666">
      <c r="A666" s="1"/>
      <c r="B666" s="1"/>
      <c r="C666" s="76"/>
      <c r="D666" s="76"/>
      <c r="E666" s="76"/>
      <c r="F666" s="76"/>
      <c r="G666" s="79"/>
      <c r="H666" s="80"/>
      <c r="I666" s="79"/>
      <c r="J666" s="80"/>
      <c r="K666" s="79"/>
      <c r="L666" s="142"/>
      <c r="M666" s="1"/>
      <c r="N666" s="142"/>
      <c r="O666" s="1"/>
      <c r="P666" s="142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79">
        <f t="shared" si="805"/>
        <v>0</v>
      </c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R666" s="1"/>
      <c r="CS666" s="1"/>
      <c r="CT666" s="1"/>
      <c r="CU666" s="1"/>
      <c r="CV666" s="1"/>
      <c r="CW666" s="1"/>
      <c r="CX666" s="1"/>
      <c r="CY666" s="91" t="str">
        <f t="shared" si="831"/>
        <v/>
      </c>
      <c r="CZ666" s="1"/>
      <c r="DC666" s="96"/>
      <c r="DE666" s="96"/>
    </row>
    <row r="667">
      <c r="A667" s="1"/>
      <c r="B667" s="1"/>
      <c r="C667" s="76"/>
      <c r="D667" s="76"/>
      <c r="E667" s="76"/>
      <c r="F667" s="76"/>
      <c r="G667" s="79"/>
      <c r="H667" s="80"/>
      <c r="I667" s="79"/>
      <c r="J667" s="80"/>
      <c r="K667" s="79"/>
      <c r="L667" s="142"/>
      <c r="M667" s="1"/>
      <c r="N667" s="142"/>
      <c r="O667" s="1"/>
      <c r="P667" s="142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79">
        <f t="shared" si="805"/>
        <v>0</v>
      </c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R667" s="1"/>
      <c r="CS667" s="1"/>
      <c r="CT667" s="1"/>
      <c r="CU667" s="1"/>
      <c r="CV667" s="1"/>
      <c r="CW667" s="1"/>
      <c r="CX667" s="1"/>
      <c r="CY667" s="91" t="str">
        <f t="shared" si="831"/>
        <v/>
      </c>
      <c r="CZ667" s="1"/>
      <c r="DC667" s="96"/>
      <c r="DE667" s="96"/>
    </row>
    <row r="668">
      <c r="A668" s="1"/>
      <c r="B668" s="1"/>
      <c r="C668" s="76"/>
      <c r="D668" s="76"/>
      <c r="E668" s="76"/>
      <c r="F668" s="76"/>
      <c r="G668" s="79"/>
      <c r="H668" s="80"/>
      <c r="I668" s="79"/>
      <c r="J668" s="80"/>
      <c r="K668" s="79"/>
      <c r="L668" s="142"/>
      <c r="M668" s="1"/>
      <c r="N668" s="142"/>
      <c r="O668" s="1"/>
      <c r="P668" s="142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79">
        <f t="shared" si="805"/>
        <v>0</v>
      </c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R668" s="1"/>
      <c r="CS668" s="1"/>
      <c r="CT668" s="1"/>
      <c r="CU668" s="1"/>
      <c r="CV668" s="1"/>
      <c r="CW668" s="1"/>
      <c r="CX668" s="1"/>
      <c r="CY668" s="91" t="str">
        <f t="shared" si="831"/>
        <v/>
      </c>
      <c r="CZ668" s="1"/>
      <c r="DC668" s="96"/>
      <c r="DE668" s="96"/>
    </row>
    <row r="669">
      <c r="A669" s="1"/>
      <c r="B669" s="1"/>
      <c r="C669" s="76"/>
      <c r="D669" s="76"/>
      <c r="E669" s="76"/>
      <c r="F669" s="76"/>
      <c r="G669" s="79"/>
      <c r="H669" s="80"/>
      <c r="I669" s="79"/>
      <c r="J669" s="80"/>
      <c r="K669" s="79"/>
      <c r="L669" s="142"/>
      <c r="M669" s="1"/>
      <c r="N669" s="142"/>
      <c r="O669" s="1"/>
      <c r="P669" s="142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79">
        <f t="shared" si="805"/>
        <v>0</v>
      </c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R669" s="1"/>
      <c r="CS669" s="1"/>
      <c r="CT669" s="1"/>
      <c r="CU669" s="1"/>
      <c r="CV669" s="1"/>
      <c r="CW669" s="1"/>
      <c r="CX669" s="1"/>
      <c r="CY669" s="91" t="str">
        <f t="shared" si="831"/>
        <v/>
      </c>
      <c r="CZ669" s="1"/>
      <c r="DC669" s="96"/>
      <c r="DE669" s="96"/>
    </row>
    <row r="670">
      <c r="A670" s="1"/>
      <c r="B670" s="1"/>
      <c r="C670" s="76"/>
      <c r="D670" s="76"/>
      <c r="E670" s="76"/>
      <c r="F670" s="76"/>
      <c r="G670" s="79"/>
      <c r="H670" s="80"/>
      <c r="I670" s="79"/>
      <c r="J670" s="80"/>
      <c r="K670" s="79"/>
      <c r="L670" s="142"/>
      <c r="M670" s="1"/>
      <c r="N670" s="142"/>
      <c r="O670" s="1"/>
      <c r="P670" s="142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79">
        <f t="shared" si="805"/>
        <v>0</v>
      </c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R670" s="1"/>
      <c r="CS670" s="1"/>
      <c r="CT670" s="1"/>
      <c r="CU670" s="1"/>
      <c r="CV670" s="1"/>
      <c r="CW670" s="1"/>
      <c r="CX670" s="1"/>
      <c r="CY670" s="91" t="str">
        <f t="shared" si="831"/>
        <v/>
      </c>
      <c r="CZ670" s="1"/>
      <c r="DC670" s="96"/>
      <c r="DE670" s="96"/>
    </row>
    <row r="671">
      <c r="A671" s="1"/>
      <c r="B671" s="1"/>
      <c r="C671" s="76"/>
      <c r="D671" s="76"/>
      <c r="E671" s="76"/>
      <c r="F671" s="76"/>
      <c r="G671" s="79"/>
      <c r="H671" s="80"/>
      <c r="I671" s="79"/>
      <c r="J671" s="80"/>
      <c r="K671" s="79"/>
      <c r="L671" s="142"/>
      <c r="M671" s="1"/>
      <c r="N671" s="142"/>
      <c r="O671" s="1"/>
      <c r="P671" s="142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79">
        <f t="shared" si="805"/>
        <v>0</v>
      </c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R671" s="1"/>
      <c r="CS671" s="1"/>
      <c r="CT671" s="1"/>
      <c r="CU671" s="1"/>
      <c r="CV671" s="1"/>
      <c r="CW671" s="1"/>
      <c r="CX671" s="1"/>
      <c r="CY671" s="91" t="str">
        <f t="shared" si="831"/>
        <v/>
      </c>
      <c r="CZ671" s="1"/>
      <c r="DC671" s="96"/>
      <c r="DE671" s="96"/>
    </row>
    <row r="672">
      <c r="A672" s="1"/>
      <c r="B672" s="1"/>
      <c r="C672" s="76"/>
      <c r="D672" s="76"/>
      <c r="E672" s="76"/>
      <c r="F672" s="76"/>
      <c r="G672" s="79"/>
      <c r="H672" s="80"/>
      <c r="I672" s="79"/>
      <c r="J672" s="80"/>
      <c r="K672" s="79"/>
      <c r="L672" s="142"/>
      <c r="M672" s="1"/>
      <c r="N672" s="142"/>
      <c r="O672" s="1"/>
      <c r="P672" s="142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79">
        <f t="shared" si="805"/>
        <v>0</v>
      </c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R672" s="1"/>
      <c r="CS672" s="1"/>
      <c r="CT672" s="1"/>
      <c r="CU672" s="1"/>
      <c r="CV672" s="1"/>
      <c r="CW672" s="1"/>
      <c r="CX672" s="1"/>
      <c r="CY672" s="91" t="str">
        <f t="shared" si="831"/>
        <v/>
      </c>
      <c r="CZ672" s="1"/>
      <c r="DC672" s="96"/>
      <c r="DE672" s="96"/>
    </row>
    <row r="673">
      <c r="A673" s="1"/>
      <c r="B673" s="1"/>
      <c r="C673" s="76"/>
      <c r="D673" s="76"/>
      <c r="E673" s="76"/>
      <c r="F673" s="76"/>
      <c r="G673" s="79"/>
      <c r="H673" s="80"/>
      <c r="I673" s="79"/>
      <c r="J673" s="80"/>
      <c r="K673" s="79"/>
      <c r="L673" s="142"/>
      <c r="M673" s="1"/>
      <c r="N673" s="142"/>
      <c r="O673" s="1"/>
      <c r="P673" s="142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79">
        <f t="shared" si="805"/>
        <v>0</v>
      </c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R673" s="1"/>
      <c r="CS673" s="1"/>
      <c r="CT673" s="1"/>
      <c r="CU673" s="1"/>
      <c r="CV673" s="1"/>
      <c r="CW673" s="1"/>
      <c r="CX673" s="1"/>
      <c r="CY673" s="91" t="str">
        <f t="shared" si="831"/>
        <v/>
      </c>
      <c r="CZ673" s="1"/>
      <c r="DC673" s="96"/>
      <c r="DE673" s="96"/>
    </row>
    <row r="674">
      <c r="A674" s="1"/>
      <c r="B674" s="1"/>
      <c r="C674" s="76"/>
      <c r="D674" s="76"/>
      <c r="E674" s="76"/>
      <c r="F674" s="76"/>
      <c r="G674" s="79"/>
      <c r="H674" s="80"/>
      <c r="I674" s="79"/>
      <c r="J674" s="80"/>
      <c r="K674" s="79"/>
      <c r="L674" s="142"/>
      <c r="M674" s="1"/>
      <c r="N674" s="142"/>
      <c r="O674" s="1"/>
      <c r="P674" s="142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79">
        <f t="shared" si="805"/>
        <v>0</v>
      </c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R674" s="1"/>
      <c r="CS674" s="1"/>
      <c r="CT674" s="1"/>
      <c r="CU674" s="1"/>
      <c r="CV674" s="1"/>
      <c r="CW674" s="1"/>
      <c r="CX674" s="1"/>
      <c r="CY674" s="91" t="str">
        <f t="shared" si="831"/>
        <v/>
      </c>
      <c r="CZ674" s="1"/>
      <c r="DC674" s="96"/>
      <c r="DE674" s="96"/>
    </row>
    <row r="675">
      <c r="A675" s="1"/>
      <c r="B675" s="1"/>
      <c r="C675" s="76"/>
      <c r="D675" s="76"/>
      <c r="E675" s="76"/>
      <c r="F675" s="76"/>
      <c r="G675" s="79"/>
      <c r="H675" s="80"/>
      <c r="I675" s="79"/>
      <c r="J675" s="80"/>
      <c r="K675" s="79"/>
      <c r="L675" s="142"/>
      <c r="M675" s="1"/>
      <c r="N675" s="142"/>
      <c r="O675" s="1"/>
      <c r="P675" s="142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79">
        <f t="shared" si="805"/>
        <v>0</v>
      </c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R675" s="1"/>
      <c r="CS675" s="1"/>
      <c r="CT675" s="1"/>
      <c r="CU675" s="1"/>
      <c r="CV675" s="1"/>
      <c r="CW675" s="1"/>
      <c r="CX675" s="1"/>
      <c r="CY675" s="91" t="str">
        <f t="shared" si="831"/>
        <v/>
      </c>
      <c r="CZ675" s="1"/>
      <c r="DC675" s="96"/>
      <c r="DE675" s="96"/>
    </row>
    <row r="676">
      <c r="A676" s="1"/>
      <c r="B676" s="1"/>
      <c r="C676" s="76"/>
      <c r="D676" s="76"/>
      <c r="E676" s="76"/>
      <c r="F676" s="76"/>
      <c r="G676" s="79"/>
      <c r="H676" s="80"/>
      <c r="I676" s="79"/>
      <c r="J676" s="80"/>
      <c r="K676" s="79"/>
      <c r="L676" s="142"/>
      <c r="M676" s="1"/>
      <c r="N676" s="142"/>
      <c r="O676" s="1"/>
      <c r="P676" s="142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79">
        <f t="shared" si="805"/>
        <v>0</v>
      </c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R676" s="1"/>
      <c r="CS676" s="1"/>
      <c r="CT676" s="1"/>
      <c r="CU676" s="1"/>
      <c r="CV676" s="1"/>
      <c r="CW676" s="1"/>
      <c r="CX676" s="1"/>
      <c r="CY676" s="91" t="str">
        <f t="shared" si="831"/>
        <v/>
      </c>
      <c r="CZ676" s="1"/>
      <c r="DC676" s="96"/>
      <c r="DE676" s="96"/>
    </row>
    <row r="677">
      <c r="A677" s="1"/>
      <c r="B677" s="1"/>
      <c r="C677" s="76"/>
      <c r="D677" s="76"/>
      <c r="E677" s="76"/>
      <c r="F677" s="76"/>
      <c r="G677" s="79"/>
      <c r="H677" s="80"/>
      <c r="I677" s="79"/>
      <c r="J677" s="80"/>
      <c r="K677" s="79"/>
      <c r="L677" s="142"/>
      <c r="M677" s="1"/>
      <c r="N677" s="142"/>
      <c r="O677" s="1"/>
      <c r="P677" s="142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79">
        <f t="shared" si="805"/>
        <v>0</v>
      </c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R677" s="1"/>
      <c r="CS677" s="1"/>
      <c r="CT677" s="1"/>
      <c r="CU677" s="1"/>
      <c r="CV677" s="1"/>
      <c r="CW677" s="1"/>
      <c r="CX677" s="1"/>
      <c r="CY677" s="91" t="str">
        <f t="shared" si="831"/>
        <v/>
      </c>
      <c r="CZ677" s="1"/>
      <c r="DC677" s="96"/>
      <c r="DE677" s="96"/>
    </row>
    <row r="678">
      <c r="A678" s="1"/>
      <c r="B678" s="1"/>
      <c r="C678" s="76"/>
      <c r="D678" s="76"/>
      <c r="E678" s="76"/>
      <c r="F678" s="76"/>
      <c r="G678" s="79"/>
      <c r="H678" s="80"/>
      <c r="I678" s="79"/>
      <c r="J678" s="80"/>
      <c r="K678" s="79"/>
      <c r="L678" s="142"/>
      <c r="M678" s="1"/>
      <c r="N678" s="142"/>
      <c r="O678" s="1"/>
      <c r="P678" s="142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79">
        <f t="shared" si="805"/>
        <v>0</v>
      </c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R678" s="1"/>
      <c r="CS678" s="1"/>
      <c r="CT678" s="1"/>
      <c r="CU678" s="1"/>
      <c r="CV678" s="1"/>
      <c r="CW678" s="1"/>
      <c r="CX678" s="1"/>
      <c r="CY678" s="91" t="str">
        <f t="shared" si="831"/>
        <v/>
      </c>
      <c r="CZ678" s="1"/>
      <c r="DC678" s="96"/>
      <c r="DE678" s="96"/>
    </row>
    <row r="679">
      <c r="A679" s="1"/>
      <c r="B679" s="1"/>
      <c r="C679" s="76"/>
      <c r="D679" s="76"/>
      <c r="E679" s="76"/>
      <c r="F679" s="76"/>
      <c r="G679" s="79"/>
      <c r="H679" s="80"/>
      <c r="I679" s="79"/>
      <c r="J679" s="80"/>
      <c r="K679" s="79"/>
      <c r="L679" s="142"/>
      <c r="M679" s="1"/>
      <c r="N679" s="142"/>
      <c r="O679" s="1"/>
      <c r="P679" s="142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79">
        <f t="shared" si="805"/>
        <v>0</v>
      </c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R679" s="1"/>
      <c r="CS679" s="1"/>
      <c r="CT679" s="1"/>
      <c r="CU679" s="1"/>
      <c r="CV679" s="1"/>
      <c r="CW679" s="1"/>
      <c r="CX679" s="1"/>
      <c r="CY679" s="91" t="str">
        <f t="shared" si="831"/>
        <v/>
      </c>
      <c r="CZ679" s="1"/>
      <c r="DC679" s="96"/>
      <c r="DE679" s="96"/>
    </row>
    <row r="680">
      <c r="A680" s="1"/>
      <c r="B680" s="1"/>
      <c r="C680" s="76"/>
      <c r="D680" s="76"/>
      <c r="E680" s="76"/>
      <c r="F680" s="76"/>
      <c r="G680" s="79"/>
      <c r="H680" s="80"/>
      <c r="I680" s="79"/>
      <c r="J680" s="80"/>
      <c r="K680" s="79"/>
      <c r="L680" s="142"/>
      <c r="M680" s="1"/>
      <c r="N680" s="142"/>
      <c r="O680" s="1"/>
      <c r="P680" s="142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79">
        <f t="shared" si="805"/>
        <v>0</v>
      </c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R680" s="1"/>
      <c r="CS680" s="1"/>
      <c r="CT680" s="1"/>
      <c r="CU680" s="1"/>
      <c r="CV680" s="1"/>
      <c r="CW680" s="1"/>
      <c r="CX680" s="1"/>
      <c r="CY680" s="91" t="str">
        <f t="shared" si="831"/>
        <v/>
      </c>
      <c r="CZ680" s="1"/>
      <c r="DC680" s="96"/>
      <c r="DE680" s="96"/>
    </row>
    <row r="681">
      <c r="A681" s="1"/>
      <c r="B681" s="1"/>
      <c r="C681" s="76"/>
      <c r="D681" s="76"/>
      <c r="E681" s="76"/>
      <c r="F681" s="76"/>
      <c r="G681" s="79"/>
      <c r="H681" s="80"/>
      <c r="I681" s="79"/>
      <c r="J681" s="80"/>
      <c r="K681" s="79"/>
      <c r="L681" s="142"/>
      <c r="M681" s="1"/>
      <c r="N681" s="142"/>
      <c r="O681" s="1"/>
      <c r="P681" s="142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79">
        <f t="shared" si="805"/>
        <v>0</v>
      </c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R681" s="1"/>
      <c r="CS681" s="1"/>
      <c r="CT681" s="1"/>
      <c r="CU681" s="1"/>
      <c r="CV681" s="1"/>
      <c r="CW681" s="1"/>
      <c r="CX681" s="1"/>
      <c r="CY681" s="91" t="str">
        <f t="shared" si="831"/>
        <v/>
      </c>
      <c r="CZ681" s="1"/>
      <c r="DC681" s="96"/>
      <c r="DE681" s="96"/>
    </row>
    <row r="682">
      <c r="A682" s="1"/>
      <c r="B682" s="1"/>
      <c r="C682" s="76"/>
      <c r="D682" s="76"/>
      <c r="E682" s="76"/>
      <c r="F682" s="76"/>
      <c r="G682" s="79"/>
      <c r="H682" s="80"/>
      <c r="I682" s="79"/>
      <c r="J682" s="80"/>
      <c r="K682" s="79"/>
      <c r="L682" s="142"/>
      <c r="M682" s="1"/>
      <c r="N682" s="142"/>
      <c r="O682" s="1"/>
      <c r="P682" s="142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79">
        <f t="shared" si="805"/>
        <v>0</v>
      </c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R682" s="1"/>
      <c r="CS682" s="1"/>
      <c r="CT682" s="1"/>
      <c r="CU682" s="1"/>
      <c r="CV682" s="1"/>
      <c r="CW682" s="1"/>
      <c r="CX682" s="1"/>
      <c r="CY682" s="91" t="str">
        <f t="shared" si="831"/>
        <v/>
      </c>
      <c r="CZ682" s="1"/>
      <c r="DC682" s="96"/>
      <c r="DE682" s="96"/>
    </row>
    <row r="683">
      <c r="A683" s="1"/>
      <c r="B683" s="1"/>
      <c r="C683" s="76"/>
      <c r="D683" s="76"/>
      <c r="E683" s="76"/>
      <c r="F683" s="76"/>
      <c r="G683" s="79"/>
      <c r="H683" s="80"/>
      <c r="I683" s="79"/>
      <c r="J683" s="80"/>
      <c r="K683" s="79"/>
      <c r="L683" s="142"/>
      <c r="M683" s="1"/>
      <c r="N683" s="142"/>
      <c r="O683" s="1"/>
      <c r="P683" s="142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79">
        <f t="shared" si="805"/>
        <v>0</v>
      </c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R683" s="1"/>
      <c r="CS683" s="1"/>
      <c r="CT683" s="1"/>
      <c r="CU683" s="1"/>
      <c r="CV683" s="1"/>
      <c r="CW683" s="1"/>
      <c r="CX683" s="1"/>
      <c r="CY683" s="91" t="str">
        <f t="shared" si="831"/>
        <v/>
      </c>
      <c r="CZ683" s="1"/>
      <c r="DC683" s="96"/>
      <c r="DE683" s="96"/>
    </row>
    <row r="684">
      <c r="A684" s="1"/>
      <c r="B684" s="1"/>
      <c r="C684" s="76"/>
      <c r="D684" s="76"/>
      <c r="E684" s="76"/>
      <c r="F684" s="76"/>
      <c r="G684" s="79"/>
      <c r="H684" s="80"/>
      <c r="I684" s="79"/>
      <c r="J684" s="80"/>
      <c r="K684" s="79"/>
      <c r="L684" s="142"/>
      <c r="M684" s="1"/>
      <c r="N684" s="142"/>
      <c r="O684" s="1"/>
      <c r="P684" s="142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79">
        <f t="shared" si="805"/>
        <v>0</v>
      </c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R684" s="1"/>
      <c r="CS684" s="1"/>
      <c r="CT684" s="1"/>
      <c r="CU684" s="1"/>
      <c r="CV684" s="1"/>
      <c r="CW684" s="1"/>
      <c r="CX684" s="1"/>
      <c r="CY684" s="91" t="str">
        <f t="shared" si="831"/>
        <v/>
      </c>
      <c r="CZ684" s="1"/>
      <c r="DC684" s="96"/>
      <c r="DE684" s="96"/>
    </row>
    <row r="685">
      <c r="A685" s="1"/>
      <c r="B685" s="1"/>
      <c r="C685" s="76"/>
      <c r="D685" s="76"/>
      <c r="E685" s="76"/>
      <c r="F685" s="76"/>
      <c r="G685" s="79"/>
      <c r="H685" s="80"/>
      <c r="I685" s="79"/>
      <c r="J685" s="80"/>
      <c r="K685" s="79"/>
      <c r="L685" s="142"/>
      <c r="M685" s="1"/>
      <c r="N685" s="142"/>
      <c r="O685" s="1"/>
      <c r="P685" s="142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79">
        <f t="shared" si="805"/>
        <v>0</v>
      </c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R685" s="1"/>
      <c r="CS685" s="1"/>
      <c r="CT685" s="1"/>
      <c r="CU685" s="1"/>
      <c r="CV685" s="1"/>
      <c r="CW685" s="1"/>
      <c r="CX685" s="1"/>
      <c r="CY685" s="91" t="str">
        <f t="shared" si="831"/>
        <v/>
      </c>
      <c r="CZ685" s="1"/>
      <c r="DC685" s="96"/>
      <c r="DE685" s="96"/>
    </row>
    <row r="686">
      <c r="A686" s="1"/>
      <c r="B686" s="1"/>
      <c r="C686" s="76"/>
      <c r="D686" s="76"/>
      <c r="E686" s="76"/>
      <c r="F686" s="76"/>
      <c r="G686" s="79"/>
      <c r="H686" s="80"/>
      <c r="I686" s="79"/>
      <c r="J686" s="80"/>
      <c r="K686" s="79"/>
      <c r="L686" s="142"/>
      <c r="M686" s="1"/>
      <c r="N686" s="142"/>
      <c r="O686" s="1"/>
      <c r="P686" s="142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79">
        <f t="shared" si="805"/>
        <v>0</v>
      </c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R686" s="1"/>
      <c r="CS686" s="1"/>
      <c r="CT686" s="1"/>
      <c r="CU686" s="1"/>
      <c r="CV686" s="1"/>
      <c r="CW686" s="1"/>
      <c r="CX686" s="1"/>
      <c r="CY686" s="91" t="str">
        <f t="shared" si="831"/>
        <v/>
      </c>
      <c r="CZ686" s="1"/>
      <c r="DC686" s="96"/>
      <c r="DE686" s="96"/>
    </row>
    <row r="687">
      <c r="A687" s="1"/>
      <c r="B687" s="1"/>
      <c r="C687" s="76"/>
      <c r="D687" s="76"/>
      <c r="E687" s="76"/>
      <c r="F687" s="76"/>
      <c r="G687" s="79"/>
      <c r="H687" s="80"/>
      <c r="I687" s="79"/>
      <c r="J687" s="80"/>
      <c r="K687" s="79"/>
      <c r="L687" s="142"/>
      <c r="M687" s="1"/>
      <c r="N687" s="142"/>
      <c r="O687" s="1"/>
      <c r="P687" s="142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79">
        <f t="shared" si="805"/>
        <v>0</v>
      </c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R687" s="1"/>
      <c r="CS687" s="1"/>
      <c r="CT687" s="1"/>
      <c r="CU687" s="1"/>
      <c r="CV687" s="1"/>
      <c r="CW687" s="1"/>
      <c r="CX687" s="1"/>
      <c r="CY687" s="91" t="str">
        <f t="shared" si="831"/>
        <v/>
      </c>
      <c r="CZ687" s="1"/>
      <c r="DC687" s="96"/>
      <c r="DE687" s="96"/>
    </row>
    <row r="688">
      <c r="A688" s="1"/>
      <c r="B688" s="1"/>
      <c r="C688" s="76"/>
      <c r="D688" s="76"/>
      <c r="E688" s="76"/>
      <c r="F688" s="76"/>
      <c r="G688" s="79"/>
      <c r="H688" s="80"/>
      <c r="I688" s="79"/>
      <c r="J688" s="80"/>
      <c r="K688" s="79"/>
      <c r="L688" s="142"/>
      <c r="M688" s="1"/>
      <c r="N688" s="142"/>
      <c r="O688" s="1"/>
      <c r="P688" s="142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79">
        <f t="shared" si="805"/>
        <v>0</v>
      </c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R688" s="1"/>
      <c r="CS688" s="1"/>
      <c r="CT688" s="1"/>
      <c r="CU688" s="1"/>
      <c r="CV688" s="1"/>
      <c r="CW688" s="1"/>
      <c r="CX688" s="1"/>
      <c r="CY688" s="91" t="str">
        <f t="shared" si="831"/>
        <v/>
      </c>
      <c r="CZ688" s="1"/>
      <c r="DC688" s="96"/>
      <c r="DE688" s="96"/>
    </row>
    <row r="689">
      <c r="A689" s="1"/>
      <c r="B689" s="1"/>
      <c r="C689" s="76"/>
      <c r="D689" s="76"/>
      <c r="E689" s="76"/>
      <c r="F689" s="76"/>
      <c r="G689" s="79"/>
      <c r="H689" s="80"/>
      <c r="I689" s="79"/>
      <c r="J689" s="80"/>
      <c r="K689" s="79"/>
      <c r="L689" s="142"/>
      <c r="M689" s="1"/>
      <c r="N689" s="142"/>
      <c r="O689" s="1"/>
      <c r="P689" s="142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79">
        <f t="shared" si="805"/>
        <v>0</v>
      </c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R689" s="1"/>
      <c r="CS689" s="1"/>
      <c r="CT689" s="1"/>
      <c r="CU689" s="1"/>
      <c r="CV689" s="1"/>
      <c r="CW689" s="1"/>
      <c r="CX689" s="1"/>
      <c r="CY689" s="91" t="str">
        <f t="shared" si="831"/>
        <v/>
      </c>
      <c r="CZ689" s="1"/>
      <c r="DC689" s="96"/>
      <c r="DE689" s="96"/>
    </row>
    <row r="690">
      <c r="A690" s="1"/>
      <c r="B690" s="1"/>
      <c r="C690" s="76"/>
      <c r="D690" s="76"/>
      <c r="E690" s="76"/>
      <c r="F690" s="76"/>
      <c r="G690" s="79"/>
      <c r="H690" s="80"/>
      <c r="I690" s="79"/>
      <c r="J690" s="80"/>
      <c r="K690" s="79"/>
      <c r="L690" s="142"/>
      <c r="M690" s="1"/>
      <c r="N690" s="142"/>
      <c r="O690" s="1"/>
      <c r="P690" s="142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79">
        <f t="shared" si="805"/>
        <v>0</v>
      </c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R690" s="1"/>
      <c r="CS690" s="1"/>
      <c r="CT690" s="1"/>
      <c r="CU690" s="1"/>
      <c r="CV690" s="1"/>
      <c r="CW690" s="1"/>
      <c r="CX690" s="1"/>
      <c r="CY690" s="91" t="str">
        <f t="shared" si="831"/>
        <v/>
      </c>
      <c r="CZ690" s="1"/>
      <c r="DC690" s="96"/>
      <c r="DE690" s="96"/>
    </row>
    <row r="691">
      <c r="A691" s="1"/>
      <c r="B691" s="1"/>
      <c r="C691" s="76"/>
      <c r="D691" s="76"/>
      <c r="E691" s="76"/>
      <c r="F691" s="76"/>
      <c r="G691" s="79"/>
      <c r="H691" s="80"/>
      <c r="I691" s="79"/>
      <c r="J691" s="80"/>
      <c r="K691" s="79"/>
      <c r="L691" s="142"/>
      <c r="M691" s="1"/>
      <c r="N691" s="142"/>
      <c r="O691" s="1"/>
      <c r="P691" s="142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79">
        <f t="shared" si="805"/>
        <v>0</v>
      </c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R691" s="1"/>
      <c r="CS691" s="1"/>
      <c r="CT691" s="1"/>
      <c r="CU691" s="1"/>
      <c r="CV691" s="1"/>
      <c r="CW691" s="1"/>
      <c r="CX691" s="1"/>
      <c r="CY691" s="91" t="str">
        <f t="shared" si="831"/>
        <v/>
      </c>
      <c r="CZ691" s="1"/>
      <c r="DC691" s="96"/>
      <c r="DE691" s="96"/>
    </row>
    <row r="692">
      <c r="A692" s="1"/>
      <c r="B692" s="1"/>
      <c r="C692" s="76"/>
      <c r="D692" s="76"/>
      <c r="E692" s="76"/>
      <c r="F692" s="76"/>
      <c r="G692" s="79"/>
      <c r="H692" s="80"/>
      <c r="I692" s="79"/>
      <c r="J692" s="80"/>
      <c r="K692" s="79"/>
      <c r="L692" s="142"/>
      <c r="M692" s="1"/>
      <c r="N692" s="142"/>
      <c r="O692" s="1"/>
      <c r="P692" s="142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79">
        <f t="shared" si="805"/>
        <v>0</v>
      </c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R692" s="1"/>
      <c r="CS692" s="1"/>
      <c r="CT692" s="1"/>
      <c r="CU692" s="1"/>
      <c r="CV692" s="1"/>
      <c r="CW692" s="1"/>
      <c r="CX692" s="1"/>
      <c r="CY692" s="91" t="str">
        <f t="shared" si="831"/>
        <v/>
      </c>
      <c r="CZ692" s="1"/>
      <c r="DC692" s="96"/>
      <c r="DE692" s="96"/>
    </row>
    <row r="693">
      <c r="A693" s="1"/>
      <c r="B693" s="1"/>
      <c r="C693" s="76"/>
      <c r="D693" s="76"/>
      <c r="E693" s="76"/>
      <c r="F693" s="76"/>
      <c r="G693" s="79"/>
      <c r="H693" s="80"/>
      <c r="I693" s="79"/>
      <c r="J693" s="80"/>
      <c r="K693" s="79"/>
      <c r="L693" s="142"/>
      <c r="M693" s="1"/>
      <c r="N693" s="142"/>
      <c r="O693" s="1"/>
      <c r="P693" s="142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79">
        <f t="shared" si="805"/>
        <v>0</v>
      </c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R693" s="1"/>
      <c r="CS693" s="1"/>
      <c r="CT693" s="1"/>
      <c r="CU693" s="1"/>
      <c r="CV693" s="1"/>
      <c r="CW693" s="1"/>
      <c r="CX693" s="1"/>
      <c r="CY693" s="91" t="str">
        <f t="shared" si="831"/>
        <v/>
      </c>
      <c r="CZ693" s="1"/>
      <c r="DC693" s="96"/>
      <c r="DE693" s="96"/>
    </row>
    <row r="694">
      <c r="A694" s="1"/>
      <c r="B694" s="1"/>
      <c r="C694" s="76"/>
      <c r="D694" s="76"/>
      <c r="E694" s="76"/>
      <c r="F694" s="76"/>
      <c r="G694" s="79"/>
      <c r="H694" s="80"/>
      <c r="I694" s="79"/>
      <c r="J694" s="80"/>
      <c r="K694" s="79"/>
      <c r="L694" s="142"/>
      <c r="M694" s="1"/>
      <c r="N694" s="142"/>
      <c r="O694" s="1"/>
      <c r="P694" s="142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79">
        <f t="shared" si="805"/>
        <v>0</v>
      </c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R694" s="1"/>
      <c r="CS694" s="1"/>
      <c r="CT694" s="1"/>
      <c r="CU694" s="1"/>
      <c r="CV694" s="1"/>
      <c r="CW694" s="1"/>
      <c r="CX694" s="1"/>
      <c r="CY694" s="91" t="str">
        <f t="shared" si="831"/>
        <v/>
      </c>
      <c r="CZ694" s="1"/>
      <c r="DC694" s="96"/>
      <c r="DE694" s="96"/>
    </row>
    <row r="695">
      <c r="A695" s="1"/>
      <c r="B695" s="1"/>
      <c r="C695" s="76"/>
      <c r="D695" s="76"/>
      <c r="E695" s="76"/>
      <c r="F695" s="76"/>
      <c r="G695" s="79"/>
      <c r="H695" s="80"/>
      <c r="I695" s="79"/>
      <c r="J695" s="80"/>
      <c r="K695" s="79"/>
      <c r="L695" s="142"/>
      <c r="M695" s="1"/>
      <c r="N695" s="142"/>
      <c r="O695" s="1"/>
      <c r="P695" s="142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79">
        <f t="shared" si="805"/>
        <v>0</v>
      </c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R695" s="1"/>
      <c r="CS695" s="1"/>
      <c r="CT695" s="1"/>
      <c r="CU695" s="1"/>
      <c r="CV695" s="1"/>
      <c r="CW695" s="1"/>
      <c r="CX695" s="1"/>
      <c r="CY695" s="91" t="str">
        <f t="shared" si="831"/>
        <v/>
      </c>
      <c r="CZ695" s="1"/>
      <c r="DC695" s="96"/>
      <c r="DE695" s="96"/>
    </row>
    <row r="696">
      <c r="A696" s="1"/>
      <c r="B696" s="1"/>
      <c r="C696" s="76"/>
      <c r="D696" s="76"/>
      <c r="E696" s="76"/>
      <c r="F696" s="76"/>
      <c r="G696" s="79"/>
      <c r="H696" s="80"/>
      <c r="I696" s="79"/>
      <c r="J696" s="80"/>
      <c r="K696" s="79"/>
      <c r="L696" s="142"/>
      <c r="M696" s="1"/>
      <c r="N696" s="142"/>
      <c r="O696" s="1"/>
      <c r="P696" s="142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79">
        <f t="shared" si="805"/>
        <v>0</v>
      </c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R696" s="1"/>
      <c r="CS696" s="1"/>
      <c r="CT696" s="1"/>
      <c r="CU696" s="1"/>
      <c r="CV696" s="1"/>
      <c r="CW696" s="1"/>
      <c r="CX696" s="1"/>
      <c r="CY696" s="91" t="str">
        <f t="shared" si="831"/>
        <v/>
      </c>
      <c r="CZ696" s="1"/>
      <c r="DC696" s="96"/>
      <c r="DE696" s="96"/>
    </row>
    <row r="697">
      <c r="A697" s="1"/>
      <c r="B697" s="1"/>
      <c r="C697" s="76"/>
      <c r="D697" s="76"/>
      <c r="E697" s="76"/>
      <c r="F697" s="76"/>
      <c r="G697" s="79"/>
      <c r="H697" s="80"/>
      <c r="I697" s="79"/>
      <c r="J697" s="80"/>
      <c r="K697" s="79"/>
      <c r="L697" s="142"/>
      <c r="M697" s="1"/>
      <c r="N697" s="142"/>
      <c r="O697" s="1"/>
      <c r="P697" s="142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79">
        <f t="shared" si="805"/>
        <v>0</v>
      </c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R697" s="1"/>
      <c r="CS697" s="1"/>
      <c r="CT697" s="1"/>
      <c r="CU697" s="1"/>
      <c r="CV697" s="1"/>
      <c r="CW697" s="1"/>
      <c r="CX697" s="1"/>
      <c r="CY697" s="91" t="str">
        <f t="shared" si="831"/>
        <v/>
      </c>
      <c r="CZ697" s="1"/>
      <c r="DC697" s="96"/>
      <c r="DE697" s="96"/>
    </row>
    <row r="698">
      <c r="A698" s="1"/>
      <c r="B698" s="1"/>
      <c r="C698" s="76"/>
      <c r="D698" s="76"/>
      <c r="E698" s="76"/>
      <c r="F698" s="76"/>
      <c r="G698" s="79"/>
      <c r="H698" s="80"/>
      <c r="I698" s="79"/>
      <c r="J698" s="80"/>
      <c r="K698" s="79"/>
      <c r="L698" s="142"/>
      <c r="M698" s="1"/>
      <c r="N698" s="142"/>
      <c r="O698" s="1"/>
      <c r="P698" s="142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79">
        <f t="shared" si="805"/>
        <v>0</v>
      </c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R698" s="1"/>
      <c r="CS698" s="1"/>
      <c r="CT698" s="1"/>
      <c r="CU698" s="1"/>
      <c r="CV698" s="1"/>
      <c r="CW698" s="1"/>
      <c r="CX698" s="1"/>
      <c r="CY698" s="91" t="str">
        <f t="shared" si="831"/>
        <v/>
      </c>
      <c r="CZ698" s="1"/>
      <c r="DC698" s="96"/>
      <c r="DE698" s="96"/>
    </row>
    <row r="699">
      <c r="A699" s="1"/>
      <c r="B699" s="1"/>
      <c r="C699" s="76"/>
      <c r="D699" s="76"/>
      <c r="E699" s="76"/>
      <c r="F699" s="76"/>
      <c r="G699" s="79"/>
      <c r="H699" s="80"/>
      <c r="I699" s="79"/>
      <c r="J699" s="80"/>
      <c r="K699" s="79"/>
      <c r="L699" s="142"/>
      <c r="M699" s="1"/>
      <c r="N699" s="142"/>
      <c r="O699" s="1"/>
      <c r="P699" s="142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79">
        <f t="shared" si="805"/>
        <v>0</v>
      </c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R699" s="1"/>
      <c r="CS699" s="1"/>
      <c r="CT699" s="1"/>
      <c r="CU699" s="1"/>
      <c r="CV699" s="1"/>
      <c r="CW699" s="1"/>
      <c r="CX699" s="1"/>
      <c r="CY699" s="91" t="str">
        <f t="shared" si="831"/>
        <v/>
      </c>
      <c r="CZ699" s="1"/>
      <c r="DC699" s="96"/>
      <c r="DE699" s="96"/>
    </row>
    <row r="700">
      <c r="A700" s="1"/>
      <c r="B700" s="1"/>
      <c r="C700" s="76"/>
      <c r="D700" s="76"/>
      <c r="E700" s="76"/>
      <c r="F700" s="76"/>
      <c r="G700" s="79"/>
      <c r="H700" s="80"/>
      <c r="I700" s="79"/>
      <c r="J700" s="80"/>
      <c r="K700" s="79"/>
      <c r="L700" s="142"/>
      <c r="M700" s="1"/>
      <c r="N700" s="142"/>
      <c r="O700" s="1"/>
      <c r="P700" s="142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79">
        <f t="shared" si="805"/>
        <v>0</v>
      </c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R700" s="1"/>
      <c r="CS700" s="1"/>
      <c r="CT700" s="1"/>
      <c r="CU700" s="1"/>
      <c r="CV700" s="1"/>
      <c r="CW700" s="1"/>
      <c r="CX700" s="1"/>
      <c r="CY700" s="91" t="str">
        <f t="shared" si="831"/>
        <v/>
      </c>
      <c r="CZ700" s="1"/>
      <c r="DC700" s="96"/>
      <c r="DE700" s="96"/>
    </row>
    <row r="701">
      <c r="A701" s="1"/>
      <c r="B701" s="1"/>
      <c r="C701" s="76"/>
      <c r="D701" s="76"/>
      <c r="E701" s="76"/>
      <c r="F701" s="76"/>
      <c r="G701" s="79"/>
      <c r="H701" s="80"/>
      <c r="I701" s="79"/>
      <c r="J701" s="80"/>
      <c r="K701" s="79"/>
      <c r="L701" s="142"/>
      <c r="M701" s="1"/>
      <c r="N701" s="142"/>
      <c r="O701" s="1"/>
      <c r="P701" s="142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79">
        <f t="shared" si="805"/>
        <v>0</v>
      </c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R701" s="1"/>
      <c r="CS701" s="1"/>
      <c r="CT701" s="1"/>
      <c r="CU701" s="1"/>
      <c r="CV701" s="1"/>
      <c r="CW701" s="1"/>
      <c r="CX701" s="1"/>
      <c r="CY701" s="91" t="str">
        <f t="shared" si="831"/>
        <v/>
      </c>
      <c r="CZ701" s="1"/>
      <c r="DC701" s="96"/>
      <c r="DE701" s="96"/>
    </row>
    <row r="702">
      <c r="A702" s="1"/>
      <c r="B702" s="1"/>
      <c r="C702" s="76"/>
      <c r="D702" s="76"/>
      <c r="E702" s="76"/>
      <c r="F702" s="76"/>
      <c r="G702" s="79"/>
      <c r="H702" s="80"/>
      <c r="I702" s="79"/>
      <c r="J702" s="80"/>
      <c r="K702" s="79"/>
      <c r="L702" s="142"/>
      <c r="M702" s="1"/>
      <c r="N702" s="142"/>
      <c r="O702" s="1"/>
      <c r="P702" s="142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79">
        <f t="shared" si="805"/>
        <v>0</v>
      </c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R702" s="1"/>
      <c r="CS702" s="1"/>
      <c r="CT702" s="1"/>
      <c r="CU702" s="1"/>
      <c r="CV702" s="1"/>
      <c r="CW702" s="1"/>
      <c r="CX702" s="1"/>
      <c r="CY702" s="91" t="str">
        <f t="shared" si="831"/>
        <v/>
      </c>
      <c r="CZ702" s="1"/>
      <c r="DC702" s="96"/>
      <c r="DE702" s="96"/>
    </row>
    <row r="703">
      <c r="A703" s="1"/>
      <c r="B703" s="1"/>
      <c r="C703" s="76"/>
      <c r="D703" s="76"/>
      <c r="E703" s="76"/>
      <c r="F703" s="76"/>
      <c r="G703" s="79"/>
      <c r="H703" s="80"/>
      <c r="I703" s="79"/>
      <c r="J703" s="80"/>
      <c r="K703" s="79"/>
      <c r="L703" s="142"/>
      <c r="M703" s="1"/>
      <c r="N703" s="142"/>
      <c r="O703" s="1"/>
      <c r="P703" s="142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79">
        <f t="shared" si="805"/>
        <v>0</v>
      </c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R703" s="1"/>
      <c r="CS703" s="1"/>
      <c r="CT703" s="1"/>
      <c r="CU703" s="1"/>
      <c r="CV703" s="1"/>
      <c r="CW703" s="1"/>
      <c r="CX703" s="1"/>
      <c r="CY703" s="91" t="str">
        <f t="shared" si="831"/>
        <v/>
      </c>
      <c r="CZ703" s="1"/>
      <c r="DC703" s="96"/>
      <c r="DE703" s="96"/>
    </row>
    <row r="704">
      <c r="A704" s="1"/>
      <c r="B704" s="1"/>
      <c r="C704" s="76"/>
      <c r="D704" s="76"/>
      <c r="E704" s="76"/>
      <c r="F704" s="76"/>
      <c r="G704" s="79"/>
      <c r="H704" s="80"/>
      <c r="I704" s="79"/>
      <c r="J704" s="80"/>
      <c r="K704" s="79"/>
      <c r="L704" s="142"/>
      <c r="M704" s="1"/>
      <c r="N704" s="142"/>
      <c r="O704" s="1"/>
      <c r="P704" s="142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79">
        <f t="shared" si="805"/>
        <v>0</v>
      </c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R704" s="1"/>
      <c r="CS704" s="1"/>
      <c r="CT704" s="1"/>
      <c r="CU704" s="1"/>
      <c r="CV704" s="1"/>
      <c r="CW704" s="1"/>
      <c r="CX704" s="1"/>
      <c r="CY704" s="91" t="str">
        <f t="shared" si="831"/>
        <v/>
      </c>
      <c r="CZ704" s="1"/>
      <c r="DC704" s="96"/>
      <c r="DE704" s="96"/>
    </row>
    <row r="705">
      <c r="A705" s="1"/>
      <c r="B705" s="1"/>
      <c r="C705" s="76"/>
      <c r="D705" s="76"/>
      <c r="E705" s="76"/>
      <c r="F705" s="76"/>
      <c r="G705" s="79"/>
      <c r="H705" s="80"/>
      <c r="I705" s="79"/>
      <c r="J705" s="80"/>
      <c r="K705" s="79"/>
      <c r="L705" s="142"/>
      <c r="M705" s="1"/>
      <c r="N705" s="142"/>
      <c r="O705" s="1"/>
      <c r="P705" s="142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79">
        <f t="shared" si="805"/>
        <v>0</v>
      </c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R705" s="1"/>
      <c r="CS705" s="1"/>
      <c r="CT705" s="1"/>
      <c r="CU705" s="1"/>
      <c r="CV705" s="1"/>
      <c r="CW705" s="1"/>
      <c r="CX705" s="1"/>
      <c r="CY705" s="91" t="str">
        <f t="shared" si="831"/>
        <v/>
      </c>
      <c r="CZ705" s="1"/>
      <c r="DC705" s="96"/>
      <c r="DE705" s="96"/>
    </row>
    <row r="706">
      <c r="A706" s="1"/>
      <c r="B706" s="1"/>
      <c r="C706" s="76"/>
      <c r="D706" s="76"/>
      <c r="E706" s="76"/>
      <c r="F706" s="76"/>
      <c r="G706" s="79"/>
      <c r="H706" s="80"/>
      <c r="I706" s="79"/>
      <c r="J706" s="80"/>
      <c r="K706" s="79"/>
      <c r="L706" s="142"/>
      <c r="M706" s="1"/>
      <c r="N706" s="142"/>
      <c r="O706" s="1"/>
      <c r="P706" s="142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79">
        <f t="shared" si="805"/>
        <v>0</v>
      </c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R706" s="1"/>
      <c r="CS706" s="1"/>
      <c r="CT706" s="1"/>
      <c r="CU706" s="1"/>
      <c r="CV706" s="1"/>
      <c r="CW706" s="1"/>
      <c r="CX706" s="1"/>
      <c r="CY706" s="91" t="str">
        <f t="shared" si="831"/>
        <v/>
      </c>
      <c r="CZ706" s="1"/>
      <c r="DC706" s="96"/>
      <c r="DE706" s="96"/>
    </row>
    <row r="707">
      <c r="A707" s="1"/>
      <c r="B707" s="1"/>
      <c r="C707" s="76"/>
      <c r="D707" s="76"/>
      <c r="E707" s="76"/>
      <c r="F707" s="76"/>
      <c r="G707" s="79"/>
      <c r="H707" s="80"/>
      <c r="I707" s="79"/>
      <c r="J707" s="80"/>
      <c r="K707" s="79"/>
      <c r="L707" s="142"/>
      <c r="M707" s="1"/>
      <c r="N707" s="142"/>
      <c r="O707" s="1"/>
      <c r="P707" s="142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79">
        <f t="shared" si="805"/>
        <v>0</v>
      </c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R707" s="1"/>
      <c r="CS707" s="1"/>
      <c r="CT707" s="1"/>
      <c r="CU707" s="1"/>
      <c r="CV707" s="1"/>
      <c r="CW707" s="1"/>
      <c r="CX707" s="1"/>
      <c r="CY707" s="91" t="str">
        <f t="shared" si="831"/>
        <v/>
      </c>
      <c r="CZ707" s="1"/>
      <c r="DC707" s="96"/>
      <c r="DE707" s="96"/>
    </row>
    <row r="708">
      <c r="A708" s="1"/>
      <c r="B708" s="1"/>
      <c r="C708" s="76"/>
      <c r="D708" s="76"/>
      <c r="E708" s="76"/>
      <c r="F708" s="76"/>
      <c r="G708" s="79"/>
      <c r="H708" s="80"/>
      <c r="I708" s="79"/>
      <c r="J708" s="80"/>
      <c r="K708" s="79"/>
      <c r="L708" s="142"/>
      <c r="M708" s="1"/>
      <c r="N708" s="142"/>
      <c r="O708" s="1"/>
      <c r="P708" s="142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79">
        <f t="shared" si="805"/>
        <v>0</v>
      </c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R708" s="1"/>
      <c r="CS708" s="1"/>
      <c r="CT708" s="1"/>
      <c r="CU708" s="1"/>
      <c r="CV708" s="1"/>
      <c r="CW708" s="1"/>
      <c r="CX708" s="1"/>
      <c r="CY708" s="91" t="str">
        <f t="shared" si="831"/>
        <v/>
      </c>
      <c r="CZ708" s="1"/>
      <c r="DC708" s="96"/>
      <c r="DE708" s="96"/>
    </row>
    <row r="709">
      <c r="A709" s="1"/>
      <c r="B709" s="1"/>
      <c r="C709" s="76"/>
      <c r="D709" s="76"/>
      <c r="E709" s="76"/>
      <c r="F709" s="76"/>
      <c r="G709" s="79"/>
      <c r="H709" s="80"/>
      <c r="I709" s="79"/>
      <c r="J709" s="80"/>
      <c r="K709" s="79"/>
      <c r="L709" s="142"/>
      <c r="M709" s="1"/>
      <c r="N709" s="142"/>
      <c r="O709" s="1"/>
      <c r="P709" s="142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79">
        <f t="shared" si="805"/>
        <v>0</v>
      </c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R709" s="1"/>
      <c r="CS709" s="1"/>
      <c r="CT709" s="1"/>
      <c r="CU709" s="1"/>
      <c r="CV709" s="1"/>
      <c r="CW709" s="1"/>
      <c r="CX709" s="1"/>
      <c r="CY709" s="91" t="str">
        <f t="shared" si="831"/>
        <v/>
      </c>
      <c r="CZ709" s="1"/>
      <c r="DC709" s="96"/>
      <c r="DE709" s="96"/>
    </row>
    <row r="710">
      <c r="A710" s="1"/>
      <c r="B710" s="1"/>
      <c r="C710" s="76"/>
      <c r="D710" s="76"/>
      <c r="E710" s="76"/>
      <c r="F710" s="76"/>
      <c r="G710" s="79"/>
      <c r="H710" s="80"/>
      <c r="I710" s="79"/>
      <c r="J710" s="80"/>
      <c r="K710" s="79"/>
      <c r="L710" s="142"/>
      <c r="M710" s="1"/>
      <c r="N710" s="142"/>
      <c r="O710" s="1"/>
      <c r="P710" s="142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79">
        <f t="shared" si="805"/>
        <v>0</v>
      </c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R710" s="1"/>
      <c r="CS710" s="1"/>
      <c r="CT710" s="1"/>
      <c r="CU710" s="1"/>
      <c r="CV710" s="1"/>
      <c r="CW710" s="1"/>
      <c r="CX710" s="1"/>
      <c r="CY710" s="91" t="str">
        <f t="shared" si="831"/>
        <v/>
      </c>
      <c r="CZ710" s="1"/>
      <c r="DC710" s="96"/>
      <c r="DE710" s="96"/>
    </row>
    <row r="711">
      <c r="A711" s="1"/>
      <c r="B711" s="1"/>
      <c r="C711" s="76"/>
      <c r="D711" s="76"/>
      <c r="E711" s="76"/>
      <c r="F711" s="76"/>
      <c r="G711" s="79"/>
      <c r="H711" s="80"/>
      <c r="I711" s="79"/>
      <c r="J711" s="80"/>
      <c r="K711" s="79"/>
      <c r="L711" s="142"/>
      <c r="M711" s="1"/>
      <c r="N711" s="142"/>
      <c r="O711" s="1"/>
      <c r="P711" s="142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79">
        <f t="shared" si="805"/>
        <v>0</v>
      </c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R711" s="1"/>
      <c r="CS711" s="1"/>
      <c r="CT711" s="1"/>
      <c r="CU711" s="1"/>
      <c r="CV711" s="1"/>
      <c r="CW711" s="1"/>
      <c r="CX711" s="1"/>
      <c r="CY711" s="91" t="str">
        <f t="shared" si="831"/>
        <v/>
      </c>
      <c r="CZ711" s="1"/>
      <c r="DC711" s="96"/>
      <c r="DE711" s="96"/>
    </row>
    <row r="712">
      <c r="A712" s="1"/>
      <c r="B712" s="1"/>
      <c r="C712" s="76"/>
      <c r="D712" s="76"/>
      <c r="E712" s="76"/>
      <c r="F712" s="76"/>
      <c r="G712" s="79"/>
      <c r="H712" s="80"/>
      <c r="I712" s="79"/>
      <c r="J712" s="80"/>
      <c r="K712" s="79"/>
      <c r="L712" s="142"/>
      <c r="M712" s="1"/>
      <c r="N712" s="142"/>
      <c r="O712" s="1"/>
      <c r="P712" s="142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79">
        <f t="shared" si="805"/>
        <v>0</v>
      </c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R712" s="1"/>
      <c r="CS712" s="1"/>
      <c r="CT712" s="1"/>
      <c r="CU712" s="1"/>
      <c r="CV712" s="1"/>
      <c r="CW712" s="1"/>
      <c r="CX712" s="1"/>
      <c r="CY712" s="91" t="str">
        <f t="shared" si="831"/>
        <v/>
      </c>
      <c r="CZ712" s="1"/>
      <c r="DC712" s="96"/>
      <c r="DE712" s="96"/>
    </row>
    <row r="713">
      <c r="A713" s="1"/>
      <c r="B713" s="1"/>
      <c r="C713" s="76"/>
      <c r="D713" s="76"/>
      <c r="E713" s="76"/>
      <c r="F713" s="76"/>
      <c r="G713" s="79"/>
      <c r="H713" s="80"/>
      <c r="I713" s="79"/>
      <c r="J713" s="80"/>
      <c r="K713" s="79"/>
      <c r="L713" s="142"/>
      <c r="M713" s="1"/>
      <c r="N713" s="142"/>
      <c r="O713" s="1"/>
      <c r="P713" s="142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79">
        <f t="shared" si="805"/>
        <v>0</v>
      </c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R713" s="1"/>
      <c r="CS713" s="1"/>
      <c r="CT713" s="1"/>
      <c r="CU713" s="1"/>
      <c r="CV713" s="1"/>
      <c r="CW713" s="1"/>
      <c r="CX713" s="1"/>
      <c r="CY713" s="91" t="str">
        <f t="shared" si="831"/>
        <v/>
      </c>
      <c r="CZ713" s="1"/>
      <c r="DC713" s="96"/>
      <c r="DE713" s="96"/>
    </row>
    <row r="714">
      <c r="A714" s="1"/>
      <c r="B714" s="1"/>
      <c r="C714" s="76"/>
      <c r="D714" s="76"/>
      <c r="E714" s="76"/>
      <c r="F714" s="76"/>
      <c r="G714" s="79"/>
      <c r="H714" s="80"/>
      <c r="I714" s="79"/>
      <c r="J714" s="80"/>
      <c r="K714" s="79"/>
      <c r="L714" s="142"/>
      <c r="M714" s="1"/>
      <c r="N714" s="142"/>
      <c r="O714" s="1"/>
      <c r="P714" s="142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79">
        <f t="shared" si="805"/>
        <v>0</v>
      </c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R714" s="1"/>
      <c r="CS714" s="1"/>
      <c r="CT714" s="1"/>
      <c r="CU714" s="1"/>
      <c r="CV714" s="1"/>
      <c r="CW714" s="1"/>
      <c r="CX714" s="1"/>
      <c r="CY714" s="91" t="str">
        <f t="shared" si="831"/>
        <v/>
      </c>
      <c r="CZ714" s="1"/>
      <c r="DC714" s="96"/>
      <c r="DE714" s="96"/>
    </row>
    <row r="715">
      <c r="A715" s="1"/>
      <c r="B715" s="1"/>
      <c r="C715" s="76"/>
      <c r="D715" s="76"/>
      <c r="E715" s="76"/>
      <c r="F715" s="76"/>
      <c r="G715" s="79"/>
      <c r="H715" s="80"/>
      <c r="I715" s="79"/>
      <c r="J715" s="80"/>
      <c r="K715" s="79"/>
      <c r="L715" s="142"/>
      <c r="M715" s="1"/>
      <c r="N715" s="142"/>
      <c r="O715" s="1"/>
      <c r="P715" s="142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79">
        <f t="shared" si="805"/>
        <v>0</v>
      </c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R715" s="1"/>
      <c r="CS715" s="1"/>
      <c r="CT715" s="1"/>
      <c r="CU715" s="1"/>
      <c r="CV715" s="1"/>
      <c r="CW715" s="1"/>
      <c r="CX715" s="1"/>
      <c r="CY715" s="91" t="str">
        <f t="shared" si="831"/>
        <v/>
      </c>
      <c r="CZ715" s="1"/>
      <c r="DC715" s="96"/>
      <c r="DE715" s="96"/>
    </row>
    <row r="716">
      <c r="A716" s="1"/>
      <c r="B716" s="1"/>
      <c r="C716" s="76"/>
      <c r="D716" s="76"/>
      <c r="E716" s="76"/>
      <c r="F716" s="76"/>
      <c r="G716" s="79"/>
      <c r="H716" s="80"/>
      <c r="I716" s="79"/>
      <c r="J716" s="80"/>
      <c r="K716" s="79"/>
      <c r="L716" s="142"/>
      <c r="M716" s="1"/>
      <c r="N716" s="142"/>
      <c r="O716" s="1"/>
      <c r="P716" s="142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79">
        <f t="shared" si="805"/>
        <v>0</v>
      </c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R716" s="1"/>
      <c r="CS716" s="1"/>
      <c r="CT716" s="1"/>
      <c r="CU716" s="1"/>
      <c r="CV716" s="1"/>
      <c r="CW716" s="1"/>
      <c r="CX716" s="1"/>
      <c r="CY716" s="91" t="str">
        <f t="shared" si="831"/>
        <v/>
      </c>
      <c r="CZ716" s="1"/>
      <c r="DC716" s="96"/>
      <c r="DE716" s="96"/>
    </row>
    <row r="717">
      <c r="A717" s="1"/>
      <c r="B717" s="1"/>
      <c r="C717" s="76"/>
      <c r="D717" s="76"/>
      <c r="E717" s="76"/>
      <c r="F717" s="76"/>
      <c r="G717" s="79"/>
      <c r="H717" s="80"/>
      <c r="I717" s="79"/>
      <c r="J717" s="80"/>
      <c r="K717" s="79"/>
      <c r="L717" s="142"/>
      <c r="M717" s="1"/>
      <c r="N717" s="142"/>
      <c r="O717" s="1"/>
      <c r="P717" s="142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79">
        <f t="shared" si="805"/>
        <v>0</v>
      </c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R717" s="1"/>
      <c r="CS717" s="1"/>
      <c r="CT717" s="1"/>
      <c r="CU717" s="1"/>
      <c r="CV717" s="1"/>
      <c r="CW717" s="1"/>
      <c r="CX717" s="1"/>
      <c r="CY717" s="91" t="str">
        <f t="shared" si="831"/>
        <v/>
      </c>
      <c r="CZ717" s="1"/>
      <c r="DC717" s="96"/>
      <c r="DE717" s="96"/>
    </row>
    <row r="718">
      <c r="A718" s="1"/>
      <c r="B718" s="1"/>
      <c r="C718" s="76"/>
      <c r="D718" s="76"/>
      <c r="E718" s="76"/>
      <c r="F718" s="76"/>
      <c r="G718" s="79"/>
      <c r="H718" s="80"/>
      <c r="I718" s="79"/>
      <c r="J718" s="80"/>
      <c r="K718" s="79"/>
      <c r="L718" s="142"/>
      <c r="M718" s="1"/>
      <c r="N718" s="142"/>
      <c r="O718" s="1"/>
      <c r="P718" s="142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79">
        <f t="shared" si="805"/>
        <v>0</v>
      </c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R718" s="1"/>
      <c r="CS718" s="1"/>
      <c r="CT718" s="1"/>
      <c r="CU718" s="1"/>
      <c r="CV718" s="1"/>
      <c r="CW718" s="1"/>
      <c r="CX718" s="1"/>
      <c r="CY718" s="91" t="str">
        <f t="shared" si="831"/>
        <v/>
      </c>
      <c r="CZ718" s="1"/>
      <c r="DC718" s="96"/>
      <c r="DE718" s="96"/>
    </row>
    <row r="719">
      <c r="A719" s="1"/>
      <c r="B719" s="1"/>
      <c r="C719" s="76"/>
      <c r="D719" s="76"/>
      <c r="E719" s="76"/>
      <c r="F719" s="76"/>
      <c r="G719" s="79"/>
      <c r="H719" s="80"/>
      <c r="I719" s="79"/>
      <c r="J719" s="80"/>
      <c r="K719" s="79"/>
      <c r="L719" s="142"/>
      <c r="M719" s="1"/>
      <c r="N719" s="142"/>
      <c r="O719" s="1"/>
      <c r="P719" s="142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79">
        <f t="shared" si="805"/>
        <v>0</v>
      </c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R719" s="1"/>
      <c r="CS719" s="1"/>
      <c r="CT719" s="1"/>
      <c r="CU719" s="1"/>
      <c r="CV719" s="1"/>
      <c r="CW719" s="1"/>
      <c r="CX719" s="1"/>
      <c r="CY719" s="91" t="str">
        <f t="shared" si="831"/>
        <v/>
      </c>
      <c r="CZ719" s="1"/>
      <c r="DC719" s="96"/>
      <c r="DE719" s="96"/>
    </row>
    <row r="720">
      <c r="A720" s="1"/>
      <c r="B720" s="1"/>
      <c r="C720" s="76"/>
      <c r="D720" s="76"/>
      <c r="E720" s="76"/>
      <c r="F720" s="76"/>
      <c r="G720" s="79"/>
      <c r="H720" s="80"/>
      <c r="I720" s="79"/>
      <c r="J720" s="80"/>
      <c r="K720" s="79"/>
      <c r="L720" s="142"/>
      <c r="M720" s="1"/>
      <c r="N720" s="142"/>
      <c r="O720" s="1"/>
      <c r="P720" s="142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79">
        <f t="shared" si="805"/>
        <v>0</v>
      </c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R720" s="1"/>
      <c r="CS720" s="1"/>
      <c r="CT720" s="1"/>
      <c r="CU720" s="1"/>
      <c r="CV720" s="1"/>
      <c r="CW720" s="1"/>
      <c r="CX720" s="1"/>
      <c r="CY720" s="91" t="str">
        <f t="shared" si="831"/>
        <v/>
      </c>
      <c r="CZ720" s="1"/>
      <c r="DC720" s="96"/>
      <c r="DE720" s="96"/>
    </row>
    <row r="721">
      <c r="A721" s="1"/>
      <c r="B721" s="1"/>
      <c r="C721" s="76"/>
      <c r="D721" s="76"/>
      <c r="E721" s="76"/>
      <c r="F721" s="76"/>
      <c r="G721" s="79"/>
      <c r="H721" s="80"/>
      <c r="I721" s="79"/>
      <c r="J721" s="80"/>
      <c r="K721" s="79"/>
      <c r="L721" s="142"/>
      <c r="M721" s="1"/>
      <c r="N721" s="142"/>
      <c r="O721" s="1"/>
      <c r="P721" s="142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79">
        <f t="shared" si="805"/>
        <v>0</v>
      </c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R721" s="1"/>
      <c r="CS721" s="1"/>
      <c r="CT721" s="1"/>
      <c r="CU721" s="1"/>
      <c r="CV721" s="1"/>
      <c r="CW721" s="1"/>
      <c r="CX721" s="1"/>
      <c r="CY721" s="91" t="str">
        <f t="shared" si="831"/>
        <v/>
      </c>
      <c r="CZ721" s="1"/>
      <c r="DC721" s="96"/>
      <c r="DE721" s="96"/>
    </row>
    <row r="722">
      <c r="A722" s="1"/>
      <c r="B722" s="1"/>
      <c r="C722" s="76"/>
      <c r="D722" s="76"/>
      <c r="E722" s="76"/>
      <c r="F722" s="76"/>
      <c r="G722" s="79"/>
      <c r="H722" s="80"/>
      <c r="I722" s="79"/>
      <c r="J722" s="80"/>
      <c r="K722" s="79"/>
      <c r="L722" s="142"/>
      <c r="M722" s="1"/>
      <c r="N722" s="142"/>
      <c r="O722" s="1"/>
      <c r="P722" s="142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79">
        <f t="shared" si="805"/>
        <v>0</v>
      </c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R722" s="1"/>
      <c r="CS722" s="1"/>
      <c r="CT722" s="1"/>
      <c r="CU722" s="1"/>
      <c r="CV722" s="1"/>
      <c r="CW722" s="1"/>
      <c r="CX722" s="1"/>
      <c r="CY722" s="91" t="str">
        <f t="shared" si="831"/>
        <v/>
      </c>
      <c r="CZ722" s="1"/>
      <c r="DC722" s="96"/>
      <c r="DE722" s="96"/>
    </row>
    <row r="723">
      <c r="A723" s="1"/>
      <c r="B723" s="1"/>
      <c r="C723" s="76"/>
      <c r="D723" s="76"/>
      <c r="E723" s="76"/>
      <c r="F723" s="76"/>
      <c r="G723" s="79"/>
      <c r="H723" s="80"/>
      <c r="I723" s="79"/>
      <c r="J723" s="80"/>
      <c r="K723" s="79"/>
      <c r="L723" s="142"/>
      <c r="M723" s="1"/>
      <c r="N723" s="142"/>
      <c r="O723" s="1"/>
      <c r="P723" s="142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79">
        <f t="shared" si="805"/>
        <v>0</v>
      </c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R723" s="1"/>
      <c r="CS723" s="1"/>
      <c r="CT723" s="1"/>
      <c r="CU723" s="1"/>
      <c r="CV723" s="1"/>
      <c r="CW723" s="1"/>
      <c r="CX723" s="1"/>
      <c r="CY723" s="91" t="str">
        <f t="shared" si="831"/>
        <v/>
      </c>
      <c r="CZ723" s="1"/>
      <c r="DC723" s="96"/>
      <c r="DE723" s="96"/>
    </row>
    <row r="724">
      <c r="A724" s="1"/>
      <c r="B724" s="1"/>
      <c r="C724" s="76"/>
      <c r="D724" s="76"/>
      <c r="E724" s="76"/>
      <c r="F724" s="76"/>
      <c r="G724" s="79"/>
      <c r="H724" s="80"/>
      <c r="I724" s="79"/>
      <c r="J724" s="80"/>
      <c r="K724" s="79"/>
      <c r="L724" s="142"/>
      <c r="M724" s="1"/>
      <c r="N724" s="142"/>
      <c r="O724" s="1"/>
      <c r="P724" s="142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79">
        <f t="shared" si="805"/>
        <v>0</v>
      </c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R724" s="1"/>
      <c r="CS724" s="1"/>
      <c r="CT724" s="1"/>
      <c r="CU724" s="1"/>
      <c r="CV724" s="1"/>
      <c r="CW724" s="1"/>
      <c r="CX724" s="1"/>
      <c r="CY724" s="91" t="str">
        <f t="shared" si="831"/>
        <v/>
      </c>
      <c r="CZ724" s="1"/>
      <c r="DC724" s="96"/>
      <c r="DE724" s="96"/>
    </row>
    <row r="725">
      <c r="A725" s="1"/>
      <c r="B725" s="1"/>
      <c r="C725" s="76"/>
      <c r="D725" s="76"/>
      <c r="E725" s="76"/>
      <c r="F725" s="76"/>
      <c r="G725" s="79"/>
      <c r="H725" s="80"/>
      <c r="I725" s="79"/>
      <c r="J725" s="80"/>
      <c r="K725" s="79"/>
      <c r="L725" s="142"/>
      <c r="M725" s="1"/>
      <c r="N725" s="142"/>
      <c r="O725" s="1"/>
      <c r="P725" s="142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79">
        <f t="shared" si="805"/>
        <v>0</v>
      </c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R725" s="1"/>
      <c r="CS725" s="1"/>
      <c r="CT725" s="1"/>
      <c r="CU725" s="1"/>
      <c r="CV725" s="1"/>
      <c r="CW725" s="1"/>
      <c r="CX725" s="1"/>
      <c r="CY725" s="91" t="str">
        <f t="shared" si="831"/>
        <v/>
      </c>
      <c r="CZ725" s="1"/>
      <c r="DC725" s="96"/>
      <c r="DE725" s="96"/>
    </row>
    <row r="726">
      <c r="A726" s="1"/>
      <c r="B726" s="1"/>
      <c r="C726" s="76"/>
      <c r="D726" s="76"/>
      <c r="E726" s="76"/>
      <c r="F726" s="76"/>
      <c r="G726" s="79"/>
      <c r="H726" s="80"/>
      <c r="I726" s="79"/>
      <c r="J726" s="80"/>
      <c r="K726" s="79"/>
      <c r="L726" s="142"/>
      <c r="M726" s="1"/>
      <c r="N726" s="142"/>
      <c r="O726" s="1"/>
      <c r="P726" s="142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79">
        <f t="shared" si="805"/>
        <v>0</v>
      </c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R726" s="1"/>
      <c r="CS726" s="1"/>
      <c r="CT726" s="1"/>
      <c r="CU726" s="1"/>
      <c r="CV726" s="1"/>
      <c r="CW726" s="1"/>
      <c r="CX726" s="1"/>
      <c r="CY726" s="91" t="str">
        <f t="shared" si="831"/>
        <v/>
      </c>
      <c r="CZ726" s="1"/>
      <c r="DC726" s="96"/>
      <c r="DE726" s="96"/>
    </row>
    <row r="727">
      <c r="A727" s="1"/>
      <c r="B727" s="1"/>
      <c r="C727" s="76"/>
      <c r="D727" s="76"/>
      <c r="E727" s="76"/>
      <c r="F727" s="76"/>
      <c r="G727" s="79"/>
      <c r="H727" s="80"/>
      <c r="I727" s="79"/>
      <c r="J727" s="80"/>
      <c r="K727" s="79"/>
      <c r="L727" s="142"/>
      <c r="M727" s="1"/>
      <c r="N727" s="142"/>
      <c r="O727" s="1"/>
      <c r="P727" s="142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79">
        <f t="shared" si="805"/>
        <v>0</v>
      </c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R727" s="1"/>
      <c r="CS727" s="1"/>
      <c r="CT727" s="1"/>
      <c r="CU727" s="1"/>
      <c r="CV727" s="1"/>
      <c r="CW727" s="1"/>
      <c r="CX727" s="1"/>
      <c r="CY727" s="91" t="str">
        <f t="shared" si="831"/>
        <v/>
      </c>
      <c r="CZ727" s="1"/>
      <c r="DC727" s="96"/>
      <c r="DE727" s="96"/>
    </row>
    <row r="728">
      <c r="A728" s="1"/>
      <c r="B728" s="1"/>
      <c r="C728" s="76"/>
      <c r="D728" s="76"/>
      <c r="E728" s="76"/>
      <c r="F728" s="76"/>
      <c r="G728" s="79"/>
      <c r="H728" s="80"/>
      <c r="I728" s="79"/>
      <c r="J728" s="80"/>
      <c r="K728" s="79"/>
      <c r="L728" s="142"/>
      <c r="M728" s="1"/>
      <c r="N728" s="142"/>
      <c r="O728" s="1"/>
      <c r="P728" s="142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79">
        <f t="shared" si="805"/>
        <v>0</v>
      </c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R728" s="1"/>
      <c r="CS728" s="1"/>
      <c r="CT728" s="1"/>
      <c r="CU728" s="1"/>
      <c r="CV728" s="1"/>
      <c r="CW728" s="1"/>
      <c r="CX728" s="1"/>
      <c r="CY728" s="91" t="str">
        <f t="shared" si="831"/>
        <v/>
      </c>
      <c r="CZ728" s="1"/>
      <c r="DC728" s="96"/>
      <c r="DE728" s="96"/>
    </row>
    <row r="729">
      <c r="A729" s="1"/>
      <c r="B729" s="1"/>
      <c r="C729" s="76"/>
      <c r="D729" s="76"/>
      <c r="E729" s="76"/>
      <c r="F729" s="76"/>
      <c r="G729" s="79"/>
      <c r="H729" s="80"/>
      <c r="I729" s="79"/>
      <c r="J729" s="80"/>
      <c r="K729" s="79"/>
      <c r="L729" s="142"/>
      <c r="M729" s="1"/>
      <c r="N729" s="142"/>
      <c r="O729" s="1"/>
      <c r="P729" s="142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79">
        <f t="shared" si="805"/>
        <v>0</v>
      </c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R729" s="1"/>
      <c r="CS729" s="1"/>
      <c r="CT729" s="1"/>
      <c r="CU729" s="1"/>
      <c r="CV729" s="1"/>
      <c r="CW729" s="1"/>
      <c r="CX729" s="1"/>
      <c r="CY729" s="91" t="str">
        <f t="shared" si="831"/>
        <v/>
      </c>
      <c r="CZ729" s="1"/>
      <c r="DC729" s="96"/>
      <c r="DE729" s="96"/>
    </row>
    <row r="730">
      <c r="A730" s="1"/>
      <c r="B730" s="1"/>
      <c r="C730" s="76"/>
      <c r="D730" s="76"/>
      <c r="E730" s="76"/>
      <c r="F730" s="76"/>
      <c r="G730" s="79"/>
      <c r="H730" s="80"/>
      <c r="I730" s="79"/>
      <c r="J730" s="80"/>
      <c r="K730" s="79"/>
      <c r="L730" s="142"/>
      <c r="M730" s="1"/>
      <c r="N730" s="142"/>
      <c r="O730" s="1"/>
      <c r="P730" s="142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79">
        <f t="shared" si="805"/>
        <v>0</v>
      </c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R730" s="1"/>
      <c r="CS730" s="1"/>
      <c r="CT730" s="1"/>
      <c r="CU730" s="1"/>
      <c r="CV730" s="1"/>
      <c r="CW730" s="1"/>
      <c r="CX730" s="1"/>
      <c r="CY730" s="91" t="str">
        <f t="shared" si="831"/>
        <v/>
      </c>
      <c r="CZ730" s="1"/>
      <c r="DC730" s="96"/>
      <c r="DE730" s="96"/>
    </row>
    <row r="731">
      <c r="A731" s="1"/>
      <c r="B731" s="1"/>
      <c r="C731" s="76"/>
      <c r="D731" s="76"/>
      <c r="E731" s="76"/>
      <c r="F731" s="76"/>
      <c r="G731" s="79"/>
      <c r="H731" s="80"/>
      <c r="I731" s="79"/>
      <c r="J731" s="80"/>
      <c r="K731" s="79"/>
      <c r="L731" s="142"/>
      <c r="M731" s="1"/>
      <c r="N731" s="142"/>
      <c r="O731" s="1"/>
      <c r="P731" s="142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79">
        <f t="shared" si="805"/>
        <v>0</v>
      </c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R731" s="1"/>
      <c r="CS731" s="1"/>
      <c r="CT731" s="1"/>
      <c r="CU731" s="1"/>
      <c r="CV731" s="1"/>
      <c r="CW731" s="1"/>
      <c r="CX731" s="1"/>
      <c r="CY731" s="91" t="str">
        <f t="shared" si="831"/>
        <v/>
      </c>
      <c r="CZ731" s="1"/>
      <c r="DC731" s="96"/>
      <c r="DE731" s="96"/>
    </row>
    <row r="732">
      <c r="A732" s="1"/>
      <c r="B732" s="1"/>
      <c r="C732" s="76"/>
      <c r="D732" s="76"/>
      <c r="E732" s="76"/>
      <c r="F732" s="76"/>
      <c r="G732" s="79"/>
      <c r="H732" s="80"/>
      <c r="I732" s="79"/>
      <c r="J732" s="80"/>
      <c r="K732" s="79"/>
      <c r="L732" s="142"/>
      <c r="M732" s="1"/>
      <c r="N732" s="142"/>
      <c r="O732" s="1"/>
      <c r="P732" s="142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79">
        <f t="shared" si="805"/>
        <v>0</v>
      </c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R732" s="1"/>
      <c r="CS732" s="1"/>
      <c r="CT732" s="1"/>
      <c r="CU732" s="1"/>
      <c r="CV732" s="1"/>
      <c r="CW732" s="1"/>
      <c r="CX732" s="1"/>
      <c r="CY732" s="91" t="str">
        <f t="shared" si="831"/>
        <v/>
      </c>
      <c r="CZ732" s="1"/>
      <c r="DC732" s="96"/>
      <c r="DE732" s="96"/>
    </row>
    <row r="733">
      <c r="A733" s="1"/>
      <c r="B733" s="1"/>
      <c r="C733" s="76"/>
      <c r="D733" s="76"/>
      <c r="E733" s="76"/>
      <c r="F733" s="76"/>
      <c r="G733" s="79"/>
      <c r="H733" s="80"/>
      <c r="I733" s="79"/>
      <c r="J733" s="80"/>
      <c r="K733" s="79"/>
      <c r="L733" s="142"/>
      <c r="M733" s="1"/>
      <c r="N733" s="142"/>
      <c r="O733" s="1"/>
      <c r="P733" s="142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79">
        <f t="shared" si="805"/>
        <v>0</v>
      </c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R733" s="1"/>
      <c r="CS733" s="1"/>
      <c r="CT733" s="1"/>
      <c r="CU733" s="1"/>
      <c r="CV733" s="1"/>
      <c r="CW733" s="1"/>
      <c r="CX733" s="1"/>
      <c r="CY733" s="91" t="str">
        <f t="shared" si="831"/>
        <v/>
      </c>
      <c r="CZ733" s="1"/>
      <c r="DC733" s="96"/>
      <c r="DE733" s="96"/>
    </row>
    <row r="734">
      <c r="A734" s="1"/>
      <c r="B734" s="1"/>
      <c r="C734" s="76"/>
      <c r="D734" s="76"/>
      <c r="E734" s="76"/>
      <c r="F734" s="76"/>
      <c r="G734" s="79"/>
      <c r="H734" s="80"/>
      <c r="I734" s="79"/>
      <c r="J734" s="80"/>
      <c r="K734" s="79"/>
      <c r="L734" s="142"/>
      <c r="M734" s="1"/>
      <c r="N734" s="142"/>
      <c r="O734" s="1"/>
      <c r="P734" s="142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79">
        <f t="shared" si="805"/>
        <v>0</v>
      </c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R734" s="1"/>
      <c r="CS734" s="1"/>
      <c r="CT734" s="1"/>
      <c r="CU734" s="1"/>
      <c r="CV734" s="1"/>
      <c r="CW734" s="1"/>
      <c r="CX734" s="1"/>
      <c r="CY734" s="91" t="str">
        <f t="shared" si="831"/>
        <v/>
      </c>
      <c r="CZ734" s="1"/>
      <c r="DC734" s="96"/>
      <c r="DE734" s="96"/>
    </row>
    <row r="735">
      <c r="A735" s="1"/>
      <c r="B735" s="1"/>
      <c r="C735" s="76"/>
      <c r="D735" s="76"/>
      <c r="E735" s="76"/>
      <c r="F735" s="76"/>
      <c r="G735" s="79"/>
      <c r="H735" s="80"/>
      <c r="I735" s="79"/>
      <c r="J735" s="80"/>
      <c r="K735" s="79"/>
      <c r="L735" s="142"/>
      <c r="M735" s="1"/>
      <c r="N735" s="142"/>
      <c r="O735" s="1"/>
      <c r="P735" s="142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79">
        <f t="shared" si="805"/>
        <v>0</v>
      </c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R735" s="1"/>
      <c r="CS735" s="1"/>
      <c r="CT735" s="1"/>
      <c r="CU735" s="1"/>
      <c r="CV735" s="1"/>
      <c r="CW735" s="1"/>
      <c r="CX735" s="1"/>
      <c r="CY735" s="91" t="str">
        <f t="shared" si="831"/>
        <v/>
      </c>
      <c r="CZ735" s="1"/>
      <c r="DC735" s="96"/>
      <c r="DE735" s="96"/>
    </row>
    <row r="736">
      <c r="A736" s="1"/>
      <c r="B736" s="1"/>
      <c r="C736" s="76"/>
      <c r="D736" s="76"/>
      <c r="E736" s="76"/>
      <c r="F736" s="76"/>
      <c r="G736" s="79"/>
      <c r="H736" s="80"/>
      <c r="I736" s="79"/>
      <c r="J736" s="80"/>
      <c r="K736" s="79"/>
      <c r="L736" s="142"/>
      <c r="M736" s="1"/>
      <c r="N736" s="142"/>
      <c r="O736" s="1"/>
      <c r="P736" s="142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79">
        <f t="shared" si="805"/>
        <v>0</v>
      </c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R736" s="1"/>
      <c r="CS736" s="1"/>
      <c r="CT736" s="1"/>
      <c r="CU736" s="1"/>
      <c r="CV736" s="1"/>
      <c r="CW736" s="1"/>
      <c r="CX736" s="1"/>
      <c r="CY736" s="91" t="str">
        <f t="shared" si="831"/>
        <v/>
      </c>
      <c r="CZ736" s="1"/>
      <c r="DC736" s="96"/>
      <c r="DE736" s="96"/>
    </row>
    <row r="737">
      <c r="A737" s="1"/>
      <c r="B737" s="1"/>
      <c r="C737" s="76"/>
      <c r="D737" s="76"/>
      <c r="E737" s="76"/>
      <c r="F737" s="76"/>
      <c r="G737" s="79"/>
      <c r="H737" s="80"/>
      <c r="I737" s="79"/>
      <c r="J737" s="80"/>
      <c r="K737" s="79"/>
      <c r="L737" s="142"/>
      <c r="M737" s="1"/>
      <c r="N737" s="142"/>
      <c r="O737" s="1"/>
      <c r="P737" s="142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79">
        <f t="shared" si="805"/>
        <v>0</v>
      </c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R737" s="1"/>
      <c r="CS737" s="1"/>
      <c r="CT737" s="1"/>
      <c r="CU737" s="1"/>
      <c r="CV737" s="1"/>
      <c r="CW737" s="1"/>
      <c r="CX737" s="1"/>
      <c r="CY737" s="91" t="str">
        <f t="shared" si="831"/>
        <v/>
      </c>
      <c r="CZ737" s="1"/>
      <c r="DC737" s="96"/>
      <c r="DE737" s="96"/>
    </row>
    <row r="738">
      <c r="A738" s="1"/>
      <c r="B738" s="1"/>
      <c r="C738" s="76"/>
      <c r="D738" s="76"/>
      <c r="E738" s="76"/>
      <c r="F738" s="76"/>
      <c r="G738" s="79"/>
      <c r="H738" s="80"/>
      <c r="I738" s="79"/>
      <c r="J738" s="80"/>
      <c r="K738" s="79"/>
      <c r="L738" s="142"/>
      <c r="M738" s="1"/>
      <c r="N738" s="142"/>
      <c r="O738" s="1"/>
      <c r="P738" s="142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79">
        <f t="shared" si="805"/>
        <v>0</v>
      </c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R738" s="1"/>
      <c r="CS738" s="1"/>
      <c r="CT738" s="1"/>
      <c r="CU738" s="1"/>
      <c r="CV738" s="1"/>
      <c r="CW738" s="1"/>
      <c r="CX738" s="1"/>
      <c r="CY738" s="91" t="str">
        <f t="shared" si="831"/>
        <v/>
      </c>
      <c r="CZ738" s="1"/>
      <c r="DC738" s="96"/>
      <c r="DE738" s="96"/>
    </row>
    <row r="739">
      <c r="A739" s="1"/>
      <c r="B739" s="1"/>
      <c r="C739" s="76"/>
      <c r="D739" s="76"/>
      <c r="E739" s="76"/>
      <c r="F739" s="76"/>
      <c r="G739" s="79"/>
      <c r="H739" s="80"/>
      <c r="I739" s="79"/>
      <c r="J739" s="80"/>
      <c r="K739" s="79"/>
      <c r="L739" s="142"/>
      <c r="M739" s="1"/>
      <c r="N739" s="142"/>
      <c r="O739" s="1"/>
      <c r="P739" s="142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79">
        <f t="shared" si="805"/>
        <v>0</v>
      </c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R739" s="1"/>
      <c r="CS739" s="1"/>
      <c r="CT739" s="1"/>
      <c r="CU739" s="1"/>
      <c r="CV739" s="1"/>
      <c r="CW739" s="1"/>
      <c r="CX739" s="1"/>
      <c r="CY739" s="91" t="str">
        <f t="shared" si="831"/>
        <v/>
      </c>
      <c r="CZ739" s="1"/>
      <c r="DC739" s="96"/>
      <c r="DE739" s="96"/>
    </row>
    <row r="740">
      <c r="A740" s="1"/>
      <c r="B740" s="1"/>
      <c r="C740" s="76"/>
      <c r="D740" s="76"/>
      <c r="E740" s="76"/>
      <c r="F740" s="76"/>
      <c r="G740" s="79"/>
      <c r="H740" s="80"/>
      <c r="I740" s="79"/>
      <c r="J740" s="80"/>
      <c r="K740" s="79"/>
      <c r="L740" s="142"/>
      <c r="M740" s="1"/>
      <c r="N740" s="142"/>
      <c r="O740" s="1"/>
      <c r="P740" s="142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79">
        <f t="shared" si="805"/>
        <v>0</v>
      </c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R740" s="1"/>
      <c r="CS740" s="1"/>
      <c r="CT740" s="1"/>
      <c r="CU740" s="1"/>
      <c r="CV740" s="1"/>
      <c r="CW740" s="1"/>
      <c r="CX740" s="1"/>
      <c r="CY740" s="91" t="str">
        <f t="shared" si="831"/>
        <v/>
      </c>
      <c r="CZ740" s="1"/>
      <c r="DC740" s="96"/>
      <c r="DE740" s="96"/>
    </row>
    <row r="741">
      <c r="A741" s="1"/>
      <c r="B741" s="1"/>
      <c r="C741" s="76"/>
      <c r="D741" s="76"/>
      <c r="E741" s="76"/>
      <c r="F741" s="76"/>
      <c r="G741" s="79"/>
      <c r="H741" s="80"/>
      <c r="I741" s="79"/>
      <c r="J741" s="80"/>
      <c r="K741" s="79"/>
      <c r="L741" s="142"/>
      <c r="M741" s="1"/>
      <c r="N741" s="142"/>
      <c r="O741" s="1"/>
      <c r="P741" s="142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79">
        <f t="shared" si="805"/>
        <v>0</v>
      </c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R741" s="1"/>
      <c r="CS741" s="1"/>
      <c r="CT741" s="1"/>
      <c r="CU741" s="1"/>
      <c r="CV741" s="1"/>
      <c r="CW741" s="1"/>
      <c r="CX741" s="1"/>
      <c r="CY741" s="91" t="str">
        <f t="shared" si="831"/>
        <v/>
      </c>
      <c r="CZ741" s="1"/>
      <c r="DC741" s="96"/>
      <c r="DE741" s="96"/>
    </row>
    <row r="742">
      <c r="A742" s="1"/>
      <c r="B742" s="1"/>
      <c r="C742" s="76"/>
      <c r="D742" s="76"/>
      <c r="E742" s="76"/>
      <c r="F742" s="76"/>
      <c r="G742" s="79"/>
      <c r="H742" s="80"/>
      <c r="I742" s="79"/>
      <c r="J742" s="80"/>
      <c r="K742" s="79"/>
      <c r="L742" s="142"/>
      <c r="M742" s="1"/>
      <c r="N742" s="142"/>
      <c r="O742" s="1"/>
      <c r="P742" s="142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79">
        <f t="shared" si="805"/>
        <v>0</v>
      </c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R742" s="1"/>
      <c r="CS742" s="1"/>
      <c r="CT742" s="1"/>
      <c r="CU742" s="1"/>
      <c r="CV742" s="1"/>
      <c r="CW742" s="1"/>
      <c r="CX742" s="1"/>
      <c r="CY742" s="91" t="str">
        <f t="shared" si="831"/>
        <v/>
      </c>
      <c r="CZ742" s="1"/>
      <c r="DC742" s="96"/>
      <c r="DE742" s="96"/>
    </row>
    <row r="743">
      <c r="A743" s="1"/>
      <c r="B743" s="1"/>
      <c r="C743" s="76"/>
      <c r="D743" s="76"/>
      <c r="E743" s="76"/>
      <c r="F743" s="76"/>
      <c r="G743" s="79"/>
      <c r="H743" s="80"/>
      <c r="I743" s="79"/>
      <c r="J743" s="80"/>
      <c r="K743" s="79"/>
      <c r="L743" s="142"/>
      <c r="M743" s="1"/>
      <c r="N743" s="142"/>
      <c r="O743" s="1"/>
      <c r="P743" s="142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79">
        <f t="shared" si="805"/>
        <v>0</v>
      </c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R743" s="1"/>
      <c r="CS743" s="1"/>
      <c r="CT743" s="1"/>
      <c r="CU743" s="1"/>
      <c r="CV743" s="1"/>
      <c r="CW743" s="1"/>
      <c r="CX743" s="1"/>
      <c r="CY743" s="91" t="str">
        <f t="shared" si="831"/>
        <v/>
      </c>
      <c r="CZ743" s="1"/>
      <c r="DC743" s="96"/>
      <c r="DE743" s="96"/>
    </row>
    <row r="744">
      <c r="A744" s="1"/>
      <c r="B744" s="1"/>
      <c r="C744" s="76"/>
      <c r="D744" s="76"/>
      <c r="E744" s="76"/>
      <c r="F744" s="76"/>
      <c r="G744" s="79"/>
      <c r="H744" s="80"/>
      <c r="I744" s="79"/>
      <c r="J744" s="80"/>
      <c r="K744" s="79"/>
      <c r="L744" s="142"/>
      <c r="M744" s="1"/>
      <c r="N744" s="142"/>
      <c r="O744" s="1"/>
      <c r="P744" s="142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79">
        <f t="shared" si="805"/>
        <v>0</v>
      </c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R744" s="1"/>
      <c r="CS744" s="1"/>
      <c r="CT744" s="1"/>
      <c r="CU744" s="1"/>
      <c r="CV744" s="1"/>
      <c r="CW744" s="1"/>
      <c r="CX744" s="1"/>
      <c r="CY744" s="91" t="str">
        <f t="shared" si="831"/>
        <v/>
      </c>
      <c r="CZ744" s="1"/>
      <c r="DC744" s="96"/>
      <c r="DE744" s="96"/>
    </row>
    <row r="745">
      <c r="A745" s="1"/>
      <c r="B745" s="1"/>
      <c r="C745" s="76"/>
      <c r="D745" s="76"/>
      <c r="E745" s="76"/>
      <c r="F745" s="76"/>
      <c r="G745" s="79"/>
      <c r="H745" s="80"/>
      <c r="I745" s="79"/>
      <c r="J745" s="80"/>
      <c r="K745" s="79"/>
      <c r="L745" s="142"/>
      <c r="M745" s="1"/>
      <c r="N745" s="142"/>
      <c r="O745" s="1"/>
      <c r="P745" s="142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79">
        <f t="shared" si="805"/>
        <v>0</v>
      </c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R745" s="1"/>
      <c r="CS745" s="1"/>
      <c r="CT745" s="1"/>
      <c r="CU745" s="1"/>
      <c r="CV745" s="1"/>
      <c r="CW745" s="1"/>
      <c r="CX745" s="1"/>
      <c r="CY745" s="91" t="str">
        <f t="shared" si="831"/>
        <v/>
      </c>
      <c r="CZ745" s="1"/>
      <c r="DC745" s="96"/>
      <c r="DE745" s="96"/>
    </row>
    <row r="746">
      <c r="A746" s="1"/>
      <c r="B746" s="1"/>
      <c r="C746" s="76"/>
      <c r="D746" s="76"/>
      <c r="E746" s="76"/>
      <c r="F746" s="76"/>
      <c r="G746" s="79"/>
      <c r="H746" s="80"/>
      <c r="I746" s="79"/>
      <c r="J746" s="80"/>
      <c r="K746" s="79"/>
      <c r="L746" s="142"/>
      <c r="M746" s="1"/>
      <c r="N746" s="142"/>
      <c r="O746" s="1"/>
      <c r="P746" s="142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79">
        <f t="shared" si="805"/>
        <v>0</v>
      </c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R746" s="1"/>
      <c r="CS746" s="1"/>
      <c r="CT746" s="1"/>
      <c r="CU746" s="1"/>
      <c r="CV746" s="1"/>
      <c r="CW746" s="1"/>
      <c r="CX746" s="1"/>
      <c r="CY746" s="91" t="str">
        <f t="shared" si="831"/>
        <v/>
      </c>
      <c r="CZ746" s="1"/>
      <c r="DC746" s="96"/>
      <c r="DE746" s="96"/>
    </row>
    <row r="747">
      <c r="A747" s="1"/>
      <c r="B747" s="1"/>
      <c r="C747" s="76"/>
      <c r="D747" s="76"/>
      <c r="E747" s="76"/>
      <c r="F747" s="76"/>
      <c r="G747" s="79"/>
      <c r="H747" s="80"/>
      <c r="I747" s="79"/>
      <c r="J747" s="80"/>
      <c r="K747" s="79"/>
      <c r="L747" s="142"/>
      <c r="M747" s="1"/>
      <c r="N747" s="142"/>
      <c r="O747" s="1"/>
      <c r="P747" s="142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79">
        <f t="shared" si="805"/>
        <v>0</v>
      </c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R747" s="1"/>
      <c r="CS747" s="1"/>
      <c r="CT747" s="1"/>
      <c r="CU747" s="1"/>
      <c r="CV747" s="1"/>
      <c r="CW747" s="1"/>
      <c r="CX747" s="1"/>
      <c r="CY747" s="91" t="str">
        <f t="shared" si="831"/>
        <v/>
      </c>
      <c r="CZ747" s="1"/>
      <c r="DC747" s="96"/>
      <c r="DE747" s="96"/>
    </row>
    <row r="748">
      <c r="A748" s="1"/>
      <c r="B748" s="1"/>
      <c r="C748" s="76"/>
      <c r="D748" s="76"/>
      <c r="E748" s="76"/>
      <c r="F748" s="76"/>
      <c r="G748" s="79"/>
      <c r="H748" s="80"/>
      <c r="I748" s="79"/>
      <c r="J748" s="80"/>
      <c r="K748" s="79"/>
      <c r="L748" s="142"/>
      <c r="M748" s="1"/>
      <c r="N748" s="142"/>
      <c r="O748" s="1"/>
      <c r="P748" s="142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79">
        <f t="shared" si="805"/>
        <v>0</v>
      </c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R748" s="1"/>
      <c r="CS748" s="1"/>
      <c r="CT748" s="1"/>
      <c r="CU748" s="1"/>
      <c r="CV748" s="1"/>
      <c r="CW748" s="1"/>
      <c r="CX748" s="1"/>
      <c r="CY748" s="91" t="str">
        <f t="shared" si="831"/>
        <v/>
      </c>
      <c r="CZ748" s="1"/>
      <c r="DC748" s="96"/>
      <c r="DE748" s="96"/>
    </row>
    <row r="749">
      <c r="A749" s="1"/>
      <c r="B749" s="1"/>
      <c r="C749" s="76"/>
      <c r="D749" s="76"/>
      <c r="E749" s="76"/>
      <c r="F749" s="76"/>
      <c r="G749" s="79"/>
      <c r="H749" s="80"/>
      <c r="I749" s="79"/>
      <c r="J749" s="80"/>
      <c r="K749" s="79"/>
      <c r="L749" s="142"/>
      <c r="M749" s="1"/>
      <c r="N749" s="142"/>
      <c r="O749" s="1"/>
      <c r="P749" s="142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79">
        <f t="shared" si="805"/>
        <v>0</v>
      </c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R749" s="1"/>
      <c r="CS749" s="1"/>
      <c r="CT749" s="1"/>
      <c r="CU749" s="1"/>
      <c r="CV749" s="1"/>
      <c r="CW749" s="1"/>
      <c r="CX749" s="1"/>
      <c r="CY749" s="91" t="str">
        <f t="shared" si="831"/>
        <v/>
      </c>
      <c r="CZ749" s="1"/>
      <c r="DC749" s="96"/>
      <c r="DE749" s="96"/>
    </row>
    <row r="750">
      <c r="A750" s="1"/>
      <c r="B750" s="1"/>
      <c r="C750" s="76"/>
      <c r="D750" s="76"/>
      <c r="E750" s="76"/>
      <c r="F750" s="76"/>
      <c r="G750" s="79"/>
      <c r="H750" s="80"/>
      <c r="I750" s="79"/>
      <c r="J750" s="80"/>
      <c r="K750" s="79"/>
      <c r="L750" s="142"/>
      <c r="M750" s="1"/>
      <c r="N750" s="142"/>
      <c r="O750" s="1"/>
      <c r="P750" s="142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79">
        <f t="shared" si="805"/>
        <v>0</v>
      </c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R750" s="1"/>
      <c r="CS750" s="1"/>
      <c r="CT750" s="1"/>
      <c r="CU750" s="1"/>
      <c r="CV750" s="1"/>
      <c r="CW750" s="1"/>
      <c r="CX750" s="1"/>
      <c r="CY750" s="91" t="str">
        <f t="shared" si="831"/>
        <v/>
      </c>
      <c r="CZ750" s="1"/>
      <c r="DC750" s="96"/>
      <c r="DE750" s="96"/>
    </row>
    <row r="751">
      <c r="A751" s="1"/>
      <c r="B751" s="1"/>
      <c r="C751" s="76"/>
      <c r="D751" s="76"/>
      <c r="E751" s="76"/>
      <c r="F751" s="76"/>
      <c r="G751" s="79"/>
      <c r="H751" s="80"/>
      <c r="I751" s="79"/>
      <c r="J751" s="80"/>
      <c r="K751" s="79"/>
      <c r="L751" s="142"/>
      <c r="M751" s="1"/>
      <c r="N751" s="142"/>
      <c r="O751" s="1"/>
      <c r="P751" s="142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79">
        <f t="shared" si="805"/>
        <v>0</v>
      </c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R751" s="1"/>
      <c r="CS751" s="1"/>
      <c r="CT751" s="1"/>
      <c r="CU751" s="1"/>
      <c r="CV751" s="1"/>
      <c r="CW751" s="1"/>
      <c r="CX751" s="1"/>
      <c r="CY751" s="91" t="str">
        <f t="shared" si="831"/>
        <v/>
      </c>
      <c r="CZ751" s="1"/>
      <c r="DC751" s="96"/>
      <c r="DE751" s="96"/>
    </row>
    <row r="752">
      <c r="A752" s="1"/>
      <c r="B752" s="1"/>
      <c r="C752" s="76"/>
      <c r="D752" s="76"/>
      <c r="E752" s="76"/>
      <c r="F752" s="76"/>
      <c r="G752" s="79"/>
      <c r="H752" s="80"/>
      <c r="I752" s="79"/>
      <c r="J752" s="80"/>
      <c r="K752" s="79"/>
      <c r="L752" s="142"/>
      <c r="M752" s="1"/>
      <c r="N752" s="142"/>
      <c r="O752" s="1"/>
      <c r="P752" s="142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79">
        <f t="shared" si="805"/>
        <v>0</v>
      </c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R752" s="1"/>
      <c r="CS752" s="1"/>
      <c r="CT752" s="1"/>
      <c r="CU752" s="1"/>
      <c r="CV752" s="1"/>
      <c r="CW752" s="1"/>
      <c r="CX752" s="1"/>
      <c r="CY752" s="91" t="str">
        <f t="shared" si="831"/>
        <v/>
      </c>
      <c r="CZ752" s="1"/>
      <c r="DC752" s="96"/>
      <c r="DE752" s="96"/>
    </row>
    <row r="753">
      <c r="A753" s="1"/>
      <c r="B753" s="1"/>
      <c r="C753" s="76"/>
      <c r="D753" s="76"/>
      <c r="E753" s="76"/>
      <c r="F753" s="76"/>
      <c r="G753" s="79"/>
      <c r="H753" s="80"/>
      <c r="I753" s="79"/>
      <c r="J753" s="80"/>
      <c r="K753" s="79"/>
      <c r="L753" s="142"/>
      <c r="M753" s="1"/>
      <c r="N753" s="142"/>
      <c r="O753" s="1"/>
      <c r="P753" s="142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79">
        <f t="shared" si="805"/>
        <v>0</v>
      </c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R753" s="1"/>
      <c r="CS753" s="1"/>
      <c r="CT753" s="1"/>
      <c r="CU753" s="1"/>
      <c r="CV753" s="1"/>
      <c r="CW753" s="1"/>
      <c r="CX753" s="1"/>
      <c r="CY753" s="91" t="str">
        <f t="shared" si="831"/>
        <v/>
      </c>
      <c r="CZ753" s="1"/>
      <c r="DC753" s="96"/>
      <c r="DE753" s="96"/>
    </row>
    <row r="754">
      <c r="A754" s="1"/>
      <c r="B754" s="1"/>
      <c r="C754" s="76"/>
      <c r="D754" s="76"/>
      <c r="E754" s="76"/>
      <c r="F754" s="76"/>
      <c r="G754" s="79"/>
      <c r="H754" s="80"/>
      <c r="I754" s="79"/>
      <c r="J754" s="80"/>
      <c r="K754" s="79"/>
      <c r="L754" s="142"/>
      <c r="M754" s="1"/>
      <c r="N754" s="142"/>
      <c r="O754" s="1"/>
      <c r="P754" s="142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79">
        <f t="shared" si="805"/>
        <v>0</v>
      </c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R754" s="1"/>
      <c r="CS754" s="1"/>
      <c r="CT754" s="1"/>
      <c r="CU754" s="1"/>
      <c r="CV754" s="1"/>
      <c r="CW754" s="1"/>
      <c r="CX754" s="1"/>
      <c r="CY754" s="91" t="str">
        <f t="shared" si="831"/>
        <v/>
      </c>
      <c r="CZ754" s="1"/>
      <c r="DC754" s="96"/>
      <c r="DE754" s="96"/>
    </row>
    <row r="755">
      <c r="A755" s="1"/>
      <c r="B755" s="1"/>
      <c r="C755" s="76"/>
      <c r="D755" s="76"/>
      <c r="E755" s="76"/>
      <c r="F755" s="76"/>
      <c r="G755" s="79"/>
      <c r="H755" s="80"/>
      <c r="I755" s="79"/>
      <c r="J755" s="80"/>
      <c r="K755" s="79"/>
      <c r="L755" s="142"/>
      <c r="M755" s="1"/>
      <c r="N755" s="142"/>
      <c r="O755" s="1"/>
      <c r="P755" s="142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79">
        <f t="shared" si="805"/>
        <v>0</v>
      </c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R755" s="1"/>
      <c r="CS755" s="1"/>
      <c r="CT755" s="1"/>
      <c r="CU755" s="1"/>
      <c r="CV755" s="1"/>
      <c r="CW755" s="1"/>
      <c r="CX755" s="1"/>
      <c r="CY755" s="91" t="str">
        <f t="shared" si="831"/>
        <v/>
      </c>
      <c r="CZ755" s="1"/>
      <c r="DC755" s="96"/>
      <c r="DE755" s="96"/>
    </row>
    <row r="756">
      <c r="A756" s="1"/>
      <c r="B756" s="1"/>
      <c r="C756" s="76"/>
      <c r="D756" s="76"/>
      <c r="E756" s="76"/>
      <c r="F756" s="76"/>
      <c r="G756" s="79"/>
      <c r="H756" s="80"/>
      <c r="I756" s="79"/>
      <c r="J756" s="80"/>
      <c r="K756" s="79"/>
      <c r="L756" s="142"/>
      <c r="M756" s="1"/>
      <c r="N756" s="142"/>
      <c r="O756" s="1"/>
      <c r="P756" s="142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79">
        <f t="shared" si="805"/>
        <v>0</v>
      </c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R756" s="1"/>
      <c r="CS756" s="1"/>
      <c r="CT756" s="1"/>
      <c r="CU756" s="1"/>
      <c r="CV756" s="1"/>
      <c r="CW756" s="1"/>
      <c r="CX756" s="1"/>
      <c r="CY756" s="91" t="str">
        <f t="shared" si="831"/>
        <v/>
      </c>
      <c r="CZ756" s="1"/>
      <c r="DC756" s="96"/>
      <c r="DE756" s="96"/>
    </row>
    <row r="757">
      <c r="A757" s="1"/>
      <c r="B757" s="1"/>
      <c r="C757" s="76"/>
      <c r="D757" s="76"/>
      <c r="E757" s="76"/>
      <c r="F757" s="76"/>
      <c r="G757" s="79"/>
      <c r="H757" s="80"/>
      <c r="I757" s="79"/>
      <c r="J757" s="80"/>
      <c r="K757" s="79"/>
      <c r="L757" s="142"/>
      <c r="M757" s="1"/>
      <c r="N757" s="142"/>
      <c r="O757" s="1"/>
      <c r="P757" s="142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79">
        <f t="shared" si="805"/>
        <v>0</v>
      </c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R757" s="1"/>
      <c r="CS757" s="1"/>
      <c r="CT757" s="1"/>
      <c r="CU757" s="1"/>
      <c r="CV757" s="1"/>
      <c r="CW757" s="1"/>
      <c r="CX757" s="1"/>
      <c r="CY757" s="91" t="str">
        <f t="shared" si="831"/>
        <v/>
      </c>
      <c r="CZ757" s="1"/>
      <c r="DC757" s="96"/>
      <c r="DE757" s="96"/>
    </row>
    <row r="758">
      <c r="A758" s="1"/>
      <c r="B758" s="1"/>
      <c r="C758" s="76"/>
      <c r="D758" s="76"/>
      <c r="E758" s="76"/>
      <c r="F758" s="76"/>
      <c r="G758" s="79"/>
      <c r="H758" s="80"/>
      <c r="I758" s="79"/>
      <c r="J758" s="80"/>
      <c r="K758" s="79"/>
      <c r="L758" s="142"/>
      <c r="M758" s="1"/>
      <c r="N758" s="142"/>
      <c r="O758" s="1"/>
      <c r="P758" s="142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79">
        <f t="shared" si="805"/>
        <v>0</v>
      </c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R758" s="1"/>
      <c r="CS758" s="1"/>
      <c r="CT758" s="1"/>
      <c r="CU758" s="1"/>
      <c r="CV758" s="1"/>
      <c r="CW758" s="1"/>
      <c r="CX758" s="1"/>
      <c r="CY758" s="91" t="str">
        <f t="shared" si="831"/>
        <v/>
      </c>
      <c r="CZ758" s="1"/>
      <c r="DC758" s="96"/>
      <c r="DE758" s="96"/>
    </row>
    <row r="759">
      <c r="A759" s="1"/>
      <c r="B759" s="1"/>
      <c r="C759" s="76"/>
      <c r="D759" s="76"/>
      <c r="E759" s="76"/>
      <c r="F759" s="76"/>
      <c r="G759" s="79"/>
      <c r="H759" s="80"/>
      <c r="I759" s="79"/>
      <c r="J759" s="80"/>
      <c r="K759" s="79"/>
      <c r="L759" s="142"/>
      <c r="M759" s="1"/>
      <c r="N759" s="142"/>
      <c r="O759" s="1"/>
      <c r="P759" s="142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79">
        <f t="shared" si="805"/>
        <v>0</v>
      </c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R759" s="1"/>
      <c r="CS759" s="1"/>
      <c r="CT759" s="1"/>
      <c r="CU759" s="1"/>
      <c r="CV759" s="1"/>
      <c r="CW759" s="1"/>
      <c r="CX759" s="1"/>
      <c r="CY759" s="91" t="str">
        <f t="shared" si="831"/>
        <v/>
      </c>
      <c r="CZ759" s="1"/>
      <c r="DC759" s="96"/>
      <c r="DE759" s="96"/>
    </row>
    <row r="760">
      <c r="A760" s="1"/>
      <c r="B760" s="1"/>
      <c r="C760" s="76"/>
      <c r="D760" s="76"/>
      <c r="E760" s="76"/>
      <c r="F760" s="76"/>
      <c r="G760" s="79"/>
      <c r="H760" s="80"/>
      <c r="I760" s="79"/>
      <c r="J760" s="80"/>
      <c r="K760" s="79"/>
      <c r="L760" s="142"/>
      <c r="M760" s="1"/>
      <c r="N760" s="142"/>
      <c r="O760" s="1"/>
      <c r="P760" s="142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79">
        <f t="shared" si="805"/>
        <v>0</v>
      </c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R760" s="1"/>
      <c r="CS760" s="1"/>
      <c r="CT760" s="1"/>
      <c r="CU760" s="1"/>
      <c r="CV760" s="1"/>
      <c r="CW760" s="1"/>
      <c r="CX760" s="1"/>
      <c r="CY760" s="91" t="str">
        <f t="shared" si="831"/>
        <v/>
      </c>
      <c r="CZ760" s="1"/>
      <c r="DC760" s="96"/>
      <c r="DE760" s="96"/>
    </row>
    <row r="761">
      <c r="A761" s="1"/>
      <c r="B761" s="1"/>
      <c r="C761" s="76"/>
      <c r="D761" s="76"/>
      <c r="E761" s="76"/>
      <c r="F761" s="76"/>
      <c r="G761" s="79"/>
      <c r="H761" s="80"/>
      <c r="I761" s="79"/>
      <c r="J761" s="80"/>
      <c r="K761" s="79"/>
      <c r="L761" s="142"/>
      <c r="M761" s="1"/>
      <c r="N761" s="142"/>
      <c r="O761" s="1"/>
      <c r="P761" s="142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79">
        <f t="shared" si="805"/>
        <v>0</v>
      </c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R761" s="1"/>
      <c r="CS761" s="1"/>
      <c r="CT761" s="1"/>
      <c r="CU761" s="1"/>
      <c r="CV761" s="1"/>
      <c r="CW761" s="1"/>
      <c r="CX761" s="1"/>
      <c r="CY761" s="91" t="str">
        <f t="shared" si="831"/>
        <v/>
      </c>
      <c r="CZ761" s="1"/>
      <c r="DC761" s="96"/>
      <c r="DE761" s="96"/>
    </row>
    <row r="762">
      <c r="A762" s="1"/>
      <c r="B762" s="1"/>
      <c r="C762" s="76"/>
      <c r="D762" s="76"/>
      <c r="E762" s="76"/>
      <c r="F762" s="76"/>
      <c r="G762" s="79"/>
      <c r="H762" s="80"/>
      <c r="I762" s="79"/>
      <c r="J762" s="80"/>
      <c r="K762" s="79"/>
      <c r="L762" s="142"/>
      <c r="M762" s="1"/>
      <c r="N762" s="142"/>
      <c r="O762" s="1"/>
      <c r="P762" s="142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79">
        <f t="shared" si="805"/>
        <v>0</v>
      </c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R762" s="1"/>
      <c r="CS762" s="1"/>
      <c r="CT762" s="1"/>
      <c r="CU762" s="1"/>
      <c r="CV762" s="1"/>
      <c r="CW762" s="1"/>
      <c r="CX762" s="1"/>
      <c r="CY762" s="91" t="str">
        <f t="shared" si="831"/>
        <v/>
      </c>
      <c r="CZ762" s="1"/>
      <c r="DC762" s="96"/>
      <c r="DE762" s="96"/>
    </row>
    <row r="763">
      <c r="A763" s="1"/>
      <c r="B763" s="1"/>
      <c r="C763" s="76"/>
      <c r="D763" s="76"/>
      <c r="E763" s="76"/>
      <c r="F763" s="76"/>
      <c r="G763" s="79"/>
      <c r="H763" s="80"/>
      <c r="I763" s="79"/>
      <c r="J763" s="80"/>
      <c r="K763" s="79"/>
      <c r="L763" s="142"/>
      <c r="M763" s="1"/>
      <c r="N763" s="142"/>
      <c r="O763" s="1"/>
      <c r="P763" s="142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79">
        <f t="shared" si="805"/>
        <v>0</v>
      </c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R763" s="1"/>
      <c r="CS763" s="1"/>
      <c r="CT763" s="1"/>
      <c r="CU763" s="1"/>
      <c r="CV763" s="1"/>
      <c r="CW763" s="1"/>
      <c r="CX763" s="1"/>
      <c r="CY763" s="91" t="str">
        <f t="shared" si="831"/>
        <v/>
      </c>
      <c r="CZ763" s="1"/>
      <c r="DC763" s="96"/>
      <c r="DE763" s="96"/>
    </row>
    <row r="764">
      <c r="A764" s="1"/>
      <c r="B764" s="1"/>
      <c r="C764" s="76"/>
      <c r="D764" s="76"/>
      <c r="E764" s="76"/>
      <c r="F764" s="76"/>
      <c r="G764" s="79"/>
      <c r="H764" s="80"/>
      <c r="I764" s="79"/>
      <c r="J764" s="80"/>
      <c r="K764" s="79"/>
      <c r="L764" s="142"/>
      <c r="M764" s="1"/>
      <c r="N764" s="142"/>
      <c r="O764" s="1"/>
      <c r="P764" s="142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79">
        <f t="shared" si="805"/>
        <v>0</v>
      </c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R764" s="1"/>
      <c r="CS764" s="1"/>
      <c r="CT764" s="1"/>
      <c r="CU764" s="1"/>
      <c r="CV764" s="1"/>
      <c r="CW764" s="1"/>
      <c r="CX764" s="1"/>
      <c r="CY764" s="91" t="str">
        <f t="shared" si="831"/>
        <v/>
      </c>
      <c r="CZ764" s="1"/>
      <c r="DC764" s="96"/>
      <c r="DE764" s="96"/>
    </row>
    <row r="765">
      <c r="A765" s="1"/>
      <c r="B765" s="1"/>
      <c r="C765" s="76"/>
      <c r="D765" s="76"/>
      <c r="E765" s="76"/>
      <c r="F765" s="76"/>
      <c r="G765" s="79"/>
      <c r="H765" s="80"/>
      <c r="I765" s="79"/>
      <c r="J765" s="80"/>
      <c r="K765" s="79"/>
      <c r="L765" s="142"/>
      <c r="M765" s="1"/>
      <c r="N765" s="142"/>
      <c r="O765" s="1"/>
      <c r="P765" s="142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79">
        <f t="shared" si="805"/>
        <v>0</v>
      </c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R765" s="1"/>
      <c r="CS765" s="1"/>
      <c r="CT765" s="1"/>
      <c r="CU765" s="1"/>
      <c r="CV765" s="1"/>
      <c r="CW765" s="1"/>
      <c r="CX765" s="1"/>
      <c r="CY765" s="91" t="str">
        <f t="shared" si="831"/>
        <v/>
      </c>
      <c r="CZ765" s="1"/>
      <c r="DC765" s="96"/>
      <c r="DE765" s="96"/>
    </row>
    <row r="766">
      <c r="A766" s="1"/>
      <c r="B766" s="1"/>
      <c r="C766" s="76"/>
      <c r="D766" s="76"/>
      <c r="E766" s="76"/>
      <c r="F766" s="76"/>
      <c r="G766" s="79"/>
      <c r="H766" s="80"/>
      <c r="I766" s="79"/>
      <c r="J766" s="80"/>
      <c r="K766" s="79"/>
      <c r="L766" s="142"/>
      <c r="M766" s="1"/>
      <c r="N766" s="142"/>
      <c r="O766" s="1"/>
      <c r="P766" s="142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79">
        <f t="shared" si="805"/>
        <v>0</v>
      </c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R766" s="1"/>
      <c r="CS766" s="1"/>
      <c r="CT766" s="1"/>
      <c r="CU766" s="1"/>
      <c r="CV766" s="1"/>
      <c r="CW766" s="1"/>
      <c r="CX766" s="1"/>
      <c r="CY766" s="91" t="str">
        <f t="shared" si="831"/>
        <v/>
      </c>
      <c r="CZ766" s="1"/>
      <c r="DC766" s="96"/>
      <c r="DE766" s="96"/>
    </row>
    <row r="767">
      <c r="A767" s="1"/>
      <c r="B767" s="1"/>
      <c r="C767" s="76"/>
      <c r="D767" s="76"/>
      <c r="E767" s="76"/>
      <c r="F767" s="76"/>
      <c r="G767" s="79"/>
      <c r="H767" s="80"/>
      <c r="I767" s="79"/>
      <c r="J767" s="80"/>
      <c r="K767" s="79"/>
      <c r="L767" s="142"/>
      <c r="M767" s="1"/>
      <c r="N767" s="142"/>
      <c r="O767" s="1"/>
      <c r="P767" s="142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79">
        <f t="shared" si="805"/>
        <v>0</v>
      </c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R767" s="1"/>
      <c r="CS767" s="1"/>
      <c r="CT767" s="1"/>
      <c r="CU767" s="1"/>
      <c r="CV767" s="1"/>
      <c r="CW767" s="1"/>
      <c r="CX767" s="1"/>
      <c r="CY767" s="91" t="str">
        <f t="shared" si="831"/>
        <v/>
      </c>
      <c r="CZ767" s="1"/>
      <c r="DC767" s="96"/>
      <c r="DE767" s="96"/>
    </row>
    <row r="768">
      <c r="A768" s="1"/>
      <c r="B768" s="1"/>
      <c r="C768" s="76"/>
      <c r="D768" s="76"/>
      <c r="E768" s="76"/>
      <c r="F768" s="76"/>
      <c r="G768" s="79"/>
      <c r="H768" s="80"/>
      <c r="I768" s="79"/>
      <c r="J768" s="80"/>
      <c r="K768" s="79"/>
      <c r="L768" s="142"/>
      <c r="M768" s="1"/>
      <c r="N768" s="142"/>
      <c r="O768" s="1"/>
      <c r="P768" s="142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79">
        <f t="shared" si="805"/>
        <v>0</v>
      </c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R768" s="1"/>
      <c r="CS768" s="1"/>
      <c r="CT768" s="1"/>
      <c r="CU768" s="1"/>
      <c r="CV768" s="1"/>
      <c r="CW768" s="1"/>
      <c r="CX768" s="1"/>
      <c r="CY768" s="91" t="str">
        <f t="shared" si="831"/>
        <v/>
      </c>
      <c r="CZ768" s="1"/>
      <c r="DC768" s="96"/>
      <c r="DE768" s="96"/>
    </row>
    <row r="769">
      <c r="A769" s="1"/>
      <c r="B769" s="1"/>
      <c r="C769" s="76"/>
      <c r="D769" s="76"/>
      <c r="E769" s="76"/>
      <c r="F769" s="76"/>
      <c r="G769" s="79"/>
      <c r="H769" s="80"/>
      <c r="I769" s="79"/>
      <c r="J769" s="80"/>
      <c r="K769" s="79"/>
      <c r="L769" s="142"/>
      <c r="M769" s="1"/>
      <c r="N769" s="142"/>
      <c r="O769" s="1"/>
      <c r="P769" s="142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79">
        <f t="shared" si="805"/>
        <v>0</v>
      </c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R769" s="1"/>
      <c r="CS769" s="1"/>
      <c r="CT769" s="1"/>
      <c r="CU769" s="1"/>
      <c r="CV769" s="1"/>
      <c r="CW769" s="1"/>
      <c r="CX769" s="1"/>
      <c r="CY769" s="91" t="str">
        <f t="shared" si="831"/>
        <v/>
      </c>
      <c r="CZ769" s="1"/>
      <c r="DC769" s="96"/>
      <c r="DE769" s="96"/>
    </row>
    <row r="770">
      <c r="A770" s="1"/>
      <c r="B770" s="1"/>
      <c r="C770" s="76"/>
      <c r="D770" s="76"/>
      <c r="E770" s="76"/>
      <c r="F770" s="76"/>
      <c r="G770" s="79"/>
      <c r="H770" s="80"/>
      <c r="I770" s="79"/>
      <c r="J770" s="80"/>
      <c r="K770" s="79"/>
      <c r="L770" s="142"/>
      <c r="M770" s="1"/>
      <c r="N770" s="142"/>
      <c r="O770" s="1"/>
      <c r="P770" s="142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79">
        <f t="shared" si="805"/>
        <v>0</v>
      </c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R770" s="1"/>
      <c r="CS770" s="1"/>
      <c r="CT770" s="1"/>
      <c r="CU770" s="1"/>
      <c r="CV770" s="1"/>
      <c r="CW770" s="1"/>
      <c r="CX770" s="1"/>
      <c r="CY770" s="91" t="str">
        <f t="shared" si="831"/>
        <v/>
      </c>
      <c r="CZ770" s="1"/>
      <c r="DC770" s="96"/>
      <c r="DE770" s="96"/>
    </row>
    <row r="771">
      <c r="A771" s="1"/>
      <c r="B771" s="1"/>
      <c r="C771" s="76"/>
      <c r="D771" s="76"/>
      <c r="E771" s="76"/>
      <c r="F771" s="76"/>
      <c r="G771" s="79"/>
      <c r="H771" s="80"/>
      <c r="I771" s="79"/>
      <c r="J771" s="80"/>
      <c r="K771" s="79"/>
      <c r="L771" s="142"/>
      <c r="M771" s="1"/>
      <c r="N771" s="142"/>
      <c r="O771" s="1"/>
      <c r="P771" s="142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79">
        <f t="shared" si="805"/>
        <v>0</v>
      </c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R771" s="1"/>
      <c r="CS771" s="1"/>
      <c r="CT771" s="1"/>
      <c r="CU771" s="1"/>
      <c r="CV771" s="1"/>
      <c r="CW771" s="1"/>
      <c r="CX771" s="1"/>
      <c r="CY771" s="91" t="str">
        <f t="shared" si="831"/>
        <v/>
      </c>
      <c r="CZ771" s="1"/>
      <c r="DC771" s="96"/>
      <c r="DE771" s="96"/>
    </row>
    <row r="772">
      <c r="A772" s="1"/>
      <c r="B772" s="1"/>
      <c r="C772" s="76"/>
      <c r="D772" s="76"/>
      <c r="E772" s="76"/>
      <c r="F772" s="76"/>
      <c r="G772" s="79"/>
      <c r="H772" s="80"/>
      <c r="I772" s="79"/>
      <c r="J772" s="80"/>
      <c r="K772" s="79"/>
      <c r="L772" s="142"/>
      <c r="M772" s="1"/>
      <c r="N772" s="142"/>
      <c r="O772" s="1"/>
      <c r="P772" s="142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79">
        <f t="shared" si="805"/>
        <v>0</v>
      </c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R772" s="1"/>
      <c r="CS772" s="1"/>
      <c r="CT772" s="1"/>
      <c r="CU772" s="1"/>
      <c r="CV772" s="1"/>
      <c r="CW772" s="1"/>
      <c r="CX772" s="1"/>
      <c r="CY772" s="91" t="str">
        <f t="shared" si="831"/>
        <v/>
      </c>
      <c r="CZ772" s="1"/>
      <c r="DC772" s="96"/>
      <c r="DE772" s="96"/>
    </row>
    <row r="773">
      <c r="A773" s="1"/>
      <c r="B773" s="1"/>
      <c r="C773" s="76"/>
      <c r="D773" s="76"/>
      <c r="E773" s="76"/>
      <c r="F773" s="76"/>
      <c r="G773" s="79"/>
      <c r="H773" s="80"/>
      <c r="I773" s="79"/>
      <c r="J773" s="80"/>
      <c r="K773" s="79"/>
      <c r="L773" s="142"/>
      <c r="M773" s="1"/>
      <c r="N773" s="142"/>
      <c r="O773" s="1"/>
      <c r="P773" s="142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79">
        <f t="shared" si="805"/>
        <v>0</v>
      </c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R773" s="1"/>
      <c r="CS773" s="1"/>
      <c r="CT773" s="1"/>
      <c r="CU773" s="1"/>
      <c r="CV773" s="1"/>
      <c r="CW773" s="1"/>
      <c r="CX773" s="1"/>
      <c r="CY773" s="91" t="str">
        <f t="shared" si="831"/>
        <v/>
      </c>
      <c r="CZ773" s="1"/>
      <c r="DC773" s="96"/>
      <c r="DE773" s="96"/>
    </row>
    <row r="774">
      <c r="A774" s="1"/>
      <c r="B774" s="1"/>
      <c r="C774" s="76"/>
      <c r="D774" s="76"/>
      <c r="E774" s="76"/>
      <c r="F774" s="76"/>
      <c r="G774" s="79"/>
      <c r="H774" s="80"/>
      <c r="I774" s="79"/>
      <c r="J774" s="80"/>
      <c r="K774" s="79"/>
      <c r="L774" s="142"/>
      <c r="M774" s="1"/>
      <c r="N774" s="142"/>
      <c r="O774" s="1"/>
      <c r="P774" s="142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79">
        <f t="shared" si="805"/>
        <v>0</v>
      </c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R774" s="1"/>
      <c r="CS774" s="1"/>
      <c r="CT774" s="1"/>
      <c r="CU774" s="1"/>
      <c r="CV774" s="1"/>
      <c r="CW774" s="1"/>
      <c r="CX774" s="1"/>
      <c r="CY774" s="91" t="str">
        <f t="shared" si="831"/>
        <v/>
      </c>
      <c r="CZ774" s="1"/>
      <c r="DC774" s="96"/>
      <c r="DE774" s="96"/>
    </row>
    <row r="775">
      <c r="A775" s="1"/>
      <c r="B775" s="1"/>
      <c r="C775" s="76"/>
      <c r="D775" s="76"/>
      <c r="E775" s="76"/>
      <c r="F775" s="76"/>
      <c r="G775" s="79"/>
      <c r="H775" s="80"/>
      <c r="I775" s="79"/>
      <c r="J775" s="80"/>
      <c r="K775" s="79"/>
      <c r="L775" s="142"/>
      <c r="M775" s="1"/>
      <c r="N775" s="142"/>
      <c r="O775" s="1"/>
      <c r="P775" s="142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79">
        <f t="shared" si="805"/>
        <v>0</v>
      </c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R775" s="1"/>
      <c r="CS775" s="1"/>
      <c r="CT775" s="1"/>
      <c r="CU775" s="1"/>
      <c r="CV775" s="1"/>
      <c r="CW775" s="1"/>
      <c r="CX775" s="1"/>
      <c r="CY775" s="91" t="str">
        <f t="shared" si="831"/>
        <v/>
      </c>
      <c r="CZ775" s="1"/>
      <c r="DC775" s="96"/>
      <c r="DE775" s="96"/>
    </row>
    <row r="776">
      <c r="A776" s="1"/>
      <c r="B776" s="1"/>
      <c r="C776" s="76"/>
      <c r="D776" s="76"/>
      <c r="E776" s="76"/>
      <c r="F776" s="76"/>
      <c r="G776" s="79"/>
      <c r="H776" s="80"/>
      <c r="I776" s="79"/>
      <c r="J776" s="80"/>
      <c r="K776" s="79"/>
      <c r="L776" s="142"/>
      <c r="M776" s="1"/>
      <c r="N776" s="142"/>
      <c r="O776" s="1"/>
      <c r="P776" s="142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79">
        <f t="shared" si="805"/>
        <v>0</v>
      </c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R776" s="1"/>
      <c r="CS776" s="1"/>
      <c r="CT776" s="1"/>
      <c r="CU776" s="1"/>
      <c r="CV776" s="1"/>
      <c r="CW776" s="1"/>
      <c r="CX776" s="1"/>
      <c r="CY776" s="91" t="str">
        <f t="shared" si="831"/>
        <v/>
      </c>
      <c r="CZ776" s="1"/>
      <c r="DC776" s="96"/>
      <c r="DE776" s="96"/>
    </row>
    <row r="777">
      <c r="A777" s="1"/>
      <c r="B777" s="1"/>
      <c r="C777" s="76"/>
      <c r="D777" s="76"/>
      <c r="E777" s="76"/>
      <c r="F777" s="76"/>
      <c r="G777" s="79"/>
      <c r="H777" s="80"/>
      <c r="I777" s="79"/>
      <c r="J777" s="80"/>
      <c r="K777" s="79"/>
      <c r="L777" s="142"/>
      <c r="M777" s="1"/>
      <c r="N777" s="142"/>
      <c r="O777" s="1"/>
      <c r="P777" s="142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79">
        <f t="shared" si="805"/>
        <v>0</v>
      </c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R777" s="1"/>
      <c r="CS777" s="1"/>
      <c r="CT777" s="1"/>
      <c r="CU777" s="1"/>
      <c r="CV777" s="1"/>
      <c r="CW777" s="1"/>
      <c r="CX777" s="1"/>
      <c r="CY777" s="91" t="str">
        <f t="shared" si="831"/>
        <v/>
      </c>
      <c r="CZ777" s="1"/>
      <c r="DC777" s="96"/>
      <c r="DE777" s="96"/>
    </row>
    <row r="778">
      <c r="A778" s="1"/>
      <c r="B778" s="1"/>
      <c r="C778" s="76"/>
      <c r="D778" s="76"/>
      <c r="E778" s="76"/>
      <c r="F778" s="76"/>
      <c r="G778" s="79"/>
      <c r="H778" s="80"/>
      <c r="I778" s="79"/>
      <c r="J778" s="80"/>
      <c r="K778" s="79"/>
      <c r="L778" s="142"/>
      <c r="M778" s="1"/>
      <c r="N778" s="142"/>
      <c r="O778" s="1"/>
      <c r="P778" s="142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79">
        <f t="shared" si="805"/>
        <v>0</v>
      </c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R778" s="1"/>
      <c r="CS778" s="1"/>
      <c r="CT778" s="1"/>
      <c r="CU778" s="1"/>
      <c r="CV778" s="1"/>
      <c r="CW778" s="1"/>
      <c r="CX778" s="1"/>
      <c r="CY778" s="91" t="str">
        <f t="shared" si="831"/>
        <v/>
      </c>
      <c r="CZ778" s="1"/>
      <c r="DC778" s="96"/>
      <c r="DE778" s="96"/>
    </row>
    <row r="779">
      <c r="A779" s="1"/>
      <c r="B779" s="1"/>
      <c r="C779" s="76"/>
      <c r="D779" s="76"/>
      <c r="E779" s="76"/>
      <c r="F779" s="76"/>
      <c r="G779" s="79"/>
      <c r="H779" s="80"/>
      <c r="I779" s="79"/>
      <c r="J779" s="80"/>
      <c r="K779" s="79"/>
      <c r="L779" s="142"/>
      <c r="M779" s="1"/>
      <c r="N779" s="142"/>
      <c r="O779" s="1"/>
      <c r="P779" s="142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79">
        <f t="shared" si="805"/>
        <v>0</v>
      </c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R779" s="1"/>
      <c r="CS779" s="1"/>
      <c r="CT779" s="1"/>
      <c r="CU779" s="1"/>
      <c r="CV779" s="1"/>
      <c r="CW779" s="1"/>
      <c r="CX779" s="1"/>
      <c r="CY779" s="91" t="str">
        <f t="shared" si="831"/>
        <v/>
      </c>
      <c r="CZ779" s="1"/>
      <c r="DC779" s="96"/>
      <c r="DE779" s="96"/>
    </row>
    <row r="780">
      <c r="A780" s="1"/>
      <c r="B780" s="1"/>
      <c r="C780" s="76"/>
      <c r="D780" s="76"/>
      <c r="E780" s="76"/>
      <c r="F780" s="76"/>
      <c r="G780" s="79"/>
      <c r="H780" s="80"/>
      <c r="I780" s="79"/>
      <c r="J780" s="80"/>
      <c r="K780" s="79"/>
      <c r="L780" s="142"/>
      <c r="M780" s="1"/>
      <c r="N780" s="142"/>
      <c r="O780" s="1"/>
      <c r="P780" s="142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79">
        <f t="shared" si="805"/>
        <v>0</v>
      </c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R780" s="1"/>
      <c r="CS780" s="1"/>
      <c r="CT780" s="1"/>
      <c r="CU780" s="1"/>
      <c r="CV780" s="1"/>
      <c r="CW780" s="1"/>
      <c r="CX780" s="1"/>
      <c r="CY780" s="91" t="str">
        <f t="shared" si="831"/>
        <v/>
      </c>
      <c r="CZ780" s="1"/>
      <c r="DC780" s="96"/>
      <c r="DE780" s="96"/>
    </row>
    <row r="781">
      <c r="A781" s="1"/>
      <c r="B781" s="1"/>
      <c r="C781" s="76"/>
      <c r="D781" s="76"/>
      <c r="E781" s="76"/>
      <c r="F781" s="76"/>
      <c r="G781" s="79"/>
      <c r="H781" s="80"/>
      <c r="I781" s="79"/>
      <c r="J781" s="80"/>
      <c r="K781" s="79"/>
      <c r="L781" s="142"/>
      <c r="M781" s="1"/>
      <c r="N781" s="142"/>
      <c r="O781" s="1"/>
      <c r="P781" s="142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79">
        <f t="shared" si="805"/>
        <v>0</v>
      </c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R781" s="1"/>
      <c r="CS781" s="1"/>
      <c r="CT781" s="1"/>
      <c r="CU781" s="1"/>
      <c r="CV781" s="1"/>
      <c r="CW781" s="1"/>
      <c r="CX781" s="1"/>
      <c r="CY781" s="91" t="str">
        <f t="shared" si="831"/>
        <v/>
      </c>
      <c r="CZ781" s="1"/>
      <c r="DC781" s="96"/>
      <c r="DE781" s="96"/>
    </row>
    <row r="782">
      <c r="A782" s="1"/>
      <c r="B782" s="1"/>
      <c r="C782" s="76"/>
      <c r="D782" s="76"/>
      <c r="E782" s="76"/>
      <c r="F782" s="76"/>
      <c r="G782" s="79"/>
      <c r="H782" s="80"/>
      <c r="I782" s="79"/>
      <c r="J782" s="80"/>
      <c r="K782" s="79"/>
      <c r="L782" s="142"/>
      <c r="M782" s="1"/>
      <c r="N782" s="142"/>
      <c r="O782" s="1"/>
      <c r="P782" s="142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79">
        <f t="shared" si="805"/>
        <v>0</v>
      </c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R782" s="1"/>
      <c r="CS782" s="1"/>
      <c r="CT782" s="1"/>
      <c r="CU782" s="1"/>
      <c r="CV782" s="1"/>
      <c r="CW782" s="1"/>
      <c r="CX782" s="1"/>
      <c r="CY782" s="91" t="str">
        <f t="shared" si="831"/>
        <v/>
      </c>
      <c r="CZ782" s="1"/>
      <c r="DC782" s="96"/>
      <c r="DE782" s="96"/>
    </row>
    <row r="783">
      <c r="A783" s="1"/>
      <c r="B783" s="1"/>
      <c r="C783" s="76"/>
      <c r="D783" s="76"/>
      <c r="E783" s="76"/>
      <c r="F783" s="76"/>
      <c r="G783" s="79"/>
      <c r="H783" s="80"/>
      <c r="I783" s="79"/>
      <c r="J783" s="80"/>
      <c r="K783" s="79"/>
      <c r="L783" s="142"/>
      <c r="M783" s="1"/>
      <c r="N783" s="142"/>
      <c r="O783" s="1"/>
      <c r="P783" s="142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79">
        <f t="shared" si="805"/>
        <v>0</v>
      </c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R783" s="1"/>
      <c r="CS783" s="1"/>
      <c r="CT783" s="1"/>
      <c r="CU783" s="1"/>
      <c r="CV783" s="1"/>
      <c r="CW783" s="1"/>
      <c r="CX783" s="1"/>
      <c r="CY783" s="91" t="str">
        <f t="shared" si="831"/>
        <v/>
      </c>
      <c r="CZ783" s="1"/>
      <c r="DC783" s="96"/>
      <c r="DE783" s="96"/>
    </row>
    <row r="784">
      <c r="A784" s="1"/>
      <c r="B784" s="1"/>
      <c r="C784" s="76"/>
      <c r="D784" s="76"/>
      <c r="E784" s="76"/>
      <c r="F784" s="76"/>
      <c r="G784" s="79"/>
      <c r="H784" s="80"/>
      <c r="I784" s="79"/>
      <c r="J784" s="80"/>
      <c r="K784" s="79"/>
      <c r="L784" s="142"/>
      <c r="M784" s="1"/>
      <c r="N784" s="142"/>
      <c r="O784" s="1"/>
      <c r="P784" s="142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79">
        <f t="shared" si="805"/>
        <v>0</v>
      </c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R784" s="1"/>
      <c r="CS784" s="1"/>
      <c r="CT784" s="1"/>
      <c r="CU784" s="1"/>
      <c r="CV784" s="1"/>
      <c r="CW784" s="1"/>
      <c r="CX784" s="1"/>
      <c r="CY784" s="91" t="str">
        <f t="shared" si="831"/>
        <v/>
      </c>
      <c r="CZ784" s="1"/>
      <c r="DC784" s="96"/>
      <c r="DE784" s="96"/>
    </row>
    <row r="785">
      <c r="A785" s="1"/>
      <c r="B785" s="1"/>
      <c r="C785" s="76"/>
      <c r="D785" s="76"/>
      <c r="E785" s="76"/>
      <c r="F785" s="76"/>
      <c r="G785" s="79"/>
      <c r="H785" s="80"/>
      <c r="I785" s="79"/>
      <c r="J785" s="80"/>
      <c r="K785" s="79"/>
      <c r="L785" s="142"/>
      <c r="M785" s="1"/>
      <c r="N785" s="142"/>
      <c r="O785" s="1"/>
      <c r="P785" s="142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79">
        <f t="shared" si="805"/>
        <v>0</v>
      </c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R785" s="1"/>
      <c r="CS785" s="1"/>
      <c r="CT785" s="1"/>
      <c r="CU785" s="1"/>
      <c r="CV785" s="1"/>
      <c r="CW785" s="1"/>
      <c r="CX785" s="1"/>
      <c r="CY785" s="91" t="str">
        <f t="shared" si="831"/>
        <v/>
      </c>
      <c r="CZ785" s="1"/>
      <c r="DC785" s="96"/>
      <c r="DE785" s="96"/>
    </row>
    <row r="786">
      <c r="A786" s="1"/>
      <c r="B786" s="1"/>
      <c r="C786" s="76"/>
      <c r="D786" s="76"/>
      <c r="E786" s="76"/>
      <c r="F786" s="76"/>
      <c r="G786" s="79"/>
      <c r="H786" s="80"/>
      <c r="I786" s="79"/>
      <c r="J786" s="80"/>
      <c r="K786" s="79"/>
      <c r="L786" s="142"/>
      <c r="M786" s="1"/>
      <c r="N786" s="142"/>
      <c r="O786" s="1"/>
      <c r="P786" s="142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79">
        <f t="shared" si="805"/>
        <v>0</v>
      </c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R786" s="1"/>
      <c r="CS786" s="1"/>
      <c r="CT786" s="1"/>
      <c r="CU786" s="1"/>
      <c r="CV786" s="1"/>
      <c r="CW786" s="1"/>
      <c r="CX786" s="1"/>
      <c r="CY786" s="91" t="str">
        <f t="shared" si="831"/>
        <v/>
      </c>
      <c r="CZ786" s="1"/>
      <c r="DC786" s="96"/>
      <c r="DE786" s="96"/>
    </row>
    <row r="787">
      <c r="A787" s="1"/>
      <c r="B787" s="1"/>
      <c r="C787" s="76"/>
      <c r="D787" s="76"/>
      <c r="E787" s="76"/>
      <c r="F787" s="76"/>
      <c r="G787" s="79"/>
      <c r="H787" s="80"/>
      <c r="I787" s="79"/>
      <c r="J787" s="80"/>
      <c r="K787" s="79"/>
      <c r="L787" s="142"/>
      <c r="M787" s="1"/>
      <c r="N787" s="142"/>
      <c r="O787" s="1"/>
      <c r="P787" s="142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79">
        <f t="shared" si="805"/>
        <v>0</v>
      </c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R787" s="1"/>
      <c r="CS787" s="1"/>
      <c r="CT787" s="1"/>
      <c r="CU787" s="1"/>
      <c r="CV787" s="1"/>
      <c r="CW787" s="1"/>
      <c r="CX787" s="1"/>
      <c r="CY787" s="91" t="str">
        <f t="shared" si="831"/>
        <v/>
      </c>
      <c r="CZ787" s="1"/>
      <c r="DC787" s="96"/>
      <c r="DE787" s="96"/>
    </row>
    <row r="788">
      <c r="A788" s="1"/>
      <c r="B788" s="1"/>
      <c r="C788" s="76"/>
      <c r="D788" s="76"/>
      <c r="E788" s="76"/>
      <c r="F788" s="76"/>
      <c r="G788" s="79"/>
      <c r="H788" s="80"/>
      <c r="I788" s="79"/>
      <c r="J788" s="80"/>
      <c r="K788" s="79"/>
      <c r="L788" s="142"/>
      <c r="M788" s="1"/>
      <c r="N788" s="142"/>
      <c r="O788" s="1"/>
      <c r="P788" s="142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79">
        <f t="shared" si="805"/>
        <v>0</v>
      </c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R788" s="1"/>
      <c r="CS788" s="1"/>
      <c r="CT788" s="1"/>
      <c r="CU788" s="1"/>
      <c r="CV788" s="1"/>
      <c r="CW788" s="1"/>
      <c r="CX788" s="1"/>
      <c r="CY788" s="91" t="str">
        <f t="shared" si="831"/>
        <v/>
      </c>
      <c r="CZ788" s="1"/>
      <c r="DC788" s="96"/>
      <c r="DE788" s="96"/>
    </row>
    <row r="789">
      <c r="A789" s="1"/>
      <c r="B789" s="1"/>
      <c r="C789" s="76"/>
      <c r="D789" s="76"/>
      <c r="E789" s="76"/>
      <c r="F789" s="76"/>
      <c r="G789" s="79"/>
      <c r="H789" s="80"/>
      <c r="I789" s="79"/>
      <c r="J789" s="80"/>
      <c r="K789" s="79"/>
      <c r="L789" s="142"/>
      <c r="M789" s="1"/>
      <c r="N789" s="142"/>
      <c r="O789" s="1"/>
      <c r="P789" s="142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79">
        <f t="shared" si="805"/>
        <v>0</v>
      </c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R789" s="1"/>
      <c r="CS789" s="1"/>
      <c r="CT789" s="1"/>
      <c r="CU789" s="1"/>
      <c r="CV789" s="1"/>
      <c r="CW789" s="1"/>
      <c r="CX789" s="1"/>
      <c r="CY789" s="91" t="str">
        <f t="shared" si="831"/>
        <v/>
      </c>
      <c r="CZ789" s="1"/>
      <c r="DC789" s="96"/>
      <c r="DE789" s="96"/>
    </row>
    <row r="790">
      <c r="A790" s="1"/>
      <c r="B790" s="1"/>
      <c r="C790" s="76"/>
      <c r="D790" s="76"/>
      <c r="E790" s="76"/>
      <c r="F790" s="76"/>
      <c r="G790" s="79"/>
      <c r="H790" s="80"/>
      <c r="I790" s="79"/>
      <c r="J790" s="80"/>
      <c r="K790" s="79"/>
      <c r="L790" s="142"/>
      <c r="M790" s="1"/>
      <c r="N790" s="142"/>
      <c r="O790" s="1"/>
      <c r="P790" s="142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79">
        <f t="shared" si="805"/>
        <v>0</v>
      </c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R790" s="1"/>
      <c r="CS790" s="1"/>
      <c r="CT790" s="1"/>
      <c r="CU790" s="1"/>
      <c r="CV790" s="1"/>
      <c r="CW790" s="1"/>
      <c r="CX790" s="1"/>
      <c r="CY790" s="91" t="str">
        <f t="shared" si="831"/>
        <v/>
      </c>
      <c r="CZ790" s="1"/>
      <c r="DC790" s="96"/>
      <c r="DE790" s="96"/>
    </row>
    <row r="791">
      <c r="A791" s="1"/>
      <c r="B791" s="1"/>
      <c r="C791" s="76"/>
      <c r="D791" s="76"/>
      <c r="E791" s="76"/>
      <c r="F791" s="76"/>
      <c r="G791" s="79"/>
      <c r="H791" s="80"/>
      <c r="I791" s="79"/>
      <c r="J791" s="80"/>
      <c r="K791" s="79"/>
      <c r="L791" s="142"/>
      <c r="M791" s="1"/>
      <c r="N791" s="142"/>
      <c r="O791" s="1"/>
      <c r="P791" s="142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79">
        <f t="shared" si="805"/>
        <v>0</v>
      </c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R791" s="1"/>
      <c r="CS791" s="1"/>
      <c r="CT791" s="1"/>
      <c r="CU791" s="1"/>
      <c r="CV791" s="1"/>
      <c r="CW791" s="1"/>
      <c r="CX791" s="1"/>
      <c r="CY791" s="91" t="str">
        <f t="shared" si="831"/>
        <v/>
      </c>
      <c r="CZ791" s="1"/>
      <c r="DC791" s="96"/>
      <c r="DE791" s="96"/>
    </row>
    <row r="792">
      <c r="A792" s="1"/>
      <c r="B792" s="1"/>
      <c r="C792" s="76"/>
      <c r="D792" s="76"/>
      <c r="E792" s="76"/>
      <c r="F792" s="76"/>
      <c r="G792" s="79"/>
      <c r="H792" s="80"/>
      <c r="I792" s="79"/>
      <c r="J792" s="80"/>
      <c r="K792" s="79"/>
      <c r="L792" s="142"/>
      <c r="M792" s="1"/>
      <c r="N792" s="142"/>
      <c r="O792" s="1"/>
      <c r="P792" s="142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79">
        <f t="shared" si="805"/>
        <v>0</v>
      </c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R792" s="1"/>
      <c r="CS792" s="1"/>
      <c r="CT792" s="1"/>
      <c r="CU792" s="1"/>
      <c r="CV792" s="1"/>
      <c r="CW792" s="1"/>
      <c r="CX792" s="1"/>
      <c r="CY792" s="91" t="str">
        <f t="shared" si="831"/>
        <v/>
      </c>
      <c r="CZ792" s="1"/>
      <c r="DC792" s="96"/>
      <c r="DE792" s="96"/>
    </row>
    <row r="793">
      <c r="A793" s="1"/>
      <c r="B793" s="1"/>
      <c r="C793" s="76"/>
      <c r="D793" s="76"/>
      <c r="E793" s="76"/>
      <c r="F793" s="76"/>
      <c r="G793" s="79"/>
      <c r="H793" s="80"/>
      <c r="I793" s="79"/>
      <c r="J793" s="80"/>
      <c r="K793" s="79"/>
      <c r="L793" s="142"/>
      <c r="M793" s="1"/>
      <c r="N793" s="142"/>
      <c r="O793" s="1"/>
      <c r="P793" s="142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79">
        <f t="shared" si="805"/>
        <v>0</v>
      </c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R793" s="1"/>
      <c r="CS793" s="1"/>
      <c r="CT793" s="1"/>
      <c r="CU793" s="1"/>
      <c r="CV793" s="1"/>
      <c r="CW793" s="1"/>
      <c r="CX793" s="1"/>
      <c r="CY793" s="91" t="str">
        <f t="shared" si="831"/>
        <v/>
      </c>
      <c r="CZ793" s="1"/>
      <c r="DC793" s="96"/>
      <c r="DE793" s="96"/>
    </row>
    <row r="794">
      <c r="A794" s="1"/>
      <c r="B794" s="1"/>
      <c r="C794" s="76"/>
      <c r="D794" s="76"/>
      <c r="E794" s="76"/>
      <c r="F794" s="76"/>
      <c r="G794" s="79"/>
      <c r="H794" s="80"/>
      <c r="I794" s="79"/>
      <c r="J794" s="80"/>
      <c r="K794" s="79"/>
      <c r="L794" s="142"/>
      <c r="M794" s="1"/>
      <c r="N794" s="142"/>
      <c r="O794" s="1"/>
      <c r="P794" s="142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79">
        <f t="shared" si="805"/>
        <v>0</v>
      </c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R794" s="1"/>
      <c r="CS794" s="1"/>
      <c r="CT794" s="1"/>
      <c r="CU794" s="1"/>
      <c r="CV794" s="1"/>
      <c r="CW794" s="1"/>
      <c r="CX794" s="1"/>
      <c r="CY794" s="91" t="str">
        <f t="shared" si="831"/>
        <v/>
      </c>
      <c r="CZ794" s="1"/>
      <c r="DC794" s="96"/>
      <c r="DE794" s="96"/>
    </row>
    <row r="795">
      <c r="A795" s="1"/>
      <c r="B795" s="1"/>
      <c r="C795" s="76"/>
      <c r="D795" s="76"/>
      <c r="E795" s="76"/>
      <c r="F795" s="76"/>
      <c r="G795" s="79"/>
      <c r="H795" s="80"/>
      <c r="I795" s="79"/>
      <c r="J795" s="80"/>
      <c r="K795" s="79"/>
      <c r="L795" s="142"/>
      <c r="M795" s="1"/>
      <c r="N795" s="142"/>
      <c r="O795" s="1"/>
      <c r="P795" s="142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79">
        <f t="shared" si="805"/>
        <v>0</v>
      </c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R795" s="1"/>
      <c r="CS795" s="1"/>
      <c r="CT795" s="1"/>
      <c r="CU795" s="1"/>
      <c r="CV795" s="1"/>
      <c r="CW795" s="1"/>
      <c r="CX795" s="1"/>
      <c r="CY795" s="91" t="str">
        <f t="shared" si="831"/>
        <v/>
      </c>
      <c r="CZ795" s="1"/>
      <c r="DC795" s="96"/>
      <c r="DE795" s="96"/>
    </row>
    <row r="796">
      <c r="A796" s="1"/>
      <c r="B796" s="1"/>
      <c r="C796" s="76"/>
      <c r="D796" s="76"/>
      <c r="E796" s="76"/>
      <c r="F796" s="76"/>
      <c r="G796" s="79"/>
      <c r="H796" s="80"/>
      <c r="I796" s="79"/>
      <c r="J796" s="80"/>
      <c r="K796" s="79"/>
      <c r="L796" s="142"/>
      <c r="M796" s="1"/>
      <c r="N796" s="142"/>
      <c r="O796" s="1"/>
      <c r="P796" s="142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79">
        <f t="shared" si="805"/>
        <v>0</v>
      </c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R796" s="1"/>
      <c r="CS796" s="1"/>
      <c r="CT796" s="1"/>
      <c r="CU796" s="1"/>
      <c r="CV796" s="1"/>
      <c r="CW796" s="1"/>
      <c r="CX796" s="1"/>
      <c r="CY796" s="91" t="str">
        <f t="shared" si="831"/>
        <v/>
      </c>
      <c r="CZ796" s="1"/>
      <c r="DC796" s="96"/>
      <c r="DE796" s="96"/>
    </row>
    <row r="797">
      <c r="A797" s="1"/>
      <c r="B797" s="1"/>
      <c r="C797" s="76"/>
      <c r="D797" s="76"/>
      <c r="E797" s="76"/>
      <c r="F797" s="76"/>
      <c r="G797" s="79"/>
      <c r="H797" s="80"/>
      <c r="I797" s="79"/>
      <c r="J797" s="80"/>
      <c r="K797" s="79"/>
      <c r="L797" s="142"/>
      <c r="M797" s="1"/>
      <c r="N797" s="142"/>
      <c r="O797" s="1"/>
      <c r="P797" s="142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79">
        <f t="shared" si="805"/>
        <v>0</v>
      </c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R797" s="1"/>
      <c r="CS797" s="1"/>
      <c r="CT797" s="1"/>
      <c r="CU797" s="1"/>
      <c r="CV797" s="1"/>
      <c r="CW797" s="1"/>
      <c r="CX797" s="1"/>
      <c r="CY797" s="91" t="str">
        <f t="shared" si="831"/>
        <v/>
      </c>
      <c r="CZ797" s="1"/>
      <c r="DC797" s="96"/>
      <c r="DE797" s="96"/>
    </row>
    <row r="798">
      <c r="A798" s="1"/>
      <c r="B798" s="1"/>
      <c r="C798" s="76"/>
      <c r="D798" s="76"/>
      <c r="E798" s="76"/>
      <c r="F798" s="76"/>
      <c r="G798" s="79"/>
      <c r="H798" s="80"/>
      <c r="I798" s="79"/>
      <c r="J798" s="80"/>
      <c r="K798" s="79"/>
      <c r="L798" s="142"/>
      <c r="M798" s="1"/>
      <c r="N798" s="142"/>
      <c r="O798" s="1"/>
      <c r="P798" s="142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79">
        <f t="shared" si="805"/>
        <v>0</v>
      </c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R798" s="1"/>
      <c r="CS798" s="1"/>
      <c r="CT798" s="1"/>
      <c r="CU798" s="1"/>
      <c r="CV798" s="1"/>
      <c r="CW798" s="1"/>
      <c r="CX798" s="1"/>
      <c r="CY798" s="91" t="str">
        <f t="shared" si="831"/>
        <v/>
      </c>
      <c r="CZ798" s="1"/>
      <c r="DC798" s="96"/>
      <c r="DE798" s="96"/>
    </row>
    <row r="799">
      <c r="A799" s="1"/>
      <c r="B799" s="1"/>
      <c r="C799" s="76"/>
      <c r="D799" s="76"/>
      <c r="E799" s="76"/>
      <c r="F799" s="76"/>
      <c r="G799" s="79"/>
      <c r="H799" s="80"/>
      <c r="I799" s="79"/>
      <c r="J799" s="80"/>
      <c r="K799" s="79"/>
      <c r="L799" s="142"/>
      <c r="M799" s="1"/>
      <c r="N799" s="142"/>
      <c r="O799" s="1"/>
      <c r="P799" s="142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79">
        <f t="shared" si="805"/>
        <v>0</v>
      </c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R799" s="1"/>
      <c r="CS799" s="1"/>
      <c r="CT799" s="1"/>
      <c r="CU799" s="1"/>
      <c r="CV799" s="1"/>
      <c r="CW799" s="1"/>
      <c r="CX799" s="1"/>
      <c r="CY799" s="91" t="str">
        <f t="shared" si="831"/>
        <v/>
      </c>
      <c r="CZ799" s="1"/>
      <c r="DC799" s="96"/>
      <c r="DE799" s="96"/>
    </row>
    <row r="800">
      <c r="A800" s="1"/>
      <c r="B800" s="1"/>
      <c r="C800" s="76"/>
      <c r="D800" s="76"/>
      <c r="E800" s="76"/>
      <c r="F800" s="76"/>
      <c r="G800" s="79"/>
      <c r="H800" s="80"/>
      <c r="I800" s="79"/>
      <c r="J800" s="80"/>
      <c r="K800" s="79"/>
      <c r="L800" s="142"/>
      <c r="M800" s="1"/>
      <c r="N800" s="142"/>
      <c r="O800" s="1"/>
      <c r="P800" s="142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79">
        <f t="shared" si="805"/>
        <v>0</v>
      </c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R800" s="1"/>
      <c r="CS800" s="1"/>
      <c r="CT800" s="1"/>
      <c r="CU800" s="1"/>
      <c r="CV800" s="1"/>
      <c r="CW800" s="1"/>
      <c r="CX800" s="1"/>
      <c r="CY800" s="91" t="str">
        <f t="shared" si="831"/>
        <v/>
      </c>
      <c r="CZ800" s="1"/>
      <c r="DC800" s="96"/>
      <c r="DE800" s="96"/>
    </row>
    <row r="801">
      <c r="A801" s="1"/>
      <c r="B801" s="1"/>
      <c r="C801" s="76"/>
      <c r="D801" s="76"/>
      <c r="E801" s="76"/>
      <c r="F801" s="76"/>
      <c r="G801" s="79"/>
      <c r="H801" s="80"/>
      <c r="I801" s="79"/>
      <c r="J801" s="80"/>
      <c r="K801" s="79"/>
      <c r="L801" s="142"/>
      <c r="M801" s="1"/>
      <c r="N801" s="142"/>
      <c r="O801" s="1"/>
      <c r="P801" s="142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79">
        <f t="shared" si="805"/>
        <v>0</v>
      </c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R801" s="1"/>
      <c r="CS801" s="1"/>
      <c r="CT801" s="1"/>
      <c r="CU801" s="1"/>
      <c r="CV801" s="1"/>
      <c r="CW801" s="1"/>
      <c r="CX801" s="1"/>
      <c r="CY801" s="91" t="str">
        <f t="shared" si="831"/>
        <v/>
      </c>
      <c r="CZ801" s="1"/>
      <c r="DC801" s="96"/>
      <c r="DE801" s="96"/>
    </row>
    <row r="802">
      <c r="A802" s="1"/>
      <c r="B802" s="1"/>
      <c r="C802" s="76"/>
      <c r="D802" s="76"/>
      <c r="E802" s="76"/>
      <c r="F802" s="76"/>
      <c r="G802" s="79"/>
      <c r="H802" s="80"/>
      <c r="I802" s="79"/>
      <c r="J802" s="80"/>
      <c r="K802" s="79"/>
      <c r="L802" s="142"/>
      <c r="M802" s="1"/>
      <c r="N802" s="142"/>
      <c r="O802" s="1"/>
      <c r="P802" s="142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79">
        <f t="shared" si="805"/>
        <v>0</v>
      </c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R802" s="1"/>
      <c r="CS802" s="1"/>
      <c r="CT802" s="1"/>
      <c r="CU802" s="1"/>
      <c r="CV802" s="1"/>
      <c r="CW802" s="1"/>
      <c r="CX802" s="1"/>
      <c r="CY802" s="91" t="str">
        <f t="shared" si="831"/>
        <v/>
      </c>
      <c r="CZ802" s="1"/>
      <c r="DC802" s="96"/>
      <c r="DE802" s="96"/>
    </row>
    <row r="803">
      <c r="A803" s="1"/>
      <c r="B803" s="1"/>
      <c r="C803" s="76"/>
      <c r="D803" s="76"/>
      <c r="E803" s="76"/>
      <c r="F803" s="76"/>
      <c r="G803" s="79"/>
      <c r="H803" s="80"/>
      <c r="I803" s="79"/>
      <c r="J803" s="80"/>
      <c r="K803" s="79"/>
      <c r="L803" s="142"/>
      <c r="M803" s="1"/>
      <c r="N803" s="142"/>
      <c r="O803" s="1"/>
      <c r="P803" s="142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79">
        <f t="shared" si="805"/>
        <v>0</v>
      </c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R803" s="1"/>
      <c r="CS803" s="1"/>
      <c r="CT803" s="1"/>
      <c r="CU803" s="1"/>
      <c r="CV803" s="1"/>
      <c r="CW803" s="1"/>
      <c r="CX803" s="1"/>
      <c r="CY803" s="91" t="str">
        <f t="shared" si="831"/>
        <v/>
      </c>
      <c r="CZ803" s="1"/>
      <c r="DC803" s="96"/>
      <c r="DE803" s="96"/>
    </row>
    <row r="804">
      <c r="A804" s="1"/>
      <c r="B804" s="1"/>
      <c r="C804" s="76"/>
      <c r="D804" s="76"/>
      <c r="E804" s="76"/>
      <c r="F804" s="76"/>
      <c r="G804" s="79"/>
      <c r="H804" s="80"/>
      <c r="I804" s="79"/>
      <c r="J804" s="80"/>
      <c r="K804" s="79"/>
      <c r="L804" s="142"/>
      <c r="M804" s="1"/>
      <c r="N804" s="142"/>
      <c r="O804" s="1"/>
      <c r="P804" s="142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79">
        <f t="shared" si="805"/>
        <v>0</v>
      </c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R804" s="1"/>
      <c r="CS804" s="1"/>
      <c r="CT804" s="1"/>
      <c r="CU804" s="1"/>
      <c r="CV804" s="1"/>
      <c r="CW804" s="1"/>
      <c r="CX804" s="1"/>
      <c r="CY804" s="91" t="str">
        <f t="shared" si="831"/>
        <v/>
      </c>
      <c r="CZ804" s="1"/>
      <c r="DC804" s="96"/>
      <c r="DE804" s="96"/>
    </row>
    <row r="805">
      <c r="A805" s="1"/>
      <c r="B805" s="1"/>
      <c r="C805" s="76"/>
      <c r="D805" s="76"/>
      <c r="E805" s="76"/>
      <c r="F805" s="76"/>
      <c r="G805" s="79"/>
      <c r="H805" s="80"/>
      <c r="I805" s="79"/>
      <c r="J805" s="80"/>
      <c r="K805" s="79"/>
      <c r="L805" s="142"/>
      <c r="M805" s="1"/>
      <c r="N805" s="142"/>
      <c r="O805" s="1"/>
      <c r="P805" s="142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79">
        <f t="shared" si="805"/>
        <v>0</v>
      </c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R805" s="1"/>
      <c r="CS805" s="1"/>
      <c r="CT805" s="1"/>
      <c r="CU805" s="1"/>
      <c r="CV805" s="1"/>
      <c r="CW805" s="1"/>
      <c r="CX805" s="1"/>
      <c r="CY805" s="91" t="str">
        <f t="shared" si="831"/>
        <v/>
      </c>
      <c r="CZ805" s="1"/>
      <c r="DC805" s="96"/>
      <c r="DE805" s="96"/>
    </row>
    <row r="806">
      <c r="A806" s="1"/>
      <c r="B806" s="1"/>
      <c r="C806" s="76"/>
      <c r="D806" s="76"/>
      <c r="E806" s="76"/>
      <c r="F806" s="76"/>
      <c r="G806" s="79"/>
      <c r="H806" s="80"/>
      <c r="I806" s="79"/>
      <c r="J806" s="80"/>
      <c r="K806" s="79"/>
      <c r="L806" s="142"/>
      <c r="M806" s="1"/>
      <c r="N806" s="142"/>
      <c r="O806" s="1"/>
      <c r="P806" s="142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79">
        <f t="shared" si="805"/>
        <v>0</v>
      </c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R806" s="1"/>
      <c r="CS806" s="1"/>
      <c r="CT806" s="1"/>
      <c r="CU806" s="1"/>
      <c r="CV806" s="1"/>
      <c r="CW806" s="1"/>
      <c r="CX806" s="1"/>
      <c r="CY806" s="91" t="str">
        <f t="shared" si="831"/>
        <v/>
      </c>
      <c r="CZ806" s="1"/>
      <c r="DC806" s="96"/>
      <c r="DE806" s="96"/>
    </row>
    <row r="807">
      <c r="A807" s="1"/>
      <c r="B807" s="1"/>
      <c r="C807" s="76"/>
      <c r="D807" s="76"/>
      <c r="E807" s="76"/>
      <c r="F807" s="76"/>
      <c r="G807" s="79"/>
      <c r="H807" s="80"/>
      <c r="I807" s="79"/>
      <c r="J807" s="80"/>
      <c r="K807" s="79"/>
      <c r="L807" s="142"/>
      <c r="M807" s="1"/>
      <c r="N807" s="142"/>
      <c r="O807" s="1"/>
      <c r="P807" s="142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79">
        <f t="shared" si="805"/>
        <v>0</v>
      </c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R807" s="1"/>
      <c r="CS807" s="1"/>
      <c r="CT807" s="1"/>
      <c r="CU807" s="1"/>
      <c r="CV807" s="1"/>
      <c r="CW807" s="1"/>
      <c r="CX807" s="1"/>
      <c r="CY807" s="91" t="str">
        <f t="shared" si="831"/>
        <v/>
      </c>
      <c r="CZ807" s="1"/>
      <c r="DC807" s="96"/>
      <c r="DE807" s="96"/>
    </row>
    <row r="808">
      <c r="A808" s="1"/>
      <c r="B808" s="1"/>
      <c r="C808" s="76"/>
      <c r="D808" s="76"/>
      <c r="E808" s="76"/>
      <c r="F808" s="76"/>
      <c r="G808" s="79"/>
      <c r="H808" s="80"/>
      <c r="I808" s="79"/>
      <c r="J808" s="80"/>
      <c r="K808" s="79"/>
      <c r="L808" s="142"/>
      <c r="M808" s="1"/>
      <c r="N808" s="142"/>
      <c r="O808" s="1"/>
      <c r="P808" s="142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79">
        <f t="shared" si="805"/>
        <v>0</v>
      </c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R808" s="1"/>
      <c r="CS808" s="1"/>
      <c r="CT808" s="1"/>
      <c r="CU808" s="1"/>
      <c r="CV808" s="1"/>
      <c r="CW808" s="1"/>
      <c r="CX808" s="1"/>
      <c r="CY808" s="91" t="str">
        <f t="shared" si="831"/>
        <v/>
      </c>
      <c r="CZ808" s="1"/>
      <c r="DC808" s="96"/>
      <c r="DE808" s="96"/>
    </row>
    <row r="809">
      <c r="A809" s="1"/>
      <c r="B809" s="1"/>
      <c r="C809" s="76"/>
      <c r="D809" s="76"/>
      <c r="E809" s="76"/>
      <c r="F809" s="76"/>
      <c r="G809" s="79"/>
      <c r="H809" s="80"/>
      <c r="I809" s="79"/>
      <c r="J809" s="80"/>
      <c r="K809" s="79"/>
      <c r="L809" s="142"/>
      <c r="M809" s="1"/>
      <c r="N809" s="142"/>
      <c r="O809" s="1"/>
      <c r="P809" s="142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79">
        <f t="shared" si="805"/>
        <v>0</v>
      </c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R809" s="1"/>
      <c r="CS809" s="1"/>
      <c r="CT809" s="1"/>
      <c r="CU809" s="1"/>
      <c r="CV809" s="1"/>
      <c r="CW809" s="1"/>
      <c r="CX809" s="1"/>
      <c r="CY809" s="91" t="str">
        <f t="shared" si="831"/>
        <v/>
      </c>
      <c r="CZ809" s="1"/>
      <c r="DC809" s="96"/>
      <c r="DE809" s="96"/>
    </row>
    <row r="810">
      <c r="A810" s="1"/>
      <c r="B810" s="1"/>
      <c r="C810" s="76"/>
      <c r="D810" s="76"/>
      <c r="E810" s="76"/>
      <c r="F810" s="76"/>
      <c r="G810" s="79"/>
      <c r="H810" s="80"/>
      <c r="I810" s="79"/>
      <c r="J810" s="80"/>
      <c r="K810" s="79"/>
      <c r="L810" s="142"/>
      <c r="M810" s="1"/>
      <c r="N810" s="142"/>
      <c r="O810" s="1"/>
      <c r="P810" s="142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79">
        <f t="shared" si="805"/>
        <v>0</v>
      </c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R810" s="1"/>
      <c r="CS810" s="1"/>
      <c r="CT810" s="1"/>
      <c r="CU810" s="1"/>
      <c r="CV810" s="1"/>
      <c r="CW810" s="1"/>
      <c r="CX810" s="1"/>
      <c r="CY810" s="91" t="str">
        <f t="shared" si="831"/>
        <v/>
      </c>
      <c r="CZ810" s="1"/>
      <c r="DC810" s="96"/>
      <c r="DE810" s="96"/>
    </row>
    <row r="811">
      <c r="A811" s="1"/>
      <c r="B811" s="1"/>
      <c r="C811" s="76"/>
      <c r="D811" s="76"/>
      <c r="E811" s="76"/>
      <c r="F811" s="76"/>
      <c r="G811" s="79"/>
      <c r="H811" s="80"/>
      <c r="I811" s="79"/>
      <c r="J811" s="80"/>
      <c r="K811" s="79"/>
      <c r="L811" s="142"/>
      <c r="M811" s="1"/>
      <c r="N811" s="142"/>
      <c r="O811" s="1"/>
      <c r="P811" s="142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79">
        <f t="shared" si="805"/>
        <v>0</v>
      </c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R811" s="1"/>
      <c r="CS811" s="1"/>
      <c r="CT811" s="1"/>
      <c r="CU811" s="1"/>
      <c r="CV811" s="1"/>
      <c r="CW811" s="1"/>
      <c r="CX811" s="1"/>
      <c r="CY811" s="91" t="str">
        <f t="shared" si="831"/>
        <v/>
      </c>
      <c r="CZ811" s="1"/>
      <c r="DC811" s="96"/>
      <c r="DE811" s="96"/>
    </row>
    <row r="812">
      <c r="A812" s="1"/>
      <c r="B812" s="1"/>
      <c r="C812" s="76"/>
      <c r="D812" s="76"/>
      <c r="E812" s="76"/>
      <c r="F812" s="76"/>
      <c r="G812" s="79"/>
      <c r="H812" s="80"/>
      <c r="I812" s="79"/>
      <c r="J812" s="80"/>
      <c r="K812" s="79"/>
      <c r="L812" s="142"/>
      <c r="M812" s="1"/>
      <c r="N812" s="142"/>
      <c r="O812" s="1"/>
      <c r="P812" s="142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79">
        <f t="shared" si="805"/>
        <v>0</v>
      </c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R812" s="1"/>
      <c r="CS812" s="1"/>
      <c r="CT812" s="1"/>
      <c r="CU812" s="1"/>
      <c r="CV812" s="1"/>
      <c r="CW812" s="1"/>
      <c r="CX812" s="1"/>
      <c r="CY812" s="91" t="str">
        <f t="shared" si="831"/>
        <v/>
      </c>
      <c r="CZ812" s="1"/>
      <c r="DC812" s="96"/>
      <c r="DE812" s="96"/>
    </row>
    <row r="813">
      <c r="A813" s="1"/>
      <c r="B813" s="1"/>
      <c r="C813" s="76"/>
      <c r="D813" s="76"/>
      <c r="E813" s="76"/>
      <c r="F813" s="76"/>
      <c r="G813" s="79"/>
      <c r="H813" s="80"/>
      <c r="I813" s="79"/>
      <c r="J813" s="80"/>
      <c r="K813" s="79"/>
      <c r="L813" s="142"/>
      <c r="M813" s="1"/>
      <c r="N813" s="142"/>
      <c r="O813" s="1"/>
      <c r="P813" s="142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79">
        <f t="shared" si="805"/>
        <v>0</v>
      </c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R813" s="1"/>
      <c r="CS813" s="1"/>
      <c r="CT813" s="1"/>
      <c r="CU813" s="1"/>
      <c r="CV813" s="1"/>
      <c r="CW813" s="1"/>
      <c r="CX813" s="1"/>
      <c r="CY813" s="91" t="str">
        <f t="shared" si="831"/>
        <v/>
      </c>
      <c r="CZ813" s="1"/>
      <c r="DC813" s="96"/>
      <c r="DE813" s="96"/>
    </row>
    <row r="814">
      <c r="A814" s="1"/>
      <c r="B814" s="1"/>
      <c r="C814" s="76"/>
      <c r="D814" s="76"/>
      <c r="E814" s="76"/>
      <c r="F814" s="76"/>
      <c r="G814" s="79"/>
      <c r="H814" s="80"/>
      <c r="I814" s="79"/>
      <c r="J814" s="80"/>
      <c r="K814" s="79"/>
      <c r="L814" s="142"/>
      <c r="M814" s="1"/>
      <c r="N814" s="142"/>
      <c r="O814" s="1"/>
      <c r="P814" s="142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79">
        <f t="shared" si="805"/>
        <v>0</v>
      </c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R814" s="1"/>
      <c r="CS814" s="1"/>
      <c r="CT814" s="1"/>
      <c r="CU814" s="1"/>
      <c r="CV814" s="1"/>
      <c r="CW814" s="1"/>
      <c r="CX814" s="1"/>
      <c r="CY814" s="91" t="str">
        <f t="shared" si="831"/>
        <v/>
      </c>
      <c r="CZ814" s="1"/>
      <c r="DC814" s="96"/>
      <c r="DE814" s="96"/>
    </row>
    <row r="815">
      <c r="A815" s="1"/>
      <c r="B815" s="1"/>
      <c r="C815" s="76"/>
      <c r="D815" s="76"/>
      <c r="E815" s="76"/>
      <c r="F815" s="76"/>
      <c r="G815" s="79"/>
      <c r="H815" s="80"/>
      <c r="I815" s="79"/>
      <c r="J815" s="80"/>
      <c r="K815" s="79"/>
      <c r="L815" s="142"/>
      <c r="M815" s="1"/>
      <c r="N815" s="142"/>
      <c r="O815" s="1"/>
      <c r="P815" s="142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79">
        <f t="shared" si="805"/>
        <v>0</v>
      </c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R815" s="1"/>
      <c r="CS815" s="1"/>
      <c r="CT815" s="1"/>
      <c r="CU815" s="1"/>
      <c r="CV815" s="1"/>
      <c r="CW815" s="1"/>
      <c r="CX815" s="1"/>
      <c r="CY815" s="91" t="str">
        <f t="shared" si="831"/>
        <v/>
      </c>
      <c r="CZ815" s="1"/>
      <c r="DC815" s="96"/>
      <c r="DE815" s="96"/>
    </row>
    <row r="816">
      <c r="A816" s="1"/>
      <c r="B816" s="1"/>
      <c r="C816" s="76"/>
      <c r="D816" s="76"/>
      <c r="E816" s="76"/>
      <c r="F816" s="76"/>
      <c r="G816" s="79"/>
      <c r="H816" s="80"/>
      <c r="I816" s="79"/>
      <c r="J816" s="80"/>
      <c r="K816" s="79"/>
      <c r="L816" s="142"/>
      <c r="M816" s="1"/>
      <c r="N816" s="142"/>
      <c r="O816" s="1"/>
      <c r="P816" s="142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79">
        <f t="shared" si="805"/>
        <v>0</v>
      </c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R816" s="1"/>
      <c r="CS816" s="1"/>
      <c r="CT816" s="1"/>
      <c r="CU816" s="1"/>
      <c r="CV816" s="1"/>
      <c r="CW816" s="1"/>
      <c r="CX816" s="1"/>
      <c r="CY816" s="91" t="str">
        <f t="shared" si="831"/>
        <v/>
      </c>
      <c r="CZ816" s="1"/>
      <c r="DC816" s="96"/>
      <c r="DE816" s="96"/>
    </row>
    <row r="817">
      <c r="A817" s="1"/>
      <c r="B817" s="1"/>
      <c r="C817" s="76"/>
      <c r="D817" s="76"/>
      <c r="E817" s="76"/>
      <c r="F817" s="76"/>
      <c r="G817" s="79"/>
      <c r="H817" s="80"/>
      <c r="I817" s="79"/>
      <c r="J817" s="80"/>
      <c r="K817" s="79"/>
      <c r="L817" s="142"/>
      <c r="M817" s="1"/>
      <c r="N817" s="142"/>
      <c r="O817" s="1"/>
      <c r="P817" s="142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79">
        <f t="shared" si="805"/>
        <v>0</v>
      </c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R817" s="1"/>
      <c r="CS817" s="1"/>
      <c r="CT817" s="1"/>
      <c r="CU817" s="1"/>
      <c r="CV817" s="1"/>
      <c r="CW817" s="1"/>
      <c r="CX817" s="1"/>
      <c r="CY817" s="91" t="str">
        <f t="shared" si="831"/>
        <v/>
      </c>
      <c r="CZ817" s="1"/>
      <c r="DC817" s="96"/>
      <c r="DE817" s="96"/>
    </row>
    <row r="818">
      <c r="A818" s="1"/>
      <c r="B818" s="1"/>
      <c r="C818" s="76"/>
      <c r="D818" s="76"/>
      <c r="E818" s="76"/>
      <c r="F818" s="76"/>
      <c r="G818" s="79"/>
      <c r="H818" s="80"/>
      <c r="I818" s="79"/>
      <c r="J818" s="80"/>
      <c r="K818" s="79"/>
      <c r="L818" s="142"/>
      <c r="M818" s="1"/>
      <c r="N818" s="142"/>
      <c r="O818" s="1"/>
      <c r="P818" s="142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79">
        <f t="shared" si="805"/>
        <v>0</v>
      </c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R818" s="1"/>
      <c r="CS818" s="1"/>
      <c r="CT818" s="1"/>
      <c r="CU818" s="1"/>
      <c r="CV818" s="1"/>
      <c r="CW818" s="1"/>
      <c r="CX818" s="1"/>
      <c r="CY818" s="91" t="str">
        <f t="shared" si="831"/>
        <v/>
      </c>
      <c r="CZ818" s="1"/>
      <c r="DC818" s="96"/>
      <c r="DE818" s="96"/>
    </row>
    <row r="819">
      <c r="A819" s="1"/>
      <c r="B819" s="1"/>
      <c r="C819" s="76"/>
      <c r="D819" s="76"/>
      <c r="E819" s="76"/>
      <c r="F819" s="76"/>
      <c r="G819" s="79"/>
      <c r="H819" s="80"/>
      <c r="I819" s="79"/>
      <c r="J819" s="80"/>
      <c r="K819" s="79"/>
      <c r="L819" s="142"/>
      <c r="M819" s="1"/>
      <c r="N819" s="142"/>
      <c r="O819" s="1"/>
      <c r="P819" s="142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79">
        <f t="shared" si="805"/>
        <v>0</v>
      </c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R819" s="1"/>
      <c r="CS819" s="1"/>
      <c r="CT819" s="1"/>
      <c r="CU819" s="1"/>
      <c r="CV819" s="1"/>
      <c r="CW819" s="1"/>
      <c r="CX819" s="1"/>
      <c r="CY819" s="91" t="str">
        <f t="shared" si="831"/>
        <v/>
      </c>
      <c r="CZ819" s="1"/>
      <c r="DC819" s="96"/>
      <c r="DE819" s="96"/>
    </row>
    <row r="820">
      <c r="A820" s="1"/>
      <c r="B820" s="1"/>
      <c r="C820" s="76"/>
      <c r="D820" s="76"/>
      <c r="E820" s="76"/>
      <c r="F820" s="76"/>
      <c r="G820" s="79"/>
      <c r="H820" s="80"/>
      <c r="I820" s="79"/>
      <c r="J820" s="80"/>
      <c r="K820" s="79"/>
      <c r="L820" s="142"/>
      <c r="M820" s="1"/>
      <c r="N820" s="142"/>
      <c r="O820" s="1"/>
      <c r="P820" s="142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79">
        <f t="shared" si="805"/>
        <v>0</v>
      </c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R820" s="1"/>
      <c r="CS820" s="1"/>
      <c r="CT820" s="1"/>
      <c r="CU820" s="1"/>
      <c r="CV820" s="1"/>
      <c r="CW820" s="1"/>
      <c r="CX820" s="1"/>
      <c r="CY820" s="91" t="str">
        <f t="shared" si="831"/>
        <v/>
      </c>
      <c r="CZ820" s="1"/>
      <c r="DC820" s="96"/>
      <c r="DE820" s="96"/>
    </row>
    <row r="821">
      <c r="A821" s="1"/>
      <c r="B821" s="1"/>
      <c r="C821" s="76"/>
      <c r="D821" s="76"/>
      <c r="E821" s="76"/>
      <c r="F821" s="76"/>
      <c r="G821" s="79"/>
      <c r="H821" s="80"/>
      <c r="I821" s="79"/>
      <c r="J821" s="80"/>
      <c r="K821" s="79"/>
      <c r="L821" s="142"/>
      <c r="M821" s="1"/>
      <c r="N821" s="142"/>
      <c r="O821" s="1"/>
      <c r="P821" s="142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79">
        <f t="shared" si="805"/>
        <v>0</v>
      </c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R821" s="1"/>
      <c r="CS821" s="1"/>
      <c r="CT821" s="1"/>
      <c r="CU821" s="1"/>
      <c r="CV821" s="1"/>
      <c r="CW821" s="1"/>
      <c r="CX821" s="1"/>
      <c r="CY821" s="91" t="str">
        <f t="shared" si="831"/>
        <v/>
      </c>
      <c r="CZ821" s="1"/>
      <c r="DC821" s="96"/>
      <c r="DE821" s="96"/>
    </row>
    <row r="822">
      <c r="A822" s="1"/>
      <c r="B822" s="1"/>
      <c r="C822" s="76"/>
      <c r="D822" s="76"/>
      <c r="E822" s="76"/>
      <c r="F822" s="76"/>
      <c r="G822" s="79"/>
      <c r="H822" s="80"/>
      <c r="I822" s="79"/>
      <c r="J822" s="80"/>
      <c r="K822" s="79"/>
      <c r="L822" s="142"/>
      <c r="M822" s="1"/>
      <c r="N822" s="142"/>
      <c r="O822" s="1"/>
      <c r="P822" s="142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79">
        <f t="shared" si="805"/>
        <v>0</v>
      </c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R822" s="1"/>
      <c r="CS822" s="1"/>
      <c r="CT822" s="1"/>
      <c r="CU822" s="1"/>
      <c r="CV822" s="1"/>
      <c r="CW822" s="1"/>
      <c r="CX822" s="1"/>
      <c r="CY822" s="91" t="str">
        <f t="shared" si="831"/>
        <v/>
      </c>
      <c r="CZ822" s="1"/>
      <c r="DC822" s="96"/>
      <c r="DE822" s="96"/>
    </row>
    <row r="823">
      <c r="A823" s="1"/>
      <c r="B823" s="1"/>
      <c r="C823" s="76"/>
      <c r="D823" s="76"/>
      <c r="E823" s="76"/>
      <c r="F823" s="76"/>
      <c r="G823" s="79"/>
      <c r="H823" s="80"/>
      <c r="I823" s="79"/>
      <c r="J823" s="80"/>
      <c r="K823" s="79"/>
      <c r="L823" s="142"/>
      <c r="M823" s="1"/>
      <c r="N823" s="142"/>
      <c r="O823" s="1"/>
      <c r="P823" s="142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79">
        <f t="shared" si="805"/>
        <v>0</v>
      </c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R823" s="1"/>
      <c r="CS823" s="1"/>
      <c r="CT823" s="1"/>
      <c r="CU823" s="1"/>
      <c r="CV823" s="1"/>
      <c r="CW823" s="1"/>
      <c r="CX823" s="1"/>
      <c r="CY823" s="91" t="str">
        <f t="shared" si="831"/>
        <v/>
      </c>
      <c r="CZ823" s="1"/>
      <c r="DC823" s="96"/>
      <c r="DE823" s="96"/>
    </row>
    <row r="824">
      <c r="A824" s="1"/>
      <c r="B824" s="1"/>
      <c r="C824" s="76"/>
      <c r="D824" s="76"/>
      <c r="E824" s="76"/>
      <c r="F824" s="76"/>
      <c r="G824" s="79"/>
      <c r="H824" s="80"/>
      <c r="I824" s="79"/>
      <c r="J824" s="80"/>
      <c r="K824" s="79"/>
      <c r="L824" s="142"/>
      <c r="M824" s="1"/>
      <c r="N824" s="142"/>
      <c r="O824" s="1"/>
      <c r="P824" s="142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79">
        <f t="shared" si="805"/>
        <v>0</v>
      </c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R824" s="1"/>
      <c r="CS824" s="1"/>
      <c r="CT824" s="1"/>
      <c r="CU824" s="1"/>
      <c r="CV824" s="1"/>
      <c r="CW824" s="1"/>
      <c r="CX824" s="1"/>
      <c r="CY824" s="91" t="str">
        <f t="shared" si="831"/>
        <v/>
      </c>
      <c r="CZ824" s="1"/>
      <c r="DC824" s="96"/>
      <c r="DE824" s="96"/>
    </row>
    <row r="825">
      <c r="A825" s="1"/>
      <c r="B825" s="1"/>
      <c r="C825" s="76"/>
      <c r="D825" s="76"/>
      <c r="E825" s="76"/>
      <c r="F825" s="76"/>
      <c r="G825" s="79"/>
      <c r="H825" s="80"/>
      <c r="I825" s="79"/>
      <c r="J825" s="80"/>
      <c r="K825" s="79"/>
      <c r="L825" s="142"/>
      <c r="M825" s="1"/>
      <c r="N825" s="142"/>
      <c r="O825" s="1"/>
      <c r="P825" s="142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79">
        <f t="shared" si="805"/>
        <v>0</v>
      </c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R825" s="1"/>
      <c r="CS825" s="1"/>
      <c r="CT825" s="1"/>
      <c r="CU825" s="1"/>
      <c r="CV825" s="1"/>
      <c r="CW825" s="1"/>
      <c r="CX825" s="1"/>
      <c r="CY825" s="91" t="str">
        <f t="shared" si="831"/>
        <v/>
      </c>
      <c r="CZ825" s="1"/>
      <c r="DC825" s="96"/>
      <c r="DE825" s="96"/>
    </row>
    <row r="826">
      <c r="A826" s="1"/>
      <c r="B826" s="1"/>
      <c r="C826" s="76"/>
      <c r="D826" s="76"/>
      <c r="E826" s="76"/>
      <c r="F826" s="76"/>
      <c r="G826" s="79"/>
      <c r="H826" s="80"/>
      <c r="I826" s="79"/>
      <c r="J826" s="80"/>
      <c r="K826" s="79"/>
      <c r="L826" s="142"/>
      <c r="M826" s="1"/>
      <c r="N826" s="142"/>
      <c r="O826" s="1"/>
      <c r="P826" s="142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79">
        <f t="shared" si="805"/>
        <v>0</v>
      </c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R826" s="1"/>
      <c r="CS826" s="1"/>
      <c r="CT826" s="1"/>
      <c r="CU826" s="1"/>
      <c r="CV826" s="1"/>
      <c r="CW826" s="1"/>
      <c r="CX826" s="1"/>
      <c r="CY826" s="91" t="str">
        <f t="shared" si="831"/>
        <v/>
      </c>
      <c r="CZ826" s="1"/>
      <c r="DC826" s="96"/>
      <c r="DE826" s="96"/>
    </row>
    <row r="827">
      <c r="A827" s="1"/>
      <c r="B827" s="1"/>
      <c r="C827" s="76"/>
      <c r="D827" s="76"/>
      <c r="E827" s="76"/>
      <c r="F827" s="76"/>
      <c r="G827" s="79"/>
      <c r="H827" s="80"/>
      <c r="I827" s="79"/>
      <c r="J827" s="80"/>
      <c r="K827" s="79"/>
      <c r="L827" s="142"/>
      <c r="M827" s="1"/>
      <c r="N827" s="142"/>
      <c r="O827" s="1"/>
      <c r="P827" s="142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79">
        <f t="shared" si="805"/>
        <v>0</v>
      </c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R827" s="1"/>
      <c r="CS827" s="1"/>
      <c r="CT827" s="1"/>
      <c r="CU827" s="1"/>
      <c r="CV827" s="1"/>
      <c r="CW827" s="1"/>
      <c r="CX827" s="1"/>
      <c r="CY827" s="91" t="str">
        <f t="shared" si="831"/>
        <v/>
      </c>
      <c r="CZ827" s="1"/>
      <c r="DC827" s="96"/>
      <c r="DE827" s="96"/>
    </row>
    <row r="828">
      <c r="A828" s="1"/>
      <c r="B828" s="1"/>
      <c r="C828" s="76"/>
      <c r="D828" s="76"/>
      <c r="E828" s="76"/>
      <c r="F828" s="76"/>
      <c r="G828" s="79"/>
      <c r="H828" s="80"/>
      <c r="I828" s="79"/>
      <c r="J828" s="80"/>
      <c r="K828" s="79"/>
      <c r="L828" s="142"/>
      <c r="M828" s="1"/>
      <c r="N828" s="142"/>
      <c r="O828" s="1"/>
      <c r="P828" s="142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79">
        <f t="shared" si="805"/>
        <v>0</v>
      </c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R828" s="1"/>
      <c r="CS828" s="1"/>
      <c r="CT828" s="1"/>
      <c r="CU828" s="1"/>
      <c r="CV828" s="1"/>
      <c r="CW828" s="1"/>
      <c r="CX828" s="1"/>
      <c r="CY828" s="91" t="str">
        <f t="shared" si="831"/>
        <v/>
      </c>
      <c r="CZ828" s="1"/>
      <c r="DC828" s="96"/>
      <c r="DE828" s="96"/>
    </row>
    <row r="829">
      <c r="A829" s="1"/>
      <c r="B829" s="1"/>
      <c r="C829" s="76"/>
      <c r="D829" s="76"/>
      <c r="E829" s="76"/>
      <c r="F829" s="76"/>
      <c r="G829" s="79"/>
      <c r="H829" s="80"/>
      <c r="I829" s="79"/>
      <c r="J829" s="80"/>
      <c r="K829" s="79"/>
      <c r="L829" s="142"/>
      <c r="M829" s="1"/>
      <c r="N829" s="142"/>
      <c r="O829" s="1"/>
      <c r="P829" s="142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79">
        <f t="shared" si="805"/>
        <v>0</v>
      </c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R829" s="1"/>
      <c r="CS829" s="1"/>
      <c r="CT829" s="1"/>
      <c r="CU829" s="1"/>
      <c r="CV829" s="1"/>
      <c r="CW829" s="1"/>
      <c r="CX829" s="1"/>
      <c r="CY829" s="91" t="str">
        <f t="shared" si="831"/>
        <v/>
      </c>
      <c r="CZ829" s="1"/>
      <c r="DC829" s="96"/>
      <c r="DE829" s="96"/>
    </row>
    <row r="830">
      <c r="A830" s="1"/>
      <c r="B830" s="1"/>
      <c r="C830" s="76"/>
      <c r="D830" s="76"/>
      <c r="E830" s="76"/>
      <c r="F830" s="76"/>
      <c r="G830" s="79"/>
      <c r="H830" s="80"/>
      <c r="I830" s="79"/>
      <c r="J830" s="80"/>
      <c r="K830" s="79"/>
      <c r="L830" s="142"/>
      <c r="M830" s="1"/>
      <c r="N830" s="142"/>
      <c r="O830" s="1"/>
      <c r="P830" s="142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79">
        <f t="shared" si="805"/>
        <v>0</v>
      </c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R830" s="1"/>
      <c r="CS830" s="1"/>
      <c r="CT830" s="1"/>
      <c r="CU830" s="1"/>
      <c r="CV830" s="1"/>
      <c r="CW830" s="1"/>
      <c r="CX830" s="1"/>
      <c r="CY830" s="91" t="str">
        <f t="shared" si="831"/>
        <v/>
      </c>
      <c r="CZ830" s="1"/>
      <c r="DC830" s="96"/>
      <c r="DE830" s="96"/>
    </row>
    <row r="831">
      <c r="A831" s="1"/>
      <c r="B831" s="1"/>
      <c r="C831" s="76"/>
      <c r="D831" s="76"/>
      <c r="E831" s="76"/>
      <c r="F831" s="76"/>
      <c r="G831" s="79"/>
      <c r="H831" s="80"/>
      <c r="I831" s="79"/>
      <c r="J831" s="80"/>
      <c r="K831" s="79"/>
      <c r="L831" s="142"/>
      <c r="M831" s="1"/>
      <c r="N831" s="142"/>
      <c r="O831" s="1"/>
      <c r="P831" s="142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79">
        <f t="shared" si="805"/>
        <v>0</v>
      </c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R831" s="1"/>
      <c r="CS831" s="1"/>
      <c r="CT831" s="1"/>
      <c r="CU831" s="1"/>
      <c r="CV831" s="1"/>
      <c r="CW831" s="1"/>
      <c r="CX831" s="1"/>
      <c r="CY831" s="91" t="str">
        <f t="shared" si="831"/>
        <v/>
      </c>
      <c r="CZ831" s="1"/>
      <c r="DC831" s="96"/>
      <c r="DE831" s="96"/>
    </row>
    <row r="832">
      <c r="A832" s="1"/>
      <c r="B832" s="1"/>
      <c r="C832" s="76"/>
      <c r="D832" s="76"/>
      <c r="E832" s="76"/>
      <c r="F832" s="76"/>
      <c r="G832" s="79"/>
      <c r="H832" s="80"/>
      <c r="I832" s="79"/>
      <c r="J832" s="80"/>
      <c r="K832" s="79"/>
      <c r="L832" s="142"/>
      <c r="M832" s="1"/>
      <c r="N832" s="142"/>
      <c r="O832" s="1"/>
      <c r="P832" s="142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79">
        <f t="shared" si="805"/>
        <v>0</v>
      </c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R832" s="1"/>
      <c r="CS832" s="1"/>
      <c r="CT832" s="1"/>
      <c r="CU832" s="1"/>
      <c r="CV832" s="1"/>
      <c r="CW832" s="1"/>
      <c r="CX832" s="1"/>
      <c r="CY832" s="91" t="str">
        <f t="shared" si="831"/>
        <v/>
      </c>
      <c r="CZ832" s="1"/>
      <c r="DC832" s="96"/>
      <c r="DE832" s="96"/>
    </row>
    <row r="833">
      <c r="A833" s="1"/>
      <c r="B833" s="1"/>
      <c r="C833" s="76"/>
      <c r="D833" s="76"/>
      <c r="E833" s="76"/>
      <c r="F833" s="76"/>
      <c r="G833" s="79"/>
      <c r="H833" s="80"/>
      <c r="I833" s="79"/>
      <c r="J833" s="80"/>
      <c r="K833" s="79"/>
      <c r="L833" s="142"/>
      <c r="M833" s="1"/>
      <c r="N833" s="142"/>
      <c r="O833" s="1"/>
      <c r="P833" s="142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79">
        <f t="shared" si="805"/>
        <v>0</v>
      </c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R833" s="1"/>
      <c r="CS833" s="1"/>
      <c r="CT833" s="1"/>
      <c r="CU833" s="1"/>
      <c r="CV833" s="1"/>
      <c r="CW833" s="1"/>
      <c r="CX833" s="1"/>
      <c r="CY833" s="91" t="str">
        <f t="shared" si="831"/>
        <v/>
      </c>
      <c r="CZ833" s="1"/>
      <c r="DC833" s="96"/>
      <c r="DE833" s="96"/>
    </row>
    <row r="834">
      <c r="A834" s="1"/>
      <c r="B834" s="1"/>
      <c r="C834" s="76"/>
      <c r="D834" s="76"/>
      <c r="E834" s="76"/>
      <c r="F834" s="76"/>
      <c r="G834" s="79"/>
      <c r="H834" s="80"/>
      <c r="I834" s="79"/>
      <c r="J834" s="80"/>
      <c r="K834" s="79"/>
      <c r="L834" s="142"/>
      <c r="M834" s="1"/>
      <c r="N834" s="142"/>
      <c r="O834" s="1"/>
      <c r="P834" s="142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79">
        <f t="shared" si="805"/>
        <v>0</v>
      </c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R834" s="1"/>
      <c r="CS834" s="1"/>
      <c r="CT834" s="1"/>
      <c r="CU834" s="1"/>
      <c r="CV834" s="1"/>
      <c r="CW834" s="1"/>
      <c r="CX834" s="1"/>
      <c r="CY834" s="91" t="str">
        <f t="shared" si="831"/>
        <v/>
      </c>
      <c r="CZ834" s="1"/>
      <c r="DC834" s="96"/>
      <c r="DE834" s="96"/>
    </row>
    <row r="835">
      <c r="A835" s="1"/>
      <c r="B835" s="1"/>
      <c r="C835" s="76"/>
      <c r="D835" s="76"/>
      <c r="E835" s="76"/>
      <c r="F835" s="76"/>
      <c r="G835" s="79"/>
      <c r="H835" s="80"/>
      <c r="I835" s="79"/>
      <c r="J835" s="80"/>
      <c r="K835" s="79"/>
      <c r="L835" s="142"/>
      <c r="M835" s="1"/>
      <c r="N835" s="142"/>
      <c r="O835" s="1"/>
      <c r="P835" s="142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79">
        <f t="shared" si="805"/>
        <v>0</v>
      </c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R835" s="1"/>
      <c r="CS835" s="1"/>
      <c r="CT835" s="1"/>
      <c r="CU835" s="1"/>
      <c r="CV835" s="1"/>
      <c r="CW835" s="1"/>
      <c r="CX835" s="1"/>
      <c r="CY835" s="91" t="str">
        <f t="shared" si="831"/>
        <v/>
      </c>
      <c r="CZ835" s="1"/>
      <c r="DC835" s="96"/>
      <c r="DE835" s="96"/>
    </row>
    <row r="836">
      <c r="A836" s="1"/>
      <c r="B836" s="1"/>
      <c r="C836" s="76"/>
      <c r="D836" s="76"/>
      <c r="E836" s="76"/>
      <c r="F836" s="76"/>
      <c r="G836" s="79"/>
      <c r="H836" s="80"/>
      <c r="I836" s="79"/>
      <c r="J836" s="80"/>
      <c r="K836" s="79"/>
      <c r="L836" s="142"/>
      <c r="M836" s="1"/>
      <c r="N836" s="142"/>
      <c r="O836" s="1"/>
      <c r="P836" s="142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79">
        <f t="shared" si="805"/>
        <v>0</v>
      </c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R836" s="1"/>
      <c r="CS836" s="1"/>
      <c r="CT836" s="1"/>
      <c r="CU836" s="1"/>
      <c r="CV836" s="1"/>
      <c r="CW836" s="1"/>
      <c r="CX836" s="1"/>
      <c r="CY836" s="91" t="str">
        <f t="shared" si="831"/>
        <v/>
      </c>
      <c r="CZ836" s="1"/>
      <c r="DC836" s="96"/>
      <c r="DE836" s="96"/>
    </row>
    <row r="837">
      <c r="A837" s="1"/>
      <c r="B837" s="1"/>
      <c r="C837" s="76"/>
      <c r="D837" s="76"/>
      <c r="E837" s="76"/>
      <c r="F837" s="76"/>
      <c r="G837" s="79"/>
      <c r="H837" s="80"/>
      <c r="I837" s="79"/>
      <c r="J837" s="80"/>
      <c r="K837" s="79"/>
      <c r="L837" s="142"/>
      <c r="M837" s="1"/>
      <c r="N837" s="142"/>
      <c r="O837" s="1"/>
      <c r="P837" s="142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79">
        <f t="shared" si="805"/>
        <v>0</v>
      </c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R837" s="1"/>
      <c r="CS837" s="1"/>
      <c r="CT837" s="1"/>
      <c r="CU837" s="1"/>
      <c r="CV837" s="1"/>
      <c r="CW837" s="1"/>
      <c r="CX837" s="1"/>
      <c r="CY837" s="91" t="str">
        <f t="shared" si="831"/>
        <v/>
      </c>
      <c r="CZ837" s="1"/>
      <c r="DC837" s="96"/>
      <c r="DE837" s="96"/>
    </row>
    <row r="838">
      <c r="A838" s="1"/>
      <c r="B838" s="1"/>
      <c r="C838" s="76"/>
      <c r="D838" s="76"/>
      <c r="E838" s="76"/>
      <c r="F838" s="76"/>
      <c r="G838" s="79"/>
      <c r="H838" s="80"/>
      <c r="I838" s="79"/>
      <c r="J838" s="80"/>
      <c r="K838" s="79"/>
      <c r="L838" s="142"/>
      <c r="M838" s="1"/>
      <c r="N838" s="142"/>
      <c r="O838" s="1"/>
      <c r="P838" s="142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79">
        <f t="shared" si="805"/>
        <v>0</v>
      </c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R838" s="1"/>
      <c r="CS838" s="1"/>
      <c r="CT838" s="1"/>
      <c r="CU838" s="1"/>
      <c r="CV838" s="1"/>
      <c r="CW838" s="1"/>
      <c r="CX838" s="1"/>
      <c r="CY838" s="91" t="str">
        <f t="shared" si="831"/>
        <v/>
      </c>
      <c r="CZ838" s="1"/>
      <c r="DC838" s="96"/>
      <c r="DE838" s="96"/>
    </row>
    <row r="839">
      <c r="A839" s="1"/>
      <c r="B839" s="1"/>
      <c r="C839" s="76"/>
      <c r="D839" s="76"/>
      <c r="E839" s="76"/>
      <c r="F839" s="76"/>
      <c r="G839" s="79"/>
      <c r="H839" s="80"/>
      <c r="I839" s="79"/>
      <c r="J839" s="80"/>
      <c r="K839" s="79"/>
      <c r="L839" s="142"/>
      <c r="M839" s="1"/>
      <c r="N839" s="142"/>
      <c r="O839" s="1"/>
      <c r="P839" s="142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79">
        <f t="shared" si="805"/>
        <v>0</v>
      </c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R839" s="1"/>
      <c r="CS839" s="1"/>
      <c r="CT839" s="1"/>
      <c r="CU839" s="1"/>
      <c r="CV839" s="1"/>
      <c r="CW839" s="1"/>
      <c r="CX839" s="1"/>
      <c r="CY839" s="91" t="str">
        <f t="shared" si="831"/>
        <v/>
      </c>
      <c r="CZ839" s="1"/>
      <c r="DC839" s="96"/>
      <c r="DE839" s="96"/>
    </row>
    <row r="840">
      <c r="A840" s="1"/>
      <c r="B840" s="1"/>
      <c r="C840" s="76"/>
      <c r="D840" s="76"/>
      <c r="E840" s="76"/>
      <c r="F840" s="76"/>
      <c r="G840" s="79"/>
      <c r="H840" s="80"/>
      <c r="I840" s="79"/>
      <c r="J840" s="80"/>
      <c r="K840" s="79"/>
      <c r="L840" s="142"/>
      <c r="M840" s="1"/>
      <c r="N840" s="142"/>
      <c r="O840" s="1"/>
      <c r="P840" s="142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79">
        <f t="shared" si="805"/>
        <v>0</v>
      </c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R840" s="1"/>
      <c r="CS840" s="1"/>
      <c r="CT840" s="1"/>
      <c r="CU840" s="1"/>
      <c r="CV840" s="1"/>
      <c r="CW840" s="1"/>
      <c r="CX840" s="1"/>
      <c r="CY840" s="91" t="str">
        <f t="shared" si="831"/>
        <v/>
      </c>
      <c r="CZ840" s="1"/>
      <c r="DC840" s="96"/>
      <c r="DE840" s="96"/>
    </row>
    <row r="841">
      <c r="A841" s="1"/>
      <c r="B841" s="1"/>
      <c r="C841" s="76"/>
      <c r="D841" s="76"/>
      <c r="E841" s="76"/>
      <c r="F841" s="76"/>
      <c r="G841" s="79"/>
      <c r="H841" s="80"/>
      <c r="I841" s="79"/>
      <c r="J841" s="80"/>
      <c r="K841" s="79"/>
      <c r="L841" s="142"/>
      <c r="M841" s="1"/>
      <c r="N841" s="142"/>
      <c r="O841" s="1"/>
      <c r="P841" s="142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79">
        <f t="shared" si="805"/>
        <v>0</v>
      </c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R841" s="1"/>
      <c r="CS841" s="1"/>
      <c r="CT841" s="1"/>
      <c r="CU841" s="1"/>
      <c r="CV841" s="1"/>
      <c r="CW841" s="1"/>
      <c r="CX841" s="1"/>
      <c r="CY841" s="91" t="str">
        <f t="shared" si="831"/>
        <v/>
      </c>
      <c r="CZ841" s="1"/>
      <c r="DC841" s="96"/>
      <c r="DE841" s="96"/>
    </row>
    <row r="842">
      <c r="A842" s="1"/>
      <c r="B842" s="1"/>
      <c r="C842" s="76"/>
      <c r="D842" s="76"/>
      <c r="E842" s="76"/>
      <c r="F842" s="76"/>
      <c r="G842" s="79"/>
      <c r="H842" s="80"/>
      <c r="I842" s="79"/>
      <c r="J842" s="80"/>
      <c r="K842" s="79"/>
      <c r="L842" s="142"/>
      <c r="M842" s="1"/>
      <c r="N842" s="142"/>
      <c r="O842" s="1"/>
      <c r="P842" s="142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79">
        <f t="shared" si="805"/>
        <v>0</v>
      </c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R842" s="1"/>
      <c r="CS842" s="1"/>
      <c r="CT842" s="1"/>
      <c r="CU842" s="1"/>
      <c r="CV842" s="1"/>
      <c r="CW842" s="1"/>
      <c r="CX842" s="1"/>
      <c r="CY842" s="91" t="str">
        <f t="shared" si="831"/>
        <v/>
      </c>
      <c r="CZ842" s="1"/>
      <c r="DC842" s="96"/>
      <c r="DE842" s="96"/>
    </row>
    <row r="843">
      <c r="A843" s="1"/>
      <c r="B843" s="1"/>
      <c r="C843" s="76"/>
      <c r="D843" s="76"/>
      <c r="E843" s="76"/>
      <c r="F843" s="76"/>
      <c r="G843" s="79"/>
      <c r="H843" s="80"/>
      <c r="I843" s="79"/>
      <c r="J843" s="80"/>
      <c r="K843" s="79"/>
      <c r="L843" s="142"/>
      <c r="M843" s="1"/>
      <c r="N843" s="142"/>
      <c r="O843" s="1"/>
      <c r="P843" s="142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79">
        <f t="shared" si="805"/>
        <v>0</v>
      </c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R843" s="1"/>
      <c r="CS843" s="1"/>
      <c r="CT843" s="1"/>
      <c r="CU843" s="1"/>
      <c r="CV843" s="1"/>
      <c r="CW843" s="1"/>
      <c r="CX843" s="1"/>
      <c r="CY843" s="91" t="str">
        <f t="shared" si="831"/>
        <v/>
      </c>
      <c r="CZ843" s="1"/>
      <c r="DC843" s="96"/>
      <c r="DE843" s="96"/>
    </row>
    <row r="844">
      <c r="A844" s="1"/>
      <c r="B844" s="1"/>
      <c r="C844" s="76"/>
      <c r="D844" s="76"/>
      <c r="E844" s="76"/>
      <c r="F844" s="76"/>
      <c r="G844" s="79"/>
      <c r="H844" s="80"/>
      <c r="I844" s="79"/>
      <c r="J844" s="80"/>
      <c r="K844" s="79"/>
      <c r="L844" s="142"/>
      <c r="M844" s="1"/>
      <c r="N844" s="142"/>
      <c r="O844" s="1"/>
      <c r="P844" s="142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79">
        <f t="shared" si="805"/>
        <v>0</v>
      </c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R844" s="1"/>
      <c r="CS844" s="1"/>
      <c r="CT844" s="1"/>
      <c r="CU844" s="1"/>
      <c r="CV844" s="1"/>
      <c r="CW844" s="1"/>
      <c r="CX844" s="1"/>
      <c r="CY844" s="91" t="str">
        <f t="shared" si="831"/>
        <v/>
      </c>
      <c r="CZ844" s="1"/>
      <c r="DC844" s="96"/>
      <c r="DE844" s="96"/>
    </row>
    <row r="845">
      <c r="A845" s="1"/>
      <c r="B845" s="1"/>
      <c r="C845" s="76"/>
      <c r="D845" s="76"/>
      <c r="E845" s="76"/>
      <c r="F845" s="76"/>
      <c r="G845" s="79"/>
      <c r="H845" s="80"/>
      <c r="I845" s="79"/>
      <c r="J845" s="80"/>
      <c r="K845" s="79"/>
      <c r="L845" s="142"/>
      <c r="M845" s="1"/>
      <c r="N845" s="142"/>
      <c r="O845" s="1"/>
      <c r="P845" s="142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79">
        <f t="shared" si="805"/>
        <v>0</v>
      </c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R845" s="1"/>
      <c r="CS845" s="1"/>
      <c r="CT845" s="1"/>
      <c r="CU845" s="1"/>
      <c r="CV845" s="1"/>
      <c r="CW845" s="1"/>
      <c r="CX845" s="1"/>
      <c r="CY845" s="91" t="str">
        <f t="shared" si="831"/>
        <v/>
      </c>
      <c r="CZ845" s="1"/>
      <c r="DC845" s="96"/>
      <c r="DE845" s="96"/>
    </row>
    <row r="846">
      <c r="A846" s="1"/>
      <c r="B846" s="1"/>
      <c r="C846" s="76"/>
      <c r="D846" s="76"/>
      <c r="E846" s="76"/>
      <c r="F846" s="76"/>
      <c r="G846" s="79"/>
      <c r="H846" s="80"/>
      <c r="I846" s="79"/>
      <c r="J846" s="80"/>
      <c r="K846" s="79"/>
      <c r="L846" s="142"/>
      <c r="M846" s="1"/>
      <c r="N846" s="142"/>
      <c r="O846" s="1"/>
      <c r="P846" s="142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79">
        <f t="shared" si="805"/>
        <v>0</v>
      </c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R846" s="1"/>
      <c r="CS846" s="1"/>
      <c r="CT846" s="1"/>
      <c r="CU846" s="1"/>
      <c r="CV846" s="1"/>
      <c r="CW846" s="1"/>
      <c r="CX846" s="1"/>
      <c r="CY846" s="91" t="str">
        <f t="shared" si="831"/>
        <v/>
      </c>
      <c r="CZ846" s="1"/>
      <c r="DC846" s="96"/>
      <c r="DE846" s="96"/>
    </row>
    <row r="847">
      <c r="A847" s="1"/>
      <c r="B847" s="1"/>
      <c r="C847" s="76"/>
      <c r="D847" s="76"/>
      <c r="E847" s="76"/>
      <c r="F847" s="76"/>
      <c r="G847" s="79"/>
      <c r="H847" s="80"/>
      <c r="I847" s="79"/>
      <c r="J847" s="80"/>
      <c r="K847" s="79"/>
      <c r="L847" s="142"/>
      <c r="M847" s="1"/>
      <c r="N847" s="142"/>
      <c r="O847" s="1"/>
      <c r="P847" s="142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79">
        <f t="shared" si="805"/>
        <v>0</v>
      </c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R847" s="1"/>
      <c r="CS847" s="1"/>
      <c r="CT847" s="1"/>
      <c r="CU847" s="1"/>
      <c r="CV847" s="1"/>
      <c r="CW847" s="1"/>
      <c r="CX847" s="1"/>
      <c r="CY847" s="91" t="str">
        <f t="shared" si="831"/>
        <v/>
      </c>
      <c r="CZ847" s="1"/>
      <c r="DC847" s="96"/>
      <c r="DE847" s="96"/>
    </row>
    <row r="848">
      <c r="A848" s="1"/>
      <c r="B848" s="1"/>
      <c r="C848" s="76"/>
      <c r="D848" s="76"/>
      <c r="E848" s="76"/>
      <c r="F848" s="76"/>
      <c r="G848" s="79"/>
      <c r="H848" s="80"/>
      <c r="I848" s="79"/>
      <c r="J848" s="80"/>
      <c r="K848" s="79"/>
      <c r="L848" s="142"/>
      <c r="M848" s="1"/>
      <c r="N848" s="142"/>
      <c r="O848" s="1"/>
      <c r="P848" s="142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79">
        <f t="shared" si="805"/>
        <v>0</v>
      </c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R848" s="1"/>
      <c r="CS848" s="1"/>
      <c r="CT848" s="1"/>
      <c r="CU848" s="1"/>
      <c r="CV848" s="1"/>
      <c r="CW848" s="1"/>
      <c r="CX848" s="1"/>
      <c r="CY848" s="91" t="str">
        <f t="shared" si="831"/>
        <v/>
      </c>
      <c r="CZ848" s="1"/>
      <c r="DC848" s="96"/>
      <c r="DE848" s="96"/>
    </row>
    <row r="849">
      <c r="A849" s="1"/>
      <c r="B849" s="1"/>
      <c r="C849" s="76"/>
      <c r="D849" s="76"/>
      <c r="E849" s="76"/>
      <c r="F849" s="76"/>
      <c r="G849" s="79"/>
      <c r="H849" s="80"/>
      <c r="I849" s="79"/>
      <c r="J849" s="80"/>
      <c r="K849" s="79"/>
      <c r="L849" s="142"/>
      <c r="M849" s="1"/>
      <c r="N849" s="142"/>
      <c r="O849" s="1"/>
      <c r="P849" s="142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79">
        <f t="shared" si="805"/>
        <v>0</v>
      </c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R849" s="1"/>
      <c r="CS849" s="1"/>
      <c r="CT849" s="1"/>
      <c r="CU849" s="1"/>
      <c r="CV849" s="1"/>
      <c r="CW849" s="1"/>
      <c r="CX849" s="1"/>
      <c r="CY849" s="91" t="str">
        <f t="shared" si="831"/>
        <v/>
      </c>
      <c r="CZ849" s="1"/>
      <c r="DC849" s="96"/>
      <c r="DE849" s="96"/>
    </row>
    <row r="850">
      <c r="A850" s="1"/>
      <c r="B850" s="1"/>
      <c r="C850" s="76"/>
      <c r="D850" s="76"/>
      <c r="E850" s="76"/>
      <c r="F850" s="76"/>
      <c r="G850" s="79"/>
      <c r="H850" s="80"/>
      <c r="I850" s="79"/>
      <c r="J850" s="80"/>
      <c r="K850" s="79"/>
      <c r="L850" s="142"/>
      <c r="M850" s="1"/>
      <c r="N850" s="142"/>
      <c r="O850" s="1"/>
      <c r="P850" s="142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79">
        <f t="shared" si="805"/>
        <v>0</v>
      </c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R850" s="1"/>
      <c r="CS850" s="1"/>
      <c r="CT850" s="1"/>
      <c r="CU850" s="1"/>
      <c r="CV850" s="1"/>
      <c r="CW850" s="1"/>
      <c r="CX850" s="1"/>
      <c r="CY850" s="91" t="str">
        <f t="shared" si="831"/>
        <v/>
      </c>
      <c r="CZ850" s="1"/>
      <c r="DC850" s="96"/>
      <c r="DE850" s="96"/>
    </row>
    <row r="851">
      <c r="A851" s="1"/>
      <c r="B851" s="1"/>
      <c r="C851" s="76"/>
      <c r="D851" s="76"/>
      <c r="E851" s="76"/>
      <c r="F851" s="76"/>
      <c r="G851" s="79"/>
      <c r="H851" s="80"/>
      <c r="I851" s="79"/>
      <c r="J851" s="80"/>
      <c r="K851" s="79"/>
      <c r="L851" s="142"/>
      <c r="M851" s="1"/>
      <c r="N851" s="142"/>
      <c r="O851" s="1"/>
      <c r="P851" s="142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79">
        <f t="shared" si="805"/>
        <v>0</v>
      </c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R851" s="1"/>
      <c r="CS851" s="1"/>
      <c r="CT851" s="1"/>
      <c r="CU851" s="1"/>
      <c r="CV851" s="1"/>
      <c r="CW851" s="1"/>
      <c r="CX851" s="1"/>
      <c r="CY851" s="91" t="str">
        <f t="shared" si="831"/>
        <v/>
      </c>
      <c r="CZ851" s="1"/>
      <c r="DC851" s="96"/>
      <c r="DE851" s="96"/>
    </row>
    <row r="852">
      <c r="A852" s="1"/>
      <c r="B852" s="1"/>
      <c r="C852" s="76"/>
      <c r="D852" s="76"/>
      <c r="E852" s="76"/>
      <c r="F852" s="76"/>
      <c r="G852" s="79"/>
      <c r="H852" s="80"/>
      <c r="I852" s="79"/>
      <c r="J852" s="80"/>
      <c r="K852" s="79"/>
      <c r="L852" s="142"/>
      <c r="M852" s="1"/>
      <c r="N852" s="142"/>
      <c r="O852" s="1"/>
      <c r="P852" s="142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79">
        <f t="shared" si="805"/>
        <v>0</v>
      </c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R852" s="1"/>
      <c r="CS852" s="1"/>
      <c r="CT852" s="1"/>
      <c r="CU852" s="1"/>
      <c r="CV852" s="1"/>
      <c r="CW852" s="1"/>
      <c r="CX852" s="1"/>
      <c r="CY852" s="91" t="str">
        <f t="shared" si="831"/>
        <v/>
      </c>
      <c r="CZ852" s="1"/>
      <c r="DC852" s="96"/>
      <c r="DE852" s="96"/>
    </row>
    <row r="853">
      <c r="A853" s="1"/>
      <c r="B853" s="1"/>
      <c r="C853" s="76"/>
      <c r="D853" s="76"/>
      <c r="E853" s="76"/>
      <c r="F853" s="76"/>
      <c r="G853" s="79"/>
      <c r="H853" s="80"/>
      <c r="I853" s="79"/>
      <c r="J853" s="80"/>
      <c r="K853" s="79"/>
      <c r="L853" s="142"/>
      <c r="M853" s="1"/>
      <c r="N853" s="142"/>
      <c r="O853" s="1"/>
      <c r="P853" s="142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79">
        <f t="shared" si="805"/>
        <v>0</v>
      </c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R853" s="1"/>
      <c r="CS853" s="1"/>
      <c r="CT853" s="1"/>
      <c r="CU853" s="1"/>
      <c r="CV853" s="1"/>
      <c r="CW853" s="1"/>
      <c r="CX853" s="1"/>
      <c r="CY853" s="91" t="str">
        <f t="shared" si="831"/>
        <v/>
      </c>
      <c r="CZ853" s="1"/>
      <c r="DC853" s="96"/>
      <c r="DE853" s="96"/>
    </row>
    <row r="854">
      <c r="A854" s="1"/>
      <c r="B854" s="1"/>
      <c r="C854" s="76"/>
      <c r="D854" s="76"/>
      <c r="E854" s="76"/>
      <c r="F854" s="76"/>
      <c r="G854" s="79"/>
      <c r="H854" s="80"/>
      <c r="I854" s="79"/>
      <c r="J854" s="80"/>
      <c r="K854" s="79"/>
      <c r="L854" s="142"/>
      <c r="M854" s="1"/>
      <c r="N854" s="142"/>
      <c r="O854" s="1"/>
      <c r="P854" s="142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79">
        <f t="shared" si="805"/>
        <v>0</v>
      </c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R854" s="1"/>
      <c r="CS854" s="1"/>
      <c r="CT854" s="1"/>
      <c r="CU854" s="1"/>
      <c r="CV854" s="1"/>
      <c r="CW854" s="1"/>
      <c r="CX854" s="1"/>
      <c r="CY854" s="91" t="str">
        <f t="shared" si="831"/>
        <v/>
      </c>
      <c r="CZ854" s="1"/>
      <c r="DC854" s="96"/>
      <c r="DE854" s="96"/>
    </row>
    <row r="855">
      <c r="A855" s="1"/>
      <c r="B855" s="1"/>
      <c r="C855" s="76"/>
      <c r="D855" s="76"/>
      <c r="E855" s="76"/>
      <c r="F855" s="76"/>
      <c r="G855" s="79"/>
      <c r="H855" s="80"/>
      <c r="I855" s="79"/>
      <c r="J855" s="80"/>
      <c r="K855" s="79"/>
      <c r="L855" s="142"/>
      <c r="M855" s="1"/>
      <c r="N855" s="142"/>
      <c r="O855" s="1"/>
      <c r="P855" s="142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79">
        <f t="shared" si="805"/>
        <v>0</v>
      </c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R855" s="1"/>
      <c r="CS855" s="1"/>
      <c r="CT855" s="1"/>
      <c r="CU855" s="1"/>
      <c r="CV855" s="1"/>
      <c r="CW855" s="1"/>
      <c r="CX855" s="1"/>
      <c r="CY855" s="91" t="str">
        <f t="shared" si="831"/>
        <v/>
      </c>
      <c r="CZ855" s="1"/>
      <c r="DC855" s="96"/>
      <c r="DE855" s="96"/>
    </row>
    <row r="856">
      <c r="A856" s="1"/>
      <c r="B856" s="1"/>
      <c r="C856" s="76"/>
      <c r="D856" s="76"/>
      <c r="E856" s="76"/>
      <c r="F856" s="76"/>
      <c r="G856" s="79"/>
      <c r="H856" s="80"/>
      <c r="I856" s="79"/>
      <c r="J856" s="80"/>
      <c r="K856" s="79"/>
      <c r="L856" s="142"/>
      <c r="M856" s="1"/>
      <c r="N856" s="142"/>
      <c r="O856" s="1"/>
      <c r="P856" s="142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79">
        <f t="shared" si="805"/>
        <v>0</v>
      </c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R856" s="1"/>
      <c r="CS856" s="1"/>
      <c r="CT856" s="1"/>
      <c r="CU856" s="1"/>
      <c r="CV856" s="1"/>
      <c r="CW856" s="1"/>
      <c r="CX856" s="1"/>
      <c r="CY856" s="91" t="str">
        <f t="shared" si="831"/>
        <v/>
      </c>
      <c r="CZ856" s="1"/>
      <c r="DC856" s="96"/>
      <c r="DE856" s="96"/>
    </row>
    <row r="857">
      <c r="A857" s="1"/>
      <c r="B857" s="1"/>
      <c r="C857" s="76"/>
      <c r="D857" s="76"/>
      <c r="E857" s="76"/>
      <c r="F857" s="76"/>
      <c r="G857" s="79"/>
      <c r="H857" s="80"/>
      <c r="I857" s="79"/>
      <c r="J857" s="80"/>
      <c r="K857" s="79"/>
      <c r="L857" s="142"/>
      <c r="M857" s="1"/>
      <c r="N857" s="142"/>
      <c r="O857" s="1"/>
      <c r="P857" s="142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79">
        <f t="shared" si="805"/>
        <v>0</v>
      </c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R857" s="1"/>
      <c r="CS857" s="1"/>
      <c r="CT857" s="1"/>
      <c r="CU857" s="1"/>
      <c r="CV857" s="1"/>
      <c r="CW857" s="1"/>
      <c r="CX857" s="1"/>
      <c r="CY857" s="91" t="str">
        <f t="shared" si="831"/>
        <v/>
      </c>
      <c r="CZ857" s="1"/>
      <c r="DC857" s="96"/>
      <c r="DE857" s="96"/>
    </row>
    <row r="858">
      <c r="A858" s="1"/>
      <c r="B858" s="1"/>
      <c r="C858" s="76"/>
      <c r="D858" s="76"/>
      <c r="E858" s="76"/>
      <c r="F858" s="76"/>
      <c r="G858" s="79"/>
      <c r="H858" s="80"/>
      <c r="I858" s="79"/>
      <c r="J858" s="80"/>
      <c r="K858" s="79"/>
      <c r="L858" s="142"/>
      <c r="M858" s="1"/>
      <c r="N858" s="142"/>
      <c r="O858" s="1"/>
      <c r="P858" s="142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79">
        <f t="shared" si="805"/>
        <v>0</v>
      </c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R858" s="1"/>
      <c r="CS858" s="1"/>
      <c r="CT858" s="1"/>
      <c r="CU858" s="1"/>
      <c r="CV858" s="1"/>
      <c r="CW858" s="1"/>
      <c r="CX858" s="1"/>
      <c r="CY858" s="91" t="str">
        <f t="shared" si="831"/>
        <v/>
      </c>
      <c r="CZ858" s="1"/>
      <c r="DC858" s="96"/>
      <c r="DE858" s="96"/>
    </row>
    <row r="859">
      <c r="A859" s="1"/>
      <c r="B859" s="1"/>
      <c r="C859" s="76"/>
      <c r="D859" s="76"/>
      <c r="E859" s="76"/>
      <c r="F859" s="76"/>
      <c r="G859" s="79"/>
      <c r="H859" s="80"/>
      <c r="I859" s="79"/>
      <c r="J859" s="80"/>
      <c r="K859" s="79"/>
      <c r="L859" s="142"/>
      <c r="M859" s="1"/>
      <c r="N859" s="142"/>
      <c r="O859" s="1"/>
      <c r="P859" s="142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79">
        <f t="shared" si="805"/>
        <v>0</v>
      </c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R859" s="1"/>
      <c r="CS859" s="1"/>
      <c r="CT859" s="1"/>
      <c r="CU859" s="1"/>
      <c r="CV859" s="1"/>
      <c r="CW859" s="1"/>
      <c r="CX859" s="1"/>
      <c r="CY859" s="91" t="str">
        <f t="shared" si="831"/>
        <v/>
      </c>
      <c r="CZ859" s="1"/>
      <c r="DC859" s="96"/>
      <c r="DE859" s="96"/>
    </row>
    <row r="860">
      <c r="A860" s="1"/>
      <c r="B860" s="1"/>
      <c r="C860" s="76"/>
      <c r="D860" s="76"/>
      <c r="E860" s="76"/>
      <c r="F860" s="76"/>
      <c r="G860" s="79"/>
      <c r="H860" s="80"/>
      <c r="I860" s="79"/>
      <c r="J860" s="80"/>
      <c r="K860" s="79"/>
      <c r="L860" s="142"/>
      <c r="M860" s="1"/>
      <c r="N860" s="142"/>
      <c r="O860" s="1"/>
      <c r="P860" s="142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79">
        <f t="shared" si="805"/>
        <v>0</v>
      </c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R860" s="1"/>
      <c r="CS860" s="1"/>
      <c r="CT860" s="1"/>
      <c r="CU860" s="1"/>
      <c r="CV860" s="1"/>
      <c r="CW860" s="1"/>
      <c r="CX860" s="1"/>
      <c r="CY860" s="91" t="str">
        <f t="shared" si="831"/>
        <v/>
      </c>
      <c r="CZ860" s="1"/>
      <c r="DC860" s="96"/>
      <c r="DE860" s="96"/>
    </row>
    <row r="861">
      <c r="A861" s="1"/>
      <c r="B861" s="1"/>
      <c r="C861" s="76"/>
      <c r="D861" s="76"/>
      <c r="E861" s="76"/>
      <c r="F861" s="76"/>
      <c r="G861" s="79"/>
      <c r="H861" s="80"/>
      <c r="I861" s="79"/>
      <c r="J861" s="80"/>
      <c r="K861" s="79"/>
      <c r="L861" s="142"/>
      <c r="M861" s="1"/>
      <c r="N861" s="142"/>
      <c r="O861" s="1"/>
      <c r="P861" s="142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79">
        <f t="shared" si="805"/>
        <v>0</v>
      </c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R861" s="1"/>
      <c r="CS861" s="1"/>
      <c r="CT861" s="1"/>
      <c r="CU861" s="1"/>
      <c r="CV861" s="1"/>
      <c r="CW861" s="1"/>
      <c r="CX861" s="1"/>
      <c r="CY861" s="91" t="str">
        <f t="shared" si="831"/>
        <v/>
      </c>
      <c r="CZ861" s="1"/>
      <c r="DC861" s="96"/>
      <c r="DE861" s="96"/>
    </row>
    <row r="862">
      <c r="A862" s="1"/>
      <c r="B862" s="1"/>
      <c r="C862" s="76"/>
      <c r="D862" s="76"/>
      <c r="E862" s="76"/>
      <c r="F862" s="76"/>
      <c r="G862" s="79"/>
      <c r="H862" s="80"/>
      <c r="I862" s="79"/>
      <c r="J862" s="80"/>
      <c r="K862" s="79"/>
      <c r="L862" s="142"/>
      <c r="M862" s="1"/>
      <c r="N862" s="142"/>
      <c r="O862" s="1"/>
      <c r="P862" s="142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79">
        <f t="shared" si="805"/>
        <v>0</v>
      </c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R862" s="1"/>
      <c r="CS862" s="1"/>
      <c r="CT862" s="1"/>
      <c r="CU862" s="1"/>
      <c r="CV862" s="1"/>
      <c r="CW862" s="1"/>
      <c r="CX862" s="1"/>
      <c r="CY862" s="91" t="str">
        <f t="shared" si="831"/>
        <v/>
      </c>
      <c r="CZ862" s="1"/>
      <c r="DC862" s="96"/>
      <c r="DE862" s="96"/>
    </row>
    <row r="863">
      <c r="A863" s="1"/>
      <c r="B863" s="1"/>
      <c r="C863" s="76"/>
      <c r="D863" s="76"/>
      <c r="E863" s="76"/>
      <c r="F863" s="76"/>
      <c r="G863" s="79"/>
      <c r="H863" s="80"/>
      <c r="I863" s="79"/>
      <c r="J863" s="80"/>
      <c r="K863" s="79"/>
      <c r="L863" s="142"/>
      <c r="M863" s="1"/>
      <c r="N863" s="142"/>
      <c r="O863" s="1"/>
      <c r="P863" s="142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79">
        <f t="shared" si="805"/>
        <v>0</v>
      </c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R863" s="1"/>
      <c r="CS863" s="1"/>
      <c r="CT863" s="1"/>
      <c r="CU863" s="1"/>
      <c r="CV863" s="1"/>
      <c r="CW863" s="1"/>
      <c r="CX863" s="1"/>
      <c r="CY863" s="91" t="str">
        <f t="shared" si="831"/>
        <v/>
      </c>
      <c r="CZ863" s="1"/>
      <c r="DC863" s="96"/>
      <c r="DE863" s="96"/>
    </row>
    <row r="864">
      <c r="A864" s="1"/>
      <c r="B864" s="1"/>
      <c r="C864" s="76"/>
      <c r="D864" s="76"/>
      <c r="E864" s="76"/>
      <c r="F864" s="76"/>
      <c r="G864" s="79"/>
      <c r="H864" s="80"/>
      <c r="I864" s="79"/>
      <c r="J864" s="80"/>
      <c r="K864" s="79"/>
      <c r="L864" s="142"/>
      <c r="M864" s="1"/>
      <c r="N864" s="142"/>
      <c r="O864" s="1"/>
      <c r="P864" s="142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79">
        <f t="shared" si="805"/>
        <v>0</v>
      </c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R864" s="1"/>
      <c r="CS864" s="1"/>
      <c r="CT864" s="1"/>
      <c r="CU864" s="1"/>
      <c r="CV864" s="1"/>
      <c r="CW864" s="1"/>
      <c r="CX864" s="1"/>
      <c r="CY864" s="91" t="str">
        <f t="shared" si="831"/>
        <v/>
      </c>
      <c r="CZ864" s="1"/>
      <c r="DC864" s="96"/>
      <c r="DE864" s="96"/>
    </row>
    <row r="865">
      <c r="A865" s="1"/>
      <c r="B865" s="1"/>
      <c r="C865" s="76"/>
      <c r="D865" s="76"/>
      <c r="E865" s="76"/>
      <c r="F865" s="76"/>
      <c r="G865" s="79"/>
      <c r="H865" s="80"/>
      <c r="I865" s="79"/>
      <c r="J865" s="80"/>
      <c r="K865" s="79"/>
      <c r="L865" s="142"/>
      <c r="M865" s="1"/>
      <c r="N865" s="142"/>
      <c r="O865" s="1"/>
      <c r="P865" s="142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79">
        <f t="shared" si="805"/>
        <v>0</v>
      </c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R865" s="1"/>
      <c r="CS865" s="1"/>
      <c r="CT865" s="1"/>
      <c r="CU865" s="1"/>
      <c r="CV865" s="1"/>
      <c r="CW865" s="1"/>
      <c r="CX865" s="1"/>
      <c r="CY865" s="91" t="str">
        <f t="shared" si="831"/>
        <v/>
      </c>
      <c r="CZ865" s="1"/>
      <c r="DC865" s="96"/>
      <c r="DE865" s="96"/>
    </row>
    <row r="866">
      <c r="A866" s="1"/>
      <c r="B866" s="1"/>
      <c r="C866" s="76"/>
      <c r="D866" s="76"/>
      <c r="E866" s="76"/>
      <c r="F866" s="76"/>
      <c r="G866" s="79"/>
      <c r="H866" s="80"/>
      <c r="I866" s="79"/>
      <c r="J866" s="80"/>
      <c r="K866" s="79"/>
      <c r="L866" s="142"/>
      <c r="M866" s="1"/>
      <c r="N866" s="142"/>
      <c r="O866" s="1"/>
      <c r="P866" s="142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79">
        <f t="shared" si="805"/>
        <v>0</v>
      </c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R866" s="1"/>
      <c r="CS866" s="1"/>
      <c r="CT866" s="1"/>
      <c r="CU866" s="1"/>
      <c r="CV866" s="1"/>
      <c r="CW866" s="1"/>
      <c r="CX866" s="1"/>
      <c r="CY866" s="91" t="str">
        <f t="shared" si="831"/>
        <v/>
      </c>
      <c r="CZ866" s="1"/>
      <c r="DC866" s="96"/>
      <c r="DE866" s="96"/>
    </row>
    <row r="867">
      <c r="A867" s="1"/>
      <c r="B867" s="1"/>
      <c r="C867" s="76"/>
      <c r="D867" s="76"/>
      <c r="E867" s="76"/>
      <c r="F867" s="76"/>
      <c r="G867" s="79"/>
      <c r="H867" s="80"/>
      <c r="I867" s="79"/>
      <c r="J867" s="80"/>
      <c r="K867" s="79"/>
      <c r="L867" s="142"/>
      <c r="M867" s="1"/>
      <c r="N867" s="142"/>
      <c r="O867" s="1"/>
      <c r="P867" s="142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79">
        <f t="shared" si="805"/>
        <v>0</v>
      </c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R867" s="1"/>
      <c r="CS867" s="1"/>
      <c r="CT867" s="1"/>
      <c r="CU867" s="1"/>
      <c r="CV867" s="1"/>
      <c r="CW867" s="1"/>
      <c r="CX867" s="1"/>
      <c r="CY867" s="91" t="str">
        <f t="shared" si="831"/>
        <v/>
      </c>
      <c r="CZ867" s="1"/>
      <c r="DC867" s="96"/>
      <c r="DE867" s="96"/>
    </row>
    <row r="868">
      <c r="A868" s="1"/>
      <c r="B868" s="1"/>
      <c r="C868" s="76"/>
      <c r="D868" s="76"/>
      <c r="E868" s="76"/>
      <c r="F868" s="76"/>
      <c r="G868" s="79"/>
      <c r="H868" s="80"/>
      <c r="I868" s="79"/>
      <c r="J868" s="80"/>
      <c r="K868" s="79"/>
      <c r="L868" s="142"/>
      <c r="M868" s="1"/>
      <c r="N868" s="142"/>
      <c r="O868" s="1"/>
      <c r="P868" s="142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79">
        <f t="shared" si="805"/>
        <v>0</v>
      </c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R868" s="1"/>
      <c r="CS868" s="1"/>
      <c r="CT868" s="1"/>
      <c r="CU868" s="1"/>
      <c r="CV868" s="1"/>
      <c r="CW868" s="1"/>
      <c r="CX868" s="1"/>
      <c r="CY868" s="91" t="str">
        <f t="shared" si="831"/>
        <v/>
      </c>
      <c r="CZ868" s="1"/>
      <c r="DC868" s="96"/>
      <c r="DE868" s="96"/>
    </row>
    <row r="869">
      <c r="A869" s="1"/>
      <c r="B869" s="1"/>
      <c r="C869" s="76"/>
      <c r="D869" s="76"/>
      <c r="E869" s="76"/>
      <c r="F869" s="76"/>
      <c r="G869" s="79"/>
      <c r="H869" s="80"/>
      <c r="I869" s="79"/>
      <c r="J869" s="80"/>
      <c r="K869" s="79"/>
      <c r="L869" s="142"/>
      <c r="M869" s="1"/>
      <c r="N869" s="142"/>
      <c r="O869" s="1"/>
      <c r="P869" s="142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79">
        <f t="shared" si="805"/>
        <v>0</v>
      </c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R869" s="1"/>
      <c r="CS869" s="1"/>
      <c r="CT869" s="1"/>
      <c r="CU869" s="1"/>
      <c r="CV869" s="1"/>
      <c r="CW869" s="1"/>
      <c r="CX869" s="1"/>
      <c r="CY869" s="91" t="str">
        <f t="shared" si="831"/>
        <v/>
      </c>
      <c r="CZ869" s="1"/>
      <c r="DC869" s="96"/>
      <c r="DE869" s="96"/>
    </row>
    <row r="870">
      <c r="A870" s="1"/>
      <c r="B870" s="1"/>
      <c r="C870" s="76"/>
      <c r="D870" s="76"/>
      <c r="E870" s="76"/>
      <c r="F870" s="76"/>
      <c r="G870" s="79"/>
      <c r="H870" s="80"/>
      <c r="I870" s="79"/>
      <c r="J870" s="80"/>
      <c r="K870" s="79"/>
      <c r="L870" s="142"/>
      <c r="M870" s="1"/>
      <c r="N870" s="142"/>
      <c r="O870" s="1"/>
      <c r="P870" s="142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79">
        <f t="shared" si="805"/>
        <v>0</v>
      </c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R870" s="1"/>
      <c r="CS870" s="1"/>
      <c r="CT870" s="1"/>
      <c r="CU870" s="1"/>
      <c r="CV870" s="1"/>
      <c r="CW870" s="1"/>
      <c r="CX870" s="1"/>
      <c r="CY870" s="91" t="str">
        <f t="shared" si="831"/>
        <v/>
      </c>
      <c r="CZ870" s="1"/>
      <c r="DC870" s="96"/>
      <c r="DE870" s="96"/>
    </row>
    <row r="871">
      <c r="A871" s="1"/>
      <c r="B871" s="1"/>
      <c r="C871" s="76"/>
      <c r="D871" s="76"/>
      <c r="E871" s="76"/>
      <c r="F871" s="76"/>
      <c r="G871" s="79"/>
      <c r="H871" s="80"/>
      <c r="I871" s="79"/>
      <c r="J871" s="80"/>
      <c r="K871" s="79"/>
      <c r="L871" s="142"/>
      <c r="M871" s="1"/>
      <c r="N871" s="142"/>
      <c r="O871" s="1"/>
      <c r="P871" s="142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79">
        <f t="shared" si="805"/>
        <v>0</v>
      </c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R871" s="1"/>
      <c r="CS871" s="1"/>
      <c r="CT871" s="1"/>
      <c r="CU871" s="1"/>
      <c r="CV871" s="1"/>
      <c r="CW871" s="1"/>
      <c r="CX871" s="1"/>
      <c r="CY871" s="91" t="str">
        <f t="shared" si="831"/>
        <v/>
      </c>
      <c r="CZ871" s="1"/>
      <c r="DC871" s="96"/>
      <c r="DE871" s="96"/>
    </row>
    <row r="872">
      <c r="A872" s="1"/>
      <c r="B872" s="1"/>
      <c r="C872" s="76"/>
      <c r="D872" s="76"/>
      <c r="E872" s="76"/>
      <c r="F872" s="76"/>
      <c r="G872" s="79"/>
      <c r="H872" s="80"/>
      <c r="I872" s="79"/>
      <c r="J872" s="80"/>
      <c r="K872" s="79"/>
      <c r="L872" s="142"/>
      <c r="M872" s="1"/>
      <c r="N872" s="142"/>
      <c r="O872" s="1"/>
      <c r="P872" s="142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79">
        <f t="shared" si="805"/>
        <v>0</v>
      </c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R872" s="1"/>
      <c r="CS872" s="1"/>
      <c r="CT872" s="1"/>
      <c r="CU872" s="1"/>
      <c r="CV872" s="1"/>
      <c r="CW872" s="1"/>
      <c r="CX872" s="1"/>
      <c r="CY872" s="91" t="str">
        <f t="shared" si="831"/>
        <v/>
      </c>
      <c r="CZ872" s="1"/>
      <c r="DC872" s="96"/>
      <c r="DE872" s="96"/>
    </row>
    <row r="873">
      <c r="A873" s="1"/>
      <c r="B873" s="1"/>
      <c r="C873" s="76"/>
      <c r="D873" s="76"/>
      <c r="E873" s="76"/>
      <c r="F873" s="76"/>
      <c r="G873" s="79"/>
      <c r="H873" s="80"/>
      <c r="I873" s="79"/>
      <c r="J873" s="80"/>
      <c r="K873" s="79"/>
      <c r="L873" s="142"/>
      <c r="M873" s="1"/>
      <c r="N873" s="142"/>
      <c r="O873" s="1"/>
      <c r="P873" s="142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79">
        <f t="shared" si="805"/>
        <v>0</v>
      </c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R873" s="1"/>
      <c r="CS873" s="1"/>
      <c r="CT873" s="1"/>
      <c r="CU873" s="1"/>
      <c r="CV873" s="1"/>
      <c r="CW873" s="1"/>
      <c r="CX873" s="1"/>
      <c r="CY873" s="91" t="str">
        <f t="shared" si="831"/>
        <v/>
      </c>
      <c r="CZ873" s="1"/>
      <c r="DC873" s="96"/>
      <c r="DE873" s="96"/>
    </row>
    <row r="874">
      <c r="A874" s="1"/>
      <c r="B874" s="1"/>
      <c r="C874" s="76"/>
      <c r="D874" s="76"/>
      <c r="E874" s="76"/>
      <c r="F874" s="76"/>
      <c r="G874" s="79"/>
      <c r="H874" s="80"/>
      <c r="I874" s="79"/>
      <c r="J874" s="80"/>
      <c r="K874" s="79"/>
      <c r="L874" s="142"/>
      <c r="M874" s="1"/>
      <c r="N874" s="142"/>
      <c r="O874" s="1"/>
      <c r="P874" s="142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79">
        <f t="shared" si="805"/>
        <v>0</v>
      </c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R874" s="1"/>
      <c r="CS874" s="1"/>
      <c r="CT874" s="1"/>
      <c r="CU874" s="1"/>
      <c r="CV874" s="1"/>
      <c r="CW874" s="1"/>
      <c r="CX874" s="1"/>
      <c r="CY874" s="91" t="str">
        <f t="shared" si="831"/>
        <v/>
      </c>
      <c r="CZ874" s="1"/>
      <c r="DC874" s="96"/>
      <c r="DE874" s="96"/>
    </row>
    <row r="875">
      <c r="A875" s="1"/>
      <c r="B875" s="1"/>
      <c r="C875" s="76"/>
      <c r="D875" s="76"/>
      <c r="E875" s="76"/>
      <c r="F875" s="76"/>
      <c r="G875" s="79"/>
      <c r="H875" s="80"/>
      <c r="I875" s="79"/>
      <c r="J875" s="80"/>
      <c r="K875" s="79"/>
      <c r="L875" s="142"/>
      <c r="M875" s="1"/>
      <c r="N875" s="142"/>
      <c r="O875" s="1"/>
      <c r="P875" s="142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79">
        <f t="shared" si="805"/>
        <v>0</v>
      </c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R875" s="1"/>
      <c r="CS875" s="1"/>
      <c r="CT875" s="1"/>
      <c r="CU875" s="1"/>
      <c r="CV875" s="1"/>
      <c r="CW875" s="1"/>
      <c r="CX875" s="1"/>
      <c r="CY875" s="91" t="str">
        <f t="shared" si="831"/>
        <v/>
      </c>
      <c r="CZ875" s="1"/>
      <c r="DC875" s="96"/>
      <c r="DE875" s="96"/>
    </row>
    <row r="876">
      <c r="A876" s="1"/>
      <c r="B876" s="1"/>
      <c r="C876" s="76"/>
      <c r="D876" s="76"/>
      <c r="E876" s="76"/>
      <c r="F876" s="76"/>
      <c r="G876" s="79"/>
      <c r="H876" s="80"/>
      <c r="I876" s="79"/>
      <c r="J876" s="80"/>
      <c r="K876" s="79"/>
      <c r="L876" s="142"/>
      <c r="M876" s="1"/>
      <c r="N876" s="142"/>
      <c r="O876" s="1"/>
      <c r="P876" s="142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79">
        <f t="shared" si="805"/>
        <v>0</v>
      </c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R876" s="1"/>
      <c r="CS876" s="1"/>
      <c r="CT876" s="1"/>
      <c r="CU876" s="1"/>
      <c r="CV876" s="1"/>
      <c r="CW876" s="1"/>
      <c r="CX876" s="1"/>
      <c r="CY876" s="91" t="str">
        <f t="shared" si="831"/>
        <v/>
      </c>
      <c r="CZ876" s="1"/>
      <c r="DC876" s="96"/>
      <c r="DE876" s="96"/>
    </row>
    <row r="877">
      <c r="A877" s="1"/>
      <c r="B877" s="1"/>
      <c r="C877" s="76"/>
      <c r="D877" s="76"/>
      <c r="E877" s="76"/>
      <c r="F877" s="76"/>
      <c r="G877" s="79"/>
      <c r="H877" s="80"/>
      <c r="I877" s="79"/>
      <c r="J877" s="80"/>
      <c r="K877" s="79"/>
      <c r="L877" s="142"/>
      <c r="M877" s="1"/>
      <c r="N877" s="142"/>
      <c r="O877" s="1"/>
      <c r="P877" s="142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79">
        <f t="shared" si="805"/>
        <v>0</v>
      </c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R877" s="1"/>
      <c r="CS877" s="1"/>
      <c r="CT877" s="1"/>
      <c r="CU877" s="1"/>
      <c r="CV877" s="1"/>
      <c r="CW877" s="1"/>
      <c r="CX877" s="1"/>
      <c r="CY877" s="91" t="str">
        <f t="shared" si="831"/>
        <v/>
      </c>
      <c r="CZ877" s="1"/>
      <c r="DC877" s="96"/>
      <c r="DE877" s="96"/>
    </row>
    <row r="878">
      <c r="A878" s="1"/>
      <c r="B878" s="1"/>
      <c r="C878" s="76"/>
      <c r="D878" s="76"/>
      <c r="E878" s="76"/>
      <c r="F878" s="76"/>
      <c r="G878" s="79"/>
      <c r="H878" s="80"/>
      <c r="I878" s="79"/>
      <c r="J878" s="80"/>
      <c r="K878" s="79"/>
      <c r="L878" s="142"/>
      <c r="M878" s="1"/>
      <c r="N878" s="142"/>
      <c r="O878" s="1"/>
      <c r="P878" s="142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79">
        <f t="shared" si="805"/>
        <v>0</v>
      </c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R878" s="1"/>
      <c r="CS878" s="1"/>
      <c r="CT878" s="1"/>
      <c r="CU878" s="1"/>
      <c r="CV878" s="1"/>
      <c r="CW878" s="1"/>
      <c r="CX878" s="1"/>
      <c r="CY878" s="91" t="str">
        <f t="shared" si="831"/>
        <v/>
      </c>
      <c r="CZ878" s="1"/>
      <c r="DC878" s="96"/>
      <c r="DE878" s="96"/>
    </row>
    <row r="879">
      <c r="A879" s="1"/>
      <c r="B879" s="1"/>
      <c r="C879" s="76"/>
      <c r="D879" s="76"/>
      <c r="E879" s="76"/>
      <c r="F879" s="76"/>
      <c r="G879" s="79"/>
      <c r="H879" s="80"/>
      <c r="I879" s="79"/>
      <c r="J879" s="80"/>
      <c r="K879" s="79"/>
      <c r="L879" s="142"/>
      <c r="M879" s="1"/>
      <c r="N879" s="142"/>
      <c r="O879" s="1"/>
      <c r="P879" s="142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79">
        <f t="shared" si="805"/>
        <v>0</v>
      </c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R879" s="1"/>
      <c r="CS879" s="1"/>
      <c r="CT879" s="1"/>
      <c r="CU879" s="1"/>
      <c r="CV879" s="1"/>
      <c r="CW879" s="1"/>
      <c r="CX879" s="1"/>
      <c r="CY879" s="91" t="str">
        <f t="shared" si="831"/>
        <v/>
      </c>
      <c r="CZ879" s="1"/>
      <c r="DC879" s="96"/>
      <c r="DE879" s="96"/>
    </row>
    <row r="880">
      <c r="A880" s="1"/>
      <c r="B880" s="1"/>
      <c r="C880" s="76"/>
      <c r="D880" s="76"/>
      <c r="E880" s="76"/>
      <c r="F880" s="76"/>
      <c r="G880" s="79"/>
      <c r="H880" s="80"/>
      <c r="I880" s="79"/>
      <c r="J880" s="80"/>
      <c r="K880" s="79"/>
      <c r="L880" s="142"/>
      <c r="M880" s="1"/>
      <c r="N880" s="142"/>
      <c r="O880" s="1"/>
      <c r="P880" s="142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79">
        <f t="shared" si="805"/>
        <v>0</v>
      </c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R880" s="1"/>
      <c r="CS880" s="1"/>
      <c r="CT880" s="1"/>
      <c r="CU880" s="1"/>
      <c r="CV880" s="1"/>
      <c r="CW880" s="1"/>
      <c r="CX880" s="1"/>
      <c r="CY880" s="91" t="str">
        <f t="shared" si="831"/>
        <v/>
      </c>
      <c r="CZ880" s="1"/>
      <c r="DC880" s="96"/>
      <c r="DE880" s="96"/>
    </row>
    <row r="881">
      <c r="A881" s="1"/>
      <c r="B881" s="1"/>
      <c r="C881" s="76"/>
      <c r="D881" s="76"/>
      <c r="E881" s="76"/>
      <c r="F881" s="76"/>
      <c r="G881" s="79"/>
      <c r="H881" s="80"/>
      <c r="I881" s="79"/>
      <c r="J881" s="80"/>
      <c r="K881" s="79"/>
      <c r="L881" s="142"/>
      <c r="M881" s="1"/>
      <c r="N881" s="142"/>
      <c r="O881" s="1"/>
      <c r="P881" s="142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79">
        <f t="shared" si="805"/>
        <v>0</v>
      </c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R881" s="1"/>
      <c r="CS881" s="1"/>
      <c r="CT881" s="1"/>
      <c r="CU881" s="1"/>
      <c r="CV881" s="1"/>
      <c r="CW881" s="1"/>
      <c r="CX881" s="1"/>
      <c r="CY881" s="91" t="str">
        <f t="shared" si="831"/>
        <v/>
      </c>
      <c r="CZ881" s="1"/>
      <c r="DC881" s="96"/>
      <c r="DE881" s="96"/>
    </row>
    <row r="882">
      <c r="A882" s="1"/>
      <c r="B882" s="1"/>
      <c r="C882" s="76"/>
      <c r="D882" s="76"/>
      <c r="E882" s="76"/>
      <c r="F882" s="76"/>
      <c r="G882" s="79"/>
      <c r="H882" s="80"/>
      <c r="I882" s="79"/>
      <c r="J882" s="80"/>
      <c r="K882" s="79"/>
      <c r="L882" s="142"/>
      <c r="M882" s="1"/>
      <c r="N882" s="142"/>
      <c r="O882" s="1"/>
      <c r="P882" s="142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79">
        <f t="shared" si="805"/>
        <v>0</v>
      </c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R882" s="1"/>
      <c r="CS882" s="1"/>
      <c r="CT882" s="1"/>
      <c r="CU882" s="1"/>
      <c r="CV882" s="1"/>
      <c r="CW882" s="1"/>
      <c r="CX882" s="1"/>
      <c r="CY882" s="91" t="str">
        <f t="shared" si="831"/>
        <v/>
      </c>
      <c r="CZ882" s="1"/>
      <c r="DC882" s="96"/>
      <c r="DE882" s="96"/>
    </row>
    <row r="883">
      <c r="A883" s="1"/>
      <c r="B883" s="1"/>
      <c r="C883" s="76"/>
      <c r="D883" s="76"/>
      <c r="E883" s="76"/>
      <c r="F883" s="76"/>
      <c r="G883" s="79"/>
      <c r="H883" s="80"/>
      <c r="I883" s="79"/>
      <c r="J883" s="80"/>
      <c r="K883" s="79"/>
      <c r="L883" s="142"/>
      <c r="M883" s="1"/>
      <c r="N883" s="142"/>
      <c r="O883" s="1"/>
      <c r="P883" s="142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79">
        <f t="shared" si="805"/>
        <v>0</v>
      </c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R883" s="1"/>
      <c r="CS883" s="1"/>
      <c r="CT883" s="1"/>
      <c r="CU883" s="1"/>
      <c r="CV883" s="1"/>
      <c r="CW883" s="1"/>
      <c r="CX883" s="1"/>
      <c r="CY883" s="91" t="str">
        <f t="shared" si="831"/>
        <v/>
      </c>
      <c r="CZ883" s="1"/>
      <c r="DC883" s="96"/>
      <c r="DE883" s="96"/>
    </row>
    <row r="884">
      <c r="A884" s="1"/>
      <c r="B884" s="1"/>
      <c r="C884" s="76"/>
      <c r="D884" s="76"/>
      <c r="E884" s="76"/>
      <c r="F884" s="76"/>
      <c r="G884" s="79"/>
      <c r="H884" s="80"/>
      <c r="I884" s="79"/>
      <c r="J884" s="80"/>
      <c r="K884" s="79"/>
      <c r="L884" s="142"/>
      <c r="M884" s="1"/>
      <c r="N884" s="142"/>
      <c r="O884" s="1"/>
      <c r="P884" s="142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79">
        <f t="shared" si="805"/>
        <v>0</v>
      </c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R884" s="1"/>
      <c r="CS884" s="1"/>
      <c r="CT884" s="1"/>
      <c r="CU884" s="1"/>
      <c r="CV884" s="1"/>
      <c r="CW884" s="1"/>
      <c r="CX884" s="1"/>
      <c r="CY884" s="91" t="str">
        <f t="shared" si="831"/>
        <v/>
      </c>
      <c r="CZ884" s="1"/>
      <c r="DC884" s="96"/>
      <c r="DE884" s="96"/>
    </row>
    <row r="885">
      <c r="A885" s="1"/>
      <c r="B885" s="1"/>
      <c r="C885" s="76"/>
      <c r="D885" s="76"/>
      <c r="E885" s="76"/>
      <c r="F885" s="76"/>
      <c r="G885" s="79"/>
      <c r="H885" s="80"/>
      <c r="I885" s="79"/>
      <c r="J885" s="80"/>
      <c r="K885" s="79"/>
      <c r="L885" s="142"/>
      <c r="M885" s="1"/>
      <c r="N885" s="142"/>
      <c r="O885" s="1"/>
      <c r="P885" s="142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79">
        <f t="shared" si="805"/>
        <v>0</v>
      </c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R885" s="1"/>
      <c r="CS885" s="1"/>
      <c r="CT885" s="1"/>
      <c r="CU885" s="1"/>
      <c r="CV885" s="1"/>
      <c r="CW885" s="1"/>
      <c r="CX885" s="1"/>
      <c r="CY885" s="91" t="str">
        <f t="shared" si="831"/>
        <v/>
      </c>
      <c r="CZ885" s="1"/>
      <c r="DC885" s="96"/>
      <c r="DE885" s="96"/>
    </row>
    <row r="886">
      <c r="A886" s="1"/>
      <c r="B886" s="1"/>
      <c r="C886" s="76"/>
      <c r="D886" s="76"/>
      <c r="E886" s="76"/>
      <c r="F886" s="76"/>
      <c r="G886" s="79"/>
      <c r="H886" s="80"/>
      <c r="I886" s="79"/>
      <c r="J886" s="80"/>
      <c r="K886" s="79"/>
      <c r="L886" s="142"/>
      <c r="M886" s="1"/>
      <c r="N886" s="142"/>
      <c r="O886" s="1"/>
      <c r="P886" s="142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79">
        <f t="shared" si="805"/>
        <v>0</v>
      </c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R886" s="1"/>
      <c r="CS886" s="1"/>
      <c r="CT886" s="1"/>
      <c r="CU886" s="1"/>
      <c r="CV886" s="1"/>
      <c r="CW886" s="1"/>
      <c r="CX886" s="1"/>
      <c r="CY886" s="91" t="str">
        <f t="shared" si="831"/>
        <v/>
      </c>
      <c r="CZ886" s="1"/>
      <c r="DC886" s="96"/>
      <c r="DE886" s="96"/>
    </row>
    <row r="887">
      <c r="A887" s="1"/>
      <c r="B887" s="1"/>
      <c r="C887" s="76"/>
      <c r="D887" s="76"/>
      <c r="E887" s="76"/>
      <c r="F887" s="76"/>
      <c r="G887" s="79"/>
      <c r="H887" s="80"/>
      <c r="I887" s="79"/>
      <c r="J887" s="80"/>
      <c r="K887" s="79"/>
      <c r="L887" s="142"/>
      <c r="M887" s="1"/>
      <c r="N887" s="142"/>
      <c r="O887" s="1"/>
      <c r="P887" s="142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79">
        <f t="shared" si="805"/>
        <v>0</v>
      </c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R887" s="1"/>
      <c r="CS887" s="1"/>
      <c r="CT887" s="1"/>
      <c r="CU887" s="1"/>
      <c r="CV887" s="1"/>
      <c r="CW887" s="1"/>
      <c r="CX887" s="1"/>
      <c r="CY887" s="91" t="str">
        <f t="shared" si="831"/>
        <v/>
      </c>
      <c r="CZ887" s="1"/>
      <c r="DC887" s="96"/>
      <c r="DE887" s="96"/>
    </row>
    <row r="888">
      <c r="A888" s="1"/>
      <c r="B888" s="1"/>
      <c r="C888" s="76"/>
      <c r="D888" s="76"/>
      <c r="E888" s="76"/>
      <c r="F888" s="76"/>
      <c r="G888" s="79"/>
      <c r="H888" s="80"/>
      <c r="I888" s="79"/>
      <c r="J888" s="80"/>
      <c r="K888" s="79"/>
      <c r="L888" s="142"/>
      <c r="M888" s="1"/>
      <c r="N888" s="142"/>
      <c r="O888" s="1"/>
      <c r="P888" s="142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79">
        <f t="shared" si="805"/>
        <v>0</v>
      </c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R888" s="1"/>
      <c r="CS888" s="1"/>
      <c r="CT888" s="1"/>
      <c r="CU888" s="1"/>
      <c r="CV888" s="1"/>
      <c r="CW888" s="1"/>
      <c r="CX888" s="1"/>
      <c r="CY888" s="91" t="str">
        <f t="shared" si="831"/>
        <v/>
      </c>
      <c r="CZ888" s="1"/>
      <c r="DC888" s="96"/>
      <c r="DE888" s="96"/>
    </row>
    <row r="889">
      <c r="A889" s="1"/>
      <c r="B889" s="1"/>
      <c r="C889" s="76"/>
      <c r="D889" s="76"/>
      <c r="E889" s="76"/>
      <c r="F889" s="76"/>
      <c r="G889" s="79"/>
      <c r="H889" s="80"/>
      <c r="I889" s="79"/>
      <c r="J889" s="80"/>
      <c r="K889" s="79"/>
      <c r="L889" s="142"/>
      <c r="M889" s="1"/>
      <c r="N889" s="142"/>
      <c r="O889" s="1"/>
      <c r="P889" s="142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79">
        <f t="shared" si="805"/>
        <v>0</v>
      </c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R889" s="1"/>
      <c r="CS889" s="1"/>
      <c r="CT889" s="1"/>
      <c r="CU889" s="1"/>
      <c r="CV889" s="1"/>
      <c r="CW889" s="1"/>
      <c r="CX889" s="1"/>
      <c r="CY889" s="91" t="str">
        <f t="shared" si="831"/>
        <v/>
      </c>
      <c r="CZ889" s="1"/>
      <c r="DC889" s="96"/>
      <c r="DE889" s="96"/>
    </row>
    <row r="890">
      <c r="A890" s="1"/>
      <c r="B890" s="1"/>
      <c r="C890" s="76"/>
      <c r="D890" s="76"/>
      <c r="E890" s="76"/>
      <c r="F890" s="76"/>
      <c r="G890" s="79"/>
      <c r="H890" s="80"/>
      <c r="I890" s="79"/>
      <c r="J890" s="80"/>
      <c r="K890" s="79"/>
      <c r="L890" s="142"/>
      <c r="M890" s="1"/>
      <c r="N890" s="142"/>
      <c r="O890" s="1"/>
      <c r="P890" s="142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79">
        <f t="shared" si="805"/>
        <v>0</v>
      </c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R890" s="1"/>
      <c r="CS890" s="1"/>
      <c r="CT890" s="1"/>
      <c r="CU890" s="1"/>
      <c r="CV890" s="1"/>
      <c r="CW890" s="1"/>
      <c r="CX890" s="1"/>
      <c r="CY890" s="91" t="str">
        <f t="shared" si="831"/>
        <v/>
      </c>
      <c r="CZ890" s="1"/>
      <c r="DC890" s="96"/>
      <c r="DE890" s="96"/>
    </row>
    <row r="891">
      <c r="A891" s="1"/>
      <c r="B891" s="1"/>
      <c r="C891" s="76"/>
      <c r="D891" s="76"/>
      <c r="E891" s="76"/>
      <c r="F891" s="76"/>
      <c r="G891" s="79"/>
      <c r="H891" s="80"/>
      <c r="I891" s="79"/>
      <c r="J891" s="80"/>
      <c r="K891" s="79"/>
      <c r="L891" s="142"/>
      <c r="M891" s="1"/>
      <c r="N891" s="142"/>
      <c r="O891" s="1"/>
      <c r="P891" s="142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79">
        <f t="shared" si="805"/>
        <v>0</v>
      </c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R891" s="1"/>
      <c r="CS891" s="1"/>
      <c r="CT891" s="1"/>
      <c r="CU891" s="1"/>
      <c r="CV891" s="1"/>
      <c r="CW891" s="1"/>
      <c r="CX891" s="1"/>
      <c r="CY891" s="91" t="str">
        <f t="shared" si="831"/>
        <v/>
      </c>
      <c r="CZ891" s="1"/>
      <c r="DC891" s="96"/>
      <c r="DE891" s="96"/>
    </row>
    <row r="892">
      <c r="A892" s="1"/>
      <c r="B892" s="1"/>
      <c r="C892" s="76"/>
      <c r="D892" s="76"/>
      <c r="E892" s="76"/>
      <c r="F892" s="76"/>
      <c r="G892" s="79"/>
      <c r="H892" s="80"/>
      <c r="I892" s="79"/>
      <c r="J892" s="80"/>
      <c r="K892" s="79"/>
      <c r="L892" s="142"/>
      <c r="M892" s="1"/>
      <c r="N892" s="142"/>
      <c r="O892" s="1"/>
      <c r="P892" s="142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79">
        <f t="shared" si="805"/>
        <v>0</v>
      </c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R892" s="1"/>
      <c r="CS892" s="1"/>
      <c r="CT892" s="1"/>
      <c r="CU892" s="1"/>
      <c r="CV892" s="1"/>
      <c r="CW892" s="1"/>
      <c r="CX892" s="1"/>
      <c r="CY892" s="91" t="str">
        <f t="shared" si="831"/>
        <v/>
      </c>
      <c r="CZ892" s="1"/>
      <c r="DC892" s="96"/>
      <c r="DE892" s="96"/>
    </row>
    <row r="893">
      <c r="A893" s="1"/>
      <c r="B893" s="1"/>
      <c r="C893" s="76"/>
      <c r="D893" s="76"/>
      <c r="E893" s="76"/>
      <c r="F893" s="76"/>
      <c r="G893" s="79"/>
      <c r="H893" s="80"/>
      <c r="I893" s="79"/>
      <c r="J893" s="80"/>
      <c r="K893" s="79"/>
      <c r="L893" s="142"/>
      <c r="M893" s="1"/>
      <c r="N893" s="142"/>
      <c r="O893" s="1"/>
      <c r="P893" s="142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79">
        <f t="shared" si="805"/>
        <v>0</v>
      </c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R893" s="1"/>
      <c r="CS893" s="1"/>
      <c r="CT893" s="1"/>
      <c r="CU893" s="1"/>
      <c r="CV893" s="1"/>
      <c r="CW893" s="1"/>
      <c r="CX893" s="1"/>
      <c r="CY893" s="91" t="str">
        <f t="shared" si="831"/>
        <v/>
      </c>
      <c r="CZ893" s="1"/>
      <c r="DC893" s="96"/>
      <c r="DE893" s="96"/>
    </row>
    <row r="894">
      <c r="A894" s="1"/>
      <c r="B894" s="1"/>
      <c r="C894" s="76"/>
      <c r="D894" s="76"/>
      <c r="E894" s="76"/>
      <c r="F894" s="76"/>
      <c r="G894" s="79"/>
      <c r="H894" s="80"/>
      <c r="I894" s="79"/>
      <c r="J894" s="80"/>
      <c r="K894" s="79"/>
      <c r="L894" s="142"/>
      <c r="M894" s="1"/>
      <c r="N894" s="142"/>
      <c r="O894" s="1"/>
      <c r="P894" s="142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79">
        <f t="shared" si="805"/>
        <v>0</v>
      </c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R894" s="1"/>
      <c r="CS894" s="1"/>
      <c r="CT894" s="1"/>
      <c r="CU894" s="1"/>
      <c r="CV894" s="1"/>
      <c r="CW894" s="1"/>
      <c r="CX894" s="1"/>
      <c r="CY894" s="91" t="str">
        <f t="shared" si="831"/>
        <v/>
      </c>
      <c r="CZ894" s="1"/>
      <c r="DC894" s="96"/>
      <c r="DE894" s="96"/>
    </row>
    <row r="895">
      <c r="A895" s="1"/>
      <c r="B895" s="1"/>
      <c r="C895" s="76"/>
      <c r="D895" s="76"/>
      <c r="E895" s="76"/>
      <c r="F895" s="76"/>
      <c r="G895" s="79"/>
      <c r="H895" s="80"/>
      <c r="I895" s="79"/>
      <c r="J895" s="80"/>
      <c r="K895" s="79"/>
      <c r="L895" s="142"/>
      <c r="M895" s="1"/>
      <c r="N895" s="142"/>
      <c r="O895" s="1"/>
      <c r="P895" s="142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79">
        <f t="shared" si="805"/>
        <v>0</v>
      </c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R895" s="1"/>
      <c r="CS895" s="1"/>
      <c r="CT895" s="1"/>
      <c r="CU895" s="1"/>
      <c r="CV895" s="1"/>
      <c r="CW895" s="1"/>
      <c r="CX895" s="1"/>
      <c r="CY895" s="91" t="str">
        <f t="shared" si="831"/>
        <v/>
      </c>
      <c r="CZ895" s="1"/>
      <c r="DC895" s="96"/>
      <c r="DE895" s="96"/>
    </row>
    <row r="896">
      <c r="A896" s="1"/>
      <c r="B896" s="1"/>
      <c r="C896" s="76"/>
      <c r="D896" s="76"/>
      <c r="E896" s="76"/>
      <c r="F896" s="76"/>
      <c r="G896" s="79"/>
      <c r="H896" s="80"/>
      <c r="I896" s="79"/>
      <c r="J896" s="80"/>
      <c r="K896" s="79"/>
      <c r="L896" s="142"/>
      <c r="M896" s="1"/>
      <c r="N896" s="142"/>
      <c r="O896" s="1"/>
      <c r="P896" s="142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79">
        <f t="shared" si="805"/>
        <v>0</v>
      </c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R896" s="1"/>
      <c r="CS896" s="1"/>
      <c r="CT896" s="1"/>
      <c r="CU896" s="1"/>
      <c r="CV896" s="1"/>
      <c r="CW896" s="1"/>
      <c r="CX896" s="1"/>
      <c r="CY896" s="91" t="str">
        <f t="shared" si="831"/>
        <v/>
      </c>
      <c r="CZ896" s="1"/>
      <c r="DC896" s="96"/>
      <c r="DE896" s="96"/>
    </row>
    <row r="897">
      <c r="A897" s="1"/>
      <c r="B897" s="1"/>
      <c r="C897" s="76"/>
      <c r="D897" s="76"/>
      <c r="E897" s="76"/>
      <c r="F897" s="76"/>
      <c r="G897" s="79"/>
      <c r="H897" s="80"/>
      <c r="I897" s="79"/>
      <c r="J897" s="80"/>
      <c r="K897" s="79"/>
      <c r="L897" s="142"/>
      <c r="M897" s="1"/>
      <c r="N897" s="142"/>
      <c r="O897" s="1"/>
      <c r="P897" s="142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79">
        <f t="shared" si="805"/>
        <v>0</v>
      </c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R897" s="1"/>
      <c r="CS897" s="1"/>
      <c r="CT897" s="1"/>
      <c r="CU897" s="1"/>
      <c r="CV897" s="1"/>
      <c r="CW897" s="1"/>
      <c r="CX897" s="1"/>
      <c r="CY897" s="91" t="str">
        <f t="shared" si="831"/>
        <v/>
      </c>
      <c r="CZ897" s="1"/>
      <c r="DC897" s="96"/>
      <c r="DE897" s="96"/>
    </row>
    <row r="898">
      <c r="A898" s="1"/>
      <c r="B898" s="1"/>
      <c r="C898" s="76"/>
      <c r="D898" s="76"/>
      <c r="E898" s="76"/>
      <c r="F898" s="76"/>
      <c r="G898" s="79"/>
      <c r="H898" s="80"/>
      <c r="I898" s="79"/>
      <c r="J898" s="80"/>
      <c r="K898" s="79"/>
      <c r="L898" s="142"/>
      <c r="M898" s="1"/>
      <c r="N898" s="142"/>
      <c r="O898" s="1"/>
      <c r="P898" s="142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79">
        <f t="shared" si="805"/>
        <v>0</v>
      </c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R898" s="1"/>
      <c r="CS898" s="1"/>
      <c r="CT898" s="1"/>
      <c r="CU898" s="1"/>
      <c r="CV898" s="1"/>
      <c r="CW898" s="1"/>
      <c r="CX898" s="1"/>
      <c r="CY898" s="91" t="str">
        <f t="shared" si="831"/>
        <v/>
      </c>
      <c r="CZ898" s="1"/>
      <c r="DC898" s="96"/>
      <c r="DE898" s="96"/>
    </row>
    <row r="899">
      <c r="A899" s="1"/>
      <c r="B899" s="1"/>
      <c r="C899" s="76"/>
      <c r="D899" s="76"/>
      <c r="E899" s="76"/>
      <c r="F899" s="76"/>
      <c r="G899" s="79"/>
      <c r="H899" s="80"/>
      <c r="I899" s="79"/>
      <c r="J899" s="80"/>
      <c r="K899" s="79"/>
      <c r="L899" s="142"/>
      <c r="M899" s="1"/>
      <c r="N899" s="142"/>
      <c r="O899" s="1"/>
      <c r="P899" s="142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79">
        <f t="shared" si="805"/>
        <v>0</v>
      </c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R899" s="1"/>
      <c r="CS899" s="1"/>
      <c r="CT899" s="1"/>
      <c r="CU899" s="1"/>
      <c r="CV899" s="1"/>
      <c r="CW899" s="1"/>
      <c r="CX899" s="1"/>
      <c r="CY899" s="91" t="str">
        <f t="shared" si="831"/>
        <v/>
      </c>
      <c r="CZ899" s="1"/>
      <c r="DC899" s="96"/>
      <c r="DE899" s="96"/>
    </row>
    <row r="900">
      <c r="A900" s="1"/>
      <c r="B900" s="1"/>
      <c r="C900" s="76"/>
      <c r="D900" s="76"/>
      <c r="E900" s="76"/>
      <c r="F900" s="76"/>
      <c r="G900" s="79"/>
      <c r="H900" s="80"/>
      <c r="I900" s="79"/>
      <c r="J900" s="80"/>
      <c r="K900" s="79"/>
      <c r="L900" s="142"/>
      <c r="M900" s="1"/>
      <c r="N900" s="142"/>
      <c r="O900" s="1"/>
      <c r="P900" s="142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79">
        <f t="shared" si="805"/>
        <v>0</v>
      </c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R900" s="1"/>
      <c r="CS900" s="1"/>
      <c r="CT900" s="1"/>
      <c r="CU900" s="1"/>
      <c r="CV900" s="1"/>
      <c r="CW900" s="1"/>
      <c r="CX900" s="1"/>
      <c r="CY900" s="91" t="str">
        <f t="shared" si="831"/>
        <v/>
      </c>
      <c r="CZ900" s="1"/>
      <c r="DC900" s="96"/>
      <c r="DE900" s="96"/>
    </row>
    <row r="901">
      <c r="A901" s="1"/>
      <c r="B901" s="1"/>
      <c r="C901" s="76"/>
      <c r="D901" s="76"/>
      <c r="E901" s="76"/>
      <c r="F901" s="76"/>
      <c r="G901" s="79"/>
      <c r="H901" s="80"/>
      <c r="I901" s="79"/>
      <c r="J901" s="80"/>
      <c r="K901" s="79"/>
      <c r="L901" s="142"/>
      <c r="M901" s="1"/>
      <c r="N901" s="142"/>
      <c r="O901" s="1"/>
      <c r="P901" s="142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79">
        <f t="shared" si="805"/>
        <v>0</v>
      </c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R901" s="1"/>
      <c r="CS901" s="1"/>
      <c r="CT901" s="1"/>
      <c r="CU901" s="1"/>
      <c r="CV901" s="1"/>
      <c r="CW901" s="1"/>
      <c r="CX901" s="1"/>
      <c r="CY901" s="91" t="str">
        <f t="shared" si="831"/>
        <v/>
      </c>
      <c r="CZ901" s="1"/>
      <c r="DC901" s="96"/>
      <c r="DE901" s="96"/>
    </row>
    <row r="902">
      <c r="A902" s="1"/>
      <c r="B902" s="1"/>
      <c r="C902" s="76"/>
      <c r="D902" s="76"/>
      <c r="E902" s="76"/>
      <c r="F902" s="76"/>
      <c r="G902" s="79"/>
      <c r="H902" s="80"/>
      <c r="I902" s="79"/>
      <c r="J902" s="80"/>
      <c r="K902" s="79"/>
      <c r="L902" s="142"/>
      <c r="M902" s="1"/>
      <c r="N902" s="142"/>
      <c r="O902" s="1"/>
      <c r="P902" s="142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79">
        <f t="shared" si="805"/>
        <v>0</v>
      </c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R902" s="1"/>
      <c r="CS902" s="1"/>
      <c r="CT902" s="1"/>
      <c r="CU902" s="1"/>
      <c r="CV902" s="1"/>
      <c r="CW902" s="1"/>
      <c r="CX902" s="1"/>
      <c r="CY902" s="91" t="str">
        <f t="shared" si="831"/>
        <v/>
      </c>
      <c r="CZ902" s="1"/>
      <c r="DC902" s="96"/>
      <c r="DE902" s="96"/>
    </row>
    <row r="903">
      <c r="A903" s="1"/>
      <c r="B903" s="1"/>
      <c r="C903" s="76"/>
      <c r="D903" s="76"/>
      <c r="E903" s="76"/>
      <c r="F903" s="76"/>
      <c r="G903" s="79"/>
      <c r="H903" s="80"/>
      <c r="I903" s="79"/>
      <c r="J903" s="80"/>
      <c r="K903" s="79"/>
      <c r="L903" s="142"/>
      <c r="M903" s="1"/>
      <c r="N903" s="142"/>
      <c r="O903" s="1"/>
      <c r="P903" s="142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79">
        <f t="shared" si="805"/>
        <v>0</v>
      </c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R903" s="1"/>
      <c r="CS903" s="1"/>
      <c r="CT903" s="1"/>
      <c r="CU903" s="1"/>
      <c r="CV903" s="1"/>
      <c r="CW903" s="1"/>
      <c r="CX903" s="1"/>
      <c r="CY903" s="91" t="str">
        <f t="shared" si="831"/>
        <v/>
      </c>
      <c r="CZ903" s="1"/>
      <c r="DC903" s="96"/>
      <c r="DE903" s="96"/>
    </row>
    <row r="904">
      <c r="A904" s="1"/>
      <c r="B904" s="1"/>
      <c r="C904" s="76"/>
      <c r="D904" s="76"/>
      <c r="E904" s="76"/>
      <c r="F904" s="76"/>
      <c r="G904" s="79"/>
      <c r="H904" s="80"/>
      <c r="I904" s="79"/>
      <c r="J904" s="80"/>
      <c r="K904" s="79"/>
      <c r="L904" s="142"/>
      <c r="M904" s="1"/>
      <c r="N904" s="142"/>
      <c r="O904" s="1"/>
      <c r="P904" s="142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79">
        <f t="shared" si="805"/>
        <v>0</v>
      </c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R904" s="1"/>
      <c r="CS904" s="1"/>
      <c r="CT904" s="1"/>
      <c r="CU904" s="1"/>
      <c r="CV904" s="1"/>
      <c r="CW904" s="1"/>
      <c r="CX904" s="1"/>
      <c r="CY904" s="91" t="str">
        <f t="shared" si="831"/>
        <v/>
      </c>
      <c r="CZ904" s="1"/>
      <c r="DC904" s="96"/>
      <c r="DE904" s="96"/>
    </row>
    <row r="905">
      <c r="A905" s="1"/>
      <c r="B905" s="1"/>
      <c r="C905" s="76"/>
      <c r="D905" s="76"/>
      <c r="E905" s="76"/>
      <c r="F905" s="76"/>
      <c r="G905" s="79"/>
      <c r="H905" s="80"/>
      <c r="I905" s="79"/>
      <c r="J905" s="80"/>
      <c r="K905" s="79"/>
      <c r="L905" s="142"/>
      <c r="M905" s="1"/>
      <c r="N905" s="142"/>
      <c r="O905" s="1"/>
      <c r="P905" s="142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79">
        <f t="shared" si="805"/>
        <v>0</v>
      </c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R905" s="1"/>
      <c r="CS905" s="1"/>
      <c r="CT905" s="1"/>
      <c r="CU905" s="1"/>
      <c r="CV905" s="1"/>
      <c r="CW905" s="1"/>
      <c r="CX905" s="1"/>
      <c r="CY905" s="91" t="str">
        <f t="shared" si="831"/>
        <v/>
      </c>
      <c r="CZ905" s="1"/>
      <c r="DC905" s="96"/>
      <c r="DE905" s="96"/>
    </row>
    <row r="906">
      <c r="A906" s="1"/>
      <c r="B906" s="1"/>
      <c r="C906" s="76"/>
      <c r="D906" s="76"/>
      <c r="E906" s="76"/>
      <c r="F906" s="76"/>
      <c r="G906" s="79"/>
      <c r="H906" s="80"/>
      <c r="I906" s="79"/>
      <c r="J906" s="80"/>
      <c r="K906" s="79"/>
      <c r="L906" s="142"/>
      <c r="M906" s="1"/>
      <c r="N906" s="142"/>
      <c r="O906" s="1"/>
      <c r="P906" s="142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79">
        <f t="shared" si="805"/>
        <v>0</v>
      </c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R906" s="1"/>
      <c r="CS906" s="1"/>
      <c r="CT906" s="1"/>
      <c r="CU906" s="1"/>
      <c r="CV906" s="1"/>
      <c r="CW906" s="1"/>
      <c r="CX906" s="1"/>
      <c r="CY906" s="91" t="str">
        <f t="shared" si="831"/>
        <v/>
      </c>
      <c r="CZ906" s="1"/>
      <c r="DC906" s="96"/>
      <c r="DE906" s="96"/>
    </row>
    <row r="907">
      <c r="A907" s="1"/>
      <c r="B907" s="1"/>
      <c r="C907" s="76"/>
      <c r="D907" s="76"/>
      <c r="E907" s="76"/>
      <c r="F907" s="76"/>
      <c r="G907" s="79"/>
      <c r="H907" s="80"/>
      <c r="I907" s="79"/>
      <c r="J907" s="80"/>
      <c r="K907" s="79"/>
      <c r="L907" s="142"/>
      <c r="M907" s="1"/>
      <c r="N907" s="142"/>
      <c r="O907" s="1"/>
      <c r="P907" s="142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79">
        <f t="shared" si="805"/>
        <v>0</v>
      </c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R907" s="1"/>
      <c r="CS907" s="1"/>
      <c r="CT907" s="1"/>
      <c r="CU907" s="1"/>
      <c r="CV907" s="1"/>
      <c r="CW907" s="1"/>
      <c r="CX907" s="1"/>
      <c r="CY907" s="91" t="str">
        <f t="shared" si="831"/>
        <v/>
      </c>
      <c r="CZ907" s="1"/>
      <c r="DC907" s="96"/>
      <c r="DE907" s="96"/>
    </row>
    <row r="908">
      <c r="A908" s="1"/>
      <c r="B908" s="1"/>
      <c r="C908" s="76"/>
      <c r="D908" s="76"/>
      <c r="E908" s="76"/>
      <c r="F908" s="76"/>
      <c r="G908" s="79"/>
      <c r="H908" s="80"/>
      <c r="I908" s="79"/>
      <c r="J908" s="80"/>
      <c r="K908" s="79"/>
      <c r="L908" s="142"/>
      <c r="M908" s="1"/>
      <c r="N908" s="142"/>
      <c r="O908" s="1"/>
      <c r="P908" s="142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79">
        <f t="shared" si="805"/>
        <v>0</v>
      </c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R908" s="1"/>
      <c r="CS908" s="1"/>
      <c r="CT908" s="1"/>
      <c r="CU908" s="1"/>
      <c r="CV908" s="1"/>
      <c r="CW908" s="1"/>
      <c r="CX908" s="1"/>
      <c r="CY908" s="91" t="str">
        <f t="shared" si="831"/>
        <v/>
      </c>
      <c r="CZ908" s="1"/>
      <c r="DC908" s="96"/>
      <c r="DE908" s="96"/>
    </row>
    <row r="909">
      <c r="A909" s="1"/>
      <c r="B909" s="1"/>
      <c r="C909" s="76"/>
      <c r="D909" s="76"/>
      <c r="E909" s="76"/>
      <c r="F909" s="76"/>
      <c r="G909" s="79"/>
      <c r="H909" s="80"/>
      <c r="I909" s="79"/>
      <c r="J909" s="80"/>
      <c r="K909" s="79"/>
      <c r="L909" s="142"/>
      <c r="M909" s="1"/>
      <c r="N909" s="142"/>
      <c r="O909" s="1"/>
      <c r="P909" s="142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79">
        <f t="shared" si="805"/>
        <v>0</v>
      </c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R909" s="1"/>
      <c r="CS909" s="1"/>
      <c r="CT909" s="1"/>
      <c r="CU909" s="1"/>
      <c r="CV909" s="1"/>
      <c r="CW909" s="1"/>
      <c r="CX909" s="1"/>
      <c r="CY909" s="91" t="str">
        <f t="shared" si="831"/>
        <v/>
      </c>
      <c r="CZ909" s="1"/>
      <c r="DC909" s="96"/>
      <c r="DE909" s="96"/>
    </row>
    <row r="910">
      <c r="A910" s="1"/>
      <c r="B910" s="1"/>
      <c r="C910" s="76"/>
      <c r="D910" s="76"/>
      <c r="E910" s="76"/>
      <c r="F910" s="76"/>
      <c r="G910" s="79"/>
      <c r="H910" s="80"/>
      <c r="I910" s="79"/>
      <c r="J910" s="80"/>
      <c r="K910" s="79"/>
      <c r="L910" s="142"/>
      <c r="M910" s="1"/>
      <c r="N910" s="142"/>
      <c r="O910" s="1"/>
      <c r="P910" s="142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79">
        <f t="shared" si="805"/>
        <v>0</v>
      </c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R910" s="1"/>
      <c r="CS910" s="1"/>
      <c r="CT910" s="1"/>
      <c r="CU910" s="1"/>
      <c r="CV910" s="1"/>
      <c r="CW910" s="1"/>
      <c r="CX910" s="1"/>
      <c r="CY910" s="91" t="str">
        <f t="shared" si="831"/>
        <v/>
      </c>
      <c r="CZ910" s="1"/>
      <c r="DC910" s="96"/>
      <c r="DE910" s="96"/>
    </row>
    <row r="911">
      <c r="A911" s="1"/>
      <c r="B911" s="1"/>
      <c r="C911" s="76"/>
      <c r="D911" s="76"/>
      <c r="E911" s="76"/>
      <c r="F911" s="76"/>
      <c r="G911" s="79"/>
      <c r="H911" s="80"/>
      <c r="I911" s="79"/>
      <c r="J911" s="80"/>
      <c r="K911" s="79"/>
      <c r="L911" s="142"/>
      <c r="M911" s="1"/>
      <c r="N911" s="142"/>
      <c r="O911" s="1"/>
      <c r="P911" s="142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79">
        <f t="shared" si="805"/>
        <v>0</v>
      </c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R911" s="1"/>
      <c r="CS911" s="1"/>
      <c r="CT911" s="1"/>
      <c r="CU911" s="1"/>
      <c r="CV911" s="1"/>
      <c r="CW911" s="1"/>
      <c r="CX911" s="1"/>
      <c r="CY911" s="91" t="str">
        <f t="shared" si="831"/>
        <v/>
      </c>
      <c r="CZ911" s="1"/>
      <c r="DC911" s="96"/>
      <c r="DE911" s="96"/>
    </row>
    <row r="912">
      <c r="A912" s="1"/>
      <c r="B912" s="1"/>
      <c r="C912" s="76"/>
      <c r="D912" s="76"/>
      <c r="E912" s="76"/>
      <c r="F912" s="76"/>
      <c r="G912" s="79"/>
      <c r="H912" s="80"/>
      <c r="I912" s="79"/>
      <c r="J912" s="80"/>
      <c r="K912" s="79"/>
      <c r="L912" s="142"/>
      <c r="M912" s="1"/>
      <c r="N912" s="142"/>
      <c r="O912" s="1"/>
      <c r="P912" s="142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79">
        <f t="shared" si="805"/>
        <v>0</v>
      </c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R912" s="1"/>
      <c r="CS912" s="1"/>
      <c r="CT912" s="1"/>
      <c r="CU912" s="1"/>
      <c r="CV912" s="1"/>
      <c r="CW912" s="1"/>
      <c r="CX912" s="1"/>
      <c r="CY912" s="91" t="str">
        <f t="shared" si="831"/>
        <v/>
      </c>
      <c r="CZ912" s="1"/>
      <c r="DC912" s="96"/>
      <c r="DE912" s="96"/>
    </row>
    <row r="913">
      <c r="A913" s="1"/>
      <c r="B913" s="1"/>
      <c r="C913" s="76"/>
      <c r="D913" s="76"/>
      <c r="E913" s="76"/>
      <c r="F913" s="76"/>
      <c r="G913" s="79"/>
      <c r="H913" s="80"/>
      <c r="I913" s="79"/>
      <c r="J913" s="80"/>
      <c r="K913" s="79"/>
      <c r="L913" s="142"/>
      <c r="M913" s="1"/>
      <c r="N913" s="142"/>
      <c r="O913" s="1"/>
      <c r="P913" s="142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79">
        <f t="shared" si="805"/>
        <v>0</v>
      </c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R913" s="1"/>
      <c r="CS913" s="1"/>
      <c r="CT913" s="1"/>
      <c r="CU913" s="1"/>
      <c r="CV913" s="1"/>
      <c r="CW913" s="1"/>
      <c r="CX913" s="1"/>
      <c r="CY913" s="91" t="str">
        <f t="shared" si="831"/>
        <v/>
      </c>
      <c r="CZ913" s="1"/>
      <c r="DC913" s="96"/>
      <c r="DE913" s="96"/>
    </row>
    <row r="914">
      <c r="A914" s="1"/>
      <c r="B914" s="1"/>
      <c r="C914" s="76"/>
      <c r="D914" s="76"/>
      <c r="E914" s="76"/>
      <c r="F914" s="76"/>
      <c r="G914" s="79"/>
      <c r="H914" s="80"/>
      <c r="I914" s="79"/>
      <c r="J914" s="80"/>
      <c r="K914" s="79"/>
      <c r="L914" s="142"/>
      <c r="M914" s="1"/>
      <c r="N914" s="142"/>
      <c r="O914" s="1"/>
      <c r="P914" s="142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79">
        <f t="shared" si="805"/>
        <v>0</v>
      </c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R914" s="1"/>
      <c r="CS914" s="1"/>
      <c r="CT914" s="1"/>
      <c r="CU914" s="1"/>
      <c r="CV914" s="1"/>
      <c r="CW914" s="1"/>
      <c r="CX914" s="1"/>
      <c r="CY914" s="91" t="str">
        <f t="shared" si="831"/>
        <v/>
      </c>
      <c r="CZ914" s="1"/>
      <c r="DC914" s="96"/>
      <c r="DE914" s="96"/>
    </row>
    <row r="915">
      <c r="A915" s="1"/>
      <c r="B915" s="1"/>
      <c r="C915" s="76"/>
      <c r="D915" s="76"/>
      <c r="E915" s="76"/>
      <c r="F915" s="76"/>
      <c r="G915" s="79"/>
      <c r="H915" s="80"/>
      <c r="I915" s="79"/>
      <c r="J915" s="80"/>
      <c r="K915" s="79"/>
      <c r="L915" s="142"/>
      <c r="M915" s="1"/>
      <c r="N915" s="142"/>
      <c r="O915" s="1"/>
      <c r="P915" s="142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79">
        <f t="shared" si="805"/>
        <v>0</v>
      </c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R915" s="1"/>
      <c r="CS915" s="1"/>
      <c r="CT915" s="1"/>
      <c r="CU915" s="1"/>
      <c r="CV915" s="1"/>
      <c r="CW915" s="1"/>
      <c r="CX915" s="1"/>
      <c r="CY915" s="91" t="str">
        <f t="shared" si="831"/>
        <v/>
      </c>
      <c r="CZ915" s="1"/>
      <c r="DC915" s="96"/>
      <c r="DE915" s="96"/>
    </row>
    <row r="916">
      <c r="A916" s="1"/>
      <c r="B916" s="1"/>
      <c r="C916" s="76"/>
      <c r="D916" s="76"/>
      <c r="E916" s="76"/>
      <c r="F916" s="76"/>
      <c r="G916" s="79"/>
      <c r="H916" s="80"/>
      <c r="I916" s="79"/>
      <c r="J916" s="80"/>
      <c r="K916" s="79"/>
      <c r="L916" s="142"/>
      <c r="M916" s="1"/>
      <c r="N916" s="142"/>
      <c r="O916" s="1"/>
      <c r="P916" s="142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79">
        <f t="shared" si="805"/>
        <v>0</v>
      </c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R916" s="1"/>
      <c r="CS916" s="1"/>
      <c r="CT916" s="1"/>
      <c r="CU916" s="1"/>
      <c r="CV916" s="1"/>
      <c r="CW916" s="1"/>
      <c r="CX916" s="1"/>
      <c r="CY916" s="91" t="str">
        <f t="shared" si="831"/>
        <v/>
      </c>
      <c r="CZ916" s="1"/>
      <c r="DC916" s="96"/>
      <c r="DE916" s="96"/>
    </row>
    <row r="917">
      <c r="A917" s="1"/>
      <c r="B917" s="1"/>
      <c r="C917" s="76"/>
      <c r="D917" s="76"/>
      <c r="E917" s="76"/>
      <c r="F917" s="76"/>
      <c r="G917" s="79"/>
      <c r="H917" s="80"/>
      <c r="I917" s="79"/>
      <c r="J917" s="80"/>
      <c r="K917" s="79"/>
      <c r="L917" s="142"/>
      <c r="M917" s="1"/>
      <c r="N917" s="142"/>
      <c r="O917" s="1"/>
      <c r="P917" s="142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79">
        <f t="shared" si="805"/>
        <v>0</v>
      </c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R917" s="1"/>
      <c r="CS917" s="1"/>
      <c r="CT917" s="1"/>
      <c r="CU917" s="1"/>
      <c r="CV917" s="1"/>
      <c r="CW917" s="1"/>
      <c r="CX917" s="1"/>
      <c r="CY917" s="91" t="str">
        <f t="shared" si="831"/>
        <v/>
      </c>
      <c r="CZ917" s="1"/>
      <c r="DC917" s="96"/>
      <c r="DE917" s="96"/>
    </row>
    <row r="918">
      <c r="A918" s="1"/>
      <c r="B918" s="1"/>
      <c r="C918" s="76"/>
      <c r="D918" s="76"/>
      <c r="E918" s="76"/>
      <c r="F918" s="76"/>
      <c r="G918" s="79"/>
      <c r="H918" s="80"/>
      <c r="I918" s="79"/>
      <c r="J918" s="80"/>
      <c r="K918" s="79"/>
      <c r="L918" s="142"/>
      <c r="M918" s="1"/>
      <c r="N918" s="142"/>
      <c r="O918" s="1"/>
      <c r="P918" s="142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79">
        <f t="shared" si="805"/>
        <v>0</v>
      </c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R918" s="1"/>
      <c r="CS918" s="1"/>
      <c r="CT918" s="1"/>
      <c r="CU918" s="1"/>
      <c r="CV918" s="1"/>
      <c r="CW918" s="1"/>
      <c r="CX918" s="1"/>
      <c r="CY918" s="91" t="str">
        <f t="shared" si="831"/>
        <v/>
      </c>
      <c r="CZ918" s="1"/>
      <c r="DC918" s="96"/>
      <c r="DE918" s="96"/>
    </row>
    <row r="919">
      <c r="A919" s="1"/>
      <c r="B919" s="1"/>
      <c r="C919" s="76"/>
      <c r="D919" s="76"/>
      <c r="E919" s="76"/>
      <c r="F919" s="76"/>
      <c r="G919" s="79"/>
      <c r="H919" s="80"/>
      <c r="I919" s="79"/>
      <c r="J919" s="80"/>
      <c r="K919" s="79"/>
      <c r="L919" s="142"/>
      <c r="M919" s="1"/>
      <c r="N919" s="142"/>
      <c r="O919" s="1"/>
      <c r="P919" s="142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79">
        <f t="shared" si="805"/>
        <v>0</v>
      </c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R919" s="1"/>
      <c r="CS919" s="1"/>
      <c r="CT919" s="1"/>
      <c r="CU919" s="1"/>
      <c r="CV919" s="1"/>
      <c r="CW919" s="1"/>
      <c r="CX919" s="1"/>
      <c r="CY919" s="91" t="str">
        <f t="shared" si="831"/>
        <v/>
      </c>
      <c r="CZ919" s="1"/>
      <c r="DC919" s="96"/>
      <c r="DE919" s="96"/>
    </row>
    <row r="920">
      <c r="A920" s="1"/>
      <c r="B920" s="1"/>
      <c r="C920" s="76"/>
      <c r="D920" s="76"/>
      <c r="E920" s="76"/>
      <c r="F920" s="76"/>
      <c r="G920" s="79"/>
      <c r="H920" s="80"/>
      <c r="I920" s="79"/>
      <c r="J920" s="80"/>
      <c r="K920" s="79"/>
      <c r="L920" s="142"/>
      <c r="M920" s="1"/>
      <c r="N920" s="142"/>
      <c r="O920" s="1"/>
      <c r="P920" s="142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79">
        <f t="shared" si="805"/>
        <v>0</v>
      </c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R920" s="1"/>
      <c r="CS920" s="1"/>
      <c r="CT920" s="1"/>
      <c r="CU920" s="1"/>
      <c r="CV920" s="1"/>
      <c r="CW920" s="1"/>
      <c r="CX920" s="1"/>
      <c r="CY920" s="91" t="str">
        <f t="shared" si="831"/>
        <v/>
      </c>
      <c r="CZ920" s="1"/>
      <c r="DC920" s="96"/>
      <c r="DE920" s="96"/>
    </row>
    <row r="921">
      <c r="A921" s="1"/>
      <c r="B921" s="1"/>
      <c r="C921" s="76"/>
      <c r="D921" s="76"/>
      <c r="E921" s="76"/>
      <c r="F921" s="76"/>
      <c r="G921" s="79"/>
      <c r="H921" s="80"/>
      <c r="I921" s="79"/>
      <c r="J921" s="80"/>
      <c r="K921" s="79"/>
      <c r="L921" s="142"/>
      <c r="M921" s="1"/>
      <c r="N921" s="142"/>
      <c r="O921" s="1"/>
      <c r="P921" s="142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79">
        <f t="shared" si="805"/>
        <v>0</v>
      </c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R921" s="1"/>
      <c r="CS921" s="1"/>
      <c r="CT921" s="1"/>
      <c r="CU921" s="1"/>
      <c r="CV921" s="1"/>
      <c r="CW921" s="1"/>
      <c r="CX921" s="1"/>
      <c r="CY921" s="91" t="str">
        <f t="shared" si="831"/>
        <v/>
      </c>
      <c r="CZ921" s="1"/>
      <c r="DC921" s="96"/>
      <c r="DE921" s="96"/>
    </row>
    <row r="922">
      <c r="A922" s="1"/>
      <c r="B922" s="1"/>
      <c r="C922" s="76"/>
      <c r="D922" s="76"/>
      <c r="E922" s="76"/>
      <c r="F922" s="76"/>
      <c r="G922" s="79"/>
      <c r="H922" s="80"/>
      <c r="I922" s="79"/>
      <c r="J922" s="80"/>
      <c r="K922" s="79"/>
      <c r="L922" s="142"/>
      <c r="M922" s="1"/>
      <c r="N922" s="142"/>
      <c r="O922" s="1"/>
      <c r="P922" s="142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79">
        <f t="shared" si="805"/>
        <v>0</v>
      </c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R922" s="1"/>
      <c r="CS922" s="1"/>
      <c r="CT922" s="1"/>
      <c r="CU922" s="1"/>
      <c r="CV922" s="1"/>
      <c r="CW922" s="1"/>
      <c r="CX922" s="1"/>
      <c r="CY922" s="91" t="str">
        <f t="shared" si="831"/>
        <v/>
      </c>
      <c r="CZ922" s="1"/>
      <c r="DC922" s="96"/>
      <c r="DE922" s="96"/>
    </row>
    <row r="923">
      <c r="A923" s="1"/>
      <c r="B923" s="1"/>
      <c r="C923" s="76"/>
      <c r="D923" s="76"/>
      <c r="E923" s="76"/>
      <c r="F923" s="76"/>
      <c r="G923" s="79"/>
      <c r="H923" s="80"/>
      <c r="I923" s="79"/>
      <c r="J923" s="80"/>
      <c r="K923" s="79"/>
      <c r="L923" s="142"/>
      <c r="M923" s="1"/>
      <c r="N923" s="142"/>
      <c r="O923" s="1"/>
      <c r="P923" s="142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79">
        <f t="shared" si="805"/>
        <v>0</v>
      </c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R923" s="1"/>
      <c r="CS923" s="1"/>
      <c r="CT923" s="1"/>
      <c r="CU923" s="1"/>
      <c r="CV923" s="1"/>
      <c r="CW923" s="1"/>
      <c r="CX923" s="1"/>
      <c r="CY923" s="91" t="str">
        <f t="shared" si="831"/>
        <v/>
      </c>
      <c r="CZ923" s="1"/>
      <c r="DC923" s="96"/>
      <c r="DE923" s="96"/>
    </row>
    <row r="924">
      <c r="A924" s="1"/>
      <c r="B924" s="1"/>
      <c r="C924" s="76"/>
      <c r="D924" s="76"/>
      <c r="E924" s="76"/>
      <c r="F924" s="76"/>
      <c r="G924" s="79"/>
      <c r="H924" s="80"/>
      <c r="I924" s="79"/>
      <c r="J924" s="80"/>
      <c r="K924" s="79"/>
      <c r="L924" s="142"/>
      <c r="M924" s="1"/>
      <c r="N924" s="142"/>
      <c r="O924" s="1"/>
      <c r="P924" s="142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79">
        <f t="shared" si="805"/>
        <v>0</v>
      </c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R924" s="1"/>
      <c r="CS924" s="1"/>
      <c r="CT924" s="1"/>
      <c r="CU924" s="1"/>
      <c r="CV924" s="1"/>
      <c r="CW924" s="1"/>
      <c r="CX924" s="1"/>
      <c r="CY924" s="91" t="str">
        <f t="shared" si="831"/>
        <v/>
      </c>
      <c r="CZ924" s="1"/>
      <c r="DC924" s="96"/>
      <c r="DE924" s="96"/>
    </row>
    <row r="925">
      <c r="A925" s="1"/>
      <c r="B925" s="1"/>
      <c r="C925" s="76"/>
      <c r="D925" s="76"/>
      <c r="E925" s="76"/>
      <c r="F925" s="76"/>
      <c r="G925" s="79"/>
      <c r="H925" s="80"/>
      <c r="I925" s="79"/>
      <c r="J925" s="80"/>
      <c r="K925" s="79"/>
      <c r="L925" s="142"/>
      <c r="M925" s="1"/>
      <c r="N925" s="142"/>
      <c r="O925" s="1"/>
      <c r="P925" s="142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79">
        <f t="shared" si="805"/>
        <v>0</v>
      </c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R925" s="1"/>
      <c r="CS925" s="1"/>
      <c r="CT925" s="1"/>
      <c r="CU925" s="1"/>
      <c r="CV925" s="1"/>
      <c r="CW925" s="1"/>
      <c r="CX925" s="1"/>
      <c r="CY925" s="91" t="str">
        <f t="shared" si="831"/>
        <v/>
      </c>
      <c r="CZ925" s="1"/>
      <c r="DC925" s="96"/>
      <c r="DE925" s="96"/>
    </row>
    <row r="926">
      <c r="A926" s="1"/>
      <c r="B926" s="1"/>
      <c r="C926" s="76"/>
      <c r="D926" s="76"/>
      <c r="E926" s="76"/>
      <c r="F926" s="76"/>
      <c r="G926" s="79"/>
      <c r="H926" s="80"/>
      <c r="I926" s="79"/>
      <c r="J926" s="80"/>
      <c r="K926" s="79"/>
      <c r="L926" s="142"/>
      <c r="M926" s="1"/>
      <c r="N926" s="142"/>
      <c r="O926" s="1"/>
      <c r="P926" s="142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79">
        <f t="shared" si="805"/>
        <v>0</v>
      </c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R926" s="1"/>
      <c r="CS926" s="1"/>
      <c r="CT926" s="1"/>
      <c r="CU926" s="1"/>
      <c r="CV926" s="1"/>
      <c r="CW926" s="1"/>
      <c r="CX926" s="1"/>
      <c r="CY926" s="91" t="str">
        <f t="shared" si="831"/>
        <v/>
      </c>
      <c r="CZ926" s="1"/>
      <c r="DC926" s="96"/>
      <c r="DE926" s="96"/>
    </row>
    <row r="927">
      <c r="A927" s="1"/>
      <c r="B927" s="1"/>
      <c r="C927" s="76"/>
      <c r="D927" s="76"/>
      <c r="E927" s="76"/>
      <c r="F927" s="76"/>
      <c r="G927" s="79"/>
      <c r="H927" s="80"/>
      <c r="I927" s="79"/>
      <c r="J927" s="80"/>
      <c r="K927" s="79"/>
      <c r="L927" s="142"/>
      <c r="M927" s="1"/>
      <c r="N927" s="142"/>
      <c r="O927" s="1"/>
      <c r="P927" s="142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79">
        <f t="shared" si="805"/>
        <v>0</v>
      </c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R927" s="1"/>
      <c r="CS927" s="1"/>
      <c r="CT927" s="1"/>
      <c r="CU927" s="1"/>
      <c r="CV927" s="1"/>
      <c r="CW927" s="1"/>
      <c r="CX927" s="1"/>
      <c r="CY927" s="91" t="str">
        <f t="shared" si="831"/>
        <v/>
      </c>
      <c r="CZ927" s="1"/>
      <c r="DC927" s="96"/>
      <c r="DE927" s="96"/>
    </row>
    <row r="928">
      <c r="A928" s="1"/>
      <c r="B928" s="1"/>
      <c r="C928" s="76"/>
      <c r="D928" s="76"/>
      <c r="E928" s="76"/>
      <c r="F928" s="76"/>
      <c r="G928" s="79"/>
      <c r="H928" s="80"/>
      <c r="I928" s="79"/>
      <c r="J928" s="80"/>
      <c r="K928" s="79"/>
      <c r="L928" s="142"/>
      <c r="M928" s="1"/>
      <c r="N928" s="142"/>
      <c r="O928" s="1"/>
      <c r="P928" s="142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79">
        <f t="shared" si="805"/>
        <v>0</v>
      </c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R928" s="1"/>
      <c r="CS928" s="1"/>
      <c r="CT928" s="1"/>
      <c r="CU928" s="1"/>
      <c r="CV928" s="1"/>
      <c r="CW928" s="1"/>
      <c r="CX928" s="1"/>
      <c r="CY928" s="91" t="str">
        <f t="shared" si="831"/>
        <v/>
      </c>
      <c r="CZ928" s="1"/>
      <c r="DC928" s="96"/>
      <c r="DE928" s="96"/>
    </row>
    <row r="929">
      <c r="A929" s="1"/>
      <c r="B929" s="1"/>
      <c r="C929" s="76"/>
      <c r="D929" s="76"/>
      <c r="E929" s="76"/>
      <c r="F929" s="76"/>
      <c r="G929" s="79"/>
      <c r="H929" s="80"/>
      <c r="I929" s="79"/>
      <c r="J929" s="80"/>
      <c r="K929" s="79"/>
      <c r="L929" s="142"/>
      <c r="M929" s="1"/>
      <c r="N929" s="142"/>
      <c r="O929" s="1"/>
      <c r="P929" s="142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79">
        <f t="shared" si="805"/>
        <v>0</v>
      </c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R929" s="1"/>
      <c r="CS929" s="1"/>
      <c r="CT929" s="1"/>
      <c r="CU929" s="1"/>
      <c r="CV929" s="1"/>
      <c r="CW929" s="1"/>
      <c r="CX929" s="1"/>
      <c r="CY929" s="91" t="str">
        <f t="shared" si="831"/>
        <v/>
      </c>
      <c r="CZ929" s="1"/>
      <c r="DC929" s="96"/>
      <c r="DE929" s="96"/>
    </row>
    <row r="930">
      <c r="A930" s="1"/>
      <c r="B930" s="1"/>
      <c r="C930" s="76"/>
      <c r="D930" s="76"/>
      <c r="E930" s="76"/>
      <c r="F930" s="76"/>
      <c r="G930" s="79"/>
      <c r="H930" s="80"/>
      <c r="I930" s="79"/>
      <c r="J930" s="80"/>
      <c r="K930" s="79"/>
      <c r="L930" s="142"/>
      <c r="M930" s="1"/>
      <c r="N930" s="142"/>
      <c r="O930" s="1"/>
      <c r="P930" s="142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79">
        <f t="shared" si="805"/>
        <v>0</v>
      </c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R930" s="1"/>
      <c r="CS930" s="1"/>
      <c r="CT930" s="1"/>
      <c r="CU930" s="1"/>
      <c r="CV930" s="1"/>
      <c r="CW930" s="1"/>
      <c r="CX930" s="1"/>
      <c r="CY930" s="91" t="str">
        <f t="shared" si="831"/>
        <v/>
      </c>
      <c r="CZ930" s="1"/>
      <c r="DC930" s="96"/>
      <c r="DE930" s="96"/>
    </row>
    <row r="931">
      <c r="A931" s="1"/>
      <c r="B931" s="1"/>
      <c r="C931" s="76"/>
      <c r="D931" s="76"/>
      <c r="E931" s="76"/>
      <c r="F931" s="76"/>
      <c r="G931" s="79"/>
      <c r="H931" s="80"/>
      <c r="I931" s="79"/>
      <c r="J931" s="80"/>
      <c r="K931" s="79"/>
      <c r="L931" s="142"/>
      <c r="M931" s="1"/>
      <c r="N931" s="142"/>
      <c r="O931" s="1"/>
      <c r="P931" s="142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79">
        <f t="shared" si="805"/>
        <v>0</v>
      </c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R931" s="1"/>
      <c r="CS931" s="1"/>
      <c r="CT931" s="1"/>
      <c r="CU931" s="1"/>
      <c r="CV931" s="1"/>
      <c r="CW931" s="1"/>
      <c r="CX931" s="1"/>
      <c r="CY931" s="91" t="str">
        <f t="shared" si="831"/>
        <v/>
      </c>
      <c r="CZ931" s="1"/>
      <c r="DC931" s="96"/>
      <c r="DE931" s="96"/>
    </row>
    <row r="932">
      <c r="A932" s="1"/>
      <c r="B932" s="1"/>
      <c r="C932" s="76"/>
      <c r="D932" s="76"/>
      <c r="E932" s="76"/>
      <c r="F932" s="76"/>
      <c r="G932" s="79"/>
      <c r="H932" s="80"/>
      <c r="I932" s="79"/>
      <c r="J932" s="80"/>
      <c r="K932" s="79"/>
      <c r="L932" s="142"/>
      <c r="M932" s="1"/>
      <c r="N932" s="142"/>
      <c r="O932" s="1"/>
      <c r="P932" s="142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79">
        <f t="shared" si="805"/>
        <v>0</v>
      </c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R932" s="1"/>
      <c r="CS932" s="1"/>
      <c r="CT932" s="1"/>
      <c r="CU932" s="1"/>
      <c r="CV932" s="1"/>
      <c r="CW932" s="1"/>
      <c r="CX932" s="1"/>
      <c r="CY932" s="91" t="str">
        <f t="shared" si="831"/>
        <v/>
      </c>
      <c r="CZ932" s="1"/>
      <c r="DC932" s="96"/>
      <c r="DE932" s="96"/>
    </row>
    <row r="933">
      <c r="A933" s="1"/>
      <c r="B933" s="1"/>
      <c r="C933" s="76"/>
      <c r="D933" s="76"/>
      <c r="E933" s="76"/>
      <c r="F933" s="76"/>
      <c r="G933" s="79"/>
      <c r="H933" s="80"/>
      <c r="I933" s="79"/>
      <c r="J933" s="80"/>
      <c r="K933" s="79"/>
      <c r="L933" s="142"/>
      <c r="M933" s="1"/>
      <c r="N933" s="142"/>
      <c r="O933" s="1"/>
      <c r="P933" s="142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79">
        <f t="shared" si="805"/>
        <v>0</v>
      </c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R933" s="1"/>
      <c r="CS933" s="1"/>
      <c r="CT933" s="1"/>
      <c r="CU933" s="1"/>
      <c r="CV933" s="1"/>
      <c r="CW933" s="1"/>
      <c r="CX933" s="1"/>
      <c r="CY933" s="91" t="str">
        <f t="shared" si="831"/>
        <v/>
      </c>
      <c r="CZ933" s="1"/>
      <c r="DC933" s="96"/>
      <c r="DE933" s="96"/>
    </row>
    <row r="934">
      <c r="A934" s="1"/>
      <c r="B934" s="1"/>
      <c r="C934" s="76"/>
      <c r="D934" s="76"/>
      <c r="E934" s="76"/>
      <c r="F934" s="76"/>
      <c r="G934" s="79"/>
      <c r="H934" s="80"/>
      <c r="I934" s="79"/>
      <c r="J934" s="80"/>
      <c r="K934" s="79"/>
      <c r="L934" s="142"/>
      <c r="M934" s="1"/>
      <c r="N934" s="142"/>
      <c r="O934" s="1"/>
      <c r="P934" s="142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79">
        <f t="shared" si="805"/>
        <v>0</v>
      </c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R934" s="1"/>
      <c r="CS934" s="1"/>
      <c r="CT934" s="1"/>
      <c r="CU934" s="1"/>
      <c r="CV934" s="1"/>
      <c r="CW934" s="1"/>
      <c r="CX934" s="1"/>
      <c r="CY934" s="91" t="str">
        <f t="shared" si="831"/>
        <v/>
      </c>
      <c r="CZ934" s="1"/>
      <c r="DC934" s="96"/>
      <c r="DE934" s="96"/>
    </row>
    <row r="935">
      <c r="A935" s="1"/>
      <c r="B935" s="1"/>
      <c r="C935" s="76"/>
      <c r="D935" s="76"/>
      <c r="E935" s="76"/>
      <c r="F935" s="76"/>
      <c r="G935" s="79"/>
      <c r="H935" s="80"/>
      <c r="I935" s="79"/>
      <c r="J935" s="80"/>
      <c r="K935" s="79"/>
      <c r="L935" s="142"/>
      <c r="M935" s="1"/>
      <c r="N935" s="142"/>
      <c r="O935" s="1"/>
      <c r="P935" s="142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79">
        <f t="shared" si="805"/>
        <v>0</v>
      </c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R935" s="1"/>
      <c r="CS935" s="1"/>
      <c r="CT935" s="1"/>
      <c r="CU935" s="1"/>
      <c r="CV935" s="1"/>
      <c r="CW935" s="1"/>
      <c r="CX935" s="1"/>
      <c r="CY935" s="91" t="str">
        <f t="shared" si="831"/>
        <v/>
      </c>
      <c r="CZ935" s="1"/>
      <c r="DC935" s="96"/>
      <c r="DE935" s="96"/>
    </row>
    <row r="936">
      <c r="A936" s="1"/>
      <c r="B936" s="1"/>
      <c r="C936" s="76"/>
      <c r="D936" s="76"/>
      <c r="E936" s="76"/>
      <c r="F936" s="76"/>
      <c r="G936" s="79"/>
      <c r="H936" s="80"/>
      <c r="I936" s="79"/>
      <c r="J936" s="80"/>
      <c r="K936" s="79"/>
      <c r="L936" s="142"/>
      <c r="M936" s="1"/>
      <c r="N936" s="142"/>
      <c r="O936" s="1"/>
      <c r="P936" s="142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79">
        <f t="shared" si="805"/>
        <v>0</v>
      </c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R936" s="1"/>
      <c r="CS936" s="1"/>
      <c r="CT936" s="1"/>
      <c r="CU936" s="1"/>
      <c r="CV936" s="1"/>
      <c r="CW936" s="1"/>
      <c r="CX936" s="1"/>
      <c r="CY936" s="91" t="str">
        <f t="shared" si="831"/>
        <v/>
      </c>
      <c r="CZ936" s="1"/>
      <c r="DC936" s="96"/>
      <c r="DE936" s="96"/>
    </row>
    <row r="937">
      <c r="A937" s="1"/>
      <c r="B937" s="1"/>
      <c r="C937" s="76"/>
      <c r="D937" s="76"/>
      <c r="E937" s="76"/>
      <c r="F937" s="76"/>
      <c r="G937" s="79"/>
      <c r="H937" s="80"/>
      <c r="I937" s="79"/>
      <c r="J937" s="80"/>
      <c r="K937" s="79"/>
      <c r="L937" s="142"/>
      <c r="M937" s="1"/>
      <c r="N937" s="142"/>
      <c r="O937" s="1"/>
      <c r="P937" s="142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79">
        <f t="shared" si="805"/>
        <v>0</v>
      </c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R937" s="1"/>
      <c r="CS937" s="1"/>
      <c r="CT937" s="1"/>
      <c r="CU937" s="1"/>
      <c r="CV937" s="1"/>
      <c r="CW937" s="1"/>
      <c r="CX937" s="1"/>
      <c r="CY937" s="91" t="str">
        <f t="shared" si="831"/>
        <v/>
      </c>
      <c r="CZ937" s="1"/>
      <c r="DC937" s="96"/>
      <c r="DE937" s="96"/>
    </row>
    <row r="938">
      <c r="A938" s="1"/>
      <c r="B938" s="1"/>
      <c r="C938" s="76"/>
      <c r="D938" s="76"/>
      <c r="E938" s="76"/>
      <c r="F938" s="76"/>
      <c r="G938" s="79"/>
      <c r="H938" s="80"/>
      <c r="I938" s="79"/>
      <c r="J938" s="80"/>
      <c r="K938" s="79"/>
      <c r="L938" s="142"/>
      <c r="M938" s="1"/>
      <c r="N938" s="142"/>
      <c r="O938" s="1"/>
      <c r="P938" s="142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79">
        <f t="shared" si="805"/>
        <v>0</v>
      </c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R938" s="1"/>
      <c r="CS938" s="1"/>
      <c r="CT938" s="1"/>
      <c r="CU938" s="1"/>
      <c r="CV938" s="1"/>
      <c r="CW938" s="1"/>
      <c r="CX938" s="1"/>
      <c r="CY938" s="91" t="str">
        <f t="shared" si="831"/>
        <v/>
      </c>
      <c r="CZ938" s="1"/>
      <c r="DC938" s="96"/>
      <c r="DE938" s="96"/>
    </row>
    <row r="939">
      <c r="A939" s="1"/>
      <c r="B939" s="1"/>
      <c r="C939" s="76"/>
      <c r="D939" s="76"/>
      <c r="E939" s="76"/>
      <c r="F939" s="76"/>
      <c r="G939" s="79"/>
      <c r="H939" s="80"/>
      <c r="I939" s="79"/>
      <c r="J939" s="80"/>
      <c r="K939" s="79"/>
      <c r="L939" s="142"/>
      <c r="M939" s="1"/>
      <c r="N939" s="142"/>
      <c r="O939" s="1"/>
      <c r="P939" s="142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79">
        <f t="shared" si="805"/>
        <v>0</v>
      </c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R939" s="1"/>
      <c r="CS939" s="1"/>
      <c r="CT939" s="1"/>
      <c r="CU939" s="1"/>
      <c r="CV939" s="1"/>
      <c r="CW939" s="1"/>
      <c r="CX939" s="1"/>
      <c r="CY939" s="91" t="str">
        <f t="shared" si="831"/>
        <v/>
      </c>
      <c r="CZ939" s="1"/>
      <c r="DC939" s="96"/>
      <c r="DE939" s="96"/>
    </row>
    <row r="940">
      <c r="A940" s="1"/>
      <c r="B940" s="1"/>
      <c r="C940" s="76"/>
      <c r="D940" s="76"/>
      <c r="E940" s="76"/>
      <c r="F940" s="76"/>
      <c r="G940" s="79"/>
      <c r="H940" s="80"/>
      <c r="I940" s="79"/>
      <c r="J940" s="80"/>
      <c r="K940" s="79"/>
      <c r="L940" s="142"/>
      <c r="M940" s="1"/>
      <c r="N940" s="142"/>
      <c r="O940" s="1"/>
      <c r="P940" s="142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79">
        <f t="shared" si="805"/>
        <v>0</v>
      </c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R940" s="1"/>
      <c r="CS940" s="1"/>
      <c r="CT940" s="1"/>
      <c r="CU940" s="1"/>
      <c r="CV940" s="1"/>
      <c r="CW940" s="1"/>
      <c r="CX940" s="1"/>
      <c r="CY940" s="91" t="str">
        <f t="shared" si="831"/>
        <v/>
      </c>
      <c r="CZ940" s="1"/>
      <c r="DC940" s="96"/>
      <c r="DE940" s="96"/>
    </row>
    <row r="941">
      <c r="A941" s="1"/>
      <c r="B941" s="1"/>
      <c r="C941" s="76"/>
      <c r="D941" s="76"/>
      <c r="E941" s="76"/>
      <c r="F941" s="76"/>
      <c r="G941" s="79"/>
      <c r="H941" s="80"/>
      <c r="I941" s="79"/>
      <c r="J941" s="80"/>
      <c r="K941" s="79"/>
      <c r="L941" s="142"/>
      <c r="M941" s="1"/>
      <c r="N941" s="142"/>
      <c r="O941" s="1"/>
      <c r="P941" s="142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79">
        <f t="shared" si="805"/>
        <v>0</v>
      </c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R941" s="1"/>
      <c r="CS941" s="1"/>
      <c r="CT941" s="1"/>
      <c r="CU941" s="1"/>
      <c r="CV941" s="1"/>
      <c r="CW941" s="1"/>
      <c r="CX941" s="1"/>
      <c r="CY941" s="91" t="str">
        <f t="shared" si="831"/>
        <v/>
      </c>
      <c r="CZ941" s="1"/>
      <c r="DC941" s="96"/>
      <c r="DE941" s="96"/>
    </row>
    <row r="942">
      <c r="A942" s="1"/>
      <c r="B942" s="1"/>
      <c r="C942" s="76"/>
      <c r="D942" s="76"/>
      <c r="E942" s="76"/>
      <c r="F942" s="76"/>
      <c r="G942" s="79"/>
      <c r="H942" s="80"/>
      <c r="I942" s="79"/>
      <c r="J942" s="80"/>
      <c r="K942" s="79"/>
      <c r="L942" s="142"/>
      <c r="M942" s="1"/>
      <c r="N942" s="142"/>
      <c r="O942" s="1"/>
      <c r="P942" s="142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79">
        <f t="shared" si="805"/>
        <v>0</v>
      </c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R942" s="1"/>
      <c r="CS942" s="1"/>
      <c r="CT942" s="1"/>
      <c r="CU942" s="1"/>
      <c r="CV942" s="1"/>
      <c r="CW942" s="1"/>
      <c r="CX942" s="1"/>
      <c r="CY942" s="91" t="str">
        <f t="shared" si="831"/>
        <v/>
      </c>
      <c r="CZ942" s="1"/>
      <c r="DC942" s="96"/>
      <c r="DE942" s="96"/>
    </row>
    <row r="943">
      <c r="A943" s="1"/>
      <c r="B943" s="1"/>
      <c r="C943" s="76"/>
      <c r="D943" s="76"/>
      <c r="E943" s="76"/>
      <c r="F943" s="76"/>
      <c r="G943" s="79"/>
      <c r="H943" s="80"/>
      <c r="I943" s="79"/>
      <c r="J943" s="80"/>
      <c r="K943" s="79"/>
      <c r="L943" s="142"/>
      <c r="M943" s="1"/>
      <c r="N943" s="142"/>
      <c r="O943" s="1"/>
      <c r="P943" s="142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79">
        <f t="shared" si="805"/>
        <v>0</v>
      </c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R943" s="1"/>
      <c r="CS943" s="1"/>
      <c r="CT943" s="1"/>
      <c r="CU943" s="1"/>
      <c r="CV943" s="1"/>
      <c r="CW943" s="1"/>
      <c r="CX943" s="1"/>
      <c r="CY943" s="91" t="str">
        <f t="shared" si="831"/>
        <v/>
      </c>
      <c r="CZ943" s="1"/>
      <c r="DC943" s="96"/>
      <c r="DE943" s="96"/>
    </row>
    <row r="944">
      <c r="A944" s="1"/>
      <c r="B944" s="1"/>
      <c r="C944" s="76"/>
      <c r="D944" s="76"/>
      <c r="E944" s="76"/>
      <c r="F944" s="76"/>
      <c r="G944" s="79"/>
      <c r="H944" s="80"/>
      <c r="I944" s="79"/>
      <c r="J944" s="80"/>
      <c r="K944" s="79"/>
      <c r="L944" s="142"/>
      <c r="M944" s="1"/>
      <c r="N944" s="142"/>
      <c r="O944" s="1"/>
      <c r="P944" s="142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79">
        <f t="shared" si="805"/>
        <v>0</v>
      </c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R944" s="1"/>
      <c r="CS944" s="1"/>
      <c r="CT944" s="1"/>
      <c r="CU944" s="1"/>
      <c r="CV944" s="1"/>
      <c r="CW944" s="1"/>
      <c r="CX944" s="1"/>
      <c r="CY944" s="91" t="str">
        <f t="shared" si="831"/>
        <v/>
      </c>
      <c r="CZ944" s="1"/>
      <c r="DC944" s="96"/>
      <c r="DE944" s="96"/>
    </row>
    <row r="945">
      <c r="A945" s="1"/>
      <c r="B945" s="1"/>
      <c r="C945" s="76"/>
      <c r="D945" s="76"/>
      <c r="E945" s="76"/>
      <c r="F945" s="76"/>
      <c r="G945" s="79"/>
      <c r="H945" s="80"/>
      <c r="I945" s="79"/>
      <c r="J945" s="80"/>
      <c r="K945" s="79"/>
      <c r="L945" s="142"/>
      <c r="M945" s="1"/>
      <c r="N945" s="142"/>
      <c r="O945" s="1"/>
      <c r="P945" s="142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79">
        <f t="shared" si="805"/>
        <v>0</v>
      </c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R945" s="1"/>
      <c r="CS945" s="1"/>
      <c r="CT945" s="1"/>
      <c r="CU945" s="1"/>
      <c r="CV945" s="1"/>
      <c r="CW945" s="1"/>
      <c r="CX945" s="1"/>
      <c r="CY945" s="91" t="str">
        <f t="shared" si="831"/>
        <v/>
      </c>
      <c r="CZ945" s="1"/>
      <c r="DC945" s="96"/>
      <c r="DE945" s="96"/>
    </row>
    <row r="946">
      <c r="A946" s="1"/>
      <c r="B946" s="1"/>
      <c r="C946" s="76"/>
      <c r="D946" s="76"/>
      <c r="E946" s="76"/>
      <c r="F946" s="76"/>
      <c r="G946" s="79"/>
      <c r="H946" s="80"/>
      <c r="I946" s="79"/>
      <c r="J946" s="80"/>
      <c r="K946" s="79"/>
      <c r="L946" s="142"/>
      <c r="M946" s="1"/>
      <c r="N946" s="142"/>
      <c r="O946" s="1"/>
      <c r="P946" s="142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79">
        <f t="shared" si="805"/>
        <v>0</v>
      </c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R946" s="1"/>
      <c r="CS946" s="1"/>
      <c r="CT946" s="1"/>
      <c r="CU946" s="1"/>
      <c r="CV946" s="1"/>
      <c r="CW946" s="1"/>
      <c r="CX946" s="1"/>
      <c r="CY946" s="91" t="str">
        <f t="shared" si="831"/>
        <v/>
      </c>
      <c r="CZ946" s="1"/>
      <c r="DC946" s="96"/>
      <c r="DE946" s="96"/>
    </row>
    <row r="947">
      <c r="A947" s="1"/>
      <c r="B947" s="1"/>
      <c r="C947" s="76"/>
      <c r="D947" s="76"/>
      <c r="E947" s="76"/>
      <c r="F947" s="76"/>
      <c r="G947" s="79"/>
      <c r="H947" s="80"/>
      <c r="I947" s="79"/>
      <c r="J947" s="80"/>
      <c r="K947" s="79"/>
      <c r="L947" s="142"/>
      <c r="M947" s="1"/>
      <c r="N947" s="142"/>
      <c r="O947" s="1"/>
      <c r="P947" s="142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79">
        <f t="shared" si="805"/>
        <v>0</v>
      </c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R947" s="1"/>
      <c r="CS947" s="1"/>
      <c r="CT947" s="1"/>
      <c r="CU947" s="1"/>
      <c r="CV947" s="1"/>
      <c r="CW947" s="1"/>
      <c r="CX947" s="1"/>
      <c r="CY947" s="91" t="str">
        <f t="shared" si="831"/>
        <v/>
      </c>
      <c r="CZ947" s="1"/>
      <c r="DC947" s="96"/>
      <c r="DE947" s="96"/>
    </row>
    <row r="948">
      <c r="A948" s="1"/>
      <c r="B948" s="1"/>
      <c r="C948" s="76"/>
      <c r="D948" s="76"/>
      <c r="E948" s="76"/>
      <c r="F948" s="76"/>
      <c r="G948" s="79"/>
      <c r="H948" s="80"/>
      <c r="I948" s="79"/>
      <c r="J948" s="80"/>
      <c r="K948" s="79"/>
      <c r="L948" s="142"/>
      <c r="M948" s="1"/>
      <c r="N948" s="142"/>
      <c r="O948" s="1"/>
      <c r="P948" s="142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79">
        <f t="shared" si="805"/>
        <v>0</v>
      </c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R948" s="1"/>
      <c r="CS948" s="1"/>
      <c r="CT948" s="1"/>
      <c r="CU948" s="1"/>
      <c r="CV948" s="1"/>
      <c r="CW948" s="1"/>
      <c r="CX948" s="1"/>
      <c r="CY948" s="91" t="str">
        <f t="shared" si="831"/>
        <v/>
      </c>
      <c r="CZ948" s="1"/>
      <c r="DC948" s="96"/>
      <c r="DE948" s="96"/>
    </row>
    <row r="949">
      <c r="A949" s="1"/>
      <c r="B949" s="1"/>
      <c r="C949" s="76"/>
      <c r="D949" s="76"/>
      <c r="E949" s="76"/>
      <c r="F949" s="76"/>
      <c r="G949" s="79"/>
      <c r="H949" s="80"/>
      <c r="I949" s="79"/>
      <c r="J949" s="80"/>
      <c r="K949" s="79"/>
      <c r="L949" s="142"/>
      <c r="M949" s="1"/>
      <c r="N949" s="142"/>
      <c r="O949" s="1"/>
      <c r="P949" s="142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79">
        <f t="shared" si="805"/>
        <v>0</v>
      </c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R949" s="1"/>
      <c r="CS949" s="1"/>
      <c r="CT949" s="1"/>
      <c r="CU949" s="1"/>
      <c r="CV949" s="1"/>
      <c r="CW949" s="1"/>
      <c r="CX949" s="1"/>
      <c r="CY949" s="91" t="str">
        <f t="shared" si="831"/>
        <v/>
      </c>
      <c r="CZ949" s="1"/>
      <c r="DC949" s="96"/>
      <c r="DE949" s="96"/>
    </row>
    <row r="950">
      <c r="A950" s="1"/>
      <c r="B950" s="1"/>
      <c r="C950" s="76"/>
      <c r="D950" s="76"/>
      <c r="E950" s="76"/>
      <c r="F950" s="76"/>
      <c r="G950" s="79"/>
      <c r="H950" s="80"/>
      <c r="I950" s="79"/>
      <c r="J950" s="80"/>
      <c r="K950" s="79"/>
      <c r="L950" s="142"/>
      <c r="M950" s="1"/>
      <c r="N950" s="142"/>
      <c r="O950" s="1"/>
      <c r="P950" s="142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79">
        <f t="shared" si="805"/>
        <v>0</v>
      </c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R950" s="1"/>
      <c r="CS950" s="1"/>
      <c r="CT950" s="1"/>
      <c r="CU950" s="1"/>
      <c r="CV950" s="1"/>
      <c r="CW950" s="1"/>
      <c r="CX950" s="1"/>
      <c r="CY950" s="91" t="str">
        <f t="shared" si="831"/>
        <v/>
      </c>
      <c r="CZ950" s="1"/>
      <c r="DC950" s="96"/>
      <c r="DE950" s="96"/>
    </row>
    <row r="951">
      <c r="A951" s="1"/>
      <c r="B951" s="1"/>
      <c r="C951" s="76"/>
      <c r="D951" s="76"/>
      <c r="E951" s="76"/>
      <c r="F951" s="76"/>
      <c r="G951" s="79"/>
      <c r="H951" s="80"/>
      <c r="I951" s="79"/>
      <c r="J951" s="80"/>
      <c r="K951" s="79"/>
      <c r="L951" s="142"/>
      <c r="M951" s="1"/>
      <c r="N951" s="142"/>
      <c r="O951" s="1"/>
      <c r="P951" s="142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79">
        <f t="shared" si="805"/>
        <v>0</v>
      </c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R951" s="1"/>
      <c r="CS951" s="1"/>
      <c r="CT951" s="1"/>
      <c r="CU951" s="1"/>
      <c r="CV951" s="1"/>
      <c r="CW951" s="1"/>
      <c r="CX951" s="1"/>
      <c r="CY951" s="91" t="str">
        <f t="shared" si="831"/>
        <v/>
      </c>
      <c r="CZ951" s="1"/>
      <c r="DC951" s="96"/>
      <c r="DE951" s="96"/>
    </row>
    <row r="952">
      <c r="A952" s="1"/>
      <c r="B952" s="1"/>
      <c r="C952" s="76"/>
      <c r="D952" s="76"/>
      <c r="E952" s="76"/>
      <c r="F952" s="76"/>
      <c r="G952" s="79"/>
      <c r="H952" s="80"/>
      <c r="I952" s="79"/>
      <c r="J952" s="80"/>
      <c r="K952" s="79"/>
      <c r="L952" s="142"/>
      <c r="M952" s="1"/>
      <c r="N952" s="142"/>
      <c r="O952" s="1"/>
      <c r="P952" s="142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79">
        <f t="shared" si="805"/>
        <v>0</v>
      </c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R952" s="1"/>
      <c r="CS952" s="1"/>
      <c r="CT952" s="1"/>
      <c r="CU952" s="1"/>
      <c r="CV952" s="1"/>
      <c r="CW952" s="1"/>
      <c r="CX952" s="1"/>
      <c r="CY952" s="91" t="str">
        <f t="shared" si="831"/>
        <v/>
      </c>
      <c r="CZ952" s="1"/>
      <c r="DC952" s="96"/>
      <c r="DE952" s="96"/>
    </row>
    <row r="953">
      <c r="A953" s="1"/>
      <c r="B953" s="1"/>
      <c r="C953" s="76"/>
      <c r="D953" s="76"/>
      <c r="E953" s="76"/>
      <c r="F953" s="76"/>
      <c r="G953" s="79"/>
      <c r="H953" s="80"/>
      <c r="I953" s="79"/>
      <c r="J953" s="80"/>
      <c r="K953" s="79"/>
      <c r="L953" s="142"/>
      <c r="M953" s="1"/>
      <c r="N953" s="142"/>
      <c r="O953" s="1"/>
      <c r="P953" s="142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79">
        <f t="shared" si="805"/>
        <v>0</v>
      </c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R953" s="1"/>
      <c r="CS953" s="1"/>
      <c r="CT953" s="1"/>
      <c r="CU953" s="1"/>
      <c r="CV953" s="1"/>
      <c r="CW953" s="1"/>
      <c r="CX953" s="1"/>
      <c r="CY953" s="91" t="str">
        <f t="shared" si="831"/>
        <v/>
      </c>
      <c r="CZ953" s="1"/>
      <c r="DC953" s="96"/>
      <c r="DE953" s="96"/>
    </row>
    <row r="954">
      <c r="A954" s="1"/>
      <c r="B954" s="1"/>
      <c r="C954" s="76"/>
      <c r="D954" s="76"/>
      <c r="E954" s="76"/>
      <c r="F954" s="76"/>
      <c r="G954" s="79"/>
      <c r="H954" s="80"/>
      <c r="I954" s="79"/>
      <c r="J954" s="80"/>
      <c r="K954" s="79"/>
      <c r="L954" s="142"/>
      <c r="M954" s="1"/>
      <c r="N954" s="142"/>
      <c r="O954" s="1"/>
      <c r="P954" s="142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79">
        <f t="shared" si="805"/>
        <v>0</v>
      </c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R954" s="1"/>
      <c r="CS954" s="1"/>
      <c r="CT954" s="1"/>
      <c r="CU954" s="1"/>
      <c r="CV954" s="1"/>
      <c r="CW954" s="1"/>
      <c r="CX954" s="1"/>
      <c r="CY954" s="91" t="str">
        <f t="shared" si="831"/>
        <v/>
      </c>
      <c r="CZ954" s="1"/>
      <c r="DC954" s="96"/>
      <c r="DE954" s="96"/>
    </row>
    <row r="955">
      <c r="A955" s="1"/>
      <c r="B955" s="1"/>
      <c r="C955" s="76"/>
      <c r="D955" s="76"/>
      <c r="E955" s="76"/>
      <c r="F955" s="76"/>
      <c r="G955" s="79"/>
      <c r="H955" s="80"/>
      <c r="I955" s="79"/>
      <c r="J955" s="80"/>
      <c r="K955" s="79"/>
      <c r="L955" s="142"/>
      <c r="M955" s="1"/>
      <c r="N955" s="142"/>
      <c r="O955" s="1"/>
      <c r="P955" s="142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79">
        <f t="shared" si="805"/>
        <v>0</v>
      </c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R955" s="1"/>
      <c r="CS955" s="1"/>
      <c r="CT955" s="1"/>
      <c r="CU955" s="1"/>
      <c r="CV955" s="1"/>
      <c r="CW955" s="1"/>
      <c r="CX955" s="1"/>
      <c r="CY955" s="91" t="str">
        <f t="shared" si="831"/>
        <v/>
      </c>
      <c r="CZ955" s="1"/>
      <c r="DC955" s="96"/>
      <c r="DE955" s="96"/>
    </row>
    <row r="956">
      <c r="A956" s="1"/>
      <c r="B956" s="1"/>
      <c r="C956" s="76"/>
      <c r="D956" s="76"/>
      <c r="E956" s="76"/>
      <c r="F956" s="76"/>
      <c r="G956" s="79"/>
      <c r="H956" s="80"/>
      <c r="I956" s="79"/>
      <c r="J956" s="80"/>
      <c r="K956" s="79"/>
      <c r="L956" s="142"/>
      <c r="M956" s="1"/>
      <c r="N956" s="142"/>
      <c r="O956" s="1"/>
      <c r="P956" s="142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79">
        <f t="shared" si="805"/>
        <v>0</v>
      </c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R956" s="1"/>
      <c r="CS956" s="1"/>
      <c r="CT956" s="1"/>
      <c r="CU956" s="1"/>
      <c r="CV956" s="1"/>
      <c r="CW956" s="1"/>
      <c r="CX956" s="1"/>
      <c r="CY956" s="91" t="str">
        <f t="shared" si="831"/>
        <v/>
      </c>
      <c r="CZ956" s="1"/>
      <c r="DC956" s="96"/>
      <c r="DE956" s="96"/>
    </row>
    <row r="957">
      <c r="A957" s="1"/>
      <c r="B957" s="1"/>
      <c r="C957" s="76"/>
      <c r="D957" s="76"/>
      <c r="E957" s="76"/>
      <c r="F957" s="76"/>
      <c r="G957" s="79"/>
      <c r="H957" s="80"/>
      <c r="I957" s="79"/>
      <c r="J957" s="80"/>
      <c r="K957" s="79"/>
      <c r="L957" s="142"/>
      <c r="M957" s="1"/>
      <c r="N957" s="142"/>
      <c r="O957" s="1"/>
      <c r="P957" s="142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79">
        <f t="shared" si="805"/>
        <v>0</v>
      </c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R957" s="1"/>
      <c r="CS957" s="1"/>
      <c r="CT957" s="1"/>
      <c r="CU957" s="1"/>
      <c r="CV957" s="1"/>
      <c r="CW957" s="1"/>
      <c r="CX957" s="1"/>
      <c r="CY957" s="91" t="str">
        <f t="shared" si="831"/>
        <v/>
      </c>
      <c r="CZ957" s="1"/>
      <c r="DC957" s="96"/>
      <c r="DE957" s="96"/>
    </row>
    <row r="958">
      <c r="A958" s="1"/>
      <c r="B958" s="1"/>
      <c r="C958" s="76"/>
      <c r="D958" s="76"/>
      <c r="E958" s="76"/>
      <c r="F958" s="76"/>
      <c r="G958" s="79"/>
      <c r="H958" s="80"/>
      <c r="I958" s="79"/>
      <c r="J958" s="80"/>
      <c r="K958" s="79"/>
      <c r="L958" s="142"/>
      <c r="M958" s="1"/>
      <c r="N958" s="142"/>
      <c r="O958" s="1"/>
      <c r="P958" s="142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79">
        <f t="shared" si="805"/>
        <v>0</v>
      </c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R958" s="1"/>
      <c r="CS958" s="1"/>
      <c r="CT958" s="1"/>
      <c r="CU958" s="1"/>
      <c r="CV958" s="1"/>
      <c r="CW958" s="1"/>
      <c r="CX958" s="1"/>
      <c r="CY958" s="91" t="str">
        <f t="shared" si="831"/>
        <v/>
      </c>
      <c r="CZ958" s="1"/>
      <c r="DC958" s="96"/>
      <c r="DE958" s="96"/>
    </row>
    <row r="959">
      <c r="A959" s="1"/>
      <c r="B959" s="1"/>
      <c r="C959" s="76"/>
      <c r="D959" s="76"/>
      <c r="E959" s="76"/>
      <c r="F959" s="76"/>
      <c r="G959" s="79"/>
      <c r="H959" s="80"/>
      <c r="I959" s="79"/>
      <c r="J959" s="80"/>
      <c r="K959" s="79"/>
      <c r="L959" s="142"/>
      <c r="M959" s="1"/>
      <c r="N959" s="142"/>
      <c r="O959" s="1"/>
      <c r="P959" s="142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79">
        <f t="shared" si="805"/>
        <v>0</v>
      </c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R959" s="1"/>
      <c r="CS959" s="1"/>
      <c r="CT959" s="1"/>
      <c r="CU959" s="1"/>
      <c r="CV959" s="1"/>
      <c r="CW959" s="1"/>
      <c r="CX959" s="1"/>
      <c r="CY959" s="91" t="str">
        <f t="shared" si="831"/>
        <v/>
      </c>
      <c r="CZ959" s="1"/>
      <c r="DC959" s="96"/>
      <c r="DE959" s="96"/>
    </row>
    <row r="960">
      <c r="A960" s="1"/>
      <c r="B960" s="1"/>
      <c r="C960" s="76"/>
      <c r="D960" s="76"/>
      <c r="E960" s="76"/>
      <c r="F960" s="76"/>
      <c r="G960" s="79"/>
      <c r="H960" s="80"/>
      <c r="I960" s="79"/>
      <c r="J960" s="80"/>
      <c r="K960" s="79"/>
      <c r="L960" s="142"/>
      <c r="M960" s="1"/>
      <c r="N960" s="142"/>
      <c r="O960" s="1"/>
      <c r="P960" s="142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79">
        <f t="shared" si="805"/>
        <v>0</v>
      </c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R960" s="1"/>
      <c r="CS960" s="1"/>
      <c r="CT960" s="1"/>
      <c r="CU960" s="1"/>
      <c r="CV960" s="1"/>
      <c r="CW960" s="1"/>
      <c r="CX960" s="1"/>
      <c r="CY960" s="91" t="str">
        <f t="shared" si="831"/>
        <v/>
      </c>
      <c r="CZ960" s="1"/>
      <c r="DC960" s="96"/>
      <c r="DE960" s="96"/>
    </row>
    <row r="961">
      <c r="A961" s="1"/>
      <c r="B961" s="1"/>
      <c r="C961" s="76"/>
      <c r="D961" s="76"/>
      <c r="E961" s="76"/>
      <c r="F961" s="76"/>
      <c r="G961" s="79"/>
      <c r="H961" s="80"/>
      <c r="I961" s="79"/>
      <c r="J961" s="80"/>
      <c r="K961" s="79"/>
      <c r="L961" s="142"/>
      <c r="M961" s="1"/>
      <c r="N961" s="142"/>
      <c r="O961" s="1"/>
      <c r="P961" s="142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79">
        <f t="shared" si="805"/>
        <v>0</v>
      </c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R961" s="1"/>
      <c r="CS961" s="1"/>
      <c r="CT961" s="1"/>
      <c r="CU961" s="1"/>
      <c r="CV961" s="1"/>
      <c r="CW961" s="1"/>
      <c r="CX961" s="1"/>
      <c r="CY961" s="91" t="str">
        <f t="shared" si="831"/>
        <v/>
      </c>
      <c r="CZ961" s="1"/>
      <c r="DC961" s="96"/>
      <c r="DE961" s="96"/>
    </row>
    <row r="962">
      <c r="A962" s="1"/>
      <c r="B962" s="1"/>
      <c r="C962" s="76"/>
      <c r="D962" s="76"/>
      <c r="E962" s="76"/>
      <c r="F962" s="76"/>
      <c r="G962" s="79"/>
      <c r="H962" s="80"/>
      <c r="I962" s="79"/>
      <c r="J962" s="80"/>
      <c r="K962" s="79"/>
      <c r="L962" s="142"/>
      <c r="M962" s="1"/>
      <c r="N962" s="142"/>
      <c r="O962" s="1"/>
      <c r="P962" s="142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79">
        <f t="shared" si="805"/>
        <v>0</v>
      </c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R962" s="1"/>
      <c r="CS962" s="1"/>
      <c r="CT962" s="1"/>
      <c r="CU962" s="1"/>
      <c r="CV962" s="1"/>
      <c r="CW962" s="1"/>
      <c r="CX962" s="1"/>
      <c r="CY962" s="91" t="str">
        <f t="shared" si="831"/>
        <v/>
      </c>
      <c r="CZ962" s="1"/>
      <c r="DC962" s="96"/>
      <c r="DE962" s="96"/>
    </row>
    <row r="963">
      <c r="A963" s="1"/>
      <c r="B963" s="1"/>
      <c r="C963" s="76"/>
      <c r="D963" s="76"/>
      <c r="E963" s="76"/>
      <c r="F963" s="76"/>
      <c r="G963" s="79"/>
      <c r="H963" s="80"/>
      <c r="I963" s="79"/>
      <c r="J963" s="80"/>
      <c r="K963" s="79"/>
      <c r="L963" s="142"/>
      <c r="M963" s="1"/>
      <c r="N963" s="142"/>
      <c r="O963" s="1"/>
      <c r="P963" s="142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79">
        <f t="shared" si="805"/>
        <v>0</v>
      </c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R963" s="1"/>
      <c r="CS963" s="1"/>
      <c r="CT963" s="1"/>
      <c r="CU963" s="1"/>
      <c r="CV963" s="1"/>
      <c r="CW963" s="1"/>
      <c r="CX963" s="1"/>
      <c r="CY963" s="91" t="str">
        <f t="shared" si="831"/>
        <v/>
      </c>
      <c r="CZ963" s="1"/>
      <c r="DC963" s="96"/>
      <c r="DE963" s="96"/>
    </row>
    <row r="964">
      <c r="A964" s="1"/>
      <c r="B964" s="1"/>
      <c r="C964" s="76"/>
      <c r="D964" s="76"/>
      <c r="E964" s="76"/>
      <c r="F964" s="76"/>
      <c r="G964" s="79"/>
      <c r="H964" s="80"/>
      <c r="I964" s="79"/>
      <c r="J964" s="80"/>
      <c r="K964" s="79"/>
      <c r="L964" s="142"/>
      <c r="M964" s="1"/>
      <c r="N964" s="142"/>
      <c r="O964" s="1"/>
      <c r="P964" s="142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79">
        <f t="shared" si="805"/>
        <v>0</v>
      </c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R964" s="1"/>
      <c r="CS964" s="1"/>
      <c r="CT964" s="1"/>
      <c r="CU964" s="1"/>
      <c r="CV964" s="1"/>
      <c r="CW964" s="1"/>
      <c r="CX964" s="1"/>
      <c r="CY964" s="91" t="str">
        <f t="shared" si="831"/>
        <v/>
      </c>
      <c r="CZ964" s="1"/>
      <c r="DC964" s="96"/>
      <c r="DE964" s="96"/>
    </row>
    <row r="965">
      <c r="A965" s="1"/>
      <c r="B965" s="1"/>
      <c r="C965" s="76"/>
      <c r="D965" s="76"/>
      <c r="E965" s="76"/>
      <c r="F965" s="76"/>
      <c r="G965" s="79"/>
      <c r="H965" s="80"/>
      <c r="I965" s="79"/>
      <c r="J965" s="80"/>
      <c r="K965" s="79"/>
      <c r="L965" s="142"/>
      <c r="M965" s="1"/>
      <c r="N965" s="142"/>
      <c r="O965" s="1"/>
      <c r="P965" s="142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79">
        <f t="shared" si="805"/>
        <v>0</v>
      </c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R965" s="1"/>
      <c r="CS965" s="1"/>
      <c r="CT965" s="1"/>
      <c r="CU965" s="1"/>
      <c r="CV965" s="1"/>
      <c r="CW965" s="1"/>
      <c r="CX965" s="1"/>
      <c r="CY965" s="91" t="str">
        <f t="shared" si="831"/>
        <v/>
      </c>
      <c r="CZ965" s="1"/>
      <c r="DC965" s="96"/>
      <c r="DE965" s="96"/>
    </row>
    <row r="966">
      <c r="A966" s="1"/>
      <c r="B966" s="1"/>
      <c r="C966" s="76"/>
      <c r="D966" s="76"/>
      <c r="E966" s="76"/>
      <c r="F966" s="76"/>
      <c r="G966" s="79"/>
      <c r="H966" s="80"/>
      <c r="I966" s="79"/>
      <c r="J966" s="80"/>
      <c r="K966" s="79"/>
      <c r="L966" s="142"/>
      <c r="M966" s="1"/>
      <c r="N966" s="142"/>
      <c r="O966" s="1"/>
      <c r="P966" s="142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79">
        <f t="shared" si="805"/>
        <v>0</v>
      </c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R966" s="1"/>
      <c r="CS966" s="1"/>
      <c r="CT966" s="1"/>
      <c r="CU966" s="1"/>
      <c r="CV966" s="1"/>
      <c r="CW966" s="1"/>
      <c r="CX966" s="1"/>
      <c r="CY966" s="91" t="str">
        <f t="shared" si="831"/>
        <v/>
      </c>
      <c r="CZ966" s="1"/>
      <c r="DC966" s="96"/>
      <c r="DE966" s="96"/>
    </row>
    <row r="967">
      <c r="A967" s="1"/>
      <c r="B967" s="1"/>
      <c r="C967" s="76"/>
      <c r="D967" s="76"/>
      <c r="E967" s="76"/>
      <c r="F967" s="76"/>
      <c r="G967" s="79"/>
      <c r="H967" s="80"/>
      <c r="I967" s="79"/>
      <c r="J967" s="80"/>
      <c r="K967" s="79"/>
      <c r="L967" s="142"/>
      <c r="M967" s="1"/>
      <c r="N967" s="142"/>
      <c r="O967" s="1"/>
      <c r="P967" s="142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79">
        <f t="shared" si="805"/>
        <v>0</v>
      </c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R967" s="1"/>
      <c r="CS967" s="1"/>
      <c r="CT967" s="1"/>
      <c r="CU967" s="1"/>
      <c r="CV967" s="1"/>
      <c r="CW967" s="1"/>
      <c r="CX967" s="1"/>
      <c r="CY967" s="91" t="str">
        <f t="shared" si="831"/>
        <v/>
      </c>
      <c r="CZ967" s="1"/>
      <c r="DC967" s="96"/>
      <c r="DE967" s="96"/>
    </row>
    <row r="968">
      <c r="A968" s="1"/>
      <c r="B968" s="1"/>
      <c r="C968" s="76"/>
      <c r="D968" s="76"/>
      <c r="E968" s="76"/>
      <c r="F968" s="76"/>
      <c r="G968" s="79"/>
      <c r="H968" s="80"/>
      <c r="I968" s="79"/>
      <c r="J968" s="80"/>
      <c r="K968" s="79"/>
      <c r="L968" s="142"/>
      <c r="M968" s="1"/>
      <c r="N968" s="142"/>
      <c r="O968" s="1"/>
      <c r="P968" s="142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79">
        <f t="shared" si="805"/>
        <v>0</v>
      </c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R968" s="1"/>
      <c r="CS968" s="1"/>
      <c r="CT968" s="1"/>
      <c r="CU968" s="1"/>
      <c r="CV968" s="1"/>
      <c r="CW968" s="1"/>
      <c r="CX968" s="1"/>
      <c r="CY968" s="91" t="str">
        <f t="shared" si="831"/>
        <v/>
      </c>
      <c r="CZ968" s="1"/>
      <c r="DC968" s="96"/>
      <c r="DE968" s="96"/>
    </row>
    <row r="969">
      <c r="A969" s="1"/>
      <c r="B969" s="1"/>
      <c r="C969" s="76"/>
      <c r="D969" s="76"/>
      <c r="E969" s="76"/>
      <c r="F969" s="76"/>
      <c r="G969" s="79"/>
      <c r="H969" s="80"/>
      <c r="I969" s="79"/>
      <c r="J969" s="80"/>
      <c r="K969" s="79"/>
      <c r="L969" s="142"/>
      <c r="M969" s="1"/>
      <c r="N969" s="142"/>
      <c r="O969" s="1"/>
      <c r="P969" s="142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79">
        <f t="shared" si="805"/>
        <v>0</v>
      </c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R969" s="1"/>
      <c r="CS969" s="1"/>
      <c r="CT969" s="1"/>
      <c r="CU969" s="1"/>
      <c r="CV969" s="1"/>
      <c r="CW969" s="1"/>
      <c r="CX969" s="1"/>
      <c r="CY969" s="91" t="str">
        <f t="shared" si="831"/>
        <v/>
      </c>
      <c r="CZ969" s="1"/>
      <c r="DC969" s="96"/>
      <c r="DE969" s="96"/>
    </row>
    <row r="970">
      <c r="A970" s="1"/>
      <c r="B970" s="1"/>
      <c r="C970" s="76"/>
      <c r="D970" s="76"/>
      <c r="E970" s="76"/>
      <c r="F970" s="76"/>
      <c r="G970" s="79"/>
      <c r="H970" s="80"/>
      <c r="I970" s="79"/>
      <c r="J970" s="80"/>
      <c r="K970" s="79"/>
      <c r="L970" s="142"/>
      <c r="M970" s="1"/>
      <c r="N970" s="142"/>
      <c r="O970" s="1"/>
      <c r="P970" s="142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79">
        <f t="shared" si="805"/>
        <v>0</v>
      </c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R970" s="1"/>
      <c r="CS970" s="1"/>
      <c r="CT970" s="1"/>
      <c r="CU970" s="1"/>
      <c r="CV970" s="1"/>
      <c r="CW970" s="1"/>
      <c r="CX970" s="1"/>
      <c r="CY970" s="91" t="str">
        <f t="shared" si="831"/>
        <v/>
      </c>
      <c r="CZ970" s="1"/>
      <c r="DC970" s="96"/>
      <c r="DE970" s="96"/>
    </row>
    <row r="971">
      <c r="A971" s="1"/>
      <c r="B971" s="1"/>
      <c r="C971" s="76"/>
      <c r="D971" s="76"/>
      <c r="E971" s="76"/>
      <c r="F971" s="76"/>
      <c r="G971" s="79"/>
      <c r="H971" s="80"/>
      <c r="I971" s="79"/>
      <c r="J971" s="80"/>
      <c r="K971" s="79"/>
      <c r="L971" s="142"/>
      <c r="M971" s="1"/>
      <c r="N971" s="142"/>
      <c r="O971" s="1"/>
      <c r="P971" s="142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79">
        <f t="shared" si="805"/>
        <v>0</v>
      </c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R971" s="1"/>
      <c r="CS971" s="1"/>
      <c r="CT971" s="1"/>
      <c r="CU971" s="1"/>
      <c r="CV971" s="1"/>
      <c r="CW971" s="1"/>
      <c r="CX971" s="1"/>
      <c r="CY971" s="91" t="str">
        <f t="shared" si="831"/>
        <v/>
      </c>
      <c r="CZ971" s="1"/>
      <c r="DC971" s="96"/>
      <c r="DE971" s="96"/>
    </row>
    <row r="972">
      <c r="A972" s="1"/>
      <c r="B972" s="1"/>
      <c r="C972" s="76"/>
      <c r="D972" s="76"/>
      <c r="E972" s="76"/>
      <c r="F972" s="76"/>
      <c r="G972" s="79"/>
      <c r="H972" s="80"/>
      <c r="I972" s="79"/>
      <c r="J972" s="80"/>
      <c r="K972" s="79"/>
      <c r="L972" s="142"/>
      <c r="M972" s="1"/>
      <c r="N972" s="142"/>
      <c r="O972" s="1"/>
      <c r="P972" s="142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79">
        <f t="shared" si="805"/>
        <v>0</v>
      </c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R972" s="1"/>
      <c r="CS972" s="1"/>
      <c r="CT972" s="1"/>
      <c r="CU972" s="1"/>
      <c r="CV972" s="1"/>
      <c r="CW972" s="1"/>
      <c r="CX972" s="1"/>
      <c r="CY972" s="91" t="str">
        <f t="shared" si="831"/>
        <v/>
      </c>
      <c r="CZ972" s="1"/>
      <c r="DC972" s="96"/>
      <c r="DE972" s="96"/>
    </row>
    <row r="973">
      <c r="A973" s="1"/>
      <c r="B973" s="1"/>
      <c r="C973" s="76"/>
      <c r="D973" s="76"/>
      <c r="E973" s="76"/>
      <c r="F973" s="76"/>
      <c r="G973" s="79"/>
      <c r="H973" s="80"/>
      <c r="I973" s="79"/>
      <c r="J973" s="80"/>
      <c r="K973" s="79"/>
      <c r="L973" s="142"/>
      <c r="M973" s="1"/>
      <c r="N973" s="142"/>
      <c r="O973" s="1"/>
      <c r="P973" s="142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79">
        <f t="shared" si="805"/>
        <v>0</v>
      </c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R973" s="1"/>
      <c r="CS973" s="1"/>
      <c r="CT973" s="1"/>
      <c r="CU973" s="1"/>
      <c r="CV973" s="1"/>
      <c r="CW973" s="1"/>
      <c r="CX973" s="1"/>
      <c r="CY973" s="91" t="str">
        <f t="shared" si="831"/>
        <v/>
      </c>
      <c r="CZ973" s="1"/>
      <c r="DC973" s="96"/>
      <c r="DE973" s="96"/>
    </row>
    <row r="974">
      <c r="A974" s="1"/>
      <c r="B974" s="1"/>
      <c r="C974" s="76"/>
      <c r="D974" s="76"/>
      <c r="E974" s="76"/>
      <c r="F974" s="76"/>
      <c r="G974" s="79"/>
      <c r="H974" s="80"/>
      <c r="I974" s="79"/>
      <c r="J974" s="80"/>
      <c r="K974" s="79"/>
      <c r="L974" s="142"/>
      <c r="M974" s="1"/>
      <c r="N974" s="142"/>
      <c r="O974" s="1"/>
      <c r="P974" s="142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79">
        <f t="shared" si="805"/>
        <v>0</v>
      </c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R974" s="1"/>
      <c r="CS974" s="1"/>
      <c r="CT974" s="1"/>
      <c r="CU974" s="1"/>
      <c r="CV974" s="1"/>
      <c r="CW974" s="1"/>
      <c r="CX974" s="1"/>
      <c r="CY974" s="91" t="str">
        <f t="shared" si="831"/>
        <v/>
      </c>
      <c r="CZ974" s="1"/>
      <c r="DC974" s="96"/>
      <c r="DE974" s="96"/>
    </row>
    <row r="975">
      <c r="A975" s="1"/>
      <c r="B975" s="1"/>
      <c r="C975" s="76"/>
      <c r="D975" s="76"/>
      <c r="E975" s="76"/>
      <c r="F975" s="76"/>
      <c r="G975" s="79"/>
      <c r="H975" s="80"/>
      <c r="I975" s="79"/>
      <c r="J975" s="80"/>
      <c r="K975" s="79"/>
      <c r="L975" s="142"/>
      <c r="M975" s="1"/>
      <c r="N975" s="142"/>
      <c r="O975" s="1"/>
      <c r="P975" s="142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79">
        <f t="shared" si="805"/>
        <v>0</v>
      </c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R975" s="1"/>
      <c r="CS975" s="1"/>
      <c r="CT975" s="1"/>
      <c r="CU975" s="1"/>
      <c r="CV975" s="1"/>
      <c r="CW975" s="1"/>
      <c r="CX975" s="1"/>
      <c r="CY975" s="91" t="str">
        <f t="shared" si="831"/>
        <v/>
      </c>
      <c r="CZ975" s="1"/>
      <c r="DC975" s="96"/>
      <c r="DE975" s="96"/>
    </row>
    <row r="976">
      <c r="A976" s="1"/>
      <c r="B976" s="1"/>
      <c r="C976" s="76"/>
      <c r="D976" s="76"/>
      <c r="E976" s="76"/>
      <c r="F976" s="76"/>
      <c r="G976" s="79"/>
      <c r="H976" s="80"/>
      <c r="I976" s="79"/>
      <c r="J976" s="80"/>
      <c r="K976" s="79"/>
      <c r="L976" s="142"/>
      <c r="M976" s="1"/>
      <c r="N976" s="142"/>
      <c r="O976" s="1"/>
      <c r="P976" s="142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79">
        <f t="shared" si="805"/>
        <v>0</v>
      </c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R976" s="1"/>
      <c r="CS976" s="1"/>
      <c r="CT976" s="1"/>
      <c r="CU976" s="1"/>
      <c r="CV976" s="1"/>
      <c r="CW976" s="1"/>
      <c r="CX976" s="1"/>
      <c r="CY976" s="91" t="str">
        <f t="shared" si="831"/>
        <v/>
      </c>
      <c r="CZ976" s="1"/>
      <c r="DC976" s="96"/>
      <c r="DE976" s="96"/>
    </row>
    <row r="977">
      <c r="A977" s="1"/>
      <c r="B977" s="1"/>
      <c r="C977" s="76"/>
      <c r="D977" s="76"/>
      <c r="E977" s="76"/>
      <c r="F977" s="76"/>
      <c r="G977" s="79"/>
      <c r="H977" s="80"/>
      <c r="I977" s="79"/>
      <c r="J977" s="80"/>
      <c r="K977" s="79"/>
      <c r="L977" s="142"/>
      <c r="M977" s="1"/>
      <c r="N977" s="142"/>
      <c r="O977" s="1"/>
      <c r="P977" s="142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79">
        <f t="shared" si="805"/>
        <v>0</v>
      </c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R977" s="1"/>
      <c r="CS977" s="1"/>
      <c r="CT977" s="1"/>
      <c r="CU977" s="1"/>
      <c r="CV977" s="1"/>
      <c r="CW977" s="1"/>
      <c r="CX977" s="1"/>
      <c r="CY977" s="91" t="str">
        <f t="shared" si="831"/>
        <v/>
      </c>
      <c r="CZ977" s="1"/>
      <c r="DC977" s="96"/>
      <c r="DE977" s="96"/>
    </row>
    <row r="978">
      <c r="A978" s="1"/>
      <c r="B978" s="1"/>
      <c r="C978" s="76"/>
      <c r="D978" s="76"/>
      <c r="E978" s="76"/>
      <c r="F978" s="76"/>
      <c r="G978" s="79"/>
      <c r="H978" s="80"/>
      <c r="I978" s="79"/>
      <c r="J978" s="80"/>
      <c r="K978" s="79"/>
      <c r="L978" s="142"/>
      <c r="M978" s="1"/>
      <c r="N978" s="142"/>
      <c r="O978" s="1"/>
      <c r="P978" s="142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79">
        <f t="shared" si="805"/>
        <v>0</v>
      </c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R978" s="1"/>
      <c r="CS978" s="1"/>
      <c r="CT978" s="1"/>
      <c r="CU978" s="1"/>
      <c r="CV978" s="1"/>
      <c r="CW978" s="1"/>
      <c r="CX978" s="1"/>
      <c r="CY978" s="91" t="str">
        <f t="shared" si="831"/>
        <v/>
      </c>
      <c r="CZ978" s="1"/>
      <c r="DC978" s="96"/>
      <c r="DE978" s="96"/>
    </row>
    <row r="979">
      <c r="A979" s="1"/>
      <c r="B979" s="1"/>
      <c r="C979" s="76"/>
      <c r="D979" s="76"/>
      <c r="E979" s="76"/>
      <c r="F979" s="76"/>
      <c r="G979" s="79"/>
      <c r="H979" s="80"/>
      <c r="I979" s="79"/>
      <c r="J979" s="80"/>
      <c r="K979" s="79"/>
      <c r="L979" s="142"/>
      <c r="M979" s="1"/>
      <c r="N979" s="142"/>
      <c r="O979" s="1"/>
      <c r="P979" s="142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79">
        <f t="shared" si="805"/>
        <v>0</v>
      </c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R979" s="1"/>
      <c r="CS979" s="1"/>
      <c r="CT979" s="1"/>
      <c r="CU979" s="1"/>
      <c r="CV979" s="1"/>
      <c r="CW979" s="1"/>
      <c r="CX979" s="1"/>
      <c r="CY979" s="91" t="str">
        <f t="shared" si="831"/>
        <v/>
      </c>
      <c r="CZ979" s="1"/>
      <c r="DC979" s="96"/>
      <c r="DE979" s="96"/>
    </row>
    <row r="980">
      <c r="A980" s="1"/>
      <c r="B980" s="1"/>
      <c r="C980" s="76"/>
      <c r="D980" s="76"/>
      <c r="E980" s="76"/>
      <c r="F980" s="76"/>
      <c r="G980" s="79"/>
      <c r="H980" s="80"/>
      <c r="I980" s="79"/>
      <c r="J980" s="80"/>
      <c r="K980" s="79"/>
      <c r="L980" s="142"/>
      <c r="M980" s="1"/>
      <c r="N980" s="142"/>
      <c r="O980" s="1"/>
      <c r="P980" s="142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79">
        <f t="shared" si="805"/>
        <v>0</v>
      </c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R980" s="1"/>
      <c r="CS980" s="1"/>
      <c r="CT980" s="1"/>
      <c r="CU980" s="1"/>
      <c r="CV980" s="1"/>
      <c r="CW980" s="1"/>
      <c r="CX980" s="1"/>
      <c r="CY980" s="91" t="str">
        <f t="shared" si="831"/>
        <v/>
      </c>
      <c r="CZ980" s="1"/>
      <c r="DC980" s="96"/>
      <c r="DE980" s="96"/>
    </row>
    <row r="981">
      <c r="A981" s="1"/>
      <c r="B981" s="1"/>
      <c r="C981" s="76"/>
      <c r="D981" s="76"/>
      <c r="E981" s="76"/>
      <c r="F981" s="76"/>
      <c r="G981" s="79"/>
      <c r="H981" s="80"/>
      <c r="I981" s="79"/>
      <c r="J981" s="80"/>
      <c r="K981" s="79"/>
      <c r="L981" s="142"/>
      <c r="M981" s="1"/>
      <c r="N981" s="142"/>
      <c r="O981" s="1"/>
      <c r="P981" s="142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79">
        <f t="shared" si="805"/>
        <v>0</v>
      </c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R981" s="1"/>
      <c r="CS981" s="1"/>
      <c r="CT981" s="1"/>
      <c r="CU981" s="1"/>
      <c r="CV981" s="1"/>
      <c r="CW981" s="1"/>
      <c r="CX981" s="1"/>
      <c r="CY981" s="91" t="str">
        <f t="shared" si="831"/>
        <v/>
      </c>
      <c r="CZ981" s="1"/>
      <c r="DC981" s="96"/>
      <c r="DE981" s="96"/>
    </row>
    <row r="982">
      <c r="A982" s="1"/>
      <c r="B982" s="1"/>
      <c r="C982" s="76"/>
      <c r="D982" s="76"/>
      <c r="E982" s="76"/>
      <c r="F982" s="76"/>
      <c r="G982" s="79"/>
      <c r="H982" s="80"/>
      <c r="I982" s="79"/>
      <c r="J982" s="80"/>
      <c r="K982" s="79"/>
      <c r="L982" s="142"/>
      <c r="M982" s="1"/>
      <c r="N982" s="142"/>
      <c r="O982" s="1"/>
      <c r="P982" s="142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79">
        <f t="shared" si="805"/>
        <v>0</v>
      </c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R982" s="1"/>
      <c r="CS982" s="1"/>
      <c r="CT982" s="1"/>
      <c r="CU982" s="1"/>
      <c r="CV982" s="1"/>
      <c r="CW982" s="1"/>
      <c r="CX982" s="1"/>
      <c r="CY982" s="91" t="str">
        <f t="shared" si="831"/>
        <v/>
      </c>
      <c r="CZ982" s="1"/>
      <c r="DC982" s="96"/>
      <c r="DE982" s="96"/>
    </row>
    <row r="983">
      <c r="A983" s="1"/>
      <c r="B983" s="1"/>
      <c r="C983" s="76"/>
      <c r="D983" s="76"/>
      <c r="E983" s="76"/>
      <c r="F983" s="76"/>
      <c r="G983" s="79"/>
      <c r="H983" s="80"/>
      <c r="I983" s="79"/>
      <c r="J983" s="80"/>
      <c r="K983" s="79"/>
      <c r="L983" s="142"/>
      <c r="M983" s="1"/>
      <c r="N983" s="142"/>
      <c r="O983" s="1"/>
      <c r="P983" s="142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79">
        <f t="shared" si="805"/>
        <v>0</v>
      </c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R983" s="1"/>
      <c r="CS983" s="1"/>
      <c r="CT983" s="1"/>
      <c r="CU983" s="1"/>
      <c r="CV983" s="1"/>
      <c r="CW983" s="1"/>
      <c r="CX983" s="1"/>
      <c r="CY983" s="91" t="str">
        <f t="shared" si="831"/>
        <v/>
      </c>
      <c r="CZ983" s="1"/>
      <c r="DC983" s="96"/>
      <c r="DE983" s="96"/>
    </row>
    <row r="984">
      <c r="A984" s="1"/>
      <c r="B984" s="1"/>
      <c r="C984" s="76"/>
      <c r="D984" s="76"/>
      <c r="E984" s="76"/>
      <c r="F984" s="76"/>
      <c r="G984" s="79"/>
      <c r="H984" s="80"/>
      <c r="I984" s="79"/>
      <c r="J984" s="80"/>
      <c r="K984" s="79"/>
      <c r="L984" s="142"/>
      <c r="M984" s="1"/>
      <c r="N984" s="142"/>
      <c r="O984" s="1"/>
      <c r="P984" s="142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79">
        <f t="shared" si="805"/>
        <v>0</v>
      </c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R984" s="1"/>
      <c r="CS984" s="1"/>
      <c r="CT984" s="1"/>
      <c r="CU984" s="1"/>
      <c r="CV984" s="1"/>
      <c r="CW984" s="1"/>
      <c r="CX984" s="1"/>
      <c r="CY984" s="91" t="str">
        <f t="shared" si="831"/>
        <v/>
      </c>
      <c r="CZ984" s="1"/>
      <c r="DC984" s="96"/>
      <c r="DE984" s="96"/>
    </row>
    <row r="985">
      <c r="A985" s="1"/>
      <c r="B985" s="1"/>
      <c r="C985" s="76"/>
      <c r="D985" s="76"/>
      <c r="E985" s="76"/>
      <c r="F985" s="76"/>
      <c r="G985" s="79"/>
      <c r="H985" s="80"/>
      <c r="I985" s="79"/>
      <c r="J985" s="80"/>
      <c r="K985" s="79"/>
      <c r="L985" s="142"/>
      <c r="M985" s="1"/>
      <c r="N985" s="142"/>
      <c r="O985" s="1"/>
      <c r="P985" s="142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79">
        <f t="shared" si="805"/>
        <v>0</v>
      </c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R985" s="1"/>
      <c r="CS985" s="1"/>
      <c r="CT985" s="1"/>
      <c r="CU985" s="1"/>
      <c r="CV985" s="1"/>
      <c r="CW985" s="1"/>
      <c r="CX985" s="1"/>
      <c r="CY985" s="91" t="str">
        <f t="shared" si="831"/>
        <v/>
      </c>
      <c r="CZ985" s="1"/>
      <c r="DC985" s="96"/>
      <c r="DE985" s="96"/>
    </row>
    <row r="986">
      <c r="A986" s="1"/>
      <c r="B986" s="1"/>
      <c r="C986" s="76"/>
      <c r="D986" s="76"/>
      <c r="E986" s="76"/>
      <c r="F986" s="76"/>
      <c r="G986" s="79"/>
      <c r="H986" s="80"/>
      <c r="I986" s="79"/>
      <c r="J986" s="80"/>
      <c r="K986" s="79"/>
      <c r="L986" s="142"/>
      <c r="M986" s="1"/>
      <c r="N986" s="142"/>
      <c r="O986" s="1"/>
      <c r="P986" s="142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79">
        <f t="shared" si="805"/>
        <v>0</v>
      </c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R986" s="1"/>
      <c r="CS986" s="1"/>
      <c r="CT986" s="1"/>
      <c r="CU986" s="1"/>
      <c r="CV986" s="1"/>
      <c r="CW986" s="1"/>
      <c r="CX986" s="1"/>
      <c r="CY986" s="91" t="str">
        <f t="shared" si="831"/>
        <v/>
      </c>
      <c r="CZ986" s="1"/>
      <c r="DC986" s="96"/>
      <c r="DE986" s="96"/>
    </row>
    <row r="987">
      <c r="A987" s="1"/>
      <c r="B987" s="1"/>
      <c r="C987" s="76"/>
      <c r="D987" s="76"/>
      <c r="E987" s="76"/>
      <c r="F987" s="76"/>
      <c r="G987" s="79"/>
      <c r="H987" s="80"/>
      <c r="I987" s="79"/>
      <c r="J987" s="80"/>
      <c r="K987" s="79"/>
      <c r="L987" s="142"/>
      <c r="M987" s="1"/>
      <c r="N987" s="142"/>
      <c r="O987" s="1"/>
      <c r="P987" s="142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79">
        <f t="shared" si="805"/>
        <v>0</v>
      </c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R987" s="1"/>
      <c r="CS987" s="1"/>
      <c r="CT987" s="1"/>
      <c r="CU987" s="1"/>
      <c r="CV987" s="1"/>
      <c r="CW987" s="1"/>
      <c r="CX987" s="1"/>
      <c r="CY987" s="91" t="str">
        <f t="shared" si="831"/>
        <v/>
      </c>
      <c r="CZ987" s="1"/>
      <c r="DC987" s="96"/>
      <c r="DE987" s="96"/>
    </row>
    <row r="988">
      <c r="A988" s="1"/>
      <c r="B988" s="1"/>
      <c r="C988" s="76"/>
      <c r="D988" s="76"/>
      <c r="E988" s="76"/>
      <c r="F988" s="76"/>
      <c r="G988" s="79"/>
      <c r="H988" s="80"/>
      <c r="I988" s="79"/>
      <c r="J988" s="80"/>
      <c r="K988" s="79"/>
      <c r="L988" s="142"/>
      <c r="M988" s="1"/>
      <c r="N988" s="142"/>
      <c r="O988" s="1"/>
      <c r="P988" s="142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79">
        <f t="shared" si="805"/>
        <v>0</v>
      </c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R988" s="1"/>
      <c r="CS988" s="1"/>
      <c r="CT988" s="1"/>
      <c r="CU988" s="1"/>
      <c r="CV988" s="1"/>
      <c r="CW988" s="1"/>
      <c r="CX988" s="1"/>
      <c r="CY988" s="91" t="str">
        <f t="shared" si="831"/>
        <v/>
      </c>
      <c r="CZ988" s="1"/>
      <c r="DC988" s="96"/>
      <c r="DE988" s="96"/>
    </row>
    <row r="989">
      <c r="A989" s="1"/>
      <c r="B989" s="1"/>
      <c r="C989" s="76"/>
      <c r="D989" s="76"/>
      <c r="E989" s="76"/>
      <c r="F989" s="76"/>
      <c r="G989" s="79"/>
      <c r="H989" s="80"/>
      <c r="I989" s="79"/>
      <c r="J989" s="80"/>
      <c r="K989" s="79"/>
      <c r="L989" s="142"/>
      <c r="M989" s="1"/>
      <c r="N989" s="142"/>
      <c r="O989" s="1"/>
      <c r="P989" s="142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79">
        <f t="shared" si="805"/>
        <v>0</v>
      </c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R989" s="1"/>
      <c r="CS989" s="1"/>
      <c r="CT989" s="1"/>
      <c r="CU989" s="1"/>
      <c r="CV989" s="1"/>
      <c r="CW989" s="1"/>
      <c r="CX989" s="1"/>
      <c r="CY989" s="91" t="str">
        <f t="shared" si="831"/>
        <v/>
      </c>
      <c r="CZ989" s="1"/>
      <c r="DC989" s="96"/>
      <c r="DE989" s="96"/>
    </row>
    <row r="990">
      <c r="A990" s="1"/>
      <c r="B990" s="1"/>
      <c r="C990" s="76"/>
      <c r="D990" s="76"/>
      <c r="E990" s="76"/>
      <c r="F990" s="76"/>
      <c r="G990" s="79"/>
      <c r="H990" s="80"/>
      <c r="I990" s="79"/>
      <c r="J990" s="80"/>
      <c r="K990" s="79"/>
      <c r="L990" s="142"/>
      <c r="M990" s="1"/>
      <c r="N990" s="142"/>
      <c r="O990" s="1"/>
      <c r="P990" s="142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79">
        <f t="shared" si="805"/>
        <v>0</v>
      </c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R990" s="1"/>
      <c r="CS990" s="1"/>
      <c r="CT990" s="1"/>
      <c r="CU990" s="1"/>
      <c r="CV990" s="1"/>
      <c r="CW990" s="1"/>
      <c r="CX990" s="1"/>
      <c r="CY990" s="91" t="str">
        <f t="shared" si="831"/>
        <v/>
      </c>
      <c r="CZ990" s="1"/>
      <c r="DC990" s="96"/>
      <c r="DE990" s="96"/>
    </row>
    <row r="991">
      <c r="A991" s="1"/>
      <c r="B991" s="1"/>
      <c r="C991" s="76"/>
      <c r="D991" s="76"/>
      <c r="E991" s="76"/>
      <c r="F991" s="76"/>
      <c r="G991" s="79"/>
      <c r="H991" s="80"/>
      <c r="I991" s="79"/>
      <c r="J991" s="80"/>
      <c r="K991" s="79"/>
      <c r="L991" s="142"/>
      <c r="M991" s="1"/>
      <c r="N991" s="142"/>
      <c r="O991" s="1"/>
      <c r="P991" s="142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79">
        <f t="shared" si="805"/>
        <v>0</v>
      </c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R991" s="1"/>
      <c r="CS991" s="1"/>
      <c r="CT991" s="1"/>
      <c r="CU991" s="1"/>
      <c r="CV991" s="1"/>
      <c r="CW991" s="1"/>
      <c r="CX991" s="1"/>
      <c r="CY991" s="91" t="str">
        <f t="shared" si="831"/>
        <v/>
      </c>
      <c r="CZ991" s="1"/>
      <c r="DC991" s="96"/>
      <c r="DE991" s="96"/>
    </row>
    <row r="992">
      <c r="A992" s="1"/>
      <c r="B992" s="1"/>
      <c r="C992" s="76"/>
      <c r="D992" s="76"/>
      <c r="E992" s="76"/>
      <c r="F992" s="76"/>
      <c r="G992" s="79"/>
      <c r="H992" s="80"/>
      <c r="I992" s="79"/>
      <c r="J992" s="80"/>
      <c r="K992" s="79"/>
      <c r="L992" s="142"/>
      <c r="M992" s="1"/>
      <c r="N992" s="142"/>
      <c r="O992" s="1"/>
      <c r="P992" s="142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79">
        <f t="shared" si="805"/>
        <v>0</v>
      </c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R992" s="1"/>
      <c r="CS992" s="1"/>
      <c r="CT992" s="1"/>
      <c r="CU992" s="1"/>
      <c r="CV992" s="1"/>
      <c r="CW992" s="1"/>
      <c r="CX992" s="1"/>
      <c r="CY992" s="91" t="str">
        <f t="shared" si="831"/>
        <v/>
      </c>
      <c r="CZ992" s="1"/>
      <c r="DC992" s="96"/>
      <c r="DE992" s="96"/>
    </row>
    <row r="993">
      <c r="A993" s="1"/>
      <c r="B993" s="1"/>
      <c r="C993" s="76"/>
      <c r="D993" s="76"/>
      <c r="E993" s="76"/>
      <c r="F993" s="76"/>
      <c r="G993" s="79"/>
      <c r="H993" s="80"/>
      <c r="I993" s="79"/>
      <c r="J993" s="80"/>
      <c r="K993" s="79"/>
      <c r="L993" s="142"/>
      <c r="M993" s="1"/>
      <c r="N993" s="142"/>
      <c r="O993" s="1"/>
      <c r="P993" s="142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79">
        <f t="shared" si="805"/>
        <v>0</v>
      </c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R993" s="1"/>
      <c r="CS993" s="1"/>
      <c r="CT993" s="1"/>
      <c r="CU993" s="1"/>
      <c r="CV993" s="1"/>
      <c r="CW993" s="1"/>
      <c r="CX993" s="1"/>
      <c r="CY993" s="91" t="str">
        <f t="shared" si="831"/>
        <v/>
      </c>
      <c r="CZ993" s="1"/>
      <c r="DC993" s="96"/>
      <c r="DE993" s="96"/>
    </row>
    <row r="994">
      <c r="A994" s="1"/>
      <c r="B994" s="1"/>
      <c r="C994" s="76"/>
      <c r="D994" s="76"/>
      <c r="E994" s="76"/>
      <c r="F994" s="76"/>
      <c r="G994" s="79"/>
      <c r="H994" s="80"/>
      <c r="I994" s="79"/>
      <c r="J994" s="80"/>
      <c r="K994" s="79"/>
      <c r="L994" s="142"/>
      <c r="M994" s="1"/>
      <c r="N994" s="142"/>
      <c r="O994" s="1"/>
      <c r="P994" s="142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79">
        <f t="shared" si="805"/>
        <v>0</v>
      </c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R994" s="1"/>
      <c r="CS994" s="1"/>
      <c r="CT994" s="1"/>
      <c r="CU994" s="1"/>
      <c r="CV994" s="1"/>
      <c r="CW994" s="1"/>
      <c r="CX994" s="1"/>
      <c r="CY994" s="91" t="str">
        <f t="shared" si="831"/>
        <v/>
      </c>
      <c r="CZ994" s="1"/>
      <c r="DC994" s="96"/>
      <c r="DE994" s="96"/>
    </row>
    <row r="995">
      <c r="A995" s="1"/>
      <c r="B995" s="1"/>
      <c r="C995" s="76"/>
      <c r="D995" s="76"/>
      <c r="E995" s="76"/>
      <c r="F995" s="76"/>
      <c r="G995" s="79"/>
      <c r="H995" s="80"/>
      <c r="I995" s="79"/>
      <c r="J995" s="80"/>
      <c r="K995" s="79"/>
      <c r="L995" s="142"/>
      <c r="M995" s="1"/>
      <c r="N995" s="142"/>
      <c r="O995" s="1"/>
      <c r="P995" s="142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79">
        <f t="shared" si="805"/>
        <v>0</v>
      </c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R995" s="1"/>
      <c r="CS995" s="1"/>
      <c r="CT995" s="1"/>
      <c r="CU995" s="1"/>
      <c r="CV995" s="1"/>
      <c r="CW995" s="1"/>
      <c r="CX995" s="1"/>
      <c r="CY995" s="91" t="str">
        <f t="shared" si="831"/>
        <v/>
      </c>
      <c r="CZ995" s="1"/>
      <c r="DC995" s="96"/>
      <c r="DE995" s="96"/>
    </row>
    <row r="996">
      <c r="A996" s="1"/>
      <c r="B996" s="1"/>
      <c r="C996" s="76"/>
      <c r="D996" s="76"/>
      <c r="E996" s="76"/>
      <c r="F996" s="76"/>
      <c r="G996" s="79"/>
      <c r="H996" s="80"/>
      <c r="I996" s="79"/>
      <c r="J996" s="80"/>
      <c r="K996" s="79"/>
      <c r="L996" s="142"/>
      <c r="M996" s="1"/>
      <c r="N996" s="142"/>
      <c r="O996" s="1"/>
      <c r="P996" s="142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79">
        <f t="shared" si="805"/>
        <v>0</v>
      </c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R996" s="1"/>
      <c r="CS996" s="1"/>
      <c r="CT996" s="1"/>
      <c r="CU996" s="1"/>
      <c r="CV996" s="1"/>
      <c r="CW996" s="1"/>
      <c r="CX996" s="1"/>
      <c r="CY996" s="91" t="str">
        <f t="shared" si="831"/>
        <v/>
      </c>
      <c r="CZ996" s="1"/>
      <c r="DC996" s="96"/>
      <c r="DE996" s="96"/>
    </row>
    <row r="997">
      <c r="A997" s="1"/>
      <c r="B997" s="1"/>
      <c r="C997" s="76"/>
      <c r="D997" s="76"/>
      <c r="E997" s="76"/>
      <c r="F997" s="76"/>
      <c r="G997" s="79"/>
      <c r="H997" s="80"/>
      <c r="I997" s="79"/>
      <c r="J997" s="80"/>
      <c r="K997" s="79"/>
      <c r="L997" s="142"/>
      <c r="M997" s="1"/>
      <c r="N997" s="142"/>
      <c r="O997" s="1"/>
      <c r="P997" s="142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79">
        <f t="shared" si="805"/>
        <v>0</v>
      </c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R997" s="1"/>
      <c r="CS997" s="1"/>
      <c r="CT997" s="1"/>
      <c r="CU997" s="1"/>
      <c r="CV997" s="1"/>
      <c r="CW997" s="1"/>
      <c r="CX997" s="1"/>
      <c r="CY997" s="91" t="str">
        <f t="shared" si="831"/>
        <v/>
      </c>
      <c r="CZ997" s="1"/>
      <c r="DC997" s="96"/>
      <c r="DE997" s="96"/>
    </row>
    <row r="998">
      <c r="A998" s="1"/>
      <c r="B998" s="1"/>
      <c r="C998" s="76"/>
      <c r="D998" s="76"/>
      <c r="E998" s="76"/>
      <c r="F998" s="76"/>
      <c r="G998" s="79"/>
      <c r="H998" s="80"/>
      <c r="I998" s="79"/>
      <c r="J998" s="80"/>
      <c r="K998" s="79"/>
      <c r="L998" s="142"/>
      <c r="M998" s="1"/>
      <c r="N998" s="142"/>
      <c r="O998" s="1"/>
      <c r="P998" s="142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79">
        <f t="shared" si="805"/>
        <v>0</v>
      </c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R998" s="1"/>
      <c r="CS998" s="1"/>
      <c r="CT998" s="1"/>
      <c r="CU998" s="1"/>
      <c r="CV998" s="1"/>
      <c r="CW998" s="1"/>
      <c r="CX998" s="1"/>
      <c r="CY998" s="91" t="str">
        <f t="shared" si="831"/>
        <v/>
      </c>
      <c r="CZ998" s="1"/>
      <c r="DC998" s="96"/>
      <c r="DE998" s="96"/>
    </row>
    <row r="999">
      <c r="A999" s="1"/>
      <c r="B999" s="1"/>
      <c r="C999" s="76"/>
      <c r="D999" s="76"/>
      <c r="E999" s="76"/>
      <c r="F999" s="76"/>
      <c r="G999" s="79"/>
      <c r="H999" s="80"/>
      <c r="I999" s="79"/>
      <c r="J999" s="80"/>
      <c r="K999" s="79"/>
      <c r="L999" s="142"/>
      <c r="M999" s="1"/>
      <c r="N999" s="142"/>
      <c r="O999" s="1"/>
      <c r="P999" s="142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79">
        <f t="shared" si="805"/>
        <v>0</v>
      </c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R999" s="1"/>
      <c r="CS999" s="1"/>
      <c r="CT999" s="1"/>
      <c r="CU999" s="1"/>
      <c r="CV999" s="1"/>
      <c r="CW999" s="1"/>
      <c r="CX999" s="1"/>
      <c r="CY999" s="91" t="str">
        <f t="shared" si="831"/>
        <v/>
      </c>
      <c r="CZ999" s="1"/>
      <c r="DC999" s="96"/>
      <c r="DE999" s="96"/>
    </row>
    <row r="1000">
      <c r="A1000" s="1"/>
      <c r="B1000" s="1"/>
      <c r="C1000" s="76"/>
      <c r="D1000" s="76"/>
      <c r="E1000" s="76"/>
      <c r="F1000" s="76"/>
      <c r="G1000" s="79"/>
      <c r="H1000" s="80"/>
      <c r="I1000" s="79"/>
      <c r="J1000" s="80"/>
      <c r="K1000" s="79"/>
      <c r="L1000" s="142"/>
      <c r="M1000" s="1"/>
      <c r="N1000" s="142"/>
      <c r="O1000" s="1"/>
      <c r="P1000" s="142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79">
        <f t="shared" si="805"/>
        <v>0</v>
      </c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R1000" s="1"/>
      <c r="CS1000" s="1"/>
      <c r="CT1000" s="1"/>
      <c r="CU1000" s="1"/>
      <c r="CV1000" s="1"/>
      <c r="CW1000" s="1"/>
      <c r="CX1000" s="1"/>
      <c r="CY1000" s="91" t="str">
        <f t="shared" si="831"/>
        <v/>
      </c>
      <c r="CZ1000" s="1"/>
      <c r="DC1000" s="96"/>
      <c r="DE1000" s="96"/>
    </row>
    <row r="1001">
      <c r="A1001" s="1"/>
      <c r="B1001" s="1"/>
      <c r="C1001" s="76"/>
      <c r="D1001" s="76"/>
      <c r="E1001" s="76"/>
      <c r="F1001" s="76"/>
      <c r="G1001" s="79"/>
      <c r="H1001" s="80"/>
      <c r="I1001" s="79"/>
      <c r="J1001" s="80"/>
      <c r="K1001" s="79"/>
      <c r="L1001" s="142"/>
      <c r="M1001" s="1"/>
      <c r="N1001" s="142"/>
      <c r="O1001" s="1"/>
      <c r="P1001" s="142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79">
        <f t="shared" si="805"/>
        <v>0</v>
      </c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R1001" s="1"/>
      <c r="CS1001" s="1"/>
      <c r="CT1001" s="1"/>
      <c r="CU1001" s="1"/>
      <c r="CV1001" s="1"/>
      <c r="CW1001" s="1"/>
      <c r="CX1001" s="1"/>
      <c r="CY1001" s="91" t="str">
        <f t="shared" si="831"/>
        <v/>
      </c>
      <c r="CZ1001" s="1"/>
      <c r="DC1001" s="96"/>
      <c r="DE1001" s="96"/>
    </row>
    <row r="1002">
      <c r="A1002" s="1"/>
      <c r="B1002" s="1"/>
      <c r="C1002" s="76"/>
      <c r="D1002" s="76"/>
      <c r="E1002" s="76"/>
      <c r="F1002" s="76"/>
      <c r="G1002" s="79"/>
      <c r="H1002" s="80"/>
      <c r="I1002" s="79"/>
      <c r="J1002" s="80"/>
      <c r="K1002" s="79"/>
      <c r="L1002" s="142"/>
      <c r="M1002" s="1"/>
      <c r="N1002" s="142"/>
      <c r="O1002" s="1"/>
      <c r="P1002" s="142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79">
        <f t="shared" si="805"/>
        <v>0</v>
      </c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R1002" s="1"/>
      <c r="CS1002" s="1"/>
      <c r="CT1002" s="1"/>
      <c r="CU1002" s="1"/>
      <c r="CV1002" s="1"/>
      <c r="CW1002" s="1"/>
      <c r="CX1002" s="1"/>
      <c r="CY1002" s="91" t="str">
        <f t="shared" si="831"/>
        <v/>
      </c>
      <c r="CZ1002" s="1"/>
      <c r="DC1002" s="96"/>
      <c r="DE1002" s="96"/>
    </row>
    <row r="1003">
      <c r="A1003" s="1"/>
      <c r="B1003" s="1"/>
      <c r="C1003" s="76"/>
      <c r="D1003" s="76"/>
      <c r="E1003" s="76"/>
      <c r="F1003" s="76"/>
      <c r="G1003" s="79"/>
      <c r="H1003" s="80"/>
      <c r="I1003" s="79"/>
      <c r="J1003" s="80"/>
      <c r="K1003" s="79"/>
      <c r="L1003" s="142"/>
      <c r="M1003" s="1"/>
      <c r="N1003" s="142"/>
      <c r="O1003" s="1"/>
      <c r="P1003" s="142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79">
        <f t="shared" si="805"/>
        <v>0</v>
      </c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R1003" s="1"/>
      <c r="CS1003" s="1"/>
      <c r="CT1003" s="1"/>
      <c r="CU1003" s="1"/>
      <c r="CV1003" s="1"/>
      <c r="CW1003" s="1"/>
      <c r="CX1003" s="1"/>
      <c r="CY1003" s="91" t="str">
        <f t="shared" si="831"/>
        <v/>
      </c>
      <c r="CZ1003" s="1"/>
      <c r="DC1003" s="96"/>
      <c r="DE1003" s="96"/>
    </row>
    <row r="1004">
      <c r="A1004" s="1"/>
      <c r="B1004" s="1"/>
      <c r="C1004" s="76"/>
      <c r="D1004" s="76"/>
      <c r="E1004" s="76"/>
      <c r="F1004" s="76"/>
      <c r="G1004" s="79"/>
      <c r="H1004" s="80"/>
      <c r="I1004" s="79"/>
      <c r="J1004" s="80"/>
      <c r="K1004" s="79"/>
      <c r="L1004" s="142"/>
      <c r="M1004" s="1"/>
      <c r="N1004" s="142"/>
      <c r="O1004" s="1"/>
      <c r="P1004" s="142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79">
        <f t="shared" si="805"/>
        <v>0</v>
      </c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R1004" s="1"/>
      <c r="CS1004" s="1"/>
      <c r="CT1004" s="1"/>
      <c r="CU1004" s="1"/>
      <c r="CV1004" s="1"/>
      <c r="CW1004" s="1"/>
      <c r="CX1004" s="1"/>
      <c r="CY1004" s="91" t="str">
        <f t="shared" si="831"/>
        <v/>
      </c>
      <c r="CZ1004" s="1"/>
      <c r="DC1004" s="96"/>
      <c r="DE1004" s="96"/>
    </row>
    <row r="1005">
      <c r="A1005" s="1"/>
      <c r="B1005" s="1"/>
      <c r="C1005" s="76"/>
      <c r="D1005" s="76"/>
      <c r="E1005" s="76"/>
      <c r="F1005" s="76"/>
      <c r="G1005" s="79"/>
      <c r="H1005" s="80"/>
      <c r="I1005" s="79"/>
      <c r="J1005" s="80"/>
      <c r="K1005" s="79"/>
      <c r="L1005" s="142"/>
      <c r="M1005" s="1"/>
      <c r="N1005" s="142"/>
      <c r="O1005" s="1"/>
      <c r="P1005" s="142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79">
        <f t="shared" si="805"/>
        <v>0</v>
      </c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R1005" s="1"/>
      <c r="CS1005" s="1"/>
      <c r="CT1005" s="1"/>
      <c r="CU1005" s="1"/>
      <c r="CV1005" s="1"/>
      <c r="CW1005" s="1"/>
      <c r="CX1005" s="1"/>
      <c r="CY1005" s="91" t="str">
        <f t="shared" si="831"/>
        <v/>
      </c>
      <c r="CZ1005" s="1"/>
      <c r="DC1005" s="96"/>
      <c r="DE1005" s="96"/>
    </row>
    <row r="1006">
      <c r="A1006" s="1"/>
      <c r="B1006" s="1"/>
      <c r="C1006" s="76"/>
      <c r="D1006" s="76"/>
      <c r="E1006" s="76"/>
      <c r="F1006" s="76"/>
      <c r="G1006" s="79"/>
      <c r="H1006" s="80"/>
      <c r="I1006" s="79"/>
      <c r="J1006" s="80"/>
      <c r="K1006" s="79"/>
      <c r="L1006" s="142"/>
      <c r="M1006" s="1"/>
      <c r="N1006" s="142"/>
      <c r="O1006" s="1"/>
      <c r="P1006" s="142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79">
        <f t="shared" si="805"/>
        <v>0</v>
      </c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R1006" s="1"/>
      <c r="CS1006" s="1"/>
      <c r="CT1006" s="1"/>
      <c r="CU1006" s="1"/>
      <c r="CV1006" s="1"/>
      <c r="CW1006" s="1"/>
      <c r="CX1006" s="1"/>
      <c r="CY1006" s="91" t="str">
        <f t="shared" si="831"/>
        <v/>
      </c>
      <c r="CZ1006" s="1"/>
      <c r="DC1006" s="96"/>
      <c r="DE1006" s="96"/>
    </row>
    <row r="1007">
      <c r="A1007" s="1"/>
      <c r="B1007" s="1"/>
      <c r="C1007" s="76"/>
      <c r="D1007" s="76"/>
      <c r="E1007" s="76"/>
      <c r="F1007" s="76"/>
      <c r="G1007" s="79"/>
      <c r="H1007" s="80"/>
      <c r="I1007" s="79"/>
      <c r="J1007" s="80"/>
      <c r="K1007" s="79"/>
      <c r="L1007" s="142"/>
      <c r="M1007" s="1"/>
      <c r="N1007" s="142"/>
      <c r="O1007" s="1"/>
      <c r="P1007" s="142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79">
        <f t="shared" si="805"/>
        <v>0</v>
      </c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R1007" s="1"/>
      <c r="CS1007" s="1"/>
      <c r="CT1007" s="1"/>
      <c r="CU1007" s="1"/>
      <c r="CV1007" s="1"/>
      <c r="CW1007" s="1"/>
      <c r="CX1007" s="1"/>
      <c r="CY1007" s="91" t="str">
        <f t="shared" si="831"/>
        <v/>
      </c>
      <c r="CZ1007" s="1"/>
      <c r="DC1007" s="96"/>
      <c r="DE1007" s="96"/>
    </row>
    <row r="1008">
      <c r="A1008" s="1"/>
      <c r="B1008" s="1"/>
      <c r="C1008" s="76"/>
      <c r="D1008" s="76"/>
      <c r="E1008" s="76"/>
      <c r="F1008" s="76"/>
      <c r="G1008" s="79"/>
      <c r="H1008" s="80"/>
      <c r="I1008" s="79"/>
      <c r="J1008" s="80"/>
      <c r="K1008" s="79"/>
      <c r="L1008" s="142"/>
      <c r="M1008" s="1"/>
      <c r="N1008" s="142"/>
      <c r="O1008" s="1"/>
      <c r="P1008" s="142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79">
        <f t="shared" si="805"/>
        <v>0</v>
      </c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R1008" s="1"/>
      <c r="CS1008" s="1"/>
      <c r="CT1008" s="1"/>
      <c r="CU1008" s="1"/>
      <c r="CV1008" s="1"/>
      <c r="CW1008" s="1"/>
      <c r="CX1008" s="1"/>
      <c r="CY1008" s="91" t="str">
        <f t="shared" si="831"/>
        <v/>
      </c>
      <c r="CZ1008" s="1"/>
      <c r="DC1008" s="96"/>
      <c r="DE1008" s="96"/>
    </row>
    <row r="1009">
      <c r="A1009" s="1"/>
      <c r="B1009" s="1"/>
      <c r="C1009" s="76"/>
      <c r="D1009" s="76"/>
      <c r="E1009" s="76"/>
      <c r="F1009" s="76"/>
      <c r="G1009" s="79"/>
      <c r="H1009" s="80"/>
      <c r="I1009" s="79"/>
      <c r="J1009" s="80"/>
      <c r="K1009" s="79"/>
      <c r="L1009" s="142"/>
      <c r="M1009" s="1"/>
      <c r="N1009" s="142"/>
      <c r="O1009" s="1"/>
      <c r="P1009" s="142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79">
        <f t="shared" si="805"/>
        <v>0</v>
      </c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R1009" s="1"/>
      <c r="CS1009" s="1"/>
      <c r="CT1009" s="1"/>
      <c r="CU1009" s="1"/>
      <c r="CV1009" s="1"/>
      <c r="CW1009" s="1"/>
      <c r="CX1009" s="1"/>
      <c r="CY1009" s="91" t="str">
        <f t="shared" si="831"/>
        <v/>
      </c>
      <c r="CZ1009" s="1"/>
      <c r="DC1009" s="96"/>
      <c r="DE1009" s="96"/>
    </row>
    <row r="1010">
      <c r="A1010" s="1"/>
      <c r="B1010" s="1"/>
      <c r="C1010" s="76"/>
      <c r="D1010" s="76"/>
      <c r="E1010" s="76"/>
      <c r="F1010" s="76"/>
      <c r="G1010" s="79"/>
      <c r="H1010" s="80"/>
      <c r="I1010" s="79"/>
      <c r="J1010" s="80"/>
      <c r="K1010" s="79"/>
      <c r="L1010" s="142"/>
      <c r="M1010" s="1"/>
      <c r="N1010" s="142"/>
      <c r="O1010" s="1"/>
      <c r="P1010" s="142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79">
        <f t="shared" si="805"/>
        <v>0</v>
      </c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R1010" s="1"/>
      <c r="CS1010" s="1"/>
      <c r="CT1010" s="1"/>
      <c r="CU1010" s="1"/>
      <c r="CV1010" s="1"/>
      <c r="CW1010" s="1"/>
      <c r="CX1010" s="1"/>
      <c r="CY1010" s="91" t="str">
        <f t="shared" si="831"/>
        <v/>
      </c>
      <c r="CZ1010" s="1"/>
      <c r="DC1010" s="96"/>
      <c r="DE1010" s="96"/>
    </row>
    <row r="1011">
      <c r="A1011" s="1"/>
      <c r="B1011" s="1"/>
      <c r="C1011" s="76"/>
      <c r="D1011" s="76"/>
      <c r="E1011" s="76"/>
      <c r="F1011" s="76"/>
      <c r="G1011" s="79"/>
      <c r="H1011" s="80"/>
      <c r="I1011" s="79"/>
      <c r="J1011" s="80"/>
      <c r="K1011" s="79"/>
      <c r="L1011" s="142"/>
      <c r="M1011" s="1"/>
      <c r="N1011" s="142"/>
      <c r="O1011" s="1"/>
      <c r="P1011" s="142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79">
        <f t="shared" si="805"/>
        <v>0</v>
      </c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R1011" s="1"/>
      <c r="CS1011" s="1"/>
      <c r="CT1011" s="1"/>
      <c r="CU1011" s="1"/>
      <c r="CV1011" s="1"/>
      <c r="CW1011" s="1"/>
      <c r="CX1011" s="1"/>
      <c r="CY1011" s="91" t="str">
        <f t="shared" si="831"/>
        <v/>
      </c>
      <c r="CZ1011" s="1"/>
      <c r="DC1011" s="96"/>
      <c r="DE1011" s="96"/>
    </row>
    <row r="1012">
      <c r="A1012" s="1"/>
      <c r="B1012" s="1"/>
      <c r="C1012" s="76"/>
      <c r="D1012" s="76"/>
      <c r="E1012" s="76"/>
      <c r="F1012" s="76"/>
      <c r="G1012" s="79"/>
      <c r="H1012" s="80"/>
      <c r="I1012" s="79"/>
      <c r="J1012" s="80"/>
      <c r="K1012" s="79"/>
      <c r="L1012" s="142"/>
      <c r="M1012" s="1"/>
      <c r="N1012" s="142"/>
      <c r="O1012" s="1"/>
      <c r="P1012" s="142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79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R1012" s="1"/>
      <c r="CS1012" s="1"/>
      <c r="CT1012" s="1"/>
      <c r="CU1012" s="1"/>
      <c r="CV1012" s="1"/>
      <c r="CW1012" s="1"/>
      <c r="CX1012" s="1"/>
      <c r="CY1012" s="91" t="str">
        <f t="shared" si="831"/>
        <v/>
      </c>
      <c r="CZ1012" s="1"/>
      <c r="DC1012" s="307"/>
      <c r="DE1012" s="307"/>
    </row>
    <row r="1013">
      <c r="A1013" s="1"/>
      <c r="B1013" s="1"/>
      <c r="C1013" s="76"/>
      <c r="D1013" s="76"/>
      <c r="E1013" s="76"/>
      <c r="F1013" s="76"/>
      <c r="G1013" s="79"/>
      <c r="H1013" s="80"/>
      <c r="I1013" s="79"/>
      <c r="J1013" s="80"/>
      <c r="K1013" s="79"/>
      <c r="L1013" s="142"/>
      <c r="M1013" s="1"/>
      <c r="N1013" s="142"/>
      <c r="O1013" s="1"/>
      <c r="P1013" s="142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79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R1013" s="1"/>
      <c r="CS1013" s="1"/>
      <c r="CT1013" s="1"/>
      <c r="CU1013" s="1"/>
      <c r="CV1013" s="1"/>
      <c r="CW1013" s="1"/>
      <c r="CX1013" s="1"/>
      <c r="CY1013" s="91" t="str">
        <f t="shared" si="831"/>
        <v/>
      </c>
      <c r="CZ1013" s="1"/>
      <c r="DC1013" s="307"/>
      <c r="DE1013" s="307"/>
    </row>
    <row r="1014">
      <c r="A1014" s="1"/>
      <c r="B1014" s="1"/>
      <c r="C1014" s="76"/>
      <c r="D1014" s="76"/>
      <c r="E1014" s="76"/>
      <c r="F1014" s="76"/>
      <c r="G1014" s="79"/>
      <c r="H1014" s="80"/>
      <c r="I1014" s="79"/>
      <c r="J1014" s="80"/>
      <c r="K1014" s="79"/>
      <c r="L1014" s="142"/>
      <c r="M1014" s="1"/>
      <c r="N1014" s="142"/>
      <c r="O1014" s="1"/>
      <c r="P1014" s="142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79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R1014" s="1"/>
      <c r="CS1014" s="1"/>
      <c r="CT1014" s="1"/>
      <c r="CU1014" s="1"/>
      <c r="CV1014" s="1"/>
      <c r="CW1014" s="1"/>
      <c r="CX1014" s="1"/>
      <c r="CY1014" s="91" t="str">
        <f t="shared" si="831"/>
        <v/>
      </c>
      <c r="CZ1014" s="1"/>
      <c r="DC1014" s="307"/>
      <c r="DE1014" s="307"/>
    </row>
    <row r="1015">
      <c r="A1015" s="1"/>
      <c r="B1015" s="1"/>
      <c r="C1015" s="76"/>
      <c r="D1015" s="76"/>
      <c r="E1015" s="76"/>
      <c r="F1015" s="76"/>
      <c r="G1015" s="79"/>
      <c r="H1015" s="80"/>
      <c r="I1015" s="79"/>
      <c r="J1015" s="80"/>
      <c r="K1015" s="79"/>
      <c r="L1015" s="142"/>
      <c r="M1015" s="1"/>
      <c r="N1015" s="142"/>
      <c r="O1015" s="1"/>
      <c r="P1015" s="142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79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R1015" s="1"/>
      <c r="CS1015" s="1"/>
      <c r="CT1015" s="1"/>
      <c r="CU1015" s="1"/>
      <c r="CV1015" s="1"/>
      <c r="CW1015" s="1"/>
      <c r="CX1015" s="1"/>
      <c r="CY1015" s="91" t="str">
        <f t="shared" si="831"/>
        <v/>
      </c>
      <c r="CZ1015" s="1"/>
      <c r="DC1015" s="307"/>
      <c r="DE1015" s="307"/>
    </row>
    <row r="1016">
      <c r="A1016" s="1"/>
      <c r="B1016" s="1"/>
      <c r="C1016" s="76"/>
      <c r="D1016" s="76"/>
      <c r="E1016" s="76"/>
      <c r="F1016" s="76"/>
      <c r="G1016" s="79"/>
      <c r="H1016" s="80"/>
      <c r="I1016" s="79"/>
      <c r="J1016" s="80"/>
      <c r="K1016" s="79"/>
      <c r="L1016" s="142"/>
      <c r="M1016" s="1"/>
      <c r="N1016" s="142"/>
      <c r="O1016" s="1"/>
      <c r="P1016" s="142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79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R1016" s="1"/>
      <c r="CS1016" s="1"/>
      <c r="CT1016" s="1"/>
      <c r="CU1016" s="1"/>
      <c r="CV1016" s="1"/>
      <c r="CW1016" s="1"/>
      <c r="CX1016" s="1"/>
      <c r="CY1016" s="91" t="str">
        <f t="shared" si="831"/>
        <v/>
      </c>
      <c r="CZ1016" s="1"/>
      <c r="DC1016" s="307"/>
      <c r="DE1016" s="307"/>
    </row>
    <row r="1017">
      <c r="A1017" s="1"/>
      <c r="B1017" s="1"/>
      <c r="C1017" s="76"/>
      <c r="D1017" s="76"/>
      <c r="E1017" s="76"/>
      <c r="F1017" s="76"/>
      <c r="G1017" s="79"/>
      <c r="H1017" s="80"/>
      <c r="I1017" s="79"/>
      <c r="J1017" s="80"/>
      <c r="K1017" s="79"/>
      <c r="L1017" s="142"/>
      <c r="M1017" s="1"/>
      <c r="N1017" s="142"/>
      <c r="O1017" s="1"/>
      <c r="P1017" s="142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79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R1017" s="1"/>
      <c r="CS1017" s="1"/>
      <c r="CT1017" s="1"/>
      <c r="CU1017" s="1"/>
      <c r="CV1017" s="1"/>
      <c r="CW1017" s="1"/>
      <c r="CX1017" s="1"/>
      <c r="CY1017" s="91" t="str">
        <f t="shared" si="831"/>
        <v/>
      </c>
      <c r="CZ1017" s="1"/>
      <c r="DC1017" s="307"/>
      <c r="DE1017" s="307"/>
    </row>
    <row r="1018">
      <c r="A1018" s="1"/>
      <c r="B1018" s="1"/>
      <c r="C1018" s="76"/>
      <c r="D1018" s="76"/>
      <c r="E1018" s="76"/>
      <c r="F1018" s="76"/>
      <c r="G1018" s="79"/>
      <c r="H1018" s="80"/>
      <c r="I1018" s="79"/>
      <c r="J1018" s="80"/>
      <c r="K1018" s="79"/>
      <c r="L1018" s="142"/>
      <c r="M1018" s="1"/>
      <c r="N1018" s="142"/>
      <c r="O1018" s="1"/>
      <c r="P1018" s="142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79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R1018" s="1"/>
      <c r="CS1018" s="1"/>
      <c r="CT1018" s="1"/>
      <c r="CU1018" s="1"/>
      <c r="CV1018" s="1"/>
      <c r="CW1018" s="1"/>
      <c r="CX1018" s="1"/>
      <c r="CY1018" s="91" t="str">
        <f t="shared" si="831"/>
        <v/>
      </c>
      <c r="CZ1018" s="1"/>
      <c r="DC1018" s="307"/>
      <c r="DE1018" s="307"/>
    </row>
    <row r="1019">
      <c r="A1019" s="1"/>
      <c r="B1019" s="1"/>
      <c r="C1019" s="76"/>
      <c r="D1019" s="76"/>
      <c r="E1019" s="76"/>
      <c r="F1019" s="76"/>
      <c r="G1019" s="79"/>
      <c r="H1019" s="80"/>
      <c r="I1019" s="79"/>
      <c r="J1019" s="80"/>
      <c r="K1019" s="79"/>
      <c r="L1019" s="142"/>
      <c r="M1019" s="1"/>
      <c r="N1019" s="142"/>
      <c r="O1019" s="1"/>
      <c r="P1019" s="142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79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R1019" s="1"/>
      <c r="CS1019" s="1"/>
      <c r="CT1019" s="1"/>
      <c r="CU1019" s="1"/>
      <c r="CV1019" s="1"/>
      <c r="CW1019" s="1"/>
      <c r="CX1019" s="1"/>
      <c r="CY1019" s="91" t="str">
        <f t="shared" si="831"/>
        <v/>
      </c>
      <c r="CZ1019" s="1"/>
      <c r="DC1019" s="307"/>
      <c r="DE1019" s="307"/>
    </row>
    <row r="1020">
      <c r="A1020" s="1"/>
      <c r="B1020" s="1"/>
      <c r="C1020" s="76"/>
      <c r="D1020" s="76"/>
      <c r="E1020" s="76"/>
      <c r="F1020" s="76"/>
      <c r="G1020" s="79"/>
      <c r="H1020" s="80"/>
      <c r="I1020" s="79"/>
      <c r="J1020" s="80"/>
      <c r="K1020" s="79"/>
      <c r="L1020" s="142"/>
      <c r="M1020" s="1"/>
      <c r="N1020" s="142"/>
      <c r="O1020" s="1"/>
      <c r="P1020" s="142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79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R1020" s="1"/>
      <c r="CS1020" s="1"/>
      <c r="CT1020" s="1"/>
      <c r="CU1020" s="1"/>
      <c r="CV1020" s="1"/>
      <c r="CW1020" s="1"/>
      <c r="CX1020" s="1"/>
      <c r="CY1020" s="91" t="str">
        <f t="shared" si="831"/>
        <v/>
      </c>
      <c r="CZ1020" s="1"/>
      <c r="DC1020" s="307"/>
      <c r="DE1020" s="307"/>
    </row>
    <row r="1021">
      <c r="A1021" s="1"/>
      <c r="B1021" s="1"/>
      <c r="C1021" s="76"/>
      <c r="D1021" s="76"/>
      <c r="E1021" s="76"/>
      <c r="F1021" s="76"/>
      <c r="G1021" s="79"/>
      <c r="H1021" s="80"/>
      <c r="I1021" s="79"/>
      <c r="J1021" s="80"/>
      <c r="K1021" s="79"/>
      <c r="L1021" s="142"/>
      <c r="M1021" s="1"/>
      <c r="N1021" s="142"/>
      <c r="O1021" s="1"/>
      <c r="P1021" s="142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79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R1021" s="1"/>
      <c r="CS1021" s="1"/>
      <c r="CT1021" s="1"/>
      <c r="CU1021" s="1"/>
      <c r="CV1021" s="1"/>
      <c r="CW1021" s="1"/>
      <c r="CX1021" s="1"/>
      <c r="CY1021" s="91" t="str">
        <f t="shared" si="831"/>
        <v/>
      </c>
      <c r="CZ1021" s="1"/>
      <c r="DC1021" s="307"/>
      <c r="DE1021" s="307"/>
    </row>
    <row r="1022">
      <c r="A1022" s="1"/>
      <c r="B1022" s="1"/>
      <c r="C1022" s="76"/>
      <c r="D1022" s="76"/>
      <c r="E1022" s="76"/>
      <c r="F1022" s="76"/>
      <c r="G1022" s="79"/>
      <c r="H1022" s="80"/>
      <c r="I1022" s="79"/>
      <c r="J1022" s="80"/>
      <c r="K1022" s="79"/>
      <c r="L1022" s="142"/>
      <c r="M1022" s="1"/>
      <c r="N1022" s="142"/>
      <c r="O1022" s="1"/>
      <c r="P1022" s="142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79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R1022" s="1"/>
      <c r="CS1022" s="1"/>
      <c r="CT1022" s="1"/>
      <c r="CU1022" s="1"/>
      <c r="CV1022" s="1"/>
      <c r="CW1022" s="1"/>
      <c r="CX1022" s="1"/>
      <c r="CY1022" s="91" t="str">
        <f t="shared" si="831"/>
        <v/>
      </c>
      <c r="CZ1022" s="1"/>
      <c r="DC1022" s="307"/>
      <c r="DE1022" s="307"/>
    </row>
    <row r="1023">
      <c r="A1023" s="1"/>
      <c r="B1023" s="1"/>
      <c r="C1023" s="76"/>
      <c r="D1023" s="76"/>
      <c r="E1023" s="76"/>
      <c r="F1023" s="76"/>
      <c r="G1023" s="79"/>
      <c r="H1023" s="80"/>
      <c r="I1023" s="79"/>
      <c r="J1023" s="80"/>
      <c r="K1023" s="79"/>
      <c r="L1023" s="142"/>
      <c r="M1023" s="1"/>
      <c r="N1023" s="142"/>
      <c r="O1023" s="1"/>
      <c r="P1023" s="142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79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R1023" s="1"/>
      <c r="CS1023" s="1"/>
      <c r="CT1023" s="1"/>
      <c r="CU1023" s="1"/>
      <c r="CV1023" s="1"/>
      <c r="CW1023" s="1"/>
      <c r="CX1023" s="1"/>
      <c r="CY1023" s="91" t="str">
        <f t="shared" si="831"/>
        <v/>
      </c>
      <c r="CZ1023" s="1"/>
      <c r="DC1023" s="307"/>
      <c r="DE1023" s="307"/>
    </row>
    <row r="1024">
      <c r="A1024" s="1"/>
      <c r="B1024" s="1"/>
      <c r="C1024" s="76"/>
      <c r="D1024" s="76"/>
      <c r="E1024" s="76"/>
      <c r="F1024" s="76"/>
      <c r="G1024" s="79"/>
      <c r="H1024" s="80"/>
      <c r="I1024" s="79"/>
      <c r="J1024" s="80"/>
      <c r="K1024" s="79"/>
      <c r="L1024" s="142"/>
      <c r="M1024" s="1"/>
      <c r="N1024" s="142"/>
      <c r="O1024" s="1"/>
      <c r="P1024" s="142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79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R1024" s="1"/>
      <c r="CS1024" s="1"/>
      <c r="CT1024" s="1"/>
      <c r="CU1024" s="1"/>
      <c r="CV1024" s="1"/>
      <c r="CW1024" s="1"/>
      <c r="CX1024" s="1"/>
      <c r="CY1024" s="91" t="str">
        <f t="shared" si="831"/>
        <v/>
      </c>
      <c r="CZ1024" s="1"/>
      <c r="DC1024" s="307"/>
      <c r="DE1024" s="307"/>
    </row>
    <row r="1025">
      <c r="A1025" s="1"/>
      <c r="B1025" s="1"/>
      <c r="C1025" s="76"/>
      <c r="D1025" s="76"/>
      <c r="E1025" s="76"/>
      <c r="F1025" s="76"/>
      <c r="G1025" s="79"/>
      <c r="H1025" s="80"/>
      <c r="I1025" s="79"/>
      <c r="J1025" s="80"/>
      <c r="K1025" s="79"/>
      <c r="L1025" s="142"/>
      <c r="M1025" s="1"/>
      <c r="N1025" s="142"/>
      <c r="O1025" s="1"/>
      <c r="P1025" s="142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79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R1025" s="1"/>
      <c r="CS1025" s="1"/>
      <c r="CT1025" s="1"/>
      <c r="CU1025" s="1"/>
      <c r="CV1025" s="1"/>
      <c r="CW1025" s="1"/>
      <c r="CX1025" s="1"/>
      <c r="CY1025" s="91" t="str">
        <f t="shared" si="831"/>
        <v/>
      </c>
      <c r="CZ1025" s="1"/>
      <c r="DC1025" s="307"/>
      <c r="DE1025" s="307"/>
    </row>
    <row r="1026">
      <c r="A1026" s="1"/>
      <c r="B1026" s="1"/>
      <c r="C1026" s="76"/>
      <c r="D1026" s="76"/>
      <c r="E1026" s="76"/>
      <c r="F1026" s="76"/>
      <c r="G1026" s="79"/>
      <c r="H1026" s="80"/>
      <c r="I1026" s="79"/>
      <c r="J1026" s="80"/>
      <c r="K1026" s="79"/>
      <c r="L1026" s="142"/>
      <c r="M1026" s="1"/>
      <c r="N1026" s="142"/>
      <c r="O1026" s="1"/>
      <c r="P1026" s="142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79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R1026" s="1"/>
      <c r="CS1026" s="1"/>
      <c r="CT1026" s="1"/>
      <c r="CU1026" s="1"/>
      <c r="CV1026" s="1"/>
      <c r="CW1026" s="1"/>
      <c r="CX1026" s="1"/>
      <c r="CY1026" s="91" t="str">
        <f t="shared" si="831"/>
        <v/>
      </c>
      <c r="CZ1026" s="1"/>
      <c r="DC1026" s="307"/>
      <c r="DE1026" s="307"/>
    </row>
    <row r="1027">
      <c r="A1027" s="1"/>
      <c r="B1027" s="1"/>
      <c r="C1027" s="76"/>
      <c r="D1027" s="76"/>
      <c r="E1027" s="76"/>
      <c r="F1027" s="76"/>
      <c r="G1027" s="79"/>
      <c r="H1027" s="80"/>
      <c r="I1027" s="79"/>
      <c r="J1027" s="80"/>
      <c r="K1027" s="79"/>
      <c r="L1027" s="142"/>
      <c r="M1027" s="1"/>
      <c r="N1027" s="142"/>
      <c r="O1027" s="1"/>
      <c r="P1027" s="142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79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R1027" s="1"/>
      <c r="CS1027" s="1"/>
      <c r="CT1027" s="1"/>
      <c r="CU1027" s="1"/>
      <c r="CV1027" s="1"/>
      <c r="CW1027" s="1"/>
      <c r="CX1027" s="1"/>
      <c r="CY1027" s="91" t="str">
        <f t="shared" si="831"/>
        <v/>
      </c>
      <c r="CZ1027" s="1"/>
      <c r="DC1027" s="307"/>
      <c r="DE1027" s="307"/>
    </row>
    <row r="1028">
      <c r="A1028" s="1"/>
      <c r="B1028" s="1"/>
      <c r="C1028" s="76"/>
      <c r="D1028" s="76"/>
      <c r="E1028" s="76"/>
      <c r="F1028" s="76"/>
      <c r="G1028" s="79"/>
      <c r="H1028" s="80"/>
      <c r="I1028" s="79"/>
      <c r="J1028" s="80"/>
      <c r="K1028" s="79"/>
      <c r="L1028" s="142"/>
      <c r="M1028" s="1"/>
      <c r="N1028" s="142"/>
      <c r="O1028" s="1"/>
      <c r="P1028" s="142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79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R1028" s="1"/>
      <c r="CS1028" s="1"/>
      <c r="CT1028" s="1"/>
      <c r="CU1028" s="1"/>
      <c r="CV1028" s="1"/>
      <c r="CW1028" s="1"/>
      <c r="CX1028" s="1"/>
      <c r="CY1028" s="91" t="str">
        <f t="shared" si="831"/>
        <v/>
      </c>
      <c r="CZ1028" s="1"/>
      <c r="DC1028" s="307"/>
      <c r="DE1028" s="307"/>
    </row>
    <row r="1029">
      <c r="A1029" s="1"/>
      <c r="B1029" s="1"/>
      <c r="C1029" s="76"/>
      <c r="D1029" s="76"/>
      <c r="E1029" s="76"/>
      <c r="F1029" s="76"/>
      <c r="G1029" s="79"/>
      <c r="H1029" s="80"/>
      <c r="I1029" s="79"/>
      <c r="J1029" s="80"/>
      <c r="K1029" s="79"/>
      <c r="L1029" s="142"/>
      <c r="M1029" s="1"/>
      <c r="N1029" s="142"/>
      <c r="O1029" s="1"/>
      <c r="P1029" s="142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79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R1029" s="1"/>
      <c r="CS1029" s="1"/>
      <c r="CT1029" s="1"/>
      <c r="CU1029" s="1"/>
      <c r="CV1029" s="1"/>
      <c r="CW1029" s="1"/>
      <c r="CX1029" s="1"/>
      <c r="CY1029" s="91" t="str">
        <f t="shared" si="831"/>
        <v/>
      </c>
      <c r="CZ1029" s="1"/>
      <c r="DC1029" s="307"/>
      <c r="DE1029" s="307"/>
    </row>
    <row r="1030">
      <c r="A1030" s="1"/>
      <c r="B1030" s="1"/>
      <c r="C1030" s="76"/>
      <c r="D1030" s="76"/>
      <c r="E1030" s="76"/>
      <c r="F1030" s="76"/>
      <c r="G1030" s="79"/>
      <c r="H1030" s="80"/>
      <c r="I1030" s="79"/>
      <c r="J1030" s="80"/>
      <c r="K1030" s="79"/>
      <c r="L1030" s="142"/>
      <c r="M1030" s="1"/>
      <c r="N1030" s="142"/>
      <c r="O1030" s="1"/>
      <c r="P1030" s="142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79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R1030" s="1"/>
      <c r="CS1030" s="1"/>
      <c r="CT1030" s="1"/>
      <c r="CU1030" s="1"/>
      <c r="CV1030" s="1"/>
      <c r="CW1030" s="1"/>
      <c r="CX1030" s="1"/>
      <c r="CY1030" s="91" t="str">
        <f t="shared" si="831"/>
        <v/>
      </c>
      <c r="CZ1030" s="1"/>
      <c r="DC1030" s="307"/>
      <c r="DE1030" s="307"/>
    </row>
    <row r="1031">
      <c r="A1031" s="1"/>
      <c r="B1031" s="1"/>
      <c r="C1031" s="76"/>
      <c r="D1031" s="76"/>
      <c r="E1031" s="76"/>
      <c r="F1031" s="76"/>
      <c r="G1031" s="79"/>
      <c r="H1031" s="80"/>
      <c r="I1031" s="79"/>
      <c r="J1031" s="80"/>
      <c r="K1031" s="79"/>
      <c r="L1031" s="142"/>
      <c r="M1031" s="1"/>
      <c r="N1031" s="142"/>
      <c r="O1031" s="1"/>
      <c r="P1031" s="142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79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R1031" s="1"/>
      <c r="CS1031" s="1"/>
      <c r="CT1031" s="1"/>
      <c r="CU1031" s="1"/>
      <c r="CV1031" s="1"/>
      <c r="CW1031" s="1"/>
      <c r="CX1031" s="1"/>
      <c r="CY1031" s="91" t="str">
        <f t="shared" si="831"/>
        <v/>
      </c>
      <c r="CZ1031" s="1"/>
      <c r="DC1031" s="307"/>
      <c r="DE1031" s="307"/>
    </row>
    <row r="1032">
      <c r="A1032" s="1"/>
      <c r="B1032" s="1"/>
      <c r="C1032" s="76"/>
      <c r="D1032" s="76"/>
      <c r="E1032" s="76"/>
      <c r="F1032" s="76"/>
      <c r="G1032" s="79"/>
      <c r="H1032" s="80"/>
      <c r="I1032" s="79"/>
      <c r="J1032" s="80"/>
      <c r="K1032" s="79"/>
      <c r="L1032" s="142"/>
      <c r="M1032" s="1"/>
      <c r="N1032" s="142"/>
      <c r="O1032" s="1"/>
      <c r="P1032" s="142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79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R1032" s="1"/>
      <c r="CS1032" s="1"/>
      <c r="CT1032" s="1"/>
      <c r="CU1032" s="1"/>
      <c r="CV1032" s="1"/>
      <c r="CW1032" s="1"/>
      <c r="CX1032" s="1"/>
      <c r="CY1032" s="91" t="str">
        <f t="shared" si="831"/>
        <v/>
      </c>
      <c r="CZ1032" s="1"/>
      <c r="DC1032" s="307"/>
      <c r="DE1032" s="307"/>
    </row>
    <row r="1033">
      <c r="A1033" s="1"/>
      <c r="B1033" s="1"/>
      <c r="C1033" s="76"/>
      <c r="D1033" s="76"/>
      <c r="E1033" s="76"/>
      <c r="F1033" s="76"/>
      <c r="G1033" s="79"/>
      <c r="H1033" s="80"/>
      <c r="I1033" s="79"/>
      <c r="J1033" s="80"/>
      <c r="K1033" s="79"/>
      <c r="L1033" s="142"/>
      <c r="M1033" s="1"/>
      <c r="N1033" s="142"/>
      <c r="O1033" s="1"/>
      <c r="P1033" s="142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79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R1033" s="1"/>
      <c r="CS1033" s="1"/>
      <c r="CT1033" s="1"/>
      <c r="CU1033" s="1"/>
      <c r="CV1033" s="1"/>
      <c r="CW1033" s="1"/>
      <c r="CX1033" s="1"/>
      <c r="CY1033" s="91" t="str">
        <f t="shared" si="831"/>
        <v/>
      </c>
      <c r="CZ1033" s="1"/>
      <c r="DC1033" s="307"/>
      <c r="DE1033" s="307"/>
    </row>
    <row r="1034">
      <c r="A1034" s="1"/>
      <c r="B1034" s="1"/>
      <c r="C1034" s="76"/>
      <c r="D1034" s="76"/>
      <c r="E1034" s="76"/>
      <c r="F1034" s="76"/>
      <c r="G1034" s="79"/>
      <c r="H1034" s="80"/>
      <c r="I1034" s="79"/>
      <c r="J1034" s="80"/>
      <c r="K1034" s="79"/>
      <c r="L1034" s="142"/>
      <c r="M1034" s="1"/>
      <c r="N1034" s="142"/>
      <c r="O1034" s="1"/>
      <c r="P1034" s="142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79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R1034" s="1"/>
      <c r="CS1034" s="1"/>
      <c r="CT1034" s="1"/>
      <c r="CU1034" s="1"/>
      <c r="CV1034" s="1"/>
      <c r="CW1034" s="1"/>
      <c r="CX1034" s="1"/>
      <c r="CY1034" s="91" t="str">
        <f t="shared" si="831"/>
        <v/>
      </c>
      <c r="CZ1034" s="1"/>
      <c r="DC1034" s="307"/>
      <c r="DE1034" s="307"/>
    </row>
    <row r="1035">
      <c r="A1035" s="1"/>
      <c r="B1035" s="1"/>
      <c r="C1035" s="76"/>
      <c r="D1035" s="76"/>
      <c r="E1035" s="76"/>
      <c r="F1035" s="76"/>
      <c r="G1035" s="79"/>
      <c r="H1035" s="80"/>
      <c r="I1035" s="79"/>
      <c r="J1035" s="80"/>
      <c r="K1035" s="79"/>
      <c r="L1035" s="142"/>
      <c r="M1035" s="1"/>
      <c r="N1035" s="142"/>
      <c r="O1035" s="1"/>
      <c r="P1035" s="142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79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R1035" s="1"/>
      <c r="CS1035" s="1"/>
      <c r="CT1035" s="1"/>
      <c r="CU1035" s="1"/>
      <c r="CV1035" s="1"/>
      <c r="CW1035" s="1"/>
      <c r="CX1035" s="1"/>
      <c r="CY1035" s="91" t="str">
        <f t="shared" si="831"/>
        <v/>
      </c>
      <c r="CZ1035" s="1"/>
      <c r="DC1035" s="307"/>
      <c r="DE1035" s="307"/>
    </row>
    <row r="1036">
      <c r="A1036" s="1"/>
      <c r="B1036" s="1"/>
      <c r="C1036" s="76"/>
      <c r="D1036" s="76"/>
      <c r="E1036" s="76"/>
      <c r="F1036" s="76"/>
      <c r="G1036" s="79"/>
      <c r="H1036" s="80"/>
      <c r="I1036" s="79"/>
      <c r="J1036" s="80"/>
      <c r="K1036" s="79"/>
      <c r="L1036" s="142"/>
      <c r="M1036" s="1"/>
      <c r="N1036" s="142"/>
      <c r="O1036" s="1"/>
      <c r="P1036" s="142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79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R1036" s="1"/>
      <c r="CS1036" s="1"/>
      <c r="CT1036" s="1"/>
      <c r="CU1036" s="1"/>
      <c r="CV1036" s="1"/>
      <c r="CW1036" s="1"/>
      <c r="CX1036" s="1"/>
      <c r="CY1036" s="91" t="str">
        <f t="shared" si="831"/>
        <v/>
      </c>
      <c r="CZ1036" s="1"/>
      <c r="DC1036" s="307"/>
      <c r="DE1036" s="307"/>
    </row>
    <row r="1037">
      <c r="A1037" s="1"/>
      <c r="B1037" s="1"/>
      <c r="C1037" s="76"/>
      <c r="D1037" s="76"/>
      <c r="E1037" s="76"/>
      <c r="F1037" s="76"/>
      <c r="G1037" s="79"/>
      <c r="H1037" s="80"/>
      <c r="I1037" s="79"/>
      <c r="J1037" s="80"/>
      <c r="K1037" s="79"/>
      <c r="L1037" s="142"/>
      <c r="M1037" s="1"/>
      <c r="N1037" s="142"/>
      <c r="O1037" s="1"/>
      <c r="P1037" s="142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79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R1037" s="1"/>
      <c r="CS1037" s="1"/>
      <c r="CT1037" s="1"/>
      <c r="CU1037" s="1"/>
      <c r="CV1037" s="1"/>
      <c r="CW1037" s="1"/>
      <c r="CX1037" s="1"/>
      <c r="CY1037" s="91" t="str">
        <f t="shared" si="831"/>
        <v/>
      </c>
      <c r="CZ1037" s="1"/>
      <c r="DC1037" s="307"/>
      <c r="DE1037" s="307"/>
    </row>
    <row r="1038">
      <c r="A1038" s="1"/>
      <c r="B1038" s="1"/>
      <c r="C1038" s="76"/>
      <c r="D1038" s="76"/>
      <c r="E1038" s="76"/>
      <c r="F1038" s="76"/>
      <c r="G1038" s="79"/>
      <c r="H1038" s="80"/>
      <c r="I1038" s="79"/>
      <c r="J1038" s="80"/>
      <c r="K1038" s="79"/>
      <c r="L1038" s="142"/>
      <c r="M1038" s="1"/>
      <c r="N1038" s="142"/>
      <c r="O1038" s="1"/>
      <c r="P1038" s="142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79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R1038" s="1"/>
      <c r="CS1038" s="1"/>
      <c r="CT1038" s="1"/>
      <c r="CU1038" s="1"/>
      <c r="CV1038" s="1"/>
      <c r="CW1038" s="1"/>
      <c r="CX1038" s="1"/>
      <c r="CY1038" s="91" t="str">
        <f t="shared" si="831"/>
        <v/>
      </c>
      <c r="CZ1038" s="1"/>
      <c r="DC1038" s="307"/>
      <c r="DE1038" s="307"/>
    </row>
    <row r="1039">
      <c r="A1039" s="1"/>
      <c r="B1039" s="1"/>
      <c r="C1039" s="76"/>
      <c r="D1039" s="76"/>
      <c r="E1039" s="76"/>
      <c r="F1039" s="76"/>
      <c r="G1039" s="79"/>
      <c r="H1039" s="80"/>
      <c r="I1039" s="79"/>
      <c r="J1039" s="80"/>
      <c r="K1039" s="79"/>
      <c r="L1039" s="142"/>
      <c r="M1039" s="1"/>
      <c r="N1039" s="142"/>
      <c r="O1039" s="1"/>
      <c r="P1039" s="142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79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R1039" s="1"/>
      <c r="CS1039" s="1"/>
      <c r="CT1039" s="1"/>
      <c r="CU1039" s="1"/>
      <c r="CV1039" s="1"/>
      <c r="CW1039" s="1"/>
      <c r="CX1039" s="1"/>
      <c r="CY1039" s="91" t="str">
        <f t="shared" si="831"/>
        <v/>
      </c>
      <c r="CZ1039" s="1"/>
      <c r="DC1039" s="307"/>
      <c r="DE1039" s="307"/>
    </row>
    <row r="1040">
      <c r="A1040" s="1"/>
      <c r="B1040" s="1"/>
      <c r="C1040" s="76"/>
      <c r="D1040" s="76"/>
      <c r="E1040" s="76"/>
      <c r="F1040" s="76"/>
      <c r="G1040" s="79"/>
      <c r="H1040" s="80"/>
      <c r="I1040" s="79"/>
      <c r="J1040" s="80"/>
      <c r="K1040" s="79"/>
      <c r="L1040" s="142"/>
      <c r="M1040" s="1"/>
      <c r="N1040" s="142"/>
      <c r="O1040" s="1"/>
      <c r="P1040" s="142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79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R1040" s="1"/>
      <c r="CS1040" s="1"/>
      <c r="CT1040" s="1"/>
      <c r="CU1040" s="1"/>
      <c r="CV1040" s="1"/>
      <c r="CW1040" s="1"/>
      <c r="CX1040" s="1"/>
      <c r="CY1040" s="91" t="str">
        <f t="shared" si="831"/>
        <v/>
      </c>
      <c r="CZ1040" s="1"/>
      <c r="DC1040" s="307"/>
      <c r="DE1040" s="307"/>
    </row>
    <row r="1041">
      <c r="A1041" s="1"/>
      <c r="B1041" s="1"/>
      <c r="C1041" s="76"/>
      <c r="D1041" s="76"/>
      <c r="E1041" s="76"/>
      <c r="F1041" s="76"/>
      <c r="G1041" s="79"/>
      <c r="H1041" s="80"/>
      <c r="I1041" s="79"/>
      <c r="J1041" s="80"/>
      <c r="K1041" s="79"/>
      <c r="L1041" s="142"/>
      <c r="M1041" s="1"/>
      <c r="N1041" s="142"/>
      <c r="O1041" s="1"/>
      <c r="P1041" s="142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79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R1041" s="1"/>
      <c r="CS1041" s="1"/>
      <c r="CT1041" s="1"/>
      <c r="CU1041" s="1"/>
      <c r="CV1041" s="1"/>
      <c r="CW1041" s="1"/>
      <c r="CX1041" s="1"/>
      <c r="CY1041" s="91" t="str">
        <f t="shared" si="831"/>
        <v/>
      </c>
      <c r="CZ1041" s="1"/>
      <c r="DC1041" s="307"/>
      <c r="DE1041" s="307"/>
    </row>
    <row r="1042">
      <c r="A1042" s="1"/>
      <c r="B1042" s="1"/>
      <c r="C1042" s="76"/>
      <c r="D1042" s="76"/>
      <c r="E1042" s="76"/>
      <c r="F1042" s="76"/>
      <c r="G1042" s="79"/>
      <c r="H1042" s="80"/>
      <c r="I1042" s="79"/>
      <c r="J1042" s="80"/>
      <c r="K1042" s="79"/>
      <c r="L1042" s="142"/>
      <c r="M1042" s="1"/>
      <c r="N1042" s="142"/>
      <c r="O1042" s="1"/>
      <c r="P1042" s="142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79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R1042" s="1"/>
      <c r="CS1042" s="1"/>
      <c r="CT1042" s="1"/>
      <c r="CU1042" s="1"/>
      <c r="CV1042" s="1"/>
      <c r="CW1042" s="1"/>
      <c r="CX1042" s="1"/>
      <c r="CY1042" s="91" t="str">
        <f t="shared" si="831"/>
        <v/>
      </c>
      <c r="CZ1042" s="1"/>
      <c r="DC1042" s="307"/>
      <c r="DE1042" s="307"/>
    </row>
    <row r="1043">
      <c r="A1043" s="1"/>
      <c r="B1043" s="1"/>
      <c r="C1043" s="76"/>
      <c r="D1043" s="76"/>
      <c r="E1043" s="76"/>
      <c r="F1043" s="76"/>
      <c r="G1043" s="79"/>
      <c r="H1043" s="80"/>
      <c r="I1043" s="79"/>
      <c r="J1043" s="80"/>
      <c r="K1043" s="79"/>
      <c r="L1043" s="142"/>
      <c r="M1043" s="1"/>
      <c r="N1043" s="142"/>
      <c r="O1043" s="1"/>
      <c r="P1043" s="142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79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R1043" s="1"/>
      <c r="CS1043" s="1"/>
      <c r="CT1043" s="1"/>
      <c r="CU1043" s="1"/>
      <c r="CV1043" s="1"/>
      <c r="CW1043" s="1"/>
      <c r="CX1043" s="1"/>
      <c r="CY1043" s="91" t="str">
        <f t="shared" si="831"/>
        <v/>
      </c>
      <c r="CZ1043" s="1"/>
      <c r="DC1043" s="307"/>
      <c r="DE1043" s="307"/>
    </row>
    <row r="1044">
      <c r="A1044" s="1"/>
      <c r="B1044" s="1"/>
      <c r="C1044" s="76"/>
      <c r="D1044" s="76"/>
      <c r="E1044" s="76"/>
      <c r="F1044" s="76"/>
      <c r="G1044" s="79"/>
      <c r="H1044" s="80"/>
      <c r="I1044" s="79"/>
      <c r="J1044" s="80"/>
      <c r="K1044" s="79"/>
      <c r="L1044" s="142"/>
      <c r="M1044" s="1"/>
      <c r="N1044" s="142"/>
      <c r="O1044" s="1"/>
      <c r="P1044" s="142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79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R1044" s="1"/>
      <c r="CS1044" s="1"/>
      <c r="CT1044" s="1"/>
      <c r="CU1044" s="1"/>
      <c r="CV1044" s="1"/>
      <c r="CW1044" s="1"/>
      <c r="CX1044" s="1"/>
      <c r="CY1044" s="91" t="str">
        <f t="shared" si="831"/>
        <v/>
      </c>
      <c r="CZ1044" s="1"/>
      <c r="DC1044" s="307"/>
      <c r="DE1044" s="307"/>
    </row>
    <row r="1045">
      <c r="A1045" s="1"/>
      <c r="B1045" s="1"/>
      <c r="C1045" s="76"/>
      <c r="D1045" s="76"/>
      <c r="E1045" s="76"/>
      <c r="F1045" s="76"/>
      <c r="G1045" s="79"/>
      <c r="H1045" s="80"/>
      <c r="I1045" s="79"/>
      <c r="J1045" s="80"/>
      <c r="K1045" s="79"/>
      <c r="L1045" s="142"/>
      <c r="M1045" s="1"/>
      <c r="N1045" s="142"/>
      <c r="O1045" s="1"/>
      <c r="P1045" s="142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79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R1045" s="1"/>
      <c r="CS1045" s="1"/>
      <c r="CT1045" s="1"/>
      <c r="CU1045" s="1"/>
      <c r="CV1045" s="1"/>
      <c r="CW1045" s="1"/>
      <c r="CX1045" s="1"/>
      <c r="CY1045" s="91" t="str">
        <f t="shared" si="831"/>
        <v/>
      </c>
      <c r="CZ1045" s="1"/>
      <c r="DC1045" s="307"/>
      <c r="DE1045" s="307"/>
    </row>
    <row r="1046">
      <c r="A1046" s="1"/>
      <c r="B1046" s="1"/>
      <c r="C1046" s="76"/>
      <c r="D1046" s="76"/>
      <c r="E1046" s="76"/>
      <c r="F1046" s="76"/>
      <c r="G1046" s="79"/>
      <c r="H1046" s="80"/>
      <c r="I1046" s="79"/>
      <c r="J1046" s="80"/>
      <c r="K1046" s="79"/>
      <c r="L1046" s="142"/>
      <c r="M1046" s="1"/>
      <c r="N1046" s="142"/>
      <c r="O1046" s="1"/>
      <c r="P1046" s="142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79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R1046" s="1"/>
      <c r="CS1046" s="1"/>
      <c r="CT1046" s="1"/>
      <c r="CU1046" s="1"/>
      <c r="CV1046" s="1"/>
      <c r="CW1046" s="1"/>
      <c r="CX1046" s="1"/>
      <c r="CY1046" s="91" t="str">
        <f t="shared" si="831"/>
        <v/>
      </c>
      <c r="CZ1046" s="1"/>
      <c r="DC1046" s="307"/>
      <c r="DE1046" s="307"/>
    </row>
    <row r="1047">
      <c r="A1047" s="1"/>
      <c r="B1047" s="1"/>
      <c r="C1047" s="76"/>
      <c r="D1047" s="76"/>
      <c r="E1047" s="76"/>
      <c r="F1047" s="76"/>
      <c r="G1047" s="79"/>
      <c r="H1047" s="80"/>
      <c r="I1047" s="79"/>
      <c r="J1047" s="80"/>
      <c r="K1047" s="79"/>
      <c r="L1047" s="142"/>
      <c r="M1047" s="1"/>
      <c r="N1047" s="142"/>
      <c r="O1047" s="1"/>
      <c r="P1047" s="142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79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R1047" s="1"/>
      <c r="CS1047" s="1"/>
      <c r="CT1047" s="1"/>
      <c r="CU1047" s="1"/>
      <c r="CV1047" s="1"/>
      <c r="CW1047" s="1"/>
      <c r="CX1047" s="1"/>
      <c r="CY1047" s="91" t="str">
        <f t="shared" si="831"/>
        <v/>
      </c>
      <c r="CZ1047" s="1"/>
      <c r="DC1047" s="307"/>
      <c r="DE1047" s="307"/>
    </row>
    <row r="1048">
      <c r="A1048" s="1"/>
      <c r="B1048" s="1"/>
      <c r="C1048" s="76"/>
      <c r="D1048" s="76"/>
      <c r="E1048" s="76"/>
      <c r="F1048" s="76"/>
      <c r="G1048" s="79"/>
      <c r="H1048" s="80"/>
      <c r="I1048" s="79"/>
      <c r="J1048" s="80"/>
      <c r="K1048" s="79"/>
      <c r="L1048" s="142"/>
      <c r="M1048" s="1"/>
      <c r="N1048" s="142"/>
      <c r="O1048" s="1"/>
      <c r="P1048" s="142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79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R1048" s="1"/>
      <c r="CS1048" s="1"/>
      <c r="CT1048" s="1"/>
      <c r="CU1048" s="1"/>
      <c r="CV1048" s="1"/>
      <c r="CW1048" s="1"/>
      <c r="CX1048" s="1"/>
      <c r="CY1048" s="91" t="str">
        <f t="shared" si="831"/>
        <v/>
      </c>
      <c r="CZ1048" s="1"/>
      <c r="DC1048" s="307"/>
      <c r="DE1048" s="307"/>
    </row>
    <row r="1049">
      <c r="A1049" s="1"/>
      <c r="B1049" s="1"/>
      <c r="C1049" s="76"/>
      <c r="D1049" s="76"/>
      <c r="E1049" s="76"/>
      <c r="F1049" s="76"/>
      <c r="G1049" s="79"/>
      <c r="H1049" s="80"/>
      <c r="I1049" s="79"/>
      <c r="J1049" s="80"/>
      <c r="K1049" s="79"/>
      <c r="L1049" s="142"/>
      <c r="M1049" s="1"/>
      <c r="N1049" s="142"/>
      <c r="O1049" s="1"/>
      <c r="P1049" s="142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79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R1049" s="1"/>
      <c r="CS1049" s="1"/>
      <c r="CT1049" s="1"/>
      <c r="CU1049" s="1"/>
      <c r="CV1049" s="1"/>
      <c r="CW1049" s="1"/>
      <c r="CX1049" s="1"/>
      <c r="CY1049" s="91" t="str">
        <f t="shared" si="831"/>
        <v/>
      </c>
      <c r="CZ1049" s="1"/>
      <c r="DC1049" s="307"/>
      <c r="DE1049" s="307"/>
    </row>
    <row r="1050">
      <c r="A1050" s="1"/>
      <c r="B1050" s="1"/>
      <c r="C1050" s="76"/>
      <c r="D1050" s="76"/>
      <c r="E1050" s="76"/>
      <c r="F1050" s="76"/>
      <c r="G1050" s="79"/>
      <c r="H1050" s="80"/>
      <c r="I1050" s="79"/>
      <c r="J1050" s="80"/>
      <c r="K1050" s="79"/>
      <c r="L1050" s="142"/>
      <c r="M1050" s="1"/>
      <c r="N1050" s="142"/>
      <c r="O1050" s="1"/>
      <c r="P1050" s="142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79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R1050" s="1"/>
      <c r="CS1050" s="1"/>
      <c r="CT1050" s="1"/>
      <c r="CU1050" s="1"/>
      <c r="CV1050" s="1"/>
      <c r="CW1050" s="1"/>
      <c r="CX1050" s="1"/>
      <c r="CY1050" s="91" t="str">
        <f t="shared" si="831"/>
        <v/>
      </c>
      <c r="CZ1050" s="1"/>
      <c r="DC1050" s="307"/>
      <c r="DE1050" s="307"/>
    </row>
    <row r="1051">
      <c r="A1051" s="1"/>
      <c r="B1051" s="1"/>
      <c r="C1051" s="76"/>
      <c r="D1051" s="76"/>
      <c r="E1051" s="76"/>
      <c r="F1051" s="76"/>
      <c r="G1051" s="79"/>
      <c r="H1051" s="80"/>
      <c r="I1051" s="79"/>
      <c r="J1051" s="80"/>
      <c r="K1051" s="79"/>
      <c r="L1051" s="142"/>
      <c r="M1051" s="1"/>
      <c r="N1051" s="142"/>
      <c r="O1051" s="1"/>
      <c r="P1051" s="142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79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R1051" s="1"/>
      <c r="CS1051" s="1"/>
      <c r="CT1051" s="1"/>
      <c r="CU1051" s="1"/>
      <c r="CV1051" s="1"/>
      <c r="CW1051" s="1"/>
      <c r="CX1051" s="1"/>
      <c r="CY1051" s="91" t="str">
        <f t="shared" si="831"/>
        <v/>
      </c>
      <c r="CZ1051" s="1"/>
      <c r="DC1051" s="307"/>
      <c r="DE1051" s="307"/>
    </row>
    <row r="1052">
      <c r="A1052" s="1"/>
      <c r="B1052" s="1"/>
      <c r="C1052" s="76"/>
      <c r="D1052" s="76"/>
      <c r="E1052" s="76"/>
      <c r="F1052" s="76"/>
      <c r="G1052" s="79"/>
      <c r="H1052" s="80"/>
      <c r="I1052" s="79"/>
      <c r="J1052" s="80"/>
      <c r="K1052" s="79"/>
      <c r="L1052" s="142"/>
      <c r="M1052" s="1"/>
      <c r="N1052" s="142"/>
      <c r="O1052" s="1"/>
      <c r="P1052" s="142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79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R1052" s="1"/>
      <c r="CS1052" s="1"/>
      <c r="CT1052" s="1"/>
      <c r="CU1052" s="1"/>
      <c r="CV1052" s="1"/>
      <c r="CW1052" s="1"/>
      <c r="CX1052" s="1"/>
      <c r="CY1052" s="91" t="str">
        <f t="shared" si="831"/>
        <v/>
      </c>
      <c r="CZ1052" s="1"/>
      <c r="DC1052" s="307"/>
      <c r="DE1052" s="307"/>
    </row>
    <row r="1053">
      <c r="A1053" s="1"/>
      <c r="B1053" s="1"/>
      <c r="C1053" s="76"/>
      <c r="D1053" s="76"/>
      <c r="E1053" s="76"/>
      <c r="F1053" s="76"/>
      <c r="G1053" s="79"/>
      <c r="H1053" s="80"/>
      <c r="I1053" s="79"/>
      <c r="J1053" s="80"/>
      <c r="K1053" s="79"/>
      <c r="L1053" s="142"/>
      <c r="M1053" s="1"/>
      <c r="N1053" s="142"/>
      <c r="O1053" s="1"/>
      <c r="P1053" s="142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79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R1053" s="1"/>
      <c r="CS1053" s="1"/>
      <c r="CT1053" s="1"/>
      <c r="CU1053" s="1"/>
      <c r="CV1053" s="1"/>
      <c r="CW1053" s="1"/>
      <c r="CX1053" s="1"/>
      <c r="CY1053" s="91" t="str">
        <f t="shared" si="831"/>
        <v/>
      </c>
      <c r="CZ1053" s="1"/>
      <c r="DC1053" s="307"/>
      <c r="DE1053" s="307"/>
    </row>
    <row r="1054">
      <c r="A1054" s="1"/>
      <c r="B1054" s="1"/>
      <c r="C1054" s="76"/>
      <c r="D1054" s="76"/>
      <c r="E1054" s="76"/>
      <c r="F1054" s="76"/>
      <c r="G1054" s="79"/>
      <c r="H1054" s="80"/>
      <c r="I1054" s="79"/>
      <c r="J1054" s="80"/>
      <c r="K1054" s="79"/>
      <c r="L1054" s="142"/>
      <c r="M1054" s="1"/>
      <c r="N1054" s="142"/>
      <c r="O1054" s="1"/>
      <c r="P1054" s="142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79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R1054" s="1"/>
      <c r="CS1054" s="1"/>
      <c r="CT1054" s="1"/>
      <c r="CU1054" s="1"/>
      <c r="CV1054" s="1"/>
      <c r="CW1054" s="1"/>
      <c r="CX1054" s="1"/>
      <c r="CY1054" s="91" t="str">
        <f t="shared" si="831"/>
        <v/>
      </c>
      <c r="CZ1054" s="1"/>
      <c r="DC1054" s="307"/>
      <c r="DE1054" s="307"/>
    </row>
    <row r="1055">
      <c r="A1055" s="1"/>
      <c r="B1055" s="1"/>
      <c r="C1055" s="76"/>
      <c r="D1055" s="76"/>
      <c r="E1055" s="76"/>
      <c r="F1055" s="76"/>
      <c r="G1055" s="79"/>
      <c r="H1055" s="80"/>
      <c r="I1055" s="79"/>
      <c r="J1055" s="80"/>
      <c r="K1055" s="79"/>
      <c r="L1055" s="142"/>
      <c r="M1055" s="1"/>
      <c r="N1055" s="142"/>
      <c r="O1055" s="1"/>
      <c r="P1055" s="142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79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R1055" s="1"/>
      <c r="CS1055" s="1"/>
      <c r="CT1055" s="1"/>
      <c r="CU1055" s="1"/>
      <c r="CV1055" s="1"/>
      <c r="CW1055" s="1"/>
      <c r="CX1055" s="1"/>
      <c r="CY1055" s="91" t="str">
        <f t="shared" si="831"/>
        <v/>
      </c>
      <c r="CZ1055" s="1"/>
      <c r="DC1055" s="307"/>
      <c r="DE1055" s="307"/>
    </row>
    <row r="1056">
      <c r="A1056" s="1"/>
      <c r="B1056" s="1"/>
      <c r="C1056" s="76"/>
      <c r="D1056" s="76"/>
      <c r="E1056" s="76"/>
      <c r="F1056" s="76"/>
      <c r="G1056" s="79"/>
      <c r="H1056" s="80"/>
      <c r="I1056" s="79"/>
      <c r="J1056" s="80"/>
      <c r="K1056" s="79"/>
      <c r="L1056" s="142"/>
      <c r="M1056" s="1"/>
      <c r="N1056" s="142"/>
      <c r="O1056" s="1"/>
      <c r="P1056" s="142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79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R1056" s="1"/>
      <c r="CS1056" s="1"/>
      <c r="CT1056" s="1"/>
      <c r="CU1056" s="1"/>
      <c r="CV1056" s="1"/>
      <c r="CW1056" s="1"/>
      <c r="CX1056" s="1"/>
      <c r="CY1056" s="91" t="str">
        <f t="shared" si="831"/>
        <v/>
      </c>
      <c r="CZ1056" s="1"/>
      <c r="DC1056" s="307"/>
      <c r="DE1056" s="307"/>
    </row>
    <row r="1057">
      <c r="A1057" s="1"/>
      <c r="B1057" s="1"/>
      <c r="C1057" s="76"/>
      <c r="D1057" s="76"/>
      <c r="E1057" s="76"/>
      <c r="F1057" s="76"/>
      <c r="G1057" s="79"/>
      <c r="H1057" s="80"/>
      <c r="I1057" s="79"/>
      <c r="J1057" s="80"/>
      <c r="K1057" s="79"/>
      <c r="L1057" s="142"/>
      <c r="M1057" s="1"/>
      <c r="N1057" s="142"/>
      <c r="O1057" s="1"/>
      <c r="P1057" s="142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79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R1057" s="1"/>
      <c r="CS1057" s="1"/>
      <c r="CT1057" s="1"/>
      <c r="CU1057" s="1"/>
      <c r="CV1057" s="1"/>
      <c r="CW1057" s="1"/>
      <c r="CX1057" s="1"/>
      <c r="CY1057" s="91" t="str">
        <f t="shared" si="831"/>
        <v/>
      </c>
      <c r="CZ1057" s="1"/>
      <c r="DC1057" s="307"/>
      <c r="DE1057" s="307"/>
    </row>
    <row r="1058">
      <c r="A1058" s="1"/>
      <c r="B1058" s="1"/>
      <c r="C1058" s="76"/>
      <c r="D1058" s="76"/>
      <c r="E1058" s="76"/>
      <c r="F1058" s="76"/>
      <c r="G1058" s="79"/>
      <c r="H1058" s="80"/>
      <c r="I1058" s="79"/>
      <c r="J1058" s="80"/>
      <c r="K1058" s="79"/>
      <c r="L1058" s="142"/>
      <c r="M1058" s="1"/>
      <c r="N1058" s="142"/>
      <c r="O1058" s="1"/>
      <c r="P1058" s="142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79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R1058" s="1"/>
      <c r="CS1058" s="1"/>
      <c r="CT1058" s="1"/>
      <c r="CU1058" s="1"/>
      <c r="CV1058" s="1"/>
      <c r="CW1058" s="1"/>
      <c r="CX1058" s="1"/>
      <c r="CY1058" s="91" t="str">
        <f t="shared" si="831"/>
        <v/>
      </c>
      <c r="CZ1058" s="1"/>
      <c r="DC1058" s="307"/>
      <c r="DE1058" s="307"/>
    </row>
    <row r="1059">
      <c r="A1059" s="1"/>
      <c r="B1059" s="1"/>
      <c r="C1059" s="76"/>
      <c r="D1059" s="76"/>
      <c r="E1059" s="76"/>
      <c r="F1059" s="76"/>
      <c r="G1059" s="79"/>
      <c r="H1059" s="80"/>
      <c r="I1059" s="79"/>
      <c r="J1059" s="80"/>
      <c r="K1059" s="79"/>
      <c r="L1059" s="142"/>
      <c r="M1059" s="1"/>
      <c r="N1059" s="142"/>
      <c r="O1059" s="1"/>
      <c r="P1059" s="142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79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R1059" s="1"/>
      <c r="CS1059" s="1"/>
      <c r="CT1059" s="1"/>
      <c r="CU1059" s="1"/>
      <c r="CV1059" s="1"/>
      <c r="CW1059" s="1"/>
      <c r="CX1059" s="1"/>
      <c r="CY1059" s="91" t="str">
        <f t="shared" si="831"/>
        <v/>
      </c>
      <c r="CZ1059" s="1"/>
      <c r="DC1059" s="307"/>
      <c r="DE1059" s="307"/>
    </row>
    <row r="1060">
      <c r="A1060" s="1"/>
      <c r="B1060" s="1"/>
      <c r="C1060" s="76"/>
      <c r="D1060" s="76"/>
      <c r="E1060" s="76"/>
      <c r="F1060" s="76"/>
      <c r="G1060" s="79"/>
      <c r="H1060" s="80"/>
      <c r="I1060" s="79"/>
      <c r="J1060" s="80"/>
      <c r="K1060" s="79"/>
      <c r="L1060" s="142"/>
      <c r="M1060" s="1"/>
      <c r="N1060" s="142"/>
      <c r="O1060" s="1"/>
      <c r="P1060" s="142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79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R1060" s="1"/>
      <c r="CS1060" s="1"/>
      <c r="CT1060" s="1"/>
      <c r="CU1060" s="1"/>
      <c r="CV1060" s="1"/>
      <c r="CW1060" s="1"/>
      <c r="CX1060" s="1"/>
      <c r="CY1060" s="91" t="str">
        <f t="shared" si="831"/>
        <v/>
      </c>
      <c r="CZ1060" s="1"/>
      <c r="DC1060" s="307"/>
      <c r="DE1060" s="307"/>
    </row>
    <row r="1061">
      <c r="A1061" s="1"/>
      <c r="B1061" s="1"/>
      <c r="C1061" s="76"/>
      <c r="D1061" s="76"/>
      <c r="E1061" s="76"/>
      <c r="F1061" s="76"/>
      <c r="G1061" s="79"/>
      <c r="H1061" s="80"/>
      <c r="I1061" s="79"/>
      <c r="J1061" s="80"/>
      <c r="K1061" s="79"/>
      <c r="L1061" s="142"/>
      <c r="M1061" s="1"/>
      <c r="N1061" s="142"/>
      <c r="O1061" s="1"/>
      <c r="P1061" s="142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79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R1061" s="1"/>
      <c r="CS1061" s="1"/>
      <c r="CT1061" s="1"/>
      <c r="CU1061" s="1"/>
      <c r="CV1061" s="1"/>
      <c r="CW1061" s="1"/>
      <c r="CX1061" s="1"/>
      <c r="CY1061" s="91" t="str">
        <f t="shared" si="831"/>
        <v/>
      </c>
      <c r="CZ1061" s="1"/>
      <c r="DC1061" s="307"/>
      <c r="DE1061" s="307"/>
    </row>
    <row r="1062">
      <c r="A1062" s="1"/>
      <c r="B1062" s="1"/>
      <c r="C1062" s="76"/>
      <c r="D1062" s="76"/>
      <c r="E1062" s="76"/>
      <c r="F1062" s="76"/>
      <c r="G1062" s="79"/>
      <c r="H1062" s="80"/>
      <c r="I1062" s="79"/>
      <c r="J1062" s="80"/>
      <c r="K1062" s="79"/>
      <c r="L1062" s="142"/>
      <c r="M1062" s="1"/>
      <c r="N1062" s="142"/>
      <c r="O1062" s="1"/>
      <c r="P1062" s="142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79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R1062" s="1"/>
      <c r="CS1062" s="1"/>
      <c r="CT1062" s="1"/>
      <c r="CU1062" s="1"/>
      <c r="CV1062" s="1"/>
      <c r="CW1062" s="1"/>
      <c r="CX1062" s="1"/>
      <c r="CY1062" s="91" t="str">
        <f t="shared" si="831"/>
        <v/>
      </c>
      <c r="CZ1062" s="1"/>
      <c r="DC1062" s="307"/>
      <c r="DE1062" s="307"/>
    </row>
    <row r="1063">
      <c r="A1063" s="1"/>
      <c r="B1063" s="1"/>
      <c r="C1063" s="76"/>
      <c r="D1063" s="76"/>
      <c r="E1063" s="76"/>
      <c r="F1063" s="76"/>
      <c r="G1063" s="79"/>
      <c r="H1063" s="80"/>
      <c r="I1063" s="79"/>
      <c r="J1063" s="80"/>
      <c r="K1063" s="79"/>
      <c r="L1063" s="142"/>
      <c r="M1063" s="1"/>
      <c r="N1063" s="142"/>
      <c r="O1063" s="1"/>
      <c r="P1063" s="142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79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R1063" s="1"/>
      <c r="CS1063" s="1"/>
      <c r="CT1063" s="1"/>
      <c r="CU1063" s="1"/>
      <c r="CV1063" s="1"/>
      <c r="CW1063" s="1"/>
      <c r="CX1063" s="1"/>
      <c r="CY1063" s="91" t="str">
        <f t="shared" si="831"/>
        <v/>
      </c>
      <c r="CZ1063" s="1"/>
      <c r="DC1063" s="307"/>
      <c r="DE1063" s="307"/>
    </row>
    <row r="1064">
      <c r="A1064" s="1"/>
      <c r="B1064" s="1"/>
      <c r="C1064" s="76"/>
      <c r="D1064" s="76"/>
      <c r="E1064" s="76"/>
      <c r="F1064" s="76"/>
      <c r="G1064" s="79"/>
      <c r="H1064" s="80"/>
      <c r="I1064" s="79"/>
      <c r="J1064" s="80"/>
      <c r="K1064" s="79"/>
      <c r="L1064" s="142"/>
      <c r="M1064" s="1"/>
      <c r="N1064" s="142"/>
      <c r="O1064" s="1"/>
      <c r="P1064" s="142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79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R1064" s="1"/>
      <c r="CS1064" s="1"/>
      <c r="CT1064" s="1"/>
      <c r="CU1064" s="1"/>
      <c r="CV1064" s="1"/>
      <c r="CW1064" s="1"/>
      <c r="CX1064" s="1"/>
      <c r="CY1064" s="91" t="str">
        <f t="shared" si="831"/>
        <v/>
      </c>
      <c r="CZ1064" s="1"/>
      <c r="DC1064" s="307"/>
      <c r="DE1064" s="307"/>
    </row>
    <row r="1065">
      <c r="A1065" s="1"/>
      <c r="B1065" s="1"/>
      <c r="C1065" s="76"/>
      <c r="D1065" s="76"/>
      <c r="E1065" s="76"/>
      <c r="F1065" s="76"/>
      <c r="G1065" s="79"/>
      <c r="H1065" s="80"/>
      <c r="I1065" s="79"/>
      <c r="J1065" s="80"/>
      <c r="K1065" s="79"/>
      <c r="L1065" s="142"/>
      <c r="M1065" s="1"/>
      <c r="N1065" s="142"/>
      <c r="O1065" s="1"/>
      <c r="P1065" s="142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79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R1065" s="1"/>
      <c r="CS1065" s="1"/>
      <c r="CT1065" s="1"/>
      <c r="CU1065" s="1"/>
      <c r="CV1065" s="1"/>
      <c r="CW1065" s="1"/>
      <c r="CX1065" s="1"/>
      <c r="CY1065" s="91" t="str">
        <f t="shared" si="831"/>
        <v/>
      </c>
      <c r="CZ1065" s="1"/>
      <c r="DC1065" s="307"/>
      <c r="DE1065" s="307"/>
    </row>
    <row r="1066">
      <c r="A1066" s="1"/>
      <c r="B1066" s="1"/>
      <c r="C1066" s="76"/>
      <c r="D1066" s="76"/>
      <c r="E1066" s="76"/>
      <c r="F1066" s="76"/>
      <c r="G1066" s="79"/>
      <c r="H1066" s="80"/>
      <c r="I1066" s="79"/>
      <c r="J1066" s="80"/>
      <c r="K1066" s="79"/>
      <c r="L1066" s="142"/>
      <c r="M1066" s="1"/>
      <c r="N1066" s="142"/>
      <c r="O1066" s="1"/>
      <c r="P1066" s="142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79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R1066" s="1"/>
      <c r="CS1066" s="1"/>
      <c r="CT1066" s="1"/>
      <c r="CU1066" s="1"/>
      <c r="CV1066" s="1"/>
      <c r="CW1066" s="1"/>
      <c r="CX1066" s="1"/>
      <c r="CY1066" s="91" t="str">
        <f t="shared" si="831"/>
        <v/>
      </c>
      <c r="CZ1066" s="1"/>
      <c r="DC1066" s="307"/>
      <c r="DE1066" s="307"/>
    </row>
    <row r="1067">
      <c r="A1067" s="1"/>
      <c r="B1067" s="1"/>
      <c r="C1067" s="76"/>
      <c r="D1067" s="76"/>
      <c r="E1067" s="76"/>
      <c r="F1067" s="76"/>
      <c r="G1067" s="79"/>
      <c r="H1067" s="80"/>
      <c r="I1067" s="79"/>
      <c r="J1067" s="80"/>
      <c r="K1067" s="79"/>
      <c r="L1067" s="142"/>
      <c r="M1067" s="1"/>
      <c r="N1067" s="142"/>
      <c r="O1067" s="1"/>
      <c r="P1067" s="142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79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R1067" s="1"/>
      <c r="CS1067" s="1"/>
      <c r="CT1067" s="1"/>
      <c r="CU1067" s="1"/>
      <c r="CV1067" s="1"/>
      <c r="CW1067" s="1"/>
      <c r="CX1067" s="1"/>
      <c r="CY1067" s="91" t="str">
        <f t="shared" si="831"/>
        <v/>
      </c>
      <c r="CZ1067" s="1"/>
      <c r="DC1067" s="307"/>
      <c r="DE1067" s="307"/>
    </row>
    <row r="1068">
      <c r="A1068" s="1"/>
      <c r="B1068" s="1"/>
      <c r="C1068" s="76"/>
      <c r="D1068" s="76"/>
      <c r="E1068" s="76"/>
      <c r="F1068" s="76"/>
      <c r="G1068" s="79"/>
      <c r="H1068" s="80"/>
      <c r="I1068" s="79"/>
      <c r="J1068" s="80"/>
      <c r="K1068" s="79"/>
      <c r="L1068" s="142"/>
      <c r="M1068" s="1"/>
      <c r="N1068" s="142"/>
      <c r="O1068" s="1"/>
      <c r="P1068" s="142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79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R1068" s="1"/>
      <c r="CS1068" s="1"/>
      <c r="CT1068" s="1"/>
      <c r="CU1068" s="1"/>
      <c r="CV1068" s="1"/>
      <c r="CW1068" s="1"/>
      <c r="CX1068" s="1"/>
      <c r="CY1068" s="91" t="str">
        <f t="shared" si="831"/>
        <v/>
      </c>
      <c r="CZ1068" s="1"/>
      <c r="DC1068" s="307"/>
      <c r="DE1068" s="307"/>
    </row>
    <row r="1069">
      <c r="A1069" s="1"/>
      <c r="B1069" s="1"/>
      <c r="C1069" s="76"/>
      <c r="D1069" s="76"/>
      <c r="E1069" s="76"/>
      <c r="F1069" s="76"/>
      <c r="G1069" s="79"/>
      <c r="H1069" s="80"/>
      <c r="I1069" s="79"/>
      <c r="J1069" s="80"/>
      <c r="K1069" s="79"/>
      <c r="L1069" s="142"/>
      <c r="M1069" s="1"/>
      <c r="N1069" s="142"/>
      <c r="O1069" s="1"/>
      <c r="P1069" s="142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79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R1069" s="1"/>
      <c r="CS1069" s="1"/>
      <c r="CT1069" s="1"/>
      <c r="CU1069" s="1"/>
      <c r="CV1069" s="1"/>
      <c r="CW1069" s="1"/>
      <c r="CX1069" s="1"/>
      <c r="CY1069" s="91" t="str">
        <f t="shared" si="831"/>
        <v/>
      </c>
      <c r="CZ1069" s="1"/>
      <c r="DC1069" s="307"/>
      <c r="DE1069" s="307"/>
    </row>
    <row r="1070">
      <c r="A1070" s="1"/>
      <c r="B1070" s="1"/>
      <c r="C1070" s="76"/>
      <c r="D1070" s="76"/>
      <c r="E1070" s="76"/>
      <c r="F1070" s="76"/>
      <c r="G1070" s="79"/>
      <c r="H1070" s="80"/>
      <c r="I1070" s="79"/>
      <c r="J1070" s="80"/>
      <c r="K1070" s="79"/>
      <c r="L1070" s="142"/>
      <c r="M1070" s="1"/>
      <c r="N1070" s="142"/>
      <c r="O1070" s="1"/>
      <c r="P1070" s="142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79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R1070" s="1"/>
      <c r="CS1070" s="1"/>
      <c r="CT1070" s="1"/>
      <c r="CU1070" s="1"/>
      <c r="CV1070" s="1"/>
      <c r="CW1070" s="1"/>
      <c r="CX1070" s="1"/>
      <c r="CY1070" s="91" t="str">
        <f t="shared" si="831"/>
        <v/>
      </c>
      <c r="CZ1070" s="1"/>
      <c r="DC1070" s="307"/>
      <c r="DE1070" s="307"/>
    </row>
    <row r="1071">
      <c r="A1071" s="1"/>
      <c r="B1071" s="1"/>
      <c r="C1071" s="76"/>
      <c r="D1071" s="76"/>
      <c r="E1071" s="76"/>
      <c r="F1071" s="76"/>
      <c r="G1071" s="79"/>
      <c r="H1071" s="80"/>
      <c r="I1071" s="79"/>
      <c r="J1071" s="80"/>
      <c r="K1071" s="79"/>
      <c r="L1071" s="142"/>
      <c r="M1071" s="1"/>
      <c r="N1071" s="142"/>
      <c r="O1071" s="1"/>
      <c r="P1071" s="142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79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R1071" s="1"/>
      <c r="CS1071" s="1"/>
      <c r="CT1071" s="1"/>
      <c r="CU1071" s="1"/>
      <c r="CV1071" s="1"/>
      <c r="CW1071" s="1"/>
      <c r="CX1071" s="1"/>
      <c r="CY1071" s="91" t="str">
        <f t="shared" si="831"/>
        <v/>
      </c>
      <c r="CZ1071" s="1"/>
      <c r="DC1071" s="307"/>
      <c r="DE1071" s="307"/>
    </row>
    <row r="1072">
      <c r="A1072" s="1"/>
      <c r="B1072" s="1"/>
      <c r="C1072" s="76"/>
      <c r="D1072" s="76"/>
      <c r="E1072" s="76"/>
      <c r="F1072" s="76"/>
      <c r="G1072" s="79"/>
      <c r="H1072" s="80"/>
      <c r="I1072" s="79"/>
      <c r="J1072" s="80"/>
      <c r="K1072" s="79"/>
      <c r="L1072" s="142"/>
      <c r="M1072" s="1"/>
      <c r="N1072" s="142"/>
      <c r="O1072" s="1"/>
      <c r="P1072" s="142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79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R1072" s="1"/>
      <c r="CS1072" s="1"/>
      <c r="CT1072" s="1"/>
      <c r="CU1072" s="1"/>
      <c r="CV1072" s="1"/>
      <c r="CW1072" s="1"/>
      <c r="CX1072" s="1"/>
      <c r="CY1072" s="91" t="str">
        <f t="shared" si="831"/>
        <v/>
      </c>
      <c r="CZ1072" s="1"/>
      <c r="DC1072" s="307"/>
      <c r="DE1072" s="307"/>
    </row>
    <row r="1073">
      <c r="A1073" s="1"/>
      <c r="B1073" s="1"/>
      <c r="C1073" s="76"/>
      <c r="D1073" s="76"/>
      <c r="E1073" s="76"/>
      <c r="F1073" s="76"/>
      <c r="G1073" s="79"/>
      <c r="H1073" s="80"/>
      <c r="I1073" s="79"/>
      <c r="J1073" s="80"/>
      <c r="K1073" s="79"/>
      <c r="L1073" s="142"/>
      <c r="M1073" s="1"/>
      <c r="N1073" s="142"/>
      <c r="O1073" s="1"/>
      <c r="P1073" s="142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79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R1073" s="1"/>
      <c r="CS1073" s="1"/>
      <c r="CT1073" s="1"/>
      <c r="CU1073" s="1"/>
      <c r="CV1073" s="1"/>
      <c r="CW1073" s="1"/>
      <c r="CX1073" s="1"/>
      <c r="CY1073" s="91" t="str">
        <f t="shared" si="831"/>
        <v/>
      </c>
      <c r="CZ1073" s="1"/>
      <c r="DC1073" s="307"/>
      <c r="DE1073" s="307"/>
    </row>
    <row r="1074">
      <c r="A1074" s="1"/>
      <c r="B1074" s="1"/>
      <c r="C1074" s="76"/>
      <c r="D1074" s="76"/>
      <c r="E1074" s="76"/>
      <c r="F1074" s="76"/>
      <c r="G1074" s="79"/>
      <c r="H1074" s="80"/>
      <c r="I1074" s="79"/>
      <c r="J1074" s="80"/>
      <c r="K1074" s="79"/>
      <c r="L1074" s="142"/>
      <c r="M1074" s="1"/>
      <c r="N1074" s="142"/>
      <c r="O1074" s="1"/>
      <c r="P1074" s="142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79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R1074" s="1"/>
      <c r="CS1074" s="1"/>
      <c r="CT1074" s="1"/>
      <c r="CU1074" s="1"/>
      <c r="CV1074" s="1"/>
      <c r="CW1074" s="1"/>
      <c r="CX1074" s="1"/>
      <c r="CY1074" s="91" t="str">
        <f t="shared" si="831"/>
        <v/>
      </c>
      <c r="CZ1074" s="1"/>
      <c r="DC1074" s="307"/>
      <c r="DE1074" s="307"/>
    </row>
    <row r="1075">
      <c r="A1075" s="1"/>
      <c r="B1075" s="1"/>
      <c r="C1075" s="76"/>
      <c r="D1075" s="76"/>
      <c r="E1075" s="76"/>
      <c r="F1075" s="76"/>
      <c r="G1075" s="79"/>
      <c r="H1075" s="80"/>
      <c r="I1075" s="79"/>
      <c r="J1075" s="80"/>
      <c r="K1075" s="79"/>
      <c r="L1075" s="142"/>
      <c r="M1075" s="1"/>
      <c r="N1075" s="142"/>
      <c r="O1075" s="1"/>
      <c r="P1075" s="142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79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R1075" s="1"/>
      <c r="CS1075" s="1"/>
      <c r="CT1075" s="1"/>
      <c r="CU1075" s="1"/>
      <c r="CV1075" s="1"/>
      <c r="CW1075" s="1"/>
      <c r="CX1075" s="1"/>
      <c r="CY1075" s="91" t="str">
        <f t="shared" si="831"/>
        <v/>
      </c>
      <c r="CZ1075" s="1"/>
      <c r="DC1075" s="307"/>
      <c r="DE1075" s="307"/>
    </row>
    <row r="1076">
      <c r="A1076" s="1"/>
      <c r="B1076" s="1"/>
      <c r="C1076" s="76"/>
      <c r="D1076" s="76"/>
      <c r="E1076" s="76"/>
      <c r="F1076" s="76"/>
      <c r="G1076" s="79"/>
      <c r="H1076" s="80"/>
      <c r="I1076" s="79"/>
      <c r="J1076" s="80"/>
      <c r="K1076" s="79"/>
      <c r="L1076" s="142"/>
      <c r="M1076" s="1"/>
      <c r="N1076" s="142"/>
      <c r="O1076" s="1"/>
      <c r="P1076" s="142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79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R1076" s="1"/>
      <c r="CS1076" s="1"/>
      <c r="CT1076" s="1"/>
      <c r="CU1076" s="1"/>
      <c r="CV1076" s="1"/>
      <c r="CW1076" s="1"/>
      <c r="CX1076" s="1"/>
      <c r="CY1076" s="91" t="str">
        <f t="shared" si="831"/>
        <v/>
      </c>
      <c r="CZ1076" s="1"/>
      <c r="DC1076" s="307"/>
      <c r="DE1076" s="307"/>
    </row>
    <row r="1077">
      <c r="A1077" s="1"/>
      <c r="B1077" s="1"/>
      <c r="C1077" s="76"/>
      <c r="D1077" s="76"/>
      <c r="E1077" s="76"/>
      <c r="F1077" s="76"/>
      <c r="G1077" s="79"/>
      <c r="H1077" s="80"/>
      <c r="I1077" s="79"/>
      <c r="J1077" s="80"/>
      <c r="K1077" s="79"/>
      <c r="L1077" s="142"/>
      <c r="M1077" s="1"/>
      <c r="N1077" s="142"/>
      <c r="O1077" s="1"/>
      <c r="P1077" s="142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79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R1077" s="1"/>
      <c r="CS1077" s="1"/>
      <c r="CT1077" s="1"/>
      <c r="CU1077" s="1"/>
      <c r="CV1077" s="1"/>
      <c r="CW1077" s="1"/>
      <c r="CX1077" s="1"/>
      <c r="CY1077" s="91" t="str">
        <f t="shared" si="831"/>
        <v/>
      </c>
      <c r="CZ1077" s="1"/>
      <c r="DC1077" s="307"/>
      <c r="DE1077" s="307"/>
    </row>
    <row r="1078">
      <c r="A1078" s="1"/>
      <c r="B1078" s="1"/>
      <c r="C1078" s="76"/>
      <c r="D1078" s="76"/>
      <c r="E1078" s="76"/>
      <c r="F1078" s="76"/>
      <c r="G1078" s="79"/>
      <c r="H1078" s="80"/>
      <c r="I1078" s="79"/>
      <c r="J1078" s="80"/>
      <c r="K1078" s="79"/>
      <c r="L1078" s="142"/>
      <c r="M1078" s="1"/>
      <c r="N1078" s="142"/>
      <c r="O1078" s="1"/>
      <c r="P1078" s="142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79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R1078" s="1"/>
      <c r="CS1078" s="1"/>
      <c r="CT1078" s="1"/>
      <c r="CU1078" s="1"/>
      <c r="CV1078" s="1"/>
      <c r="CW1078" s="1"/>
      <c r="CX1078" s="1"/>
      <c r="CY1078" s="91" t="str">
        <f t="shared" si="831"/>
        <v/>
      </c>
      <c r="CZ1078" s="1"/>
      <c r="DC1078" s="307"/>
      <c r="DE1078" s="307"/>
    </row>
    <row r="1079">
      <c r="A1079" s="1"/>
      <c r="B1079" s="1"/>
      <c r="C1079" s="76"/>
      <c r="D1079" s="76"/>
      <c r="E1079" s="76"/>
      <c r="F1079" s="76"/>
      <c r="G1079" s="79"/>
      <c r="H1079" s="80"/>
      <c r="I1079" s="79"/>
      <c r="J1079" s="80"/>
      <c r="K1079" s="79"/>
      <c r="L1079" s="142"/>
      <c r="M1079" s="1"/>
      <c r="N1079" s="142"/>
      <c r="O1079" s="1"/>
      <c r="P1079" s="142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79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R1079" s="1"/>
      <c r="CS1079" s="1"/>
      <c r="CT1079" s="1"/>
      <c r="CU1079" s="1"/>
      <c r="CV1079" s="1"/>
      <c r="CW1079" s="1"/>
      <c r="CX1079" s="1"/>
      <c r="CY1079" s="91" t="str">
        <f t="shared" si="831"/>
        <v/>
      </c>
      <c r="CZ1079" s="1"/>
      <c r="DC1079" s="307"/>
      <c r="DE1079" s="307"/>
    </row>
    <row r="1080">
      <c r="A1080" s="1"/>
      <c r="B1080" s="1"/>
      <c r="C1080" s="76"/>
      <c r="D1080" s="76"/>
      <c r="E1080" s="76"/>
      <c r="F1080" s="76"/>
      <c r="G1080" s="79"/>
      <c r="H1080" s="80"/>
      <c r="I1080" s="79"/>
      <c r="J1080" s="80"/>
      <c r="K1080" s="79"/>
      <c r="L1080" s="142"/>
      <c r="M1080" s="1"/>
      <c r="N1080" s="142"/>
      <c r="O1080" s="1"/>
      <c r="P1080" s="142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79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R1080" s="1"/>
      <c r="CS1080" s="1"/>
      <c r="CT1080" s="1"/>
      <c r="CU1080" s="1"/>
      <c r="CV1080" s="1"/>
      <c r="CW1080" s="1"/>
      <c r="CX1080" s="1"/>
      <c r="CY1080" s="91" t="str">
        <f t="shared" si="831"/>
        <v/>
      </c>
      <c r="CZ1080" s="1"/>
      <c r="DC1080" s="307"/>
      <c r="DE1080" s="307"/>
    </row>
    <row r="1081">
      <c r="A1081" s="1"/>
      <c r="B1081" s="1"/>
      <c r="C1081" s="76"/>
      <c r="D1081" s="76"/>
      <c r="E1081" s="76"/>
      <c r="F1081" s="76"/>
      <c r="G1081" s="79"/>
      <c r="H1081" s="80"/>
      <c r="I1081" s="79"/>
      <c r="J1081" s="80"/>
      <c r="K1081" s="79"/>
      <c r="L1081" s="142"/>
      <c r="M1081" s="1"/>
      <c r="N1081" s="142"/>
      <c r="O1081" s="1"/>
      <c r="P1081" s="142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79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R1081" s="1"/>
      <c r="CS1081" s="1"/>
      <c r="CT1081" s="1"/>
      <c r="CU1081" s="1"/>
      <c r="CV1081" s="1"/>
      <c r="CW1081" s="1"/>
      <c r="CX1081" s="1"/>
      <c r="CY1081" s="91" t="str">
        <f t="shared" si="831"/>
        <v/>
      </c>
      <c r="CZ1081" s="1"/>
      <c r="DC1081" s="307"/>
      <c r="DE1081" s="307"/>
    </row>
    <row r="1082">
      <c r="A1082" s="1"/>
      <c r="B1082" s="1"/>
      <c r="C1082" s="76"/>
      <c r="D1082" s="76"/>
      <c r="E1082" s="76"/>
      <c r="F1082" s="76"/>
      <c r="G1082" s="79"/>
      <c r="H1082" s="80"/>
      <c r="I1082" s="79"/>
      <c r="J1082" s="80"/>
      <c r="K1082" s="79"/>
      <c r="L1082" s="142"/>
      <c r="M1082" s="1"/>
      <c r="N1082" s="142"/>
      <c r="O1082" s="1"/>
      <c r="P1082" s="142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79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R1082" s="1"/>
      <c r="CS1082" s="1"/>
      <c r="CT1082" s="1"/>
      <c r="CU1082" s="1"/>
      <c r="CV1082" s="1"/>
      <c r="CW1082" s="1"/>
      <c r="CX1082" s="1"/>
      <c r="CY1082" s="91" t="str">
        <f t="shared" si="831"/>
        <v/>
      </c>
      <c r="CZ1082" s="1"/>
      <c r="DC1082" s="307"/>
      <c r="DE1082" s="307"/>
    </row>
    <row r="1083">
      <c r="A1083" s="1"/>
      <c r="B1083" s="1"/>
      <c r="C1083" s="76"/>
      <c r="D1083" s="76"/>
      <c r="E1083" s="76"/>
      <c r="F1083" s="76"/>
      <c r="G1083" s="79"/>
      <c r="H1083" s="80"/>
      <c r="I1083" s="79"/>
      <c r="J1083" s="80"/>
      <c r="K1083" s="79"/>
      <c r="L1083" s="142"/>
      <c r="M1083" s="1"/>
      <c r="N1083" s="142"/>
      <c r="O1083" s="1"/>
      <c r="P1083" s="142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79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R1083" s="1"/>
      <c r="CS1083" s="1"/>
      <c r="CT1083" s="1"/>
      <c r="CU1083" s="1"/>
      <c r="CV1083" s="1"/>
      <c r="CW1083" s="1"/>
      <c r="CX1083" s="1"/>
      <c r="CY1083" s="91" t="str">
        <f t="shared" si="831"/>
        <v/>
      </c>
      <c r="CZ1083" s="1"/>
      <c r="DC1083" s="307"/>
      <c r="DE1083" s="307"/>
    </row>
    <row r="1084">
      <c r="A1084" s="1"/>
      <c r="B1084" s="1"/>
      <c r="C1084" s="76"/>
      <c r="D1084" s="76"/>
      <c r="E1084" s="76"/>
      <c r="F1084" s="76"/>
      <c r="G1084" s="79"/>
      <c r="H1084" s="80"/>
      <c r="I1084" s="79"/>
      <c r="J1084" s="80"/>
      <c r="K1084" s="79"/>
      <c r="L1084" s="142"/>
      <c r="M1084" s="1"/>
      <c r="N1084" s="142"/>
      <c r="O1084" s="1"/>
      <c r="P1084" s="142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79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R1084" s="1"/>
      <c r="CS1084" s="1"/>
      <c r="CT1084" s="1"/>
      <c r="CU1084" s="1"/>
      <c r="CV1084" s="1"/>
      <c r="CW1084" s="1"/>
      <c r="CX1084" s="1"/>
      <c r="CY1084" s="91" t="str">
        <f t="shared" si="831"/>
        <v/>
      </c>
      <c r="CZ1084" s="1"/>
      <c r="DC1084" s="307"/>
      <c r="DE1084" s="307"/>
    </row>
    <row r="1085">
      <c r="A1085" s="1"/>
      <c r="B1085" s="1"/>
      <c r="C1085" s="76"/>
      <c r="D1085" s="76"/>
      <c r="E1085" s="76"/>
      <c r="F1085" s="76"/>
      <c r="G1085" s="79"/>
      <c r="H1085" s="80"/>
      <c r="I1085" s="79"/>
      <c r="J1085" s="80"/>
      <c r="K1085" s="79"/>
      <c r="L1085" s="142"/>
      <c r="M1085" s="1"/>
      <c r="N1085" s="142"/>
      <c r="O1085" s="1"/>
      <c r="P1085" s="142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79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R1085" s="1"/>
      <c r="CS1085" s="1"/>
      <c r="CT1085" s="1"/>
      <c r="CU1085" s="1"/>
      <c r="CV1085" s="1"/>
      <c r="CW1085" s="1"/>
      <c r="CX1085" s="1"/>
      <c r="CY1085" s="91" t="str">
        <f t="shared" si="831"/>
        <v/>
      </c>
      <c r="CZ1085" s="1"/>
      <c r="DC1085" s="307"/>
      <c r="DE1085" s="307"/>
    </row>
    <row r="1086">
      <c r="A1086" s="1"/>
      <c r="B1086" s="1"/>
      <c r="C1086" s="76"/>
      <c r="D1086" s="76"/>
      <c r="E1086" s="76"/>
      <c r="F1086" s="76"/>
      <c r="G1086" s="79"/>
      <c r="H1086" s="80"/>
      <c r="I1086" s="79"/>
      <c r="J1086" s="80"/>
      <c r="K1086" s="79"/>
      <c r="L1086" s="142"/>
      <c r="M1086" s="1"/>
      <c r="N1086" s="142"/>
      <c r="O1086" s="1"/>
      <c r="P1086" s="142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79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R1086" s="1"/>
      <c r="CS1086" s="1"/>
      <c r="CT1086" s="1"/>
      <c r="CU1086" s="1"/>
      <c r="CV1086" s="1"/>
      <c r="CW1086" s="1"/>
      <c r="CX1086" s="1"/>
      <c r="CY1086" s="91" t="str">
        <f t="shared" si="831"/>
        <v/>
      </c>
      <c r="CZ1086" s="1"/>
      <c r="DC1086" s="307"/>
      <c r="DE1086" s="307"/>
    </row>
    <row r="1087">
      <c r="A1087" s="1"/>
      <c r="B1087" s="1"/>
      <c r="C1087" s="76"/>
      <c r="D1087" s="76"/>
      <c r="E1087" s="76"/>
      <c r="F1087" s="76"/>
      <c r="G1087" s="79"/>
      <c r="H1087" s="80"/>
      <c r="I1087" s="79"/>
      <c r="J1087" s="80"/>
      <c r="K1087" s="79"/>
      <c r="L1087" s="142"/>
      <c r="M1087" s="1"/>
      <c r="N1087" s="142"/>
      <c r="O1087" s="1"/>
      <c r="P1087" s="142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79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R1087" s="1"/>
      <c r="CS1087" s="1"/>
      <c r="CT1087" s="1"/>
      <c r="CU1087" s="1"/>
      <c r="CV1087" s="1"/>
      <c r="CW1087" s="1"/>
      <c r="CX1087" s="1"/>
      <c r="CY1087" s="91" t="str">
        <f t="shared" si="831"/>
        <v/>
      </c>
      <c r="CZ1087" s="1"/>
      <c r="DC1087" s="307"/>
      <c r="DE1087" s="307"/>
    </row>
    <row r="1088">
      <c r="A1088" s="1"/>
      <c r="B1088" s="1"/>
      <c r="C1088" s="76"/>
      <c r="D1088" s="76"/>
      <c r="E1088" s="76"/>
      <c r="F1088" s="76"/>
      <c r="G1088" s="79"/>
      <c r="H1088" s="80"/>
      <c r="I1088" s="79"/>
      <c r="J1088" s="80"/>
      <c r="K1088" s="79"/>
      <c r="L1088" s="142"/>
      <c r="M1088" s="1"/>
      <c r="N1088" s="142"/>
      <c r="O1088" s="1"/>
      <c r="P1088" s="142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79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R1088" s="1"/>
      <c r="CS1088" s="1"/>
      <c r="CT1088" s="1"/>
      <c r="CU1088" s="1"/>
      <c r="CV1088" s="1"/>
      <c r="CW1088" s="1"/>
      <c r="CX1088" s="1"/>
      <c r="CY1088" s="91" t="str">
        <f t="shared" si="831"/>
        <v/>
      </c>
      <c r="CZ1088" s="1"/>
      <c r="DC1088" s="307"/>
      <c r="DE1088" s="307"/>
    </row>
    <row r="1089">
      <c r="A1089" s="1"/>
      <c r="B1089" s="1"/>
      <c r="C1089" s="76"/>
      <c r="D1089" s="76"/>
      <c r="E1089" s="76"/>
      <c r="F1089" s="76"/>
      <c r="G1089" s="79"/>
      <c r="H1089" s="80"/>
      <c r="I1089" s="79"/>
      <c r="J1089" s="80"/>
      <c r="K1089" s="79"/>
      <c r="L1089" s="142"/>
      <c r="M1089" s="1"/>
      <c r="N1089" s="142"/>
      <c r="O1089" s="1"/>
      <c r="P1089" s="142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79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R1089" s="1"/>
      <c r="CS1089" s="1"/>
      <c r="CT1089" s="1"/>
      <c r="CU1089" s="1"/>
      <c r="CV1089" s="1"/>
      <c r="CW1089" s="1"/>
      <c r="CX1089" s="1"/>
      <c r="CY1089" s="91" t="str">
        <f t="shared" si="831"/>
        <v/>
      </c>
      <c r="CZ1089" s="1"/>
      <c r="DC1089" s="307"/>
      <c r="DE1089" s="307"/>
    </row>
    <row r="1090">
      <c r="A1090" s="1"/>
      <c r="B1090" s="1"/>
      <c r="C1090" s="76"/>
      <c r="D1090" s="76"/>
      <c r="E1090" s="76"/>
      <c r="F1090" s="76"/>
      <c r="G1090" s="79"/>
      <c r="H1090" s="80"/>
      <c r="I1090" s="79"/>
      <c r="J1090" s="80"/>
      <c r="K1090" s="79"/>
      <c r="L1090" s="142"/>
      <c r="M1090" s="1"/>
      <c r="N1090" s="142"/>
      <c r="O1090" s="1"/>
      <c r="P1090" s="142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79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R1090" s="1"/>
      <c r="CS1090" s="1"/>
      <c r="CT1090" s="1"/>
      <c r="CU1090" s="1"/>
      <c r="CV1090" s="1"/>
      <c r="CW1090" s="1"/>
      <c r="CX1090" s="1"/>
      <c r="CY1090" s="91" t="str">
        <f t="shared" si="831"/>
        <v/>
      </c>
      <c r="CZ1090" s="1"/>
      <c r="DC1090" s="307"/>
      <c r="DE1090" s="307"/>
    </row>
    <row r="1091">
      <c r="A1091" s="1"/>
      <c r="B1091" s="1"/>
      <c r="C1091" s="76"/>
      <c r="D1091" s="76"/>
      <c r="E1091" s="76"/>
      <c r="F1091" s="76"/>
      <c r="G1091" s="79"/>
      <c r="H1091" s="80"/>
      <c r="I1091" s="79"/>
      <c r="J1091" s="80"/>
      <c r="K1091" s="79"/>
      <c r="L1091" s="142"/>
      <c r="M1091" s="1"/>
      <c r="N1091" s="142"/>
      <c r="O1091" s="1"/>
      <c r="P1091" s="142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79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R1091" s="1"/>
      <c r="CS1091" s="1"/>
      <c r="CT1091" s="1"/>
      <c r="CU1091" s="1"/>
      <c r="CV1091" s="1"/>
      <c r="CW1091" s="1"/>
      <c r="CX1091" s="1"/>
      <c r="CY1091" s="91" t="str">
        <f t="shared" si="831"/>
        <v/>
      </c>
      <c r="CZ1091" s="1"/>
      <c r="DC1091" s="307"/>
      <c r="DE1091" s="307"/>
    </row>
    <row r="1092">
      <c r="A1092" s="1"/>
      <c r="B1092" s="1"/>
      <c r="C1092" s="76"/>
      <c r="D1092" s="76"/>
      <c r="E1092" s="76"/>
      <c r="F1092" s="76"/>
      <c r="G1092" s="79"/>
      <c r="H1092" s="80"/>
      <c r="I1092" s="79"/>
      <c r="J1092" s="80"/>
      <c r="K1092" s="79"/>
      <c r="L1092" s="142"/>
      <c r="M1092" s="1"/>
      <c r="N1092" s="142"/>
      <c r="O1092" s="1"/>
      <c r="P1092" s="142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79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R1092" s="1"/>
      <c r="CS1092" s="1"/>
      <c r="CT1092" s="1"/>
      <c r="CU1092" s="1"/>
      <c r="CV1092" s="1"/>
      <c r="CW1092" s="1"/>
      <c r="CX1092" s="1"/>
      <c r="CY1092" s="91" t="str">
        <f t="shared" si="831"/>
        <v/>
      </c>
      <c r="CZ1092" s="1"/>
      <c r="DC1092" s="307"/>
      <c r="DE1092" s="307"/>
    </row>
    <row r="1093">
      <c r="A1093" s="1"/>
      <c r="B1093" s="1"/>
      <c r="C1093" s="76"/>
      <c r="D1093" s="76"/>
      <c r="E1093" s="76"/>
      <c r="F1093" s="76"/>
      <c r="G1093" s="79"/>
      <c r="H1093" s="80"/>
      <c r="I1093" s="79"/>
      <c r="J1093" s="80"/>
      <c r="K1093" s="79"/>
      <c r="L1093" s="142"/>
      <c r="M1093" s="1"/>
      <c r="N1093" s="142"/>
      <c r="O1093" s="1"/>
      <c r="P1093" s="142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79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R1093" s="1"/>
      <c r="CS1093" s="1"/>
      <c r="CT1093" s="1"/>
      <c r="CU1093" s="1"/>
      <c r="CV1093" s="1"/>
      <c r="CW1093" s="1"/>
      <c r="CX1093" s="1"/>
      <c r="CY1093" s="91" t="str">
        <f t="shared" si="831"/>
        <v/>
      </c>
      <c r="CZ1093" s="1"/>
      <c r="DC1093" s="307"/>
      <c r="DE1093" s="307"/>
    </row>
    <row r="1094">
      <c r="A1094" s="1"/>
      <c r="B1094" s="1"/>
      <c r="C1094" s="76"/>
      <c r="D1094" s="76"/>
      <c r="E1094" s="76"/>
      <c r="F1094" s="76"/>
      <c r="G1094" s="79"/>
      <c r="H1094" s="80"/>
      <c r="I1094" s="79"/>
      <c r="J1094" s="80"/>
      <c r="K1094" s="79"/>
      <c r="L1094" s="142"/>
      <c r="M1094" s="1"/>
      <c r="N1094" s="142"/>
      <c r="O1094" s="1"/>
      <c r="P1094" s="142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79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R1094" s="1"/>
      <c r="CS1094" s="1"/>
      <c r="CT1094" s="1"/>
      <c r="CU1094" s="1"/>
      <c r="CV1094" s="1"/>
      <c r="CW1094" s="1"/>
      <c r="CX1094" s="1"/>
      <c r="CY1094" s="91" t="str">
        <f t="shared" si="831"/>
        <v/>
      </c>
      <c r="CZ1094" s="1"/>
      <c r="DC1094" s="307"/>
      <c r="DE1094" s="307"/>
    </row>
    <row r="1095">
      <c r="A1095" s="1"/>
      <c r="B1095" s="1"/>
      <c r="C1095" s="76"/>
      <c r="D1095" s="76"/>
      <c r="E1095" s="76"/>
      <c r="F1095" s="76"/>
      <c r="G1095" s="79"/>
      <c r="H1095" s="80"/>
      <c r="I1095" s="79"/>
      <c r="J1095" s="80"/>
      <c r="K1095" s="79"/>
      <c r="L1095" s="142"/>
      <c r="M1095" s="1"/>
      <c r="N1095" s="142"/>
      <c r="O1095" s="1"/>
      <c r="P1095" s="142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79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R1095" s="1"/>
      <c r="CS1095" s="1"/>
      <c r="CT1095" s="1"/>
      <c r="CU1095" s="1"/>
      <c r="CV1095" s="1"/>
      <c r="CW1095" s="1"/>
      <c r="CX1095" s="1"/>
      <c r="CY1095" s="91" t="str">
        <f t="shared" si="831"/>
        <v/>
      </c>
      <c r="CZ1095" s="1"/>
      <c r="DC1095" s="307"/>
      <c r="DE1095" s="307"/>
    </row>
    <row r="1096">
      <c r="A1096" s="1"/>
      <c r="B1096" s="1"/>
      <c r="C1096" s="76"/>
      <c r="D1096" s="76"/>
      <c r="E1096" s="76"/>
      <c r="F1096" s="76"/>
      <c r="G1096" s="79"/>
      <c r="H1096" s="80"/>
      <c r="I1096" s="79"/>
      <c r="J1096" s="80"/>
      <c r="K1096" s="79"/>
      <c r="L1096" s="142"/>
      <c r="M1096" s="1"/>
      <c r="N1096" s="142"/>
      <c r="O1096" s="1"/>
      <c r="P1096" s="142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79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R1096" s="1"/>
      <c r="CS1096" s="1"/>
      <c r="CT1096" s="1"/>
      <c r="CU1096" s="1"/>
      <c r="CV1096" s="1"/>
      <c r="CW1096" s="1"/>
      <c r="CX1096" s="1"/>
      <c r="CY1096" s="91" t="str">
        <f t="shared" si="831"/>
        <v/>
      </c>
      <c r="CZ1096" s="1"/>
      <c r="DC1096" s="307"/>
      <c r="DE1096" s="307"/>
    </row>
    <row r="1097">
      <c r="A1097" s="1"/>
      <c r="B1097" s="1"/>
      <c r="C1097" s="76"/>
      <c r="D1097" s="76"/>
      <c r="E1097" s="76"/>
      <c r="F1097" s="76"/>
      <c r="G1097" s="79"/>
      <c r="H1097" s="80"/>
      <c r="I1097" s="79"/>
      <c r="J1097" s="80"/>
      <c r="K1097" s="79"/>
      <c r="L1097" s="142"/>
      <c r="M1097" s="1"/>
      <c r="N1097" s="142"/>
      <c r="O1097" s="1"/>
      <c r="P1097" s="142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79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R1097" s="1"/>
      <c r="CS1097" s="1"/>
      <c r="CT1097" s="1"/>
      <c r="CU1097" s="1"/>
      <c r="CV1097" s="1"/>
      <c r="CW1097" s="1"/>
      <c r="CX1097" s="1"/>
      <c r="CY1097" s="91" t="str">
        <f t="shared" si="831"/>
        <v/>
      </c>
      <c r="CZ1097" s="1"/>
      <c r="DC1097" s="307"/>
      <c r="DE1097" s="307"/>
    </row>
    <row r="1098">
      <c r="A1098" s="1"/>
      <c r="B1098" s="1"/>
      <c r="C1098" s="76"/>
      <c r="D1098" s="76"/>
      <c r="E1098" s="76"/>
      <c r="F1098" s="76"/>
      <c r="G1098" s="79"/>
      <c r="H1098" s="80"/>
      <c r="I1098" s="79"/>
      <c r="J1098" s="80"/>
      <c r="K1098" s="79"/>
      <c r="L1098" s="142"/>
      <c r="M1098" s="1"/>
      <c r="N1098" s="142"/>
      <c r="O1098" s="1"/>
      <c r="P1098" s="142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79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R1098" s="1"/>
      <c r="CS1098" s="1"/>
      <c r="CT1098" s="1"/>
      <c r="CU1098" s="1"/>
      <c r="CV1098" s="1"/>
      <c r="CW1098" s="1"/>
      <c r="CX1098" s="1"/>
      <c r="CY1098" s="91" t="str">
        <f t="shared" si="831"/>
        <v/>
      </c>
      <c r="CZ1098" s="1"/>
      <c r="DC1098" s="307"/>
      <c r="DE1098" s="307"/>
    </row>
    <row r="1099">
      <c r="A1099" s="1"/>
      <c r="B1099" s="1"/>
      <c r="C1099" s="76"/>
      <c r="D1099" s="76"/>
      <c r="E1099" s="76"/>
      <c r="F1099" s="76"/>
      <c r="G1099" s="79"/>
      <c r="H1099" s="80"/>
      <c r="I1099" s="79"/>
      <c r="J1099" s="80"/>
      <c r="K1099" s="79"/>
      <c r="L1099" s="142"/>
      <c r="M1099" s="1"/>
      <c r="N1099" s="142"/>
      <c r="O1099" s="1"/>
      <c r="P1099" s="142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79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R1099" s="1"/>
      <c r="CS1099" s="1"/>
      <c r="CT1099" s="1"/>
      <c r="CU1099" s="1"/>
      <c r="CV1099" s="1"/>
      <c r="CW1099" s="1"/>
      <c r="CX1099" s="1"/>
      <c r="CY1099" s="91" t="str">
        <f t="shared" si="831"/>
        <v/>
      </c>
      <c r="CZ1099" s="1"/>
      <c r="DC1099" s="307"/>
      <c r="DE1099" s="307"/>
    </row>
    <row r="1100">
      <c r="A1100" s="1"/>
      <c r="B1100" s="1"/>
      <c r="C1100" s="76"/>
      <c r="D1100" s="76"/>
      <c r="E1100" s="76"/>
      <c r="F1100" s="76"/>
      <c r="G1100" s="79"/>
      <c r="H1100" s="80"/>
      <c r="I1100" s="79"/>
      <c r="J1100" s="80"/>
      <c r="K1100" s="79"/>
      <c r="L1100" s="142"/>
      <c r="M1100" s="1"/>
      <c r="N1100" s="142"/>
      <c r="O1100" s="1"/>
      <c r="P1100" s="142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79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R1100" s="1"/>
      <c r="CS1100" s="1"/>
      <c r="CT1100" s="1"/>
      <c r="CU1100" s="1"/>
      <c r="CV1100" s="1"/>
      <c r="CW1100" s="1"/>
      <c r="CX1100" s="1"/>
      <c r="CY1100" s="91" t="str">
        <f t="shared" si="831"/>
        <v/>
      </c>
      <c r="CZ1100" s="1"/>
      <c r="DC1100" s="307"/>
      <c r="DE1100" s="307"/>
    </row>
    <row r="1101">
      <c r="A1101" s="1"/>
      <c r="B1101" s="1"/>
      <c r="C1101" s="76"/>
      <c r="D1101" s="76"/>
      <c r="E1101" s="76"/>
      <c r="F1101" s="76"/>
      <c r="G1101" s="79"/>
      <c r="H1101" s="80"/>
      <c r="I1101" s="79"/>
      <c r="J1101" s="80"/>
      <c r="K1101" s="79"/>
      <c r="L1101" s="142"/>
      <c r="M1101" s="1"/>
      <c r="N1101" s="142"/>
      <c r="O1101" s="1"/>
      <c r="P1101" s="142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79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R1101" s="1"/>
      <c r="CS1101" s="1"/>
      <c r="CT1101" s="1"/>
      <c r="CU1101" s="1"/>
      <c r="CV1101" s="1"/>
      <c r="CW1101" s="1"/>
      <c r="CX1101" s="1"/>
      <c r="CY1101" s="91" t="str">
        <f t="shared" si="831"/>
        <v/>
      </c>
      <c r="CZ1101" s="1"/>
      <c r="DC1101" s="307"/>
      <c r="DE1101" s="307"/>
    </row>
    <row r="1102">
      <c r="A1102" s="1"/>
      <c r="B1102" s="1"/>
      <c r="C1102" s="76"/>
      <c r="D1102" s="76"/>
      <c r="E1102" s="76"/>
      <c r="F1102" s="76"/>
      <c r="G1102" s="79"/>
      <c r="H1102" s="80"/>
      <c r="I1102" s="79"/>
      <c r="J1102" s="80"/>
      <c r="K1102" s="79"/>
      <c r="L1102" s="142"/>
      <c r="M1102" s="1"/>
      <c r="N1102" s="142"/>
      <c r="O1102" s="1"/>
      <c r="P1102" s="142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79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R1102" s="1"/>
      <c r="CS1102" s="1"/>
      <c r="CT1102" s="1"/>
      <c r="CU1102" s="1"/>
      <c r="CV1102" s="1"/>
      <c r="CW1102" s="1"/>
      <c r="CX1102" s="1"/>
      <c r="CY1102" s="91" t="str">
        <f t="shared" si="831"/>
        <v/>
      </c>
      <c r="CZ1102" s="1"/>
      <c r="DC1102" s="307"/>
      <c r="DE1102" s="307"/>
    </row>
    <row r="1103">
      <c r="A1103" s="1"/>
      <c r="B1103" s="1"/>
      <c r="C1103" s="76"/>
      <c r="D1103" s="76"/>
      <c r="E1103" s="76"/>
      <c r="F1103" s="76"/>
      <c r="G1103" s="79"/>
      <c r="H1103" s="80"/>
      <c r="I1103" s="79"/>
      <c r="J1103" s="80"/>
      <c r="K1103" s="79"/>
      <c r="L1103" s="142"/>
      <c r="M1103" s="1"/>
      <c r="N1103" s="142"/>
      <c r="O1103" s="1"/>
      <c r="P1103" s="142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79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R1103" s="1"/>
      <c r="CS1103" s="1"/>
      <c r="CT1103" s="1"/>
      <c r="CU1103" s="1"/>
      <c r="CV1103" s="1"/>
      <c r="CW1103" s="1"/>
      <c r="CX1103" s="1"/>
      <c r="CY1103" s="91" t="str">
        <f t="shared" si="831"/>
        <v/>
      </c>
      <c r="CZ1103" s="1"/>
      <c r="DC1103" s="307"/>
      <c r="DE1103" s="307"/>
    </row>
    <row r="1104">
      <c r="A1104" s="1"/>
      <c r="B1104" s="1"/>
      <c r="C1104" s="76"/>
      <c r="D1104" s="76"/>
      <c r="E1104" s="76"/>
      <c r="F1104" s="76"/>
      <c r="G1104" s="79"/>
      <c r="H1104" s="80"/>
      <c r="I1104" s="79"/>
      <c r="J1104" s="80"/>
      <c r="K1104" s="79"/>
      <c r="L1104" s="142"/>
      <c r="M1104" s="1"/>
      <c r="N1104" s="142"/>
      <c r="O1104" s="1"/>
      <c r="P1104" s="142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79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R1104" s="1"/>
      <c r="CS1104" s="1"/>
      <c r="CT1104" s="1"/>
      <c r="CU1104" s="1"/>
      <c r="CV1104" s="1"/>
      <c r="CW1104" s="1"/>
      <c r="CX1104" s="1"/>
      <c r="CY1104" s="91" t="str">
        <f t="shared" si="831"/>
        <v/>
      </c>
      <c r="CZ1104" s="1"/>
      <c r="DC1104" s="307"/>
      <c r="DE1104" s="307"/>
    </row>
    <row r="1105">
      <c r="A1105" s="1"/>
      <c r="B1105" s="1"/>
      <c r="C1105" s="76"/>
      <c r="D1105" s="76"/>
      <c r="E1105" s="76"/>
      <c r="F1105" s="76"/>
      <c r="G1105" s="79"/>
      <c r="H1105" s="80"/>
      <c r="I1105" s="79"/>
      <c r="J1105" s="80"/>
      <c r="K1105" s="79"/>
      <c r="L1105" s="142"/>
      <c r="M1105" s="1"/>
      <c r="N1105" s="142"/>
      <c r="O1105" s="1"/>
      <c r="P1105" s="142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79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R1105" s="1"/>
      <c r="CS1105" s="1"/>
      <c r="CT1105" s="1"/>
      <c r="CU1105" s="1"/>
      <c r="CV1105" s="1"/>
      <c r="CW1105" s="1"/>
      <c r="CX1105" s="1"/>
      <c r="CY1105" s="91" t="str">
        <f t="shared" si="831"/>
        <v/>
      </c>
      <c r="CZ1105" s="1"/>
      <c r="DC1105" s="307"/>
      <c r="DE1105" s="307"/>
    </row>
    <row r="1106">
      <c r="A1106" s="1"/>
      <c r="B1106" s="1"/>
      <c r="C1106" s="76"/>
      <c r="D1106" s="76"/>
      <c r="E1106" s="76"/>
      <c r="F1106" s="76"/>
      <c r="G1106" s="79"/>
      <c r="H1106" s="80"/>
      <c r="I1106" s="79"/>
      <c r="J1106" s="80"/>
      <c r="K1106" s="79"/>
      <c r="L1106" s="142"/>
      <c r="M1106" s="1"/>
      <c r="N1106" s="142"/>
      <c r="O1106" s="1"/>
      <c r="P1106" s="142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79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R1106" s="1"/>
      <c r="CS1106" s="1"/>
      <c r="CT1106" s="1"/>
      <c r="CU1106" s="1"/>
      <c r="CV1106" s="1"/>
      <c r="CW1106" s="1"/>
      <c r="CX1106" s="1"/>
      <c r="CY1106" s="91" t="str">
        <f t="shared" si="831"/>
        <v/>
      </c>
      <c r="CZ1106" s="1"/>
      <c r="DC1106" s="307"/>
      <c r="DE1106" s="307"/>
    </row>
    <row r="1107">
      <c r="A1107" s="1"/>
      <c r="B1107" s="1"/>
      <c r="C1107" s="76"/>
      <c r="D1107" s="76"/>
      <c r="E1107" s="76"/>
      <c r="F1107" s="76"/>
      <c r="G1107" s="79"/>
      <c r="H1107" s="80"/>
      <c r="I1107" s="79"/>
      <c r="J1107" s="80"/>
      <c r="K1107" s="79"/>
      <c r="L1107" s="142"/>
      <c r="M1107" s="1"/>
      <c r="N1107" s="142"/>
      <c r="O1107" s="1"/>
      <c r="P1107" s="142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79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R1107" s="1"/>
      <c r="CS1107" s="1"/>
      <c r="CT1107" s="1"/>
      <c r="CU1107" s="1"/>
      <c r="CV1107" s="1"/>
      <c r="CW1107" s="1"/>
      <c r="CX1107" s="1"/>
      <c r="CY1107" s="91" t="str">
        <f t="shared" si="831"/>
        <v/>
      </c>
      <c r="CZ1107" s="1"/>
      <c r="DC1107" s="307"/>
      <c r="DE1107" s="307"/>
    </row>
    <row r="1108">
      <c r="A1108" s="1"/>
      <c r="B1108" s="1"/>
      <c r="C1108" s="76"/>
      <c r="D1108" s="76"/>
      <c r="E1108" s="76"/>
      <c r="F1108" s="76"/>
      <c r="G1108" s="79"/>
      <c r="H1108" s="80"/>
      <c r="I1108" s="79"/>
      <c r="J1108" s="80"/>
      <c r="K1108" s="79"/>
      <c r="L1108" s="142"/>
      <c r="M1108" s="1"/>
      <c r="N1108" s="142"/>
      <c r="O1108" s="1"/>
      <c r="P1108" s="142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79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R1108" s="1"/>
      <c r="CS1108" s="1"/>
      <c r="CT1108" s="1"/>
      <c r="CU1108" s="1"/>
      <c r="CV1108" s="1"/>
      <c r="CW1108" s="1"/>
      <c r="CX1108" s="1"/>
      <c r="CY1108" s="91" t="str">
        <f t="shared" si="831"/>
        <v/>
      </c>
      <c r="CZ1108" s="1"/>
      <c r="DC1108" s="307"/>
      <c r="DE1108" s="307"/>
    </row>
    <row r="1109">
      <c r="A1109" s="1"/>
      <c r="B1109" s="1"/>
      <c r="C1109" s="76"/>
      <c r="D1109" s="76"/>
      <c r="E1109" s="76"/>
      <c r="F1109" s="76"/>
      <c r="G1109" s="79"/>
      <c r="H1109" s="80"/>
      <c r="I1109" s="79"/>
      <c r="J1109" s="80"/>
      <c r="K1109" s="79"/>
      <c r="L1109" s="142"/>
      <c r="M1109" s="1"/>
      <c r="N1109" s="142"/>
      <c r="O1109" s="1"/>
      <c r="P1109" s="142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79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R1109" s="1"/>
      <c r="CS1109" s="1"/>
      <c r="CT1109" s="1"/>
      <c r="CU1109" s="1"/>
      <c r="CV1109" s="1"/>
      <c r="CW1109" s="1"/>
      <c r="CX1109" s="1"/>
      <c r="CY1109" s="91" t="str">
        <f t="shared" si="831"/>
        <v/>
      </c>
      <c r="CZ1109" s="1"/>
      <c r="DC1109" s="307"/>
      <c r="DE1109" s="307"/>
    </row>
    <row r="1110">
      <c r="A1110" s="1"/>
      <c r="B1110" s="1"/>
      <c r="C1110" s="76"/>
      <c r="D1110" s="76"/>
      <c r="E1110" s="76"/>
      <c r="F1110" s="76"/>
      <c r="G1110" s="79"/>
      <c r="H1110" s="80"/>
      <c r="I1110" s="79"/>
      <c r="J1110" s="80"/>
      <c r="K1110" s="79"/>
      <c r="L1110" s="142"/>
      <c r="M1110" s="1"/>
      <c r="N1110" s="142"/>
      <c r="O1110" s="1"/>
      <c r="P1110" s="142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79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R1110" s="1"/>
      <c r="CS1110" s="1"/>
      <c r="CT1110" s="1"/>
      <c r="CU1110" s="1"/>
      <c r="CV1110" s="1"/>
      <c r="CW1110" s="1"/>
      <c r="CX1110" s="1"/>
      <c r="CY1110" s="91" t="str">
        <f t="shared" si="831"/>
        <v/>
      </c>
      <c r="CZ1110" s="1"/>
      <c r="DC1110" s="307"/>
      <c r="DE1110" s="307"/>
    </row>
    <row r="1111">
      <c r="A1111" s="1"/>
      <c r="B1111" s="1"/>
      <c r="C1111" s="76"/>
      <c r="D1111" s="76"/>
      <c r="E1111" s="76"/>
      <c r="F1111" s="76"/>
      <c r="G1111" s="79"/>
      <c r="H1111" s="80"/>
      <c r="I1111" s="79"/>
      <c r="J1111" s="80"/>
      <c r="K1111" s="79"/>
      <c r="L1111" s="142"/>
      <c r="M1111" s="1"/>
      <c r="N1111" s="142"/>
      <c r="O1111" s="1"/>
      <c r="P1111" s="142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79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R1111" s="1"/>
      <c r="CS1111" s="1"/>
      <c r="CT1111" s="1"/>
      <c r="CU1111" s="1"/>
      <c r="CV1111" s="1"/>
      <c r="CW1111" s="1"/>
      <c r="CX1111" s="1"/>
      <c r="CY1111" s="91" t="str">
        <f t="shared" si="831"/>
        <v/>
      </c>
      <c r="CZ1111" s="1"/>
      <c r="DC1111" s="307"/>
      <c r="DE1111" s="307"/>
    </row>
    <row r="1112">
      <c r="A1112" s="1"/>
      <c r="B1112" s="1"/>
      <c r="C1112" s="76"/>
      <c r="D1112" s="76"/>
      <c r="E1112" s="76"/>
      <c r="F1112" s="76"/>
      <c r="G1112" s="79"/>
      <c r="H1112" s="80"/>
      <c r="I1112" s="79"/>
      <c r="J1112" s="80"/>
      <c r="K1112" s="79"/>
      <c r="L1112" s="142"/>
      <c r="M1112" s="1"/>
      <c r="N1112" s="142"/>
      <c r="O1112" s="1"/>
      <c r="P1112" s="142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79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R1112" s="1"/>
      <c r="CS1112" s="1"/>
      <c r="CT1112" s="1"/>
      <c r="CU1112" s="1"/>
      <c r="CV1112" s="1"/>
      <c r="CW1112" s="1"/>
      <c r="CX1112" s="1"/>
      <c r="CY1112" s="91" t="str">
        <f t="shared" si="831"/>
        <v/>
      </c>
      <c r="CZ1112" s="1"/>
      <c r="DC1112" s="307"/>
      <c r="DE1112" s="307"/>
    </row>
    <row r="1113">
      <c r="A1113" s="1"/>
      <c r="B1113" s="1"/>
      <c r="C1113" s="76"/>
      <c r="D1113" s="76"/>
      <c r="E1113" s="76"/>
      <c r="F1113" s="76"/>
      <c r="G1113" s="79"/>
      <c r="H1113" s="80"/>
      <c r="I1113" s="79"/>
      <c r="J1113" s="80"/>
      <c r="K1113" s="79"/>
      <c r="L1113" s="142"/>
      <c r="M1113" s="1"/>
      <c r="N1113" s="142"/>
      <c r="O1113" s="1"/>
      <c r="P1113" s="142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79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R1113" s="1"/>
      <c r="CS1113" s="1"/>
      <c r="CT1113" s="1"/>
      <c r="CU1113" s="1"/>
      <c r="CV1113" s="1"/>
      <c r="CW1113" s="1"/>
      <c r="CX1113" s="1"/>
      <c r="CY1113" s="91" t="str">
        <f t="shared" si="831"/>
        <v/>
      </c>
      <c r="CZ1113" s="1"/>
      <c r="DC1113" s="307"/>
      <c r="DE1113" s="307"/>
    </row>
    <row r="1114">
      <c r="A1114" s="1"/>
      <c r="B1114" s="1"/>
      <c r="C1114" s="76"/>
      <c r="D1114" s="76"/>
      <c r="E1114" s="76"/>
      <c r="F1114" s="76"/>
      <c r="G1114" s="79"/>
      <c r="H1114" s="80"/>
      <c r="I1114" s="79"/>
      <c r="J1114" s="80"/>
      <c r="K1114" s="79"/>
      <c r="L1114" s="142"/>
      <c r="M1114" s="1"/>
      <c r="N1114" s="142"/>
      <c r="O1114" s="1"/>
      <c r="P1114" s="142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79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R1114" s="1"/>
      <c r="CS1114" s="1"/>
      <c r="CT1114" s="1"/>
      <c r="CU1114" s="1"/>
      <c r="CV1114" s="1"/>
      <c r="CW1114" s="1"/>
      <c r="CX1114" s="1"/>
      <c r="CY1114" s="91" t="str">
        <f t="shared" si="831"/>
        <v/>
      </c>
      <c r="CZ1114" s="1"/>
      <c r="DC1114" s="307"/>
      <c r="DE1114" s="307"/>
    </row>
    <row r="1115">
      <c r="A1115" s="1"/>
      <c r="B1115" s="1"/>
      <c r="C1115" s="76"/>
      <c r="D1115" s="76"/>
      <c r="E1115" s="76"/>
      <c r="F1115" s="76"/>
      <c r="G1115" s="79"/>
      <c r="H1115" s="80"/>
      <c r="I1115" s="79"/>
      <c r="J1115" s="80"/>
      <c r="K1115" s="79"/>
      <c r="L1115" s="142"/>
      <c r="M1115" s="1"/>
      <c r="N1115" s="142"/>
      <c r="O1115" s="1"/>
      <c r="P1115" s="142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79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R1115" s="1"/>
      <c r="CS1115" s="1"/>
      <c r="CT1115" s="1"/>
      <c r="CU1115" s="1"/>
      <c r="CV1115" s="1"/>
      <c r="CW1115" s="1"/>
      <c r="CX1115" s="1"/>
      <c r="CY1115" s="91" t="str">
        <f t="shared" si="831"/>
        <v/>
      </c>
      <c r="CZ1115" s="1"/>
      <c r="DC1115" s="307"/>
      <c r="DE1115" s="307"/>
    </row>
    <row r="1116">
      <c r="A1116" s="1"/>
      <c r="B1116" s="1"/>
      <c r="C1116" s="76"/>
      <c r="D1116" s="76"/>
      <c r="E1116" s="76"/>
      <c r="F1116" s="76"/>
      <c r="G1116" s="79"/>
      <c r="H1116" s="80"/>
      <c r="I1116" s="79"/>
      <c r="J1116" s="80"/>
      <c r="K1116" s="79"/>
      <c r="L1116" s="142"/>
      <c r="M1116" s="1"/>
      <c r="N1116" s="142"/>
      <c r="O1116" s="1"/>
      <c r="P1116" s="142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79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R1116" s="1"/>
      <c r="CS1116" s="1"/>
      <c r="CT1116" s="1"/>
      <c r="CU1116" s="1"/>
      <c r="CV1116" s="1"/>
      <c r="CW1116" s="1"/>
      <c r="CX1116" s="1"/>
      <c r="CY1116" s="91" t="str">
        <f t="shared" si="831"/>
        <v/>
      </c>
      <c r="CZ1116" s="1"/>
      <c r="DC1116" s="307"/>
      <c r="DE1116" s="307"/>
    </row>
    <row r="1117">
      <c r="A1117" s="1"/>
      <c r="B1117" s="1"/>
      <c r="C1117" s="76"/>
      <c r="D1117" s="76"/>
      <c r="E1117" s="76"/>
      <c r="F1117" s="76"/>
      <c r="G1117" s="79"/>
      <c r="H1117" s="80"/>
      <c r="I1117" s="79"/>
      <c r="J1117" s="80"/>
      <c r="K1117" s="79"/>
      <c r="L1117" s="142"/>
      <c r="M1117" s="1"/>
      <c r="N1117" s="142"/>
      <c r="O1117" s="1"/>
      <c r="P1117" s="142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79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R1117" s="1"/>
      <c r="CS1117" s="1"/>
      <c r="CT1117" s="1"/>
      <c r="CU1117" s="1"/>
      <c r="CV1117" s="1"/>
      <c r="CW1117" s="1"/>
      <c r="CX1117" s="1"/>
      <c r="CY1117" s="91" t="str">
        <f t="shared" si="831"/>
        <v/>
      </c>
      <c r="CZ1117" s="1"/>
      <c r="DC1117" s="307"/>
      <c r="DE1117" s="307"/>
    </row>
    <row r="1118">
      <c r="A1118" s="1"/>
      <c r="B1118" s="1"/>
      <c r="C1118" s="76"/>
      <c r="D1118" s="76"/>
      <c r="E1118" s="76"/>
      <c r="F1118" s="76"/>
      <c r="G1118" s="79"/>
      <c r="H1118" s="80"/>
      <c r="I1118" s="79"/>
      <c r="J1118" s="80"/>
      <c r="K1118" s="79"/>
      <c r="L1118" s="142"/>
      <c r="M1118" s="1"/>
      <c r="N1118" s="142"/>
      <c r="O1118" s="1"/>
      <c r="P1118" s="142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79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R1118" s="1"/>
      <c r="CS1118" s="1"/>
      <c r="CT1118" s="1"/>
      <c r="CU1118" s="1"/>
      <c r="CV1118" s="1"/>
      <c r="CW1118" s="1"/>
      <c r="CX1118" s="1"/>
      <c r="CY1118" s="91" t="str">
        <f t="shared" si="831"/>
        <v/>
      </c>
      <c r="CZ1118" s="1"/>
      <c r="DC1118" s="307"/>
      <c r="DE1118" s="307"/>
    </row>
    <row r="1119">
      <c r="A1119" s="1"/>
      <c r="B1119" s="1"/>
      <c r="C1119" s="76"/>
      <c r="D1119" s="76"/>
      <c r="E1119" s="76"/>
      <c r="F1119" s="76"/>
      <c r="G1119" s="79"/>
      <c r="H1119" s="80"/>
      <c r="I1119" s="79"/>
      <c r="J1119" s="80"/>
      <c r="K1119" s="79"/>
      <c r="L1119" s="142"/>
      <c r="M1119" s="1"/>
      <c r="N1119" s="142"/>
      <c r="O1119" s="1"/>
      <c r="P1119" s="142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79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R1119" s="1"/>
      <c r="CS1119" s="1"/>
      <c r="CT1119" s="1"/>
      <c r="CU1119" s="1"/>
      <c r="CV1119" s="1"/>
      <c r="CW1119" s="1"/>
      <c r="CX1119" s="1"/>
      <c r="CY1119" s="91" t="str">
        <f t="shared" si="831"/>
        <v/>
      </c>
      <c r="CZ1119" s="1"/>
      <c r="DC1119" s="307"/>
      <c r="DE1119" s="307"/>
    </row>
    <row r="1120">
      <c r="A1120" s="1"/>
      <c r="B1120" s="1"/>
      <c r="C1120" s="76"/>
      <c r="D1120" s="76"/>
      <c r="E1120" s="76"/>
      <c r="F1120" s="76"/>
      <c r="G1120" s="79"/>
      <c r="H1120" s="80"/>
      <c r="I1120" s="79"/>
      <c r="J1120" s="80"/>
      <c r="K1120" s="79"/>
      <c r="L1120" s="142"/>
      <c r="M1120" s="1"/>
      <c r="N1120" s="142"/>
      <c r="O1120" s="1"/>
      <c r="P1120" s="142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79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R1120" s="1"/>
      <c r="CS1120" s="1"/>
      <c r="CT1120" s="1"/>
      <c r="CU1120" s="1"/>
      <c r="CV1120" s="1"/>
      <c r="CW1120" s="1"/>
      <c r="CX1120" s="1"/>
      <c r="CY1120" s="91" t="str">
        <f t="shared" si="831"/>
        <v/>
      </c>
      <c r="CZ1120" s="1"/>
      <c r="DC1120" s="307"/>
      <c r="DE1120" s="307"/>
    </row>
    <row r="1121">
      <c r="A1121" s="1"/>
      <c r="B1121" s="1"/>
      <c r="C1121" s="76"/>
      <c r="D1121" s="76"/>
      <c r="E1121" s="76"/>
      <c r="F1121" s="76"/>
      <c r="G1121" s="79"/>
      <c r="H1121" s="80"/>
      <c r="I1121" s="79"/>
      <c r="J1121" s="80"/>
      <c r="K1121" s="79"/>
      <c r="L1121" s="142"/>
      <c r="M1121" s="1"/>
      <c r="N1121" s="142"/>
      <c r="O1121" s="1"/>
      <c r="P1121" s="142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79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R1121" s="1"/>
      <c r="CS1121" s="1"/>
      <c r="CT1121" s="1"/>
      <c r="CU1121" s="1"/>
      <c r="CV1121" s="1"/>
      <c r="CW1121" s="1"/>
      <c r="CX1121" s="1"/>
      <c r="CY1121" s="91" t="str">
        <f t="shared" si="831"/>
        <v/>
      </c>
      <c r="CZ1121" s="1"/>
      <c r="DC1121" s="307"/>
      <c r="DE1121" s="307"/>
    </row>
    <row r="1122">
      <c r="A1122" s="1"/>
      <c r="B1122" s="1"/>
      <c r="C1122" s="76"/>
      <c r="D1122" s="76"/>
      <c r="E1122" s="76"/>
      <c r="F1122" s="76"/>
      <c r="G1122" s="79"/>
      <c r="H1122" s="80"/>
      <c r="I1122" s="79"/>
      <c r="J1122" s="80"/>
      <c r="K1122" s="79"/>
      <c r="L1122" s="142"/>
      <c r="M1122" s="1"/>
      <c r="N1122" s="142"/>
      <c r="O1122" s="1"/>
      <c r="P1122" s="142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79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R1122" s="1"/>
      <c r="CS1122" s="1"/>
      <c r="CT1122" s="1"/>
      <c r="CU1122" s="1"/>
      <c r="CV1122" s="1"/>
      <c r="CW1122" s="1"/>
      <c r="CX1122" s="1"/>
      <c r="CY1122" s="91" t="str">
        <f t="shared" si="831"/>
        <v/>
      </c>
      <c r="CZ1122" s="1"/>
      <c r="DC1122" s="307"/>
      <c r="DE1122" s="307"/>
    </row>
    <row r="1123">
      <c r="A1123" s="1"/>
      <c r="B1123" s="1"/>
      <c r="C1123" s="76"/>
      <c r="D1123" s="76"/>
      <c r="E1123" s="76"/>
      <c r="F1123" s="76"/>
      <c r="G1123" s="79"/>
      <c r="H1123" s="80"/>
      <c r="I1123" s="79"/>
      <c r="J1123" s="80"/>
      <c r="K1123" s="79"/>
      <c r="L1123" s="142"/>
      <c r="M1123" s="1"/>
      <c r="N1123" s="142"/>
      <c r="O1123" s="1"/>
      <c r="P1123" s="142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79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R1123" s="1"/>
      <c r="CS1123" s="1"/>
      <c r="CT1123" s="1"/>
      <c r="CU1123" s="1"/>
      <c r="CV1123" s="1"/>
      <c r="CW1123" s="1"/>
      <c r="CX1123" s="1"/>
      <c r="CY1123" s="91" t="str">
        <f t="shared" si="831"/>
        <v/>
      </c>
      <c r="CZ1123" s="1"/>
      <c r="DC1123" s="307"/>
      <c r="DE1123" s="307"/>
    </row>
    <row r="1124">
      <c r="A1124" s="1"/>
      <c r="B1124" s="1"/>
      <c r="C1124" s="76"/>
      <c r="D1124" s="76"/>
      <c r="E1124" s="76"/>
      <c r="F1124" s="76"/>
      <c r="G1124" s="79"/>
      <c r="H1124" s="80"/>
      <c r="I1124" s="79"/>
      <c r="J1124" s="80"/>
      <c r="K1124" s="79"/>
      <c r="L1124" s="142"/>
      <c r="M1124" s="1"/>
      <c r="N1124" s="142"/>
      <c r="O1124" s="1"/>
      <c r="P1124" s="142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79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R1124" s="1"/>
      <c r="CS1124" s="1"/>
      <c r="CT1124" s="1"/>
      <c r="CU1124" s="1"/>
      <c r="CV1124" s="1"/>
      <c r="CW1124" s="1"/>
      <c r="CX1124" s="1"/>
      <c r="CY1124" s="91" t="str">
        <f t="shared" si="831"/>
        <v/>
      </c>
      <c r="CZ1124" s="1"/>
      <c r="DC1124" s="307"/>
      <c r="DE1124" s="307"/>
    </row>
    <row r="1125">
      <c r="A1125" s="1"/>
      <c r="B1125" s="1"/>
      <c r="C1125" s="76"/>
      <c r="D1125" s="76"/>
      <c r="E1125" s="76"/>
      <c r="F1125" s="76"/>
      <c r="G1125" s="79"/>
      <c r="H1125" s="80"/>
      <c r="I1125" s="79"/>
      <c r="J1125" s="80"/>
      <c r="K1125" s="79"/>
      <c r="L1125" s="142"/>
      <c r="M1125" s="1"/>
      <c r="N1125" s="142"/>
      <c r="O1125" s="1"/>
      <c r="P1125" s="142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79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R1125" s="1"/>
      <c r="CS1125" s="1"/>
      <c r="CT1125" s="1"/>
      <c r="CU1125" s="1"/>
      <c r="CV1125" s="1"/>
      <c r="CW1125" s="1"/>
      <c r="CX1125" s="1"/>
      <c r="CY1125" s="91" t="str">
        <f t="shared" si="831"/>
        <v/>
      </c>
      <c r="CZ1125" s="1"/>
      <c r="DC1125" s="307"/>
      <c r="DE1125" s="307"/>
    </row>
    <row r="1126">
      <c r="A1126" s="1"/>
      <c r="B1126" s="1"/>
      <c r="C1126" s="76"/>
      <c r="D1126" s="76"/>
      <c r="E1126" s="76"/>
      <c r="F1126" s="76"/>
      <c r="G1126" s="79"/>
      <c r="H1126" s="80"/>
      <c r="I1126" s="79"/>
      <c r="J1126" s="80"/>
      <c r="K1126" s="79"/>
      <c r="L1126" s="142"/>
      <c r="M1126" s="1"/>
      <c r="N1126" s="142"/>
      <c r="O1126" s="1"/>
      <c r="P1126" s="142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79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R1126" s="1"/>
      <c r="CS1126" s="1"/>
      <c r="CT1126" s="1"/>
      <c r="CU1126" s="1"/>
      <c r="CV1126" s="1"/>
      <c r="CW1126" s="1"/>
      <c r="CX1126" s="1"/>
      <c r="CY1126" s="91" t="str">
        <f t="shared" si="831"/>
        <v/>
      </c>
      <c r="CZ1126" s="1"/>
      <c r="DC1126" s="307"/>
      <c r="DE1126" s="307"/>
    </row>
    <row r="1127">
      <c r="A1127" s="1"/>
      <c r="B1127" s="1"/>
      <c r="C1127" s="76"/>
      <c r="D1127" s="76"/>
      <c r="E1127" s="76"/>
      <c r="F1127" s="76"/>
      <c r="G1127" s="79"/>
      <c r="H1127" s="80"/>
      <c r="I1127" s="79"/>
      <c r="J1127" s="80"/>
      <c r="K1127" s="79"/>
      <c r="L1127" s="142"/>
      <c r="M1127" s="1"/>
      <c r="N1127" s="142"/>
      <c r="O1127" s="1"/>
      <c r="P1127" s="142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79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R1127" s="1"/>
      <c r="CS1127" s="1"/>
      <c r="CT1127" s="1"/>
      <c r="CU1127" s="1"/>
      <c r="CV1127" s="1"/>
      <c r="CW1127" s="1"/>
      <c r="CX1127" s="1"/>
      <c r="CY1127" s="91" t="str">
        <f t="shared" si="831"/>
        <v/>
      </c>
      <c r="CZ1127" s="1"/>
      <c r="DC1127" s="307"/>
      <c r="DE1127" s="307"/>
    </row>
    <row r="1128">
      <c r="A1128" s="1"/>
      <c r="B1128" s="1"/>
      <c r="C1128" s="76"/>
      <c r="D1128" s="76"/>
      <c r="E1128" s="76"/>
      <c r="F1128" s="76"/>
      <c r="G1128" s="79"/>
      <c r="H1128" s="80"/>
      <c r="I1128" s="79"/>
      <c r="J1128" s="80"/>
      <c r="K1128" s="79"/>
      <c r="L1128" s="142"/>
      <c r="M1128" s="1"/>
      <c r="N1128" s="142"/>
      <c r="O1128" s="1"/>
      <c r="P1128" s="142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79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R1128" s="1"/>
      <c r="CS1128" s="1"/>
      <c r="CT1128" s="1"/>
      <c r="CU1128" s="1"/>
      <c r="CV1128" s="1"/>
      <c r="CW1128" s="1"/>
      <c r="CX1128" s="1"/>
      <c r="CY1128" s="91" t="str">
        <f t="shared" si="831"/>
        <v/>
      </c>
      <c r="CZ1128" s="1"/>
      <c r="DC1128" s="307"/>
      <c r="DE1128" s="307"/>
    </row>
    <row r="1129">
      <c r="A1129" s="1"/>
      <c r="B1129" s="1"/>
      <c r="C1129" s="76"/>
      <c r="D1129" s="76"/>
      <c r="E1129" s="76"/>
      <c r="F1129" s="76"/>
      <c r="G1129" s="79"/>
      <c r="H1129" s="80"/>
      <c r="I1129" s="79"/>
      <c r="J1129" s="80"/>
      <c r="K1129" s="79"/>
      <c r="L1129" s="142"/>
      <c r="M1129" s="1"/>
      <c r="N1129" s="142"/>
      <c r="O1129" s="1"/>
      <c r="P1129" s="142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79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R1129" s="1"/>
      <c r="CS1129" s="1"/>
      <c r="CT1129" s="1"/>
      <c r="CU1129" s="1"/>
      <c r="CV1129" s="1"/>
      <c r="CW1129" s="1"/>
      <c r="CX1129" s="1"/>
      <c r="CY1129" s="91" t="str">
        <f t="shared" si="831"/>
        <v/>
      </c>
      <c r="CZ1129" s="1"/>
      <c r="DC1129" s="307"/>
      <c r="DE1129" s="307"/>
    </row>
    <row r="1130">
      <c r="A1130" s="1"/>
      <c r="B1130" s="1"/>
      <c r="C1130" s="76"/>
      <c r="D1130" s="76"/>
      <c r="E1130" s="76"/>
      <c r="F1130" s="76"/>
      <c r="G1130" s="79"/>
      <c r="H1130" s="80"/>
      <c r="I1130" s="79"/>
      <c r="J1130" s="80"/>
      <c r="K1130" s="79"/>
      <c r="L1130" s="142"/>
      <c r="M1130" s="1"/>
      <c r="N1130" s="142"/>
      <c r="O1130" s="1"/>
      <c r="P1130" s="142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79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R1130" s="1"/>
      <c r="CS1130" s="1"/>
      <c r="CT1130" s="1"/>
      <c r="CU1130" s="1"/>
      <c r="CV1130" s="1"/>
      <c r="CW1130" s="1"/>
      <c r="CX1130" s="1"/>
      <c r="CY1130" s="91" t="str">
        <f t="shared" si="831"/>
        <v/>
      </c>
      <c r="CZ1130" s="1"/>
      <c r="DC1130" s="307"/>
      <c r="DE1130" s="307"/>
    </row>
    <row r="1131">
      <c r="A1131" s="1"/>
      <c r="B1131" s="1"/>
      <c r="C1131" s="76"/>
      <c r="D1131" s="76"/>
      <c r="E1131" s="76"/>
      <c r="F1131" s="76"/>
      <c r="G1131" s="79"/>
      <c r="H1131" s="80"/>
      <c r="I1131" s="79"/>
      <c r="J1131" s="80"/>
      <c r="K1131" s="79"/>
      <c r="L1131" s="142"/>
      <c r="M1131" s="1"/>
      <c r="N1131" s="142"/>
      <c r="O1131" s="1"/>
      <c r="P1131" s="142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79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R1131" s="1"/>
      <c r="CS1131" s="1"/>
      <c r="CT1131" s="1"/>
      <c r="CU1131" s="1"/>
      <c r="CV1131" s="1"/>
      <c r="CW1131" s="1"/>
      <c r="CX1131" s="1"/>
      <c r="CY1131" s="91" t="str">
        <f t="shared" si="831"/>
        <v/>
      </c>
      <c r="CZ1131" s="1"/>
      <c r="DC1131" s="307"/>
      <c r="DE1131" s="307"/>
    </row>
    <row r="1132">
      <c r="A1132" s="1"/>
      <c r="B1132" s="1"/>
      <c r="C1132" s="76"/>
      <c r="D1132" s="76"/>
      <c r="E1132" s="76"/>
      <c r="F1132" s="76"/>
      <c r="G1132" s="79"/>
      <c r="H1132" s="80"/>
      <c r="I1132" s="79"/>
      <c r="J1132" s="80"/>
      <c r="K1132" s="79"/>
      <c r="L1132" s="142"/>
      <c r="M1132" s="1"/>
      <c r="N1132" s="142"/>
      <c r="O1132" s="1"/>
      <c r="P1132" s="142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79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R1132" s="1"/>
      <c r="CS1132" s="1"/>
      <c r="CT1132" s="1"/>
      <c r="CU1132" s="1"/>
      <c r="CV1132" s="1"/>
      <c r="CW1132" s="1"/>
      <c r="CX1132" s="1"/>
      <c r="CY1132" s="91" t="str">
        <f t="shared" si="831"/>
        <v/>
      </c>
      <c r="CZ1132" s="1"/>
      <c r="DC1132" s="307"/>
      <c r="DE1132" s="307"/>
    </row>
    <row r="1133">
      <c r="A1133" s="1"/>
      <c r="B1133" s="1"/>
      <c r="C1133" s="76"/>
      <c r="D1133" s="76"/>
      <c r="E1133" s="76"/>
      <c r="F1133" s="76"/>
      <c r="G1133" s="79"/>
      <c r="H1133" s="80"/>
      <c r="I1133" s="79"/>
      <c r="J1133" s="80"/>
      <c r="K1133" s="79"/>
      <c r="L1133" s="142"/>
      <c r="M1133" s="1"/>
      <c r="N1133" s="142"/>
      <c r="O1133" s="1"/>
      <c r="P1133" s="142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79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R1133" s="1"/>
      <c r="CS1133" s="1"/>
      <c r="CT1133" s="1"/>
      <c r="CU1133" s="1"/>
      <c r="CV1133" s="1"/>
      <c r="CW1133" s="1"/>
      <c r="CX1133" s="1"/>
      <c r="CY1133" s="91" t="str">
        <f t="shared" si="831"/>
        <v/>
      </c>
      <c r="CZ1133" s="1"/>
      <c r="DC1133" s="307"/>
      <c r="DE1133" s="307"/>
    </row>
    <row r="1134">
      <c r="A1134" s="1"/>
      <c r="B1134" s="1"/>
      <c r="C1134" s="76"/>
      <c r="D1134" s="76"/>
      <c r="E1134" s="76"/>
      <c r="F1134" s="76"/>
      <c r="G1134" s="79"/>
      <c r="H1134" s="80"/>
      <c r="I1134" s="79"/>
      <c r="J1134" s="80"/>
      <c r="K1134" s="79"/>
      <c r="L1134" s="142"/>
      <c r="M1134" s="1"/>
      <c r="N1134" s="142"/>
      <c r="O1134" s="1"/>
      <c r="P1134" s="142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79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R1134" s="1"/>
      <c r="CS1134" s="1"/>
      <c r="CT1134" s="1"/>
      <c r="CU1134" s="1"/>
      <c r="CV1134" s="1"/>
      <c r="CW1134" s="1"/>
      <c r="CX1134" s="1"/>
      <c r="CY1134" s="91" t="str">
        <f t="shared" si="831"/>
        <v/>
      </c>
      <c r="CZ1134" s="1"/>
      <c r="DC1134" s="307"/>
      <c r="DE1134" s="307"/>
    </row>
    <row r="1135">
      <c r="A1135" s="1"/>
      <c r="B1135" s="1"/>
      <c r="C1135" s="76"/>
      <c r="D1135" s="76"/>
      <c r="E1135" s="76"/>
      <c r="F1135" s="76"/>
      <c r="G1135" s="79"/>
      <c r="H1135" s="80"/>
      <c r="I1135" s="79"/>
      <c r="J1135" s="80"/>
      <c r="K1135" s="79"/>
      <c r="L1135" s="142"/>
      <c r="M1135" s="1"/>
      <c r="N1135" s="142"/>
      <c r="O1135" s="1"/>
      <c r="P1135" s="142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79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R1135" s="1"/>
      <c r="CS1135" s="1"/>
      <c r="CT1135" s="1"/>
      <c r="CU1135" s="1"/>
      <c r="CV1135" s="1"/>
      <c r="CW1135" s="1"/>
      <c r="CX1135" s="1"/>
      <c r="CY1135" s="91" t="str">
        <f t="shared" si="831"/>
        <v/>
      </c>
      <c r="CZ1135" s="1"/>
      <c r="DC1135" s="307"/>
      <c r="DE1135" s="307"/>
    </row>
    <row r="1136">
      <c r="A1136" s="1"/>
      <c r="B1136" s="1"/>
      <c r="C1136" s="76"/>
      <c r="D1136" s="76"/>
      <c r="E1136" s="76"/>
      <c r="F1136" s="76"/>
      <c r="G1136" s="79"/>
      <c r="H1136" s="80"/>
      <c r="I1136" s="79"/>
      <c r="J1136" s="80"/>
      <c r="K1136" s="79"/>
      <c r="L1136" s="142"/>
      <c r="M1136" s="1"/>
      <c r="N1136" s="142"/>
      <c r="O1136" s="1"/>
      <c r="P1136" s="142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79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R1136" s="1"/>
      <c r="CS1136" s="1"/>
      <c r="CT1136" s="1"/>
      <c r="CU1136" s="1"/>
      <c r="CV1136" s="1"/>
      <c r="CW1136" s="1"/>
      <c r="CX1136" s="1"/>
      <c r="CY1136" s="91" t="str">
        <f t="shared" si="831"/>
        <v/>
      </c>
      <c r="CZ1136" s="1"/>
      <c r="DC1136" s="307"/>
      <c r="DE1136" s="307"/>
    </row>
    <row r="1137">
      <c r="A1137" s="1"/>
      <c r="B1137" s="1"/>
      <c r="C1137" s="76"/>
      <c r="D1137" s="76"/>
      <c r="E1137" s="76"/>
      <c r="F1137" s="76"/>
      <c r="G1137" s="79"/>
      <c r="H1137" s="80"/>
      <c r="I1137" s="79"/>
      <c r="J1137" s="80"/>
      <c r="K1137" s="79"/>
      <c r="L1137" s="142"/>
      <c r="M1137" s="1"/>
      <c r="N1137" s="142"/>
      <c r="O1137" s="1"/>
      <c r="P1137" s="142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79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R1137" s="1"/>
      <c r="CS1137" s="1"/>
      <c r="CT1137" s="1"/>
      <c r="CU1137" s="1"/>
      <c r="CV1137" s="1"/>
      <c r="CW1137" s="1"/>
      <c r="CX1137" s="1"/>
      <c r="CY1137" s="91" t="str">
        <f t="shared" si="831"/>
        <v/>
      </c>
      <c r="CZ1137" s="1"/>
      <c r="DC1137" s="307"/>
      <c r="DE1137" s="307"/>
    </row>
    <row r="1138">
      <c r="A1138" s="1"/>
      <c r="B1138" s="1"/>
      <c r="C1138" s="76"/>
      <c r="D1138" s="76"/>
      <c r="E1138" s="76"/>
      <c r="F1138" s="76"/>
      <c r="G1138" s="79"/>
      <c r="H1138" s="80"/>
      <c r="I1138" s="79"/>
      <c r="J1138" s="80"/>
      <c r="K1138" s="79"/>
      <c r="L1138" s="142"/>
      <c r="M1138" s="1"/>
      <c r="N1138" s="142"/>
      <c r="O1138" s="1"/>
      <c r="P1138" s="142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79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R1138" s="1"/>
      <c r="CS1138" s="1"/>
      <c r="CT1138" s="1"/>
      <c r="CU1138" s="1"/>
      <c r="CV1138" s="1"/>
      <c r="CW1138" s="1"/>
      <c r="CX1138" s="1"/>
      <c r="CY1138" s="91" t="str">
        <f t="shared" si="831"/>
        <v/>
      </c>
      <c r="CZ1138" s="1"/>
      <c r="DC1138" s="307"/>
      <c r="DE1138" s="307"/>
    </row>
    <row r="1139">
      <c r="A1139" s="1"/>
      <c r="B1139" s="1"/>
      <c r="C1139" s="76"/>
      <c r="D1139" s="76"/>
      <c r="E1139" s="76"/>
      <c r="F1139" s="76"/>
      <c r="G1139" s="79"/>
      <c r="H1139" s="80"/>
      <c r="I1139" s="79"/>
      <c r="J1139" s="80"/>
      <c r="K1139" s="79"/>
      <c r="L1139" s="142"/>
      <c r="M1139" s="1"/>
      <c r="N1139" s="142"/>
      <c r="O1139" s="1"/>
      <c r="P1139" s="142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79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R1139" s="1"/>
      <c r="CS1139" s="1"/>
      <c r="CT1139" s="1"/>
      <c r="CU1139" s="1"/>
      <c r="CV1139" s="1"/>
      <c r="CW1139" s="1"/>
      <c r="CX1139" s="1"/>
      <c r="CY1139" s="91" t="str">
        <f t="shared" si="831"/>
        <v/>
      </c>
      <c r="CZ1139" s="1"/>
      <c r="DC1139" s="307"/>
      <c r="DE1139" s="307"/>
    </row>
    <row r="1140">
      <c r="A1140" s="1"/>
      <c r="B1140" s="1"/>
      <c r="C1140" s="76"/>
      <c r="D1140" s="76"/>
      <c r="E1140" s="76"/>
      <c r="F1140" s="76"/>
      <c r="G1140" s="79"/>
      <c r="H1140" s="80"/>
      <c r="I1140" s="79"/>
      <c r="J1140" s="80"/>
      <c r="K1140" s="79"/>
      <c r="L1140" s="142"/>
      <c r="M1140" s="1"/>
      <c r="N1140" s="142"/>
      <c r="O1140" s="1"/>
      <c r="P1140" s="142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79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R1140" s="1"/>
      <c r="CS1140" s="1"/>
      <c r="CT1140" s="1"/>
      <c r="CU1140" s="1"/>
      <c r="CV1140" s="1"/>
      <c r="CW1140" s="1"/>
      <c r="CX1140" s="1"/>
      <c r="CY1140" s="91" t="str">
        <f t="shared" si="831"/>
        <v/>
      </c>
      <c r="CZ1140" s="1"/>
      <c r="DC1140" s="307"/>
      <c r="DE1140" s="307"/>
    </row>
    <row r="1141">
      <c r="A1141" s="1"/>
      <c r="B1141" s="1"/>
      <c r="C1141" s="76"/>
      <c r="D1141" s="76"/>
      <c r="E1141" s="76"/>
      <c r="F1141" s="76"/>
      <c r="G1141" s="79"/>
      <c r="H1141" s="80"/>
      <c r="I1141" s="79"/>
      <c r="J1141" s="80"/>
      <c r="K1141" s="79"/>
      <c r="L1141" s="142"/>
      <c r="M1141" s="1"/>
      <c r="N1141" s="142"/>
      <c r="O1141" s="1"/>
      <c r="P1141" s="142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79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R1141" s="1"/>
      <c r="CS1141" s="1"/>
      <c r="CT1141" s="1"/>
      <c r="CU1141" s="1"/>
      <c r="CV1141" s="1"/>
      <c r="CW1141" s="1"/>
      <c r="CX1141" s="1"/>
      <c r="CY1141" s="91" t="str">
        <f t="shared" si="831"/>
        <v/>
      </c>
      <c r="CZ1141" s="1"/>
      <c r="DC1141" s="307"/>
      <c r="DE1141" s="307"/>
    </row>
    <row r="1142">
      <c r="A1142" s="1"/>
      <c r="B1142" s="1"/>
      <c r="C1142" s="76"/>
      <c r="D1142" s="76"/>
      <c r="E1142" s="76"/>
      <c r="F1142" s="76"/>
      <c r="G1142" s="79"/>
      <c r="H1142" s="80"/>
      <c r="I1142" s="79"/>
      <c r="J1142" s="80"/>
      <c r="K1142" s="79"/>
      <c r="L1142" s="142"/>
      <c r="M1142" s="1"/>
      <c r="N1142" s="142"/>
      <c r="O1142" s="1"/>
      <c r="P1142" s="142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79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R1142" s="1"/>
      <c r="CS1142" s="1"/>
      <c r="CT1142" s="1"/>
      <c r="CU1142" s="1"/>
      <c r="CV1142" s="1"/>
      <c r="CW1142" s="1"/>
      <c r="CX1142" s="1"/>
      <c r="CY1142" s="91" t="str">
        <f t="shared" si="831"/>
        <v/>
      </c>
      <c r="CZ1142" s="1"/>
      <c r="DC1142" s="307"/>
      <c r="DE1142" s="307"/>
    </row>
    <row r="1143">
      <c r="A1143" s="1"/>
      <c r="B1143" s="1"/>
      <c r="C1143" s="76"/>
      <c r="D1143" s="76"/>
      <c r="E1143" s="76"/>
      <c r="F1143" s="76"/>
      <c r="G1143" s="79"/>
      <c r="H1143" s="80"/>
      <c r="I1143" s="79"/>
      <c r="J1143" s="80"/>
      <c r="K1143" s="79"/>
      <c r="L1143" s="142"/>
      <c r="M1143" s="1"/>
      <c r="N1143" s="142"/>
      <c r="O1143" s="1"/>
      <c r="P1143" s="142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79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R1143" s="1"/>
      <c r="CS1143" s="1"/>
      <c r="CT1143" s="1"/>
      <c r="CU1143" s="1"/>
      <c r="CV1143" s="1"/>
      <c r="CW1143" s="1"/>
      <c r="CX1143" s="1"/>
      <c r="CY1143" s="91" t="str">
        <f t="shared" si="831"/>
        <v/>
      </c>
      <c r="CZ1143" s="1"/>
      <c r="DC1143" s="307"/>
      <c r="DE1143" s="307"/>
    </row>
    <row r="1144">
      <c r="A1144" s="1"/>
      <c r="B1144" s="1"/>
      <c r="C1144" s="76"/>
      <c r="D1144" s="76"/>
      <c r="E1144" s="76"/>
      <c r="F1144" s="76"/>
      <c r="G1144" s="79"/>
      <c r="H1144" s="80"/>
      <c r="I1144" s="79"/>
      <c r="J1144" s="80"/>
      <c r="K1144" s="79"/>
      <c r="L1144" s="142"/>
      <c r="M1144" s="1"/>
      <c r="N1144" s="142"/>
      <c r="O1144" s="1"/>
      <c r="P1144" s="142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79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R1144" s="1"/>
      <c r="CS1144" s="1"/>
      <c r="CT1144" s="1"/>
      <c r="CU1144" s="1"/>
      <c r="CV1144" s="1"/>
      <c r="CW1144" s="1"/>
      <c r="CX1144" s="1"/>
      <c r="CY1144" s="91" t="str">
        <f t="shared" si="831"/>
        <v/>
      </c>
      <c r="CZ1144" s="1"/>
      <c r="DC1144" s="307"/>
      <c r="DE1144" s="307"/>
    </row>
    <row r="1145">
      <c r="A1145" s="1"/>
      <c r="B1145" s="1"/>
      <c r="C1145" s="76"/>
      <c r="D1145" s="76"/>
      <c r="E1145" s="76"/>
      <c r="F1145" s="76"/>
      <c r="G1145" s="79"/>
      <c r="H1145" s="80"/>
      <c r="I1145" s="79"/>
      <c r="J1145" s="80"/>
      <c r="K1145" s="79"/>
      <c r="L1145" s="142"/>
      <c r="M1145" s="1"/>
      <c r="N1145" s="142"/>
      <c r="O1145" s="1"/>
      <c r="P1145" s="142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79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R1145" s="1"/>
      <c r="CS1145" s="1"/>
      <c r="CT1145" s="1"/>
      <c r="CU1145" s="1"/>
      <c r="CV1145" s="1"/>
      <c r="CW1145" s="1"/>
      <c r="CX1145" s="1"/>
      <c r="CY1145" s="91" t="str">
        <f t="shared" si="831"/>
        <v/>
      </c>
      <c r="CZ1145" s="1"/>
      <c r="DC1145" s="307"/>
      <c r="DE1145" s="307"/>
    </row>
    <row r="1146">
      <c r="A1146" s="1"/>
      <c r="B1146" s="1"/>
      <c r="C1146" s="76"/>
      <c r="D1146" s="76"/>
      <c r="E1146" s="76"/>
      <c r="F1146" s="76"/>
      <c r="G1146" s="79"/>
      <c r="H1146" s="80"/>
      <c r="I1146" s="79"/>
      <c r="J1146" s="80"/>
      <c r="K1146" s="79"/>
      <c r="L1146" s="142"/>
      <c r="M1146" s="1"/>
      <c r="N1146" s="142"/>
      <c r="O1146" s="1"/>
      <c r="P1146" s="142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79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R1146" s="1"/>
      <c r="CS1146" s="1"/>
      <c r="CT1146" s="1"/>
      <c r="CU1146" s="1"/>
      <c r="CV1146" s="1"/>
      <c r="CW1146" s="1"/>
      <c r="CX1146" s="1"/>
      <c r="CY1146" s="91" t="str">
        <f t="shared" si="831"/>
        <v/>
      </c>
      <c r="CZ1146" s="1"/>
      <c r="DC1146" s="307"/>
      <c r="DE1146" s="307"/>
    </row>
    <row r="1147">
      <c r="A1147" s="1"/>
      <c r="B1147" s="1"/>
      <c r="C1147" s="76"/>
      <c r="D1147" s="76"/>
      <c r="E1147" s="76"/>
      <c r="F1147" s="76"/>
      <c r="G1147" s="79"/>
      <c r="H1147" s="80"/>
      <c r="I1147" s="79"/>
      <c r="J1147" s="80"/>
      <c r="K1147" s="79"/>
      <c r="L1147" s="142"/>
      <c r="M1147" s="1"/>
      <c r="N1147" s="142"/>
      <c r="O1147" s="1"/>
      <c r="P1147" s="142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79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R1147" s="1"/>
      <c r="CS1147" s="1"/>
      <c r="CT1147" s="1"/>
      <c r="CU1147" s="1"/>
      <c r="CV1147" s="1"/>
      <c r="CW1147" s="1"/>
      <c r="CX1147" s="1"/>
      <c r="CY1147" s="91" t="str">
        <f t="shared" si="831"/>
        <v/>
      </c>
      <c r="CZ1147" s="1"/>
      <c r="DC1147" s="307"/>
      <c r="DE1147" s="307"/>
    </row>
    <row r="1148">
      <c r="A1148" s="1"/>
      <c r="B1148" s="1"/>
      <c r="C1148" s="76"/>
      <c r="D1148" s="76"/>
      <c r="E1148" s="76"/>
      <c r="F1148" s="76"/>
      <c r="G1148" s="79"/>
      <c r="H1148" s="80"/>
      <c r="I1148" s="79"/>
      <c r="J1148" s="80"/>
      <c r="K1148" s="79"/>
      <c r="L1148" s="142"/>
      <c r="M1148" s="1"/>
      <c r="N1148" s="142"/>
      <c r="O1148" s="1"/>
      <c r="P1148" s="142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79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R1148" s="1"/>
      <c r="CS1148" s="1"/>
      <c r="CT1148" s="1"/>
      <c r="CU1148" s="1"/>
      <c r="CV1148" s="1"/>
      <c r="CW1148" s="1"/>
      <c r="CX1148" s="1"/>
      <c r="CY1148" s="91" t="str">
        <f t="shared" si="831"/>
        <v/>
      </c>
      <c r="CZ1148" s="1"/>
      <c r="DC1148" s="307"/>
      <c r="DE1148" s="307"/>
    </row>
    <row r="1149">
      <c r="A1149" s="1"/>
      <c r="B1149" s="1"/>
      <c r="C1149" s="76"/>
      <c r="D1149" s="76"/>
      <c r="E1149" s="76"/>
      <c r="F1149" s="76"/>
      <c r="G1149" s="79"/>
      <c r="H1149" s="80"/>
      <c r="I1149" s="79"/>
      <c r="J1149" s="80"/>
      <c r="K1149" s="79"/>
      <c r="L1149" s="142"/>
      <c r="M1149" s="1"/>
      <c r="N1149" s="142"/>
      <c r="O1149" s="1"/>
      <c r="P1149" s="142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79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R1149" s="1"/>
      <c r="CS1149" s="1"/>
      <c r="CT1149" s="1"/>
      <c r="CU1149" s="1"/>
      <c r="CV1149" s="1"/>
      <c r="CW1149" s="1"/>
      <c r="CX1149" s="1"/>
      <c r="CY1149" s="91" t="str">
        <f t="shared" si="831"/>
        <v/>
      </c>
      <c r="CZ1149" s="1"/>
      <c r="DC1149" s="307"/>
      <c r="DE1149" s="307"/>
    </row>
    <row r="1150">
      <c r="A1150" s="1"/>
      <c r="B1150" s="1"/>
      <c r="C1150" s="76"/>
      <c r="D1150" s="76"/>
      <c r="E1150" s="76"/>
      <c r="F1150" s="76"/>
      <c r="G1150" s="79"/>
      <c r="H1150" s="80"/>
      <c r="I1150" s="79"/>
      <c r="J1150" s="80"/>
      <c r="K1150" s="79"/>
      <c r="L1150" s="142"/>
      <c r="M1150" s="1"/>
      <c r="N1150" s="142"/>
      <c r="O1150" s="1"/>
      <c r="P1150" s="142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79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R1150" s="1"/>
      <c r="CS1150" s="1"/>
      <c r="CT1150" s="1"/>
      <c r="CU1150" s="1"/>
      <c r="CV1150" s="1"/>
      <c r="CW1150" s="1"/>
      <c r="CX1150" s="1"/>
      <c r="CY1150" s="91" t="str">
        <f t="shared" si="831"/>
        <v/>
      </c>
      <c r="CZ1150" s="1"/>
      <c r="DC1150" s="307"/>
      <c r="DE1150" s="307"/>
    </row>
    <row r="1151">
      <c r="A1151" s="1"/>
      <c r="B1151" s="1"/>
      <c r="C1151" s="76"/>
      <c r="D1151" s="76"/>
      <c r="E1151" s="76"/>
      <c r="F1151" s="76"/>
      <c r="G1151" s="79"/>
      <c r="H1151" s="80"/>
      <c r="I1151" s="79"/>
      <c r="J1151" s="80"/>
      <c r="K1151" s="79"/>
      <c r="L1151" s="142"/>
      <c r="M1151" s="1"/>
      <c r="N1151" s="142"/>
      <c r="O1151" s="1"/>
      <c r="P1151" s="142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79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R1151" s="1"/>
      <c r="CS1151" s="1"/>
      <c r="CT1151" s="1"/>
      <c r="CU1151" s="1"/>
      <c r="CV1151" s="1"/>
      <c r="CW1151" s="1"/>
      <c r="CX1151" s="1"/>
      <c r="CY1151" s="91" t="str">
        <f t="shared" si="831"/>
        <v/>
      </c>
      <c r="CZ1151" s="1"/>
      <c r="DC1151" s="307"/>
      <c r="DE1151" s="307"/>
    </row>
    <row r="1152">
      <c r="A1152" s="1"/>
      <c r="B1152" s="1"/>
      <c r="C1152" s="76"/>
      <c r="D1152" s="76"/>
      <c r="E1152" s="76"/>
      <c r="F1152" s="76"/>
      <c r="G1152" s="79"/>
      <c r="H1152" s="80"/>
      <c r="I1152" s="79"/>
      <c r="J1152" s="80"/>
      <c r="K1152" s="79"/>
      <c r="L1152" s="142"/>
      <c r="M1152" s="1"/>
      <c r="N1152" s="142"/>
      <c r="O1152" s="1"/>
      <c r="P1152" s="142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79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R1152" s="1"/>
      <c r="CS1152" s="1"/>
      <c r="CT1152" s="1"/>
      <c r="CU1152" s="1"/>
      <c r="CV1152" s="1"/>
      <c r="CW1152" s="1"/>
      <c r="CX1152" s="1"/>
      <c r="CY1152" s="91" t="str">
        <f t="shared" si="831"/>
        <v/>
      </c>
      <c r="CZ1152" s="1"/>
      <c r="DC1152" s="307"/>
      <c r="DE1152" s="307"/>
    </row>
    <row r="1153">
      <c r="A1153" s="1"/>
      <c r="B1153" s="1"/>
      <c r="C1153" s="76"/>
      <c r="D1153" s="76"/>
      <c r="E1153" s="76"/>
      <c r="F1153" s="76"/>
      <c r="G1153" s="79"/>
      <c r="H1153" s="80"/>
      <c r="I1153" s="79"/>
      <c r="J1153" s="80"/>
      <c r="K1153" s="79"/>
      <c r="L1153" s="142"/>
      <c r="M1153" s="1"/>
      <c r="N1153" s="142"/>
      <c r="O1153" s="1"/>
      <c r="P1153" s="142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79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R1153" s="1"/>
      <c r="CS1153" s="1"/>
      <c r="CT1153" s="1"/>
      <c r="CU1153" s="1"/>
      <c r="CV1153" s="1"/>
      <c r="CW1153" s="1"/>
      <c r="CX1153" s="1"/>
      <c r="CY1153" s="91" t="str">
        <f t="shared" si="831"/>
        <v/>
      </c>
      <c r="CZ1153" s="1"/>
      <c r="DC1153" s="307"/>
      <c r="DE1153" s="307"/>
    </row>
    <row r="1154">
      <c r="A1154" s="1"/>
      <c r="B1154" s="1"/>
      <c r="C1154" s="76"/>
      <c r="D1154" s="76"/>
      <c r="E1154" s="76"/>
      <c r="F1154" s="76"/>
      <c r="G1154" s="79"/>
      <c r="H1154" s="80"/>
      <c r="I1154" s="79"/>
      <c r="J1154" s="80"/>
      <c r="K1154" s="79"/>
      <c r="L1154" s="142"/>
      <c r="M1154" s="1"/>
      <c r="N1154" s="142"/>
      <c r="O1154" s="1"/>
      <c r="P1154" s="142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79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R1154" s="1"/>
      <c r="CS1154" s="1"/>
      <c r="CT1154" s="1"/>
      <c r="CU1154" s="1"/>
      <c r="CV1154" s="1"/>
      <c r="CW1154" s="1"/>
      <c r="CX1154" s="1"/>
      <c r="CY1154" s="91" t="str">
        <f t="shared" si="831"/>
        <v/>
      </c>
      <c r="CZ1154" s="1"/>
      <c r="DC1154" s="307"/>
      <c r="DE1154" s="307"/>
    </row>
    <row r="1155">
      <c r="A1155" s="1"/>
      <c r="B1155" s="1"/>
      <c r="C1155" s="76"/>
      <c r="D1155" s="76"/>
      <c r="E1155" s="76"/>
      <c r="F1155" s="76"/>
      <c r="G1155" s="79"/>
      <c r="H1155" s="80"/>
      <c r="I1155" s="79"/>
      <c r="J1155" s="80"/>
      <c r="K1155" s="79"/>
      <c r="L1155" s="142"/>
      <c r="M1155" s="1"/>
      <c r="N1155" s="142"/>
      <c r="O1155" s="1"/>
      <c r="P1155" s="142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79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R1155" s="1"/>
      <c r="CS1155" s="1"/>
      <c r="CT1155" s="1"/>
      <c r="CU1155" s="1"/>
      <c r="CV1155" s="1"/>
      <c r="CW1155" s="1"/>
      <c r="CX1155" s="1"/>
      <c r="CY1155" s="91" t="str">
        <f t="shared" si="831"/>
        <v/>
      </c>
      <c r="CZ1155" s="1"/>
      <c r="DC1155" s="307"/>
      <c r="DE1155" s="307"/>
    </row>
    <row r="1156">
      <c r="A1156" s="1"/>
      <c r="B1156" s="1"/>
      <c r="C1156" s="76"/>
      <c r="D1156" s="76"/>
      <c r="E1156" s="76"/>
      <c r="F1156" s="76"/>
      <c r="G1156" s="79"/>
      <c r="H1156" s="80"/>
      <c r="I1156" s="79"/>
      <c r="J1156" s="80"/>
      <c r="K1156" s="79"/>
      <c r="L1156" s="142"/>
      <c r="M1156" s="1"/>
      <c r="N1156" s="142"/>
      <c r="O1156" s="1"/>
      <c r="P1156" s="142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79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R1156" s="1"/>
      <c r="CS1156" s="1"/>
      <c r="CT1156" s="1"/>
      <c r="CU1156" s="1"/>
      <c r="CV1156" s="1"/>
      <c r="CW1156" s="1"/>
      <c r="CX1156" s="1"/>
      <c r="CY1156" s="91" t="str">
        <f t="shared" si="831"/>
        <v/>
      </c>
      <c r="CZ1156" s="1"/>
      <c r="DC1156" s="307"/>
      <c r="DE1156" s="307"/>
    </row>
    <row r="1157">
      <c r="A1157" s="1"/>
      <c r="B1157" s="1"/>
      <c r="C1157" s="76"/>
      <c r="D1157" s="76"/>
      <c r="E1157" s="76"/>
      <c r="F1157" s="76"/>
      <c r="G1157" s="79"/>
      <c r="H1157" s="80"/>
      <c r="I1157" s="79"/>
      <c r="J1157" s="80"/>
      <c r="K1157" s="79"/>
      <c r="L1157" s="142"/>
      <c r="M1157" s="1"/>
      <c r="N1157" s="142"/>
      <c r="O1157" s="1"/>
      <c r="P1157" s="142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79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R1157" s="1"/>
      <c r="CS1157" s="1"/>
      <c r="CT1157" s="1"/>
      <c r="CU1157" s="1"/>
      <c r="CV1157" s="1"/>
      <c r="CW1157" s="1"/>
      <c r="CX1157" s="1"/>
      <c r="CY1157" s="91" t="str">
        <f t="shared" si="831"/>
        <v/>
      </c>
      <c r="CZ1157" s="1"/>
      <c r="DC1157" s="307"/>
      <c r="DE1157" s="307"/>
    </row>
    <row r="1158">
      <c r="A1158" s="1"/>
      <c r="B1158" s="1"/>
      <c r="C1158" s="76"/>
      <c r="D1158" s="76"/>
      <c r="E1158" s="76"/>
      <c r="F1158" s="76"/>
      <c r="G1158" s="79"/>
      <c r="H1158" s="80"/>
      <c r="I1158" s="79"/>
      <c r="J1158" s="80"/>
      <c r="K1158" s="79"/>
      <c r="L1158" s="142"/>
      <c r="M1158" s="1"/>
      <c r="N1158" s="142"/>
      <c r="O1158" s="1"/>
      <c r="P1158" s="142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79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R1158" s="1"/>
      <c r="CS1158" s="1"/>
      <c r="CT1158" s="1"/>
      <c r="CU1158" s="1"/>
      <c r="CV1158" s="1"/>
      <c r="CW1158" s="1"/>
      <c r="CX1158" s="1"/>
      <c r="CY1158" s="91" t="str">
        <f t="shared" si="831"/>
        <v/>
      </c>
      <c r="CZ1158" s="1"/>
      <c r="DC1158" s="307"/>
      <c r="DE1158" s="307"/>
    </row>
    <row r="1159">
      <c r="A1159" s="1"/>
      <c r="B1159" s="1"/>
      <c r="C1159" s="76"/>
      <c r="D1159" s="76"/>
      <c r="E1159" s="76"/>
      <c r="F1159" s="76"/>
      <c r="G1159" s="79"/>
      <c r="H1159" s="80"/>
      <c r="I1159" s="79"/>
      <c r="J1159" s="80"/>
      <c r="K1159" s="79"/>
      <c r="L1159" s="142"/>
      <c r="M1159" s="1"/>
      <c r="N1159" s="142"/>
      <c r="O1159" s="1"/>
      <c r="P1159" s="142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79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R1159" s="1"/>
      <c r="CS1159" s="1"/>
      <c r="CT1159" s="1"/>
      <c r="CU1159" s="1"/>
      <c r="CV1159" s="1"/>
      <c r="CW1159" s="1"/>
      <c r="CX1159" s="1"/>
      <c r="CY1159" s="91" t="str">
        <f t="shared" si="831"/>
        <v/>
      </c>
      <c r="CZ1159" s="1"/>
      <c r="DC1159" s="307"/>
      <c r="DE1159" s="307"/>
    </row>
    <row r="1160">
      <c r="A1160" s="1"/>
      <c r="B1160" s="1"/>
      <c r="C1160" s="76"/>
      <c r="D1160" s="76"/>
      <c r="E1160" s="76"/>
      <c r="F1160" s="76"/>
      <c r="G1160" s="79"/>
      <c r="H1160" s="80"/>
      <c r="I1160" s="79"/>
      <c r="J1160" s="80"/>
      <c r="K1160" s="79"/>
      <c r="L1160" s="142"/>
      <c r="M1160" s="1"/>
      <c r="N1160" s="142"/>
      <c r="O1160" s="1"/>
      <c r="P1160" s="142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79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R1160" s="1"/>
      <c r="CS1160" s="1"/>
      <c r="CT1160" s="1"/>
      <c r="CU1160" s="1"/>
      <c r="CV1160" s="1"/>
      <c r="CW1160" s="1"/>
      <c r="CX1160" s="1"/>
      <c r="CY1160" s="91" t="str">
        <f t="shared" si="831"/>
        <v/>
      </c>
      <c r="CZ1160" s="1"/>
      <c r="DC1160" s="307"/>
      <c r="DE1160" s="307"/>
    </row>
    <row r="1161">
      <c r="A1161" s="1"/>
      <c r="B1161" s="1"/>
      <c r="C1161" s="76"/>
      <c r="D1161" s="76"/>
      <c r="E1161" s="76"/>
      <c r="F1161" s="76"/>
      <c r="G1161" s="79"/>
      <c r="H1161" s="80"/>
      <c r="I1161" s="79"/>
      <c r="J1161" s="80"/>
      <c r="K1161" s="79"/>
      <c r="L1161" s="142"/>
      <c r="M1161" s="1"/>
      <c r="N1161" s="142"/>
      <c r="O1161" s="1"/>
      <c r="P1161" s="142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79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R1161" s="1"/>
      <c r="CS1161" s="1"/>
      <c r="CT1161" s="1"/>
      <c r="CU1161" s="1"/>
      <c r="CV1161" s="1"/>
      <c r="CW1161" s="1"/>
      <c r="CX1161" s="1"/>
      <c r="CY1161" s="91" t="str">
        <f t="shared" si="831"/>
        <v/>
      </c>
      <c r="CZ1161" s="1"/>
      <c r="DC1161" s="307"/>
      <c r="DE1161" s="307"/>
    </row>
    <row r="1162">
      <c r="A1162" s="1"/>
      <c r="B1162" s="1"/>
      <c r="C1162" s="76"/>
      <c r="D1162" s="76"/>
      <c r="E1162" s="76"/>
      <c r="F1162" s="76"/>
      <c r="G1162" s="79"/>
      <c r="H1162" s="80"/>
      <c r="I1162" s="79"/>
      <c r="J1162" s="80"/>
      <c r="K1162" s="79"/>
      <c r="L1162" s="142"/>
      <c r="M1162" s="1"/>
      <c r="N1162" s="142"/>
      <c r="O1162" s="1"/>
      <c r="P1162" s="142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79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R1162" s="1"/>
      <c r="CS1162" s="1"/>
      <c r="CT1162" s="1"/>
      <c r="CU1162" s="1"/>
      <c r="CV1162" s="1"/>
      <c r="CW1162" s="1"/>
      <c r="CX1162" s="1"/>
      <c r="CY1162" s="91" t="str">
        <f t="shared" si="831"/>
        <v/>
      </c>
      <c r="CZ1162" s="1"/>
      <c r="DC1162" s="307"/>
      <c r="DE1162" s="307"/>
    </row>
    <row r="1163">
      <c r="A1163" s="1"/>
      <c r="B1163" s="1"/>
      <c r="C1163" s="76"/>
      <c r="D1163" s="76"/>
      <c r="E1163" s="76"/>
      <c r="F1163" s="76"/>
      <c r="G1163" s="79"/>
      <c r="H1163" s="80"/>
      <c r="I1163" s="79"/>
      <c r="J1163" s="80"/>
      <c r="K1163" s="79"/>
      <c r="L1163" s="142"/>
      <c r="M1163" s="1"/>
      <c r="N1163" s="142"/>
      <c r="O1163" s="1"/>
      <c r="P1163" s="142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79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R1163" s="1"/>
      <c r="CS1163" s="1"/>
      <c r="CT1163" s="1"/>
      <c r="CU1163" s="1"/>
      <c r="CV1163" s="1"/>
      <c r="CW1163" s="1"/>
      <c r="CX1163" s="1"/>
      <c r="CY1163" s="91" t="str">
        <f t="shared" si="831"/>
        <v/>
      </c>
      <c r="CZ1163" s="1"/>
      <c r="DC1163" s="307"/>
      <c r="DE1163" s="307"/>
    </row>
    <row r="1164">
      <c r="A1164" s="1"/>
      <c r="B1164" s="1"/>
      <c r="C1164" s="76"/>
      <c r="D1164" s="76"/>
      <c r="E1164" s="76"/>
      <c r="F1164" s="76"/>
      <c r="G1164" s="79"/>
      <c r="H1164" s="80"/>
      <c r="I1164" s="79"/>
      <c r="J1164" s="80"/>
      <c r="K1164" s="79"/>
      <c r="L1164" s="142"/>
      <c r="M1164" s="1"/>
      <c r="N1164" s="142"/>
      <c r="O1164" s="1"/>
      <c r="P1164" s="142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79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R1164" s="1"/>
      <c r="CS1164" s="1"/>
      <c r="CT1164" s="1"/>
      <c r="CU1164" s="1"/>
      <c r="CV1164" s="1"/>
      <c r="CW1164" s="1"/>
      <c r="CX1164" s="1"/>
      <c r="CY1164" s="91" t="str">
        <f t="shared" si="831"/>
        <v/>
      </c>
      <c r="CZ1164" s="1"/>
      <c r="DC1164" s="307"/>
      <c r="DE1164" s="307"/>
    </row>
    <row r="1165">
      <c r="A1165" s="1"/>
      <c r="B1165" s="1"/>
      <c r="C1165" s="76"/>
      <c r="D1165" s="76"/>
      <c r="E1165" s="76"/>
      <c r="F1165" s="76"/>
      <c r="G1165" s="79"/>
      <c r="H1165" s="80"/>
      <c r="I1165" s="79"/>
      <c r="J1165" s="80"/>
      <c r="K1165" s="79"/>
      <c r="L1165" s="142"/>
      <c r="M1165" s="1"/>
      <c r="N1165" s="142"/>
      <c r="O1165" s="1"/>
      <c r="P1165" s="142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79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R1165" s="1"/>
      <c r="CS1165" s="1"/>
      <c r="CT1165" s="1"/>
      <c r="CU1165" s="1"/>
      <c r="CV1165" s="1"/>
      <c r="CW1165" s="1"/>
      <c r="CX1165" s="1"/>
      <c r="CY1165" s="91" t="str">
        <f t="shared" si="831"/>
        <v/>
      </c>
      <c r="CZ1165" s="1"/>
      <c r="DC1165" s="307"/>
      <c r="DE1165" s="307"/>
    </row>
    <row r="1166">
      <c r="A1166" s="1"/>
      <c r="B1166" s="1"/>
      <c r="C1166" s="76"/>
      <c r="D1166" s="76"/>
      <c r="E1166" s="76"/>
      <c r="F1166" s="76"/>
      <c r="G1166" s="79"/>
      <c r="H1166" s="80"/>
      <c r="I1166" s="79"/>
      <c r="J1166" s="80"/>
      <c r="K1166" s="79"/>
      <c r="L1166" s="142"/>
      <c r="M1166" s="1"/>
      <c r="N1166" s="142"/>
      <c r="O1166" s="1"/>
      <c r="P1166" s="142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79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R1166" s="1"/>
      <c r="CS1166" s="1"/>
      <c r="CT1166" s="1"/>
      <c r="CU1166" s="1"/>
      <c r="CV1166" s="1"/>
      <c r="CW1166" s="1"/>
      <c r="CX1166" s="1"/>
      <c r="CY1166" s="91" t="str">
        <f t="shared" si="831"/>
        <v/>
      </c>
      <c r="CZ1166" s="1"/>
      <c r="DC1166" s="307"/>
      <c r="DE1166" s="307"/>
    </row>
    <row r="1167">
      <c r="A1167" s="1"/>
      <c r="B1167" s="1"/>
      <c r="C1167" s="76"/>
      <c r="D1167" s="76"/>
      <c r="E1167" s="76"/>
      <c r="F1167" s="76"/>
      <c r="G1167" s="79"/>
      <c r="H1167" s="80"/>
      <c r="I1167" s="79"/>
      <c r="J1167" s="80"/>
      <c r="K1167" s="79"/>
      <c r="L1167" s="142"/>
      <c r="M1167" s="1"/>
      <c r="N1167" s="142"/>
      <c r="O1167" s="1"/>
      <c r="P1167" s="142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79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R1167" s="1"/>
      <c r="CS1167" s="1"/>
      <c r="CT1167" s="1"/>
      <c r="CU1167" s="1"/>
      <c r="CV1167" s="1"/>
      <c r="CW1167" s="1"/>
      <c r="CX1167" s="1"/>
      <c r="CY1167" s="91" t="str">
        <f t="shared" si="831"/>
        <v/>
      </c>
      <c r="CZ1167" s="1"/>
      <c r="DC1167" s="307"/>
      <c r="DE1167" s="307"/>
    </row>
    <row r="1168">
      <c r="A1168" s="1"/>
      <c r="B1168" s="1"/>
      <c r="C1168" s="76"/>
      <c r="D1168" s="76"/>
      <c r="E1168" s="76"/>
      <c r="F1168" s="76"/>
      <c r="G1168" s="79"/>
      <c r="H1168" s="80"/>
      <c r="I1168" s="79"/>
      <c r="J1168" s="80"/>
      <c r="K1168" s="79"/>
      <c r="L1168" s="142"/>
      <c r="M1168" s="1"/>
      <c r="N1168" s="142"/>
      <c r="O1168" s="1"/>
      <c r="P1168" s="142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79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R1168" s="1"/>
      <c r="CS1168" s="1"/>
      <c r="CT1168" s="1"/>
      <c r="CU1168" s="1"/>
      <c r="CV1168" s="1"/>
      <c r="CW1168" s="1"/>
      <c r="CX1168" s="1"/>
      <c r="CY1168" s="91" t="str">
        <f t="shared" si="831"/>
        <v/>
      </c>
      <c r="CZ1168" s="1"/>
      <c r="DC1168" s="307"/>
      <c r="DE1168" s="307"/>
    </row>
    <row r="1169">
      <c r="A1169" s="1"/>
      <c r="B1169" s="1"/>
      <c r="C1169" s="76"/>
      <c r="D1169" s="76"/>
      <c r="E1169" s="76"/>
      <c r="F1169" s="76"/>
      <c r="G1169" s="79"/>
      <c r="H1169" s="80"/>
      <c r="I1169" s="79"/>
      <c r="J1169" s="80"/>
      <c r="K1169" s="79"/>
      <c r="L1169" s="142"/>
      <c r="M1169" s="1"/>
      <c r="N1169" s="142"/>
      <c r="O1169" s="1"/>
      <c r="P1169" s="142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79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R1169" s="1"/>
      <c r="CS1169" s="1"/>
      <c r="CT1169" s="1"/>
      <c r="CU1169" s="1"/>
      <c r="CV1169" s="1"/>
      <c r="CW1169" s="1"/>
      <c r="CX1169" s="1"/>
      <c r="CY1169" s="91" t="str">
        <f t="shared" si="831"/>
        <v/>
      </c>
      <c r="CZ1169" s="1"/>
      <c r="DC1169" s="307"/>
      <c r="DE1169" s="307"/>
    </row>
    <row r="1170">
      <c r="A1170" s="1"/>
      <c r="B1170" s="1"/>
      <c r="C1170" s="76"/>
      <c r="D1170" s="76"/>
      <c r="E1170" s="76"/>
      <c r="F1170" s="76"/>
      <c r="G1170" s="79"/>
      <c r="H1170" s="80"/>
      <c r="I1170" s="79"/>
      <c r="J1170" s="80"/>
      <c r="K1170" s="79"/>
      <c r="L1170" s="142"/>
      <c r="M1170" s="1"/>
      <c r="N1170" s="142"/>
      <c r="O1170" s="1"/>
      <c r="P1170" s="142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79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R1170" s="1"/>
      <c r="CS1170" s="1"/>
      <c r="CT1170" s="1"/>
      <c r="CU1170" s="1"/>
      <c r="CV1170" s="1"/>
      <c r="CW1170" s="1"/>
      <c r="CX1170" s="1"/>
      <c r="CY1170" s="91" t="str">
        <f t="shared" si="831"/>
        <v/>
      </c>
      <c r="CZ1170" s="1"/>
      <c r="DC1170" s="307"/>
      <c r="DE1170" s="307"/>
    </row>
    <row r="1171">
      <c r="A1171" s="1"/>
      <c r="B1171" s="1"/>
      <c r="C1171" s="76"/>
      <c r="D1171" s="76"/>
      <c r="E1171" s="76"/>
      <c r="F1171" s="76"/>
      <c r="G1171" s="79"/>
      <c r="H1171" s="80"/>
      <c r="I1171" s="79"/>
      <c r="J1171" s="80"/>
      <c r="K1171" s="79"/>
      <c r="L1171" s="142"/>
      <c r="M1171" s="1"/>
      <c r="N1171" s="142"/>
      <c r="O1171" s="1"/>
      <c r="P1171" s="142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79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R1171" s="1"/>
      <c r="CS1171" s="1"/>
      <c r="CT1171" s="1"/>
      <c r="CU1171" s="1"/>
      <c r="CV1171" s="1"/>
      <c r="CW1171" s="1"/>
      <c r="CX1171" s="1"/>
      <c r="CY1171" s="91" t="str">
        <f t="shared" si="831"/>
        <v/>
      </c>
      <c r="CZ1171" s="1"/>
      <c r="DC1171" s="307"/>
      <c r="DE1171" s="307"/>
    </row>
    <row r="1172">
      <c r="A1172" s="1"/>
      <c r="B1172" s="1"/>
      <c r="C1172" s="76"/>
      <c r="D1172" s="76"/>
      <c r="E1172" s="76"/>
      <c r="F1172" s="76"/>
      <c r="G1172" s="79"/>
      <c r="H1172" s="80"/>
      <c r="I1172" s="79"/>
      <c r="J1172" s="80"/>
      <c r="K1172" s="79"/>
      <c r="L1172" s="142"/>
      <c r="M1172" s="1"/>
      <c r="N1172" s="142"/>
      <c r="O1172" s="1"/>
      <c r="P1172" s="142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79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R1172" s="1"/>
      <c r="CS1172" s="1"/>
      <c r="CT1172" s="1"/>
      <c r="CU1172" s="1"/>
      <c r="CV1172" s="1"/>
      <c r="CW1172" s="1"/>
      <c r="CX1172" s="1"/>
      <c r="CY1172" s="91" t="str">
        <f t="shared" si="831"/>
        <v/>
      </c>
      <c r="CZ1172" s="1"/>
      <c r="DC1172" s="307"/>
      <c r="DE1172" s="307"/>
    </row>
    <row r="1173">
      <c r="A1173" s="1"/>
      <c r="B1173" s="1"/>
      <c r="C1173" s="76"/>
      <c r="D1173" s="76"/>
      <c r="E1173" s="76"/>
      <c r="F1173" s="76"/>
      <c r="G1173" s="79"/>
      <c r="H1173" s="80"/>
      <c r="I1173" s="79"/>
      <c r="J1173" s="80"/>
      <c r="K1173" s="79"/>
      <c r="L1173" s="142"/>
      <c r="M1173" s="1"/>
      <c r="N1173" s="142"/>
      <c r="O1173" s="1"/>
      <c r="P1173" s="142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79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R1173" s="1"/>
      <c r="CS1173" s="1"/>
      <c r="CT1173" s="1"/>
      <c r="CU1173" s="1"/>
      <c r="CV1173" s="1"/>
      <c r="CW1173" s="1"/>
      <c r="CX1173" s="1"/>
      <c r="CY1173" s="91" t="str">
        <f t="shared" si="831"/>
        <v/>
      </c>
      <c r="CZ1173" s="1"/>
      <c r="DC1173" s="307"/>
      <c r="DE1173" s="307"/>
    </row>
    <row r="1174">
      <c r="A1174" s="1"/>
      <c r="B1174" s="1"/>
      <c r="C1174" s="76"/>
      <c r="D1174" s="76"/>
      <c r="E1174" s="76"/>
      <c r="F1174" s="76"/>
      <c r="G1174" s="79"/>
      <c r="H1174" s="80"/>
      <c r="I1174" s="79"/>
      <c r="J1174" s="80"/>
      <c r="K1174" s="79"/>
      <c r="L1174" s="142"/>
      <c r="M1174" s="1"/>
      <c r="N1174" s="142"/>
      <c r="O1174" s="1"/>
      <c r="P1174" s="142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79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R1174" s="1"/>
      <c r="CS1174" s="1"/>
      <c r="CT1174" s="1"/>
      <c r="CU1174" s="1"/>
      <c r="CV1174" s="1"/>
      <c r="CW1174" s="1"/>
      <c r="CX1174" s="1"/>
      <c r="CY1174" s="91" t="str">
        <f t="shared" si="831"/>
        <v/>
      </c>
      <c r="CZ1174" s="1"/>
      <c r="DC1174" s="307"/>
      <c r="DE1174" s="307"/>
    </row>
    <row r="1175">
      <c r="A1175" s="1"/>
      <c r="B1175" s="1"/>
      <c r="C1175" s="76"/>
      <c r="D1175" s="76"/>
      <c r="E1175" s="76"/>
      <c r="F1175" s="76"/>
      <c r="G1175" s="79"/>
      <c r="H1175" s="80"/>
      <c r="I1175" s="79"/>
      <c r="J1175" s="80"/>
      <c r="K1175" s="79"/>
      <c r="L1175" s="142"/>
      <c r="M1175" s="1"/>
      <c r="N1175" s="142"/>
      <c r="O1175" s="1"/>
      <c r="P1175" s="142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79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R1175" s="1"/>
      <c r="CS1175" s="1"/>
      <c r="CT1175" s="1"/>
      <c r="CU1175" s="1"/>
      <c r="CV1175" s="1"/>
      <c r="CW1175" s="1"/>
      <c r="CX1175" s="1"/>
      <c r="CY1175" s="91" t="str">
        <f t="shared" si="831"/>
        <v/>
      </c>
      <c r="CZ1175" s="1"/>
      <c r="DC1175" s="307"/>
      <c r="DE1175" s="307"/>
    </row>
    <row r="1176">
      <c r="A1176" s="1"/>
      <c r="B1176" s="1"/>
      <c r="C1176" s="76"/>
      <c r="D1176" s="76"/>
      <c r="E1176" s="76"/>
      <c r="F1176" s="76"/>
      <c r="G1176" s="79"/>
      <c r="H1176" s="80"/>
      <c r="I1176" s="79"/>
      <c r="J1176" s="80"/>
      <c r="K1176" s="79"/>
      <c r="L1176" s="142"/>
      <c r="M1176" s="1"/>
      <c r="N1176" s="142"/>
      <c r="O1176" s="1"/>
      <c r="P1176" s="142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79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R1176" s="1"/>
      <c r="CS1176" s="1"/>
      <c r="CT1176" s="1"/>
      <c r="CU1176" s="1"/>
      <c r="CV1176" s="1"/>
      <c r="CW1176" s="1"/>
      <c r="CX1176" s="1"/>
      <c r="CY1176" s="91" t="str">
        <f t="shared" si="831"/>
        <v/>
      </c>
      <c r="CZ1176" s="1"/>
      <c r="DC1176" s="307"/>
      <c r="DE1176" s="307"/>
    </row>
    <row r="1177">
      <c r="A1177" s="1"/>
      <c r="B1177" s="1"/>
      <c r="C1177" s="76"/>
      <c r="D1177" s="76"/>
      <c r="E1177" s="76"/>
      <c r="F1177" s="76"/>
      <c r="G1177" s="79"/>
      <c r="H1177" s="80"/>
      <c r="I1177" s="79"/>
      <c r="J1177" s="80"/>
      <c r="K1177" s="79"/>
      <c r="L1177" s="142"/>
      <c r="M1177" s="1"/>
      <c r="N1177" s="142"/>
      <c r="O1177" s="1"/>
      <c r="P1177" s="142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79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R1177" s="1"/>
      <c r="CS1177" s="1"/>
      <c r="CT1177" s="1"/>
      <c r="CU1177" s="1"/>
      <c r="CV1177" s="1"/>
      <c r="CW1177" s="1"/>
      <c r="CX1177" s="1"/>
      <c r="CY1177" s="91" t="str">
        <f t="shared" si="831"/>
        <v/>
      </c>
      <c r="CZ1177" s="1"/>
      <c r="DC1177" s="307"/>
      <c r="DE1177" s="307"/>
    </row>
    <row r="1178">
      <c r="A1178" s="1"/>
      <c r="B1178" s="1"/>
      <c r="C1178" s="76"/>
      <c r="D1178" s="76"/>
      <c r="E1178" s="76"/>
      <c r="F1178" s="76"/>
      <c r="G1178" s="79"/>
      <c r="H1178" s="80"/>
      <c r="I1178" s="79"/>
      <c r="J1178" s="80"/>
      <c r="K1178" s="79"/>
      <c r="L1178" s="142"/>
      <c r="M1178" s="1"/>
      <c r="N1178" s="142"/>
      <c r="O1178" s="1"/>
      <c r="P1178" s="142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79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R1178" s="1"/>
      <c r="CS1178" s="1"/>
      <c r="CT1178" s="1"/>
      <c r="CU1178" s="1"/>
      <c r="CV1178" s="1"/>
      <c r="CW1178" s="1"/>
      <c r="CX1178" s="1"/>
      <c r="CY1178" s="91" t="str">
        <f t="shared" si="831"/>
        <v/>
      </c>
      <c r="CZ1178" s="1"/>
      <c r="DC1178" s="307"/>
      <c r="DE1178" s="307"/>
    </row>
    <row r="1179">
      <c r="A1179" s="1"/>
      <c r="B1179" s="1"/>
      <c r="C1179" s="76"/>
      <c r="D1179" s="76"/>
      <c r="E1179" s="76"/>
      <c r="F1179" s="76"/>
      <c r="G1179" s="79"/>
      <c r="H1179" s="80"/>
      <c r="I1179" s="79"/>
      <c r="J1179" s="80"/>
      <c r="K1179" s="79"/>
      <c r="L1179" s="142"/>
      <c r="M1179" s="1"/>
      <c r="N1179" s="142"/>
      <c r="O1179" s="1"/>
      <c r="P1179" s="142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79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R1179" s="1"/>
      <c r="CS1179" s="1"/>
      <c r="CT1179" s="1"/>
      <c r="CU1179" s="1"/>
      <c r="CV1179" s="1"/>
      <c r="CW1179" s="1"/>
      <c r="CX1179" s="1"/>
      <c r="CY1179" s="91" t="str">
        <f t="shared" si="831"/>
        <v/>
      </c>
      <c r="CZ1179" s="1"/>
      <c r="DC1179" s="307"/>
      <c r="DE1179" s="307"/>
    </row>
    <row r="1180">
      <c r="A1180" s="1"/>
      <c r="B1180" s="1"/>
      <c r="C1180" s="76"/>
      <c r="D1180" s="76"/>
      <c r="E1180" s="76"/>
      <c r="F1180" s="76"/>
      <c r="G1180" s="79"/>
      <c r="H1180" s="80"/>
      <c r="I1180" s="79"/>
      <c r="J1180" s="80"/>
      <c r="K1180" s="79"/>
      <c r="L1180" s="142"/>
      <c r="M1180" s="1"/>
      <c r="N1180" s="142"/>
      <c r="O1180" s="1"/>
      <c r="P1180" s="142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79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R1180" s="1"/>
      <c r="CS1180" s="1"/>
      <c r="CT1180" s="1"/>
      <c r="CU1180" s="1"/>
      <c r="CV1180" s="1"/>
      <c r="CW1180" s="1"/>
      <c r="CX1180" s="1"/>
      <c r="CY1180" s="91" t="str">
        <f t="shared" si="831"/>
        <v/>
      </c>
      <c r="CZ1180" s="1"/>
      <c r="DC1180" s="307"/>
      <c r="DE1180" s="307"/>
    </row>
    <row r="1181">
      <c r="A1181" s="1"/>
      <c r="B1181" s="1"/>
      <c r="C1181" s="76"/>
      <c r="D1181" s="76"/>
      <c r="E1181" s="76"/>
      <c r="F1181" s="76"/>
      <c r="G1181" s="79"/>
      <c r="H1181" s="80"/>
      <c r="I1181" s="79"/>
      <c r="J1181" s="80"/>
      <c r="K1181" s="79"/>
      <c r="L1181" s="142"/>
      <c r="M1181" s="1"/>
      <c r="N1181" s="142"/>
      <c r="O1181" s="1"/>
      <c r="P1181" s="142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79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R1181" s="1"/>
      <c r="CS1181" s="1"/>
      <c r="CT1181" s="1"/>
      <c r="CU1181" s="1"/>
      <c r="CV1181" s="1"/>
      <c r="CW1181" s="1"/>
      <c r="CX1181" s="1"/>
      <c r="CY1181" s="91" t="str">
        <f t="shared" si="831"/>
        <v/>
      </c>
      <c r="CZ1181" s="1"/>
      <c r="DC1181" s="307"/>
      <c r="DE1181" s="307"/>
    </row>
    <row r="1182">
      <c r="A1182" s="1"/>
      <c r="B1182" s="1"/>
      <c r="C1182" s="76"/>
      <c r="D1182" s="76"/>
      <c r="E1182" s="76"/>
      <c r="F1182" s="76"/>
      <c r="G1182" s="79"/>
      <c r="H1182" s="80"/>
      <c r="I1182" s="79"/>
      <c r="J1182" s="80"/>
      <c r="K1182" s="79"/>
      <c r="L1182" s="142"/>
      <c r="M1182" s="1"/>
      <c r="N1182" s="142"/>
      <c r="O1182" s="1"/>
      <c r="P1182" s="142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79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R1182" s="1"/>
      <c r="CS1182" s="1"/>
      <c r="CT1182" s="1"/>
      <c r="CU1182" s="1"/>
      <c r="CV1182" s="1"/>
      <c r="CW1182" s="1"/>
      <c r="CX1182" s="1"/>
      <c r="CY1182" s="91" t="str">
        <f t="shared" si="831"/>
        <v/>
      </c>
      <c r="CZ1182" s="1"/>
      <c r="DC1182" s="307"/>
      <c r="DE1182" s="307"/>
    </row>
    <row r="1183">
      <c r="A1183" s="1"/>
      <c r="B1183" s="1"/>
      <c r="C1183" s="76"/>
      <c r="D1183" s="76"/>
      <c r="E1183" s="76"/>
      <c r="F1183" s="76"/>
      <c r="G1183" s="79"/>
      <c r="H1183" s="80"/>
      <c r="I1183" s="79"/>
      <c r="J1183" s="80"/>
      <c r="K1183" s="79"/>
      <c r="L1183" s="142"/>
      <c r="M1183" s="1"/>
      <c r="N1183" s="142"/>
      <c r="O1183" s="1"/>
      <c r="P1183" s="142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79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R1183" s="1"/>
      <c r="CS1183" s="1"/>
      <c r="CT1183" s="1"/>
      <c r="CU1183" s="1"/>
      <c r="CV1183" s="1"/>
      <c r="CW1183" s="1"/>
      <c r="CX1183" s="1"/>
      <c r="CY1183" s="91" t="str">
        <f t="shared" si="831"/>
        <v/>
      </c>
      <c r="CZ1183" s="1"/>
      <c r="DC1183" s="307"/>
      <c r="DE1183" s="307"/>
    </row>
    <row r="1184">
      <c r="A1184" s="1"/>
      <c r="B1184" s="1"/>
      <c r="C1184" s="76"/>
      <c r="D1184" s="76"/>
      <c r="E1184" s="76"/>
      <c r="F1184" s="76"/>
      <c r="G1184" s="79"/>
      <c r="H1184" s="80"/>
      <c r="I1184" s="79"/>
      <c r="J1184" s="80"/>
      <c r="K1184" s="79"/>
      <c r="L1184" s="142"/>
      <c r="M1184" s="1"/>
      <c r="N1184" s="142"/>
      <c r="O1184" s="1"/>
      <c r="P1184" s="142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79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R1184" s="1"/>
      <c r="CS1184" s="1"/>
      <c r="CT1184" s="1"/>
      <c r="CU1184" s="1"/>
      <c r="CV1184" s="1"/>
      <c r="CW1184" s="1"/>
      <c r="CX1184" s="1"/>
      <c r="CY1184" s="91" t="str">
        <f t="shared" si="831"/>
        <v/>
      </c>
      <c r="CZ1184" s="1"/>
      <c r="DC1184" s="307"/>
      <c r="DE1184" s="307"/>
    </row>
    <row r="1185">
      <c r="A1185" s="1"/>
      <c r="B1185" s="1"/>
      <c r="C1185" s="76"/>
      <c r="D1185" s="76"/>
      <c r="E1185" s="76"/>
      <c r="F1185" s="76"/>
      <c r="G1185" s="79"/>
      <c r="H1185" s="80"/>
      <c r="I1185" s="79"/>
      <c r="J1185" s="80"/>
      <c r="K1185" s="79"/>
      <c r="L1185" s="142"/>
      <c r="M1185" s="1"/>
      <c r="N1185" s="142"/>
      <c r="O1185" s="1"/>
      <c r="P1185" s="142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79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R1185" s="1"/>
      <c r="CS1185" s="1"/>
      <c r="CT1185" s="1"/>
      <c r="CU1185" s="1"/>
      <c r="CV1185" s="1"/>
      <c r="CW1185" s="1"/>
      <c r="CX1185" s="1"/>
      <c r="CY1185" s="91" t="str">
        <f t="shared" si="831"/>
        <v/>
      </c>
      <c r="CZ1185" s="1"/>
      <c r="DC1185" s="307"/>
      <c r="DE1185" s="307"/>
    </row>
    <row r="1186">
      <c r="A1186" s="1"/>
      <c r="B1186" s="1"/>
      <c r="C1186" s="76"/>
      <c r="D1186" s="76"/>
      <c r="E1186" s="76"/>
      <c r="F1186" s="76"/>
      <c r="G1186" s="79"/>
      <c r="H1186" s="80"/>
      <c r="I1186" s="79"/>
      <c r="J1186" s="80"/>
      <c r="K1186" s="79"/>
      <c r="L1186" s="142"/>
      <c r="M1186" s="1"/>
      <c r="N1186" s="142"/>
      <c r="O1186" s="1"/>
      <c r="P1186" s="142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79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R1186" s="1"/>
      <c r="CS1186" s="1"/>
      <c r="CT1186" s="1"/>
      <c r="CU1186" s="1"/>
      <c r="CV1186" s="1"/>
      <c r="CW1186" s="1"/>
      <c r="CX1186" s="1"/>
      <c r="CY1186" s="91" t="str">
        <f t="shared" si="831"/>
        <v/>
      </c>
      <c r="CZ1186" s="1"/>
      <c r="DC1186" s="307"/>
      <c r="DE1186" s="307"/>
    </row>
    <row r="1187">
      <c r="A1187" s="1"/>
      <c r="B1187" s="1"/>
      <c r="C1187" s="76"/>
      <c r="D1187" s="76"/>
      <c r="E1187" s="76"/>
      <c r="F1187" s="76"/>
      <c r="G1187" s="79"/>
      <c r="H1187" s="80"/>
      <c r="I1187" s="79"/>
      <c r="J1187" s="80"/>
      <c r="K1187" s="79"/>
      <c r="L1187" s="142"/>
      <c r="M1187" s="1"/>
      <c r="N1187" s="142"/>
      <c r="O1187" s="1"/>
      <c r="P1187" s="142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79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R1187" s="1"/>
      <c r="CS1187" s="1"/>
      <c r="CT1187" s="1"/>
      <c r="CU1187" s="1"/>
      <c r="CV1187" s="1"/>
      <c r="CW1187" s="1"/>
      <c r="CX1187" s="1"/>
      <c r="CY1187" s="91" t="str">
        <f t="shared" si="831"/>
        <v/>
      </c>
      <c r="CZ1187" s="1"/>
      <c r="DC1187" s="307"/>
      <c r="DE1187" s="307"/>
    </row>
    <row r="1188">
      <c r="A1188" s="1"/>
      <c r="B1188" s="1"/>
      <c r="C1188" s="76"/>
      <c r="D1188" s="76"/>
      <c r="E1188" s="76"/>
      <c r="F1188" s="76"/>
      <c r="G1188" s="79"/>
      <c r="H1188" s="80"/>
      <c r="I1188" s="79"/>
      <c r="J1188" s="80"/>
      <c r="K1188" s="79"/>
      <c r="L1188" s="142"/>
      <c r="M1188" s="1"/>
      <c r="N1188" s="142"/>
      <c r="O1188" s="1"/>
      <c r="P1188" s="142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79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R1188" s="1"/>
      <c r="CS1188" s="1"/>
      <c r="CT1188" s="1"/>
      <c r="CU1188" s="1"/>
      <c r="CV1188" s="1"/>
      <c r="CW1188" s="1"/>
      <c r="CX1188" s="1"/>
      <c r="CY1188" s="91" t="str">
        <f t="shared" si="831"/>
        <v/>
      </c>
      <c r="CZ1188" s="1"/>
      <c r="DC1188" s="307"/>
      <c r="DE1188" s="307"/>
    </row>
    <row r="1189">
      <c r="A1189" s="1"/>
      <c r="B1189" s="1"/>
      <c r="C1189" s="76"/>
      <c r="D1189" s="76"/>
      <c r="E1189" s="76"/>
      <c r="F1189" s="76"/>
      <c r="G1189" s="79"/>
      <c r="H1189" s="80"/>
      <c r="I1189" s="79"/>
      <c r="J1189" s="80"/>
      <c r="K1189" s="79"/>
      <c r="L1189" s="142"/>
      <c r="M1189" s="1"/>
      <c r="N1189" s="142"/>
      <c r="O1189" s="1"/>
      <c r="P1189" s="142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79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R1189" s="1"/>
      <c r="CS1189" s="1"/>
      <c r="CT1189" s="1"/>
      <c r="CU1189" s="1"/>
      <c r="CV1189" s="1"/>
      <c r="CW1189" s="1"/>
      <c r="CX1189" s="1"/>
      <c r="CY1189" s="91" t="str">
        <f t="shared" si="831"/>
        <v/>
      </c>
      <c r="CZ1189" s="1"/>
      <c r="DC1189" s="307"/>
      <c r="DE1189" s="307"/>
    </row>
    <row r="1190">
      <c r="A1190" s="1"/>
      <c r="B1190" s="1"/>
      <c r="C1190" s="76"/>
      <c r="D1190" s="76"/>
      <c r="E1190" s="76"/>
      <c r="F1190" s="76"/>
      <c r="G1190" s="79"/>
      <c r="H1190" s="80"/>
      <c r="I1190" s="79"/>
      <c r="J1190" s="80"/>
      <c r="K1190" s="79"/>
      <c r="L1190" s="142"/>
      <c r="M1190" s="1"/>
      <c r="N1190" s="142"/>
      <c r="O1190" s="1"/>
      <c r="P1190" s="142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79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R1190" s="1"/>
      <c r="CS1190" s="1"/>
      <c r="CT1190" s="1"/>
      <c r="CU1190" s="1"/>
      <c r="CV1190" s="1"/>
      <c r="CW1190" s="1"/>
      <c r="CX1190" s="1"/>
      <c r="CY1190" s="91" t="str">
        <f t="shared" si="831"/>
        <v/>
      </c>
      <c r="CZ1190" s="1"/>
      <c r="DC1190" s="307"/>
      <c r="DE1190" s="307"/>
    </row>
    <row r="1191">
      <c r="A1191" s="1"/>
      <c r="B1191" s="1"/>
      <c r="C1191" s="76"/>
      <c r="D1191" s="76"/>
      <c r="E1191" s="76"/>
      <c r="F1191" s="76"/>
      <c r="G1191" s="79"/>
      <c r="H1191" s="80"/>
      <c r="I1191" s="79"/>
      <c r="J1191" s="80"/>
      <c r="K1191" s="79"/>
      <c r="L1191" s="142"/>
      <c r="M1191" s="1"/>
      <c r="N1191" s="142"/>
      <c r="O1191" s="1"/>
      <c r="P1191" s="142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79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R1191" s="1"/>
      <c r="CS1191" s="1"/>
      <c r="CT1191" s="1"/>
      <c r="CU1191" s="1"/>
      <c r="CV1191" s="1"/>
      <c r="CW1191" s="1"/>
      <c r="CX1191" s="1"/>
      <c r="CY1191" s="91" t="str">
        <f t="shared" si="831"/>
        <v/>
      </c>
      <c r="CZ1191" s="1"/>
      <c r="DC1191" s="307"/>
      <c r="DE1191" s="307"/>
    </row>
    <row r="1192">
      <c r="A1192" s="1"/>
      <c r="B1192" s="1"/>
      <c r="C1192" s="76"/>
      <c r="D1192" s="76"/>
      <c r="E1192" s="76"/>
      <c r="F1192" s="76"/>
      <c r="G1192" s="79"/>
      <c r="H1192" s="80"/>
      <c r="I1192" s="79"/>
      <c r="J1192" s="80"/>
      <c r="K1192" s="79"/>
      <c r="L1192" s="142"/>
      <c r="M1192" s="1"/>
      <c r="N1192" s="142"/>
      <c r="O1192" s="1"/>
      <c r="P1192" s="142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79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R1192" s="1"/>
      <c r="CS1192" s="1"/>
      <c r="CT1192" s="1"/>
      <c r="CU1192" s="1"/>
      <c r="CV1192" s="1"/>
      <c r="CW1192" s="1"/>
      <c r="CX1192" s="1"/>
      <c r="CY1192" s="91" t="str">
        <f t="shared" si="831"/>
        <v/>
      </c>
      <c r="CZ1192" s="1"/>
      <c r="DC1192" s="307"/>
      <c r="DE1192" s="307"/>
    </row>
    <row r="1193">
      <c r="A1193" s="1"/>
      <c r="B1193" s="1"/>
      <c r="C1193" s="76"/>
      <c r="D1193" s="76"/>
      <c r="E1193" s="76"/>
      <c r="F1193" s="76"/>
      <c r="G1193" s="79"/>
      <c r="H1193" s="80"/>
      <c r="I1193" s="79"/>
      <c r="J1193" s="80"/>
      <c r="K1193" s="79"/>
      <c r="L1193" s="142"/>
      <c r="M1193" s="1"/>
      <c r="N1193" s="142"/>
      <c r="O1193" s="1"/>
      <c r="P1193" s="142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79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R1193" s="1"/>
      <c r="CS1193" s="1"/>
      <c r="CT1193" s="1"/>
      <c r="CU1193" s="1"/>
      <c r="CV1193" s="1"/>
      <c r="CW1193" s="1"/>
      <c r="CX1193" s="1"/>
      <c r="CY1193" s="91" t="str">
        <f t="shared" si="831"/>
        <v/>
      </c>
      <c r="CZ1193" s="1"/>
      <c r="DC1193" s="307"/>
      <c r="DE1193" s="307"/>
    </row>
    <row r="1194">
      <c r="A1194" s="1"/>
      <c r="B1194" s="1"/>
      <c r="C1194" s="76"/>
      <c r="D1194" s="76"/>
      <c r="E1194" s="76"/>
      <c r="F1194" s="76"/>
      <c r="G1194" s="79"/>
      <c r="H1194" s="80"/>
      <c r="I1194" s="79"/>
      <c r="J1194" s="80"/>
      <c r="K1194" s="79"/>
      <c r="L1194" s="142"/>
      <c r="M1194" s="1"/>
      <c r="N1194" s="142"/>
      <c r="O1194" s="1"/>
      <c r="P1194" s="142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79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R1194" s="1"/>
      <c r="CS1194" s="1"/>
      <c r="CT1194" s="1"/>
      <c r="CU1194" s="1"/>
      <c r="CV1194" s="1"/>
      <c r="CW1194" s="1"/>
      <c r="CX1194" s="1"/>
      <c r="CY1194" s="91" t="str">
        <f t="shared" si="831"/>
        <v/>
      </c>
      <c r="CZ1194" s="1"/>
      <c r="DC1194" s="307"/>
      <c r="DE1194" s="307"/>
    </row>
    <row r="1195">
      <c r="A1195" s="1"/>
      <c r="B1195" s="1"/>
      <c r="C1195" s="76"/>
      <c r="D1195" s="76"/>
      <c r="E1195" s="76"/>
      <c r="F1195" s="76"/>
      <c r="G1195" s="79"/>
      <c r="H1195" s="80"/>
      <c r="I1195" s="79"/>
      <c r="J1195" s="80"/>
      <c r="K1195" s="79"/>
      <c r="L1195" s="142"/>
      <c r="M1195" s="1"/>
      <c r="N1195" s="142"/>
      <c r="O1195" s="1"/>
      <c r="P1195" s="142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79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R1195" s="1"/>
      <c r="CS1195" s="1"/>
      <c r="CT1195" s="1"/>
      <c r="CU1195" s="1"/>
      <c r="CV1195" s="1"/>
      <c r="CW1195" s="1"/>
      <c r="CX1195" s="1"/>
      <c r="CY1195" s="91" t="str">
        <f t="shared" si="831"/>
        <v/>
      </c>
      <c r="CZ1195" s="1"/>
      <c r="DC1195" s="307"/>
      <c r="DE1195" s="307"/>
    </row>
    <row r="1196">
      <c r="A1196" s="1"/>
      <c r="B1196" s="1"/>
      <c r="C1196" s="76"/>
      <c r="D1196" s="76"/>
      <c r="E1196" s="76"/>
      <c r="F1196" s="76"/>
      <c r="G1196" s="79"/>
      <c r="H1196" s="80"/>
      <c r="I1196" s="79"/>
      <c r="J1196" s="80"/>
      <c r="K1196" s="79"/>
      <c r="L1196" s="142"/>
      <c r="M1196" s="1"/>
      <c r="N1196" s="142"/>
      <c r="O1196" s="1"/>
      <c r="P1196" s="142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79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R1196" s="1"/>
      <c r="CS1196" s="1"/>
      <c r="CT1196" s="1"/>
      <c r="CU1196" s="1"/>
      <c r="CV1196" s="1"/>
      <c r="CW1196" s="1"/>
      <c r="CX1196" s="1"/>
      <c r="CY1196" s="91" t="str">
        <f t="shared" si="831"/>
        <v/>
      </c>
      <c r="CZ1196" s="1"/>
      <c r="DC1196" s="307"/>
      <c r="DE1196" s="307"/>
    </row>
    <row r="1197">
      <c r="A1197" s="1"/>
      <c r="B1197" s="1"/>
      <c r="C1197" s="76"/>
      <c r="D1197" s="76"/>
      <c r="E1197" s="76"/>
      <c r="F1197" s="76"/>
      <c r="G1197" s="79"/>
      <c r="H1197" s="80"/>
      <c r="I1197" s="79"/>
      <c r="J1197" s="80"/>
      <c r="K1197" s="79"/>
      <c r="L1197" s="142"/>
      <c r="M1197" s="1"/>
      <c r="N1197" s="142"/>
      <c r="O1197" s="1"/>
      <c r="P1197" s="142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79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R1197" s="1"/>
      <c r="CS1197" s="1"/>
      <c r="CT1197" s="1"/>
      <c r="CU1197" s="1"/>
      <c r="CV1197" s="1"/>
      <c r="CW1197" s="1"/>
      <c r="CX1197" s="1"/>
      <c r="CY1197" s="91" t="str">
        <f t="shared" si="831"/>
        <v/>
      </c>
      <c r="CZ1197" s="1"/>
      <c r="DC1197" s="307"/>
      <c r="DE1197" s="307"/>
    </row>
    <row r="1198">
      <c r="A1198" s="1"/>
      <c r="B1198" s="1"/>
      <c r="C1198" s="76"/>
      <c r="D1198" s="76"/>
      <c r="E1198" s="76"/>
      <c r="F1198" s="76"/>
      <c r="G1198" s="79"/>
      <c r="H1198" s="80"/>
      <c r="I1198" s="79"/>
      <c r="J1198" s="80"/>
      <c r="K1198" s="79"/>
      <c r="L1198" s="142"/>
      <c r="M1198" s="1"/>
      <c r="N1198" s="142"/>
      <c r="O1198" s="1"/>
      <c r="P1198" s="142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79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R1198" s="1"/>
      <c r="CS1198" s="1"/>
      <c r="CT1198" s="1"/>
      <c r="CU1198" s="1"/>
      <c r="CV1198" s="1"/>
      <c r="CW1198" s="1"/>
      <c r="CX1198" s="1"/>
      <c r="CY1198" s="91" t="str">
        <f t="shared" si="831"/>
        <v/>
      </c>
      <c r="CZ1198" s="1"/>
      <c r="DC1198" s="307"/>
      <c r="DE1198" s="307"/>
    </row>
    <row r="1199">
      <c r="A1199" s="1"/>
      <c r="B1199" s="1"/>
      <c r="C1199" s="76"/>
      <c r="D1199" s="76"/>
      <c r="E1199" s="76"/>
      <c r="F1199" s="76"/>
      <c r="G1199" s="79"/>
      <c r="H1199" s="80"/>
      <c r="I1199" s="79"/>
      <c r="J1199" s="80"/>
      <c r="K1199" s="79"/>
      <c r="L1199" s="142"/>
      <c r="M1199" s="1"/>
      <c r="N1199" s="142"/>
      <c r="O1199" s="1"/>
      <c r="P1199" s="142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79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R1199" s="1"/>
      <c r="CS1199" s="1"/>
      <c r="CT1199" s="1"/>
      <c r="CU1199" s="1"/>
      <c r="CV1199" s="1"/>
      <c r="CW1199" s="1"/>
      <c r="CX1199" s="1"/>
      <c r="CY1199" s="91" t="str">
        <f t="shared" si="831"/>
        <v/>
      </c>
      <c r="CZ1199" s="1"/>
      <c r="DC1199" s="307"/>
      <c r="DE1199" s="307"/>
    </row>
    <row r="1200">
      <c r="A1200" s="1"/>
      <c r="B1200" s="1"/>
      <c r="C1200" s="76"/>
      <c r="D1200" s="76"/>
      <c r="E1200" s="76"/>
      <c r="F1200" s="76"/>
      <c r="G1200" s="79"/>
      <c r="H1200" s="80"/>
      <c r="I1200" s="79"/>
      <c r="J1200" s="80"/>
      <c r="K1200" s="79"/>
      <c r="L1200" s="142"/>
      <c r="M1200" s="1"/>
      <c r="N1200" s="142"/>
      <c r="O1200" s="1"/>
      <c r="P1200" s="142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79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R1200" s="1"/>
      <c r="CS1200" s="1"/>
      <c r="CT1200" s="1"/>
      <c r="CU1200" s="1"/>
      <c r="CV1200" s="1"/>
      <c r="CW1200" s="1"/>
      <c r="CX1200" s="1"/>
      <c r="CY1200" s="91" t="str">
        <f t="shared" si="831"/>
        <v/>
      </c>
      <c r="CZ1200" s="1"/>
      <c r="DC1200" s="307"/>
      <c r="DE1200" s="307"/>
    </row>
    <row r="1201">
      <c r="A1201" s="1"/>
      <c r="B1201" s="1"/>
      <c r="C1201" s="76"/>
      <c r="D1201" s="76"/>
      <c r="E1201" s="76"/>
      <c r="F1201" s="76"/>
      <c r="G1201" s="79"/>
      <c r="H1201" s="80"/>
      <c r="I1201" s="79"/>
      <c r="J1201" s="80"/>
      <c r="K1201" s="79"/>
      <c r="L1201" s="142"/>
      <c r="M1201" s="1"/>
      <c r="N1201" s="142"/>
      <c r="O1201" s="1"/>
      <c r="P1201" s="142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79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R1201" s="1"/>
      <c r="CS1201" s="1"/>
      <c r="CT1201" s="1"/>
      <c r="CU1201" s="1"/>
      <c r="CV1201" s="1"/>
      <c r="CW1201" s="1"/>
      <c r="CX1201" s="1"/>
      <c r="CY1201" s="91" t="str">
        <f t="shared" si="831"/>
        <v/>
      </c>
      <c r="CZ1201" s="1"/>
      <c r="DC1201" s="307"/>
      <c r="DE1201" s="307"/>
    </row>
    <row r="1202">
      <c r="A1202" s="1"/>
      <c r="B1202" s="1"/>
      <c r="C1202" s="76"/>
      <c r="D1202" s="76"/>
      <c r="E1202" s="76"/>
      <c r="F1202" s="76"/>
      <c r="G1202" s="79"/>
      <c r="H1202" s="80"/>
      <c r="I1202" s="79"/>
      <c r="J1202" s="80"/>
      <c r="K1202" s="79"/>
      <c r="L1202" s="142"/>
      <c r="M1202" s="1"/>
      <c r="N1202" s="142"/>
      <c r="O1202" s="1"/>
      <c r="P1202" s="142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79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R1202" s="1"/>
      <c r="CS1202" s="1"/>
      <c r="CT1202" s="1"/>
      <c r="CU1202" s="1"/>
      <c r="CV1202" s="1"/>
      <c r="CW1202" s="1"/>
      <c r="CX1202" s="1"/>
      <c r="CY1202" s="91" t="str">
        <f t="shared" si="831"/>
        <v/>
      </c>
      <c r="CZ1202" s="1"/>
      <c r="DC1202" s="307"/>
      <c r="DE1202" s="307"/>
    </row>
    <row r="1203">
      <c r="A1203" s="1"/>
      <c r="B1203" s="1"/>
      <c r="C1203" s="76"/>
      <c r="D1203" s="76"/>
      <c r="E1203" s="76"/>
      <c r="F1203" s="76"/>
      <c r="G1203" s="79"/>
      <c r="H1203" s="80"/>
      <c r="I1203" s="79"/>
      <c r="J1203" s="80"/>
      <c r="K1203" s="79"/>
      <c r="L1203" s="142"/>
      <c r="M1203" s="1"/>
      <c r="N1203" s="142"/>
      <c r="O1203" s="1"/>
      <c r="P1203" s="142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79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R1203" s="1"/>
      <c r="CS1203" s="1"/>
      <c r="CT1203" s="1"/>
      <c r="CU1203" s="1"/>
      <c r="CV1203" s="1"/>
      <c r="CW1203" s="1"/>
      <c r="CX1203" s="1"/>
      <c r="CY1203" s="91" t="str">
        <f t="shared" si="831"/>
        <v/>
      </c>
      <c r="CZ1203" s="1"/>
      <c r="DC1203" s="307"/>
      <c r="DE1203" s="307"/>
    </row>
    <row r="1204">
      <c r="A1204" s="1"/>
      <c r="B1204" s="1"/>
      <c r="C1204" s="76"/>
      <c r="D1204" s="76"/>
      <c r="E1204" s="76"/>
      <c r="F1204" s="76"/>
      <c r="G1204" s="79"/>
      <c r="H1204" s="80"/>
      <c r="I1204" s="79"/>
      <c r="J1204" s="80"/>
      <c r="K1204" s="79"/>
      <c r="L1204" s="142"/>
      <c r="M1204" s="1"/>
      <c r="N1204" s="142"/>
      <c r="O1204" s="1"/>
      <c r="P1204" s="142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79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R1204" s="1"/>
      <c r="CS1204" s="1"/>
      <c r="CT1204" s="1"/>
      <c r="CU1204" s="1"/>
      <c r="CV1204" s="1"/>
      <c r="CW1204" s="1"/>
      <c r="CX1204" s="1"/>
      <c r="CY1204" s="91" t="str">
        <f t="shared" si="831"/>
        <v/>
      </c>
      <c r="CZ1204" s="1"/>
      <c r="DC1204" s="307"/>
      <c r="DE1204" s="307"/>
    </row>
    <row r="1205">
      <c r="A1205" s="1"/>
      <c r="B1205" s="1"/>
      <c r="C1205" s="76"/>
      <c r="D1205" s="76"/>
      <c r="E1205" s="76"/>
      <c r="F1205" s="76"/>
      <c r="G1205" s="79"/>
      <c r="H1205" s="80"/>
      <c r="I1205" s="79"/>
      <c r="J1205" s="80"/>
      <c r="K1205" s="79"/>
      <c r="L1205" s="142"/>
      <c r="M1205" s="1"/>
      <c r="N1205" s="142"/>
      <c r="O1205" s="1"/>
      <c r="P1205" s="142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79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R1205" s="1"/>
      <c r="CS1205" s="1"/>
      <c r="CT1205" s="1"/>
      <c r="CU1205" s="1"/>
      <c r="CV1205" s="1"/>
      <c r="CW1205" s="1"/>
      <c r="CX1205" s="1"/>
      <c r="CY1205" s="91" t="str">
        <f t="shared" si="831"/>
        <v/>
      </c>
      <c r="CZ1205" s="1"/>
      <c r="DC1205" s="307"/>
      <c r="DE1205" s="307"/>
    </row>
    <row r="1206">
      <c r="A1206" s="1"/>
      <c r="B1206" s="1"/>
      <c r="C1206" s="76"/>
      <c r="D1206" s="76"/>
      <c r="E1206" s="76"/>
      <c r="F1206" s="76"/>
      <c r="G1206" s="79"/>
      <c r="H1206" s="80"/>
      <c r="I1206" s="79"/>
      <c r="J1206" s="80"/>
      <c r="K1206" s="79"/>
      <c r="L1206" s="142"/>
      <c r="M1206" s="1"/>
      <c r="N1206" s="142"/>
      <c r="O1206" s="1"/>
      <c r="P1206" s="142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79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R1206" s="1"/>
      <c r="CS1206" s="1"/>
      <c r="CT1206" s="1"/>
      <c r="CU1206" s="1"/>
      <c r="CV1206" s="1"/>
      <c r="CW1206" s="1"/>
      <c r="CX1206" s="1"/>
      <c r="CY1206" s="91" t="str">
        <f t="shared" si="831"/>
        <v/>
      </c>
      <c r="CZ1206" s="1"/>
      <c r="DC1206" s="307"/>
      <c r="DE1206" s="307"/>
    </row>
    <row r="1207">
      <c r="A1207" s="1"/>
      <c r="B1207" s="1"/>
      <c r="C1207" s="76"/>
      <c r="D1207" s="76"/>
      <c r="E1207" s="76"/>
      <c r="F1207" s="76"/>
      <c r="G1207" s="79"/>
      <c r="H1207" s="80"/>
      <c r="I1207" s="79"/>
      <c r="J1207" s="80"/>
      <c r="K1207" s="79"/>
      <c r="L1207" s="142"/>
      <c r="M1207" s="1"/>
      <c r="N1207" s="142"/>
      <c r="O1207" s="1"/>
      <c r="P1207" s="142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79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R1207" s="1"/>
      <c r="CS1207" s="1"/>
      <c r="CT1207" s="1"/>
      <c r="CU1207" s="1"/>
      <c r="CV1207" s="1"/>
      <c r="CW1207" s="1"/>
      <c r="CX1207" s="1"/>
      <c r="CY1207" s="91" t="str">
        <f t="shared" si="831"/>
        <v/>
      </c>
      <c r="CZ1207" s="1"/>
      <c r="DC1207" s="307"/>
      <c r="DE1207" s="307"/>
    </row>
    <row r="1208">
      <c r="A1208" s="1"/>
      <c r="B1208" s="1"/>
      <c r="C1208" s="76"/>
      <c r="D1208" s="76"/>
      <c r="E1208" s="76"/>
      <c r="F1208" s="76"/>
      <c r="G1208" s="79"/>
      <c r="H1208" s="80"/>
      <c r="I1208" s="79"/>
      <c r="J1208" s="80"/>
      <c r="K1208" s="79"/>
      <c r="L1208" s="142"/>
      <c r="M1208" s="1"/>
      <c r="N1208" s="142"/>
      <c r="O1208" s="1"/>
      <c r="P1208" s="142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79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R1208" s="1"/>
      <c r="CS1208" s="1"/>
      <c r="CT1208" s="1"/>
      <c r="CU1208" s="1"/>
      <c r="CV1208" s="1"/>
      <c r="CW1208" s="1"/>
      <c r="CX1208" s="1"/>
      <c r="CY1208" s="91" t="str">
        <f t="shared" si="831"/>
        <v/>
      </c>
      <c r="CZ1208" s="1"/>
      <c r="DC1208" s="307"/>
      <c r="DE1208" s="307"/>
    </row>
    <row r="1209">
      <c r="A1209" s="1"/>
      <c r="B1209" s="1"/>
      <c r="C1209" s="76"/>
      <c r="D1209" s="76"/>
      <c r="E1209" s="76"/>
      <c r="F1209" s="76"/>
      <c r="G1209" s="79"/>
      <c r="H1209" s="80"/>
      <c r="I1209" s="79"/>
      <c r="J1209" s="80"/>
      <c r="K1209" s="79"/>
      <c r="L1209" s="142"/>
      <c r="M1209" s="1"/>
      <c r="N1209" s="142"/>
      <c r="O1209" s="1"/>
      <c r="P1209" s="142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79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R1209" s="1"/>
      <c r="CS1209" s="1"/>
      <c r="CT1209" s="1"/>
      <c r="CU1209" s="1"/>
      <c r="CV1209" s="1"/>
      <c r="CW1209" s="1"/>
      <c r="CX1209" s="1"/>
      <c r="CY1209" s="91" t="str">
        <f t="shared" si="831"/>
        <v/>
      </c>
      <c r="CZ1209" s="1"/>
      <c r="DC1209" s="307"/>
      <c r="DE1209" s="307"/>
    </row>
    <row r="1210">
      <c r="A1210" s="1"/>
      <c r="B1210" s="1"/>
      <c r="C1210" s="76"/>
      <c r="D1210" s="76"/>
      <c r="E1210" s="76"/>
      <c r="F1210" s="76"/>
      <c r="G1210" s="79"/>
      <c r="H1210" s="80"/>
      <c r="I1210" s="79"/>
      <c r="J1210" s="80"/>
      <c r="K1210" s="79"/>
      <c r="L1210" s="142"/>
      <c r="M1210" s="1"/>
      <c r="N1210" s="142"/>
      <c r="O1210" s="1"/>
      <c r="P1210" s="142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79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R1210" s="1"/>
      <c r="CS1210" s="1"/>
      <c r="CT1210" s="1"/>
      <c r="CU1210" s="1"/>
      <c r="CV1210" s="1"/>
      <c r="CW1210" s="1"/>
      <c r="CX1210" s="1"/>
      <c r="CY1210" s="91" t="str">
        <f t="shared" si="831"/>
        <v/>
      </c>
      <c r="CZ1210" s="1"/>
      <c r="DC1210" s="307"/>
      <c r="DE1210" s="307"/>
    </row>
    <row r="1211">
      <c r="A1211" s="1"/>
      <c r="B1211" s="1"/>
      <c r="C1211" s="76"/>
      <c r="D1211" s="76"/>
      <c r="E1211" s="76"/>
      <c r="F1211" s="76"/>
      <c r="G1211" s="79"/>
      <c r="H1211" s="80"/>
      <c r="I1211" s="79"/>
      <c r="J1211" s="80"/>
      <c r="K1211" s="79"/>
      <c r="L1211" s="142"/>
      <c r="M1211" s="1"/>
      <c r="N1211" s="142"/>
      <c r="O1211" s="1"/>
      <c r="P1211" s="142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79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R1211" s="1"/>
      <c r="CS1211" s="1"/>
      <c r="CT1211" s="1"/>
      <c r="CU1211" s="1"/>
      <c r="CV1211" s="1"/>
      <c r="CW1211" s="1"/>
      <c r="CX1211" s="1"/>
      <c r="CY1211" s="91" t="str">
        <f t="shared" si="831"/>
        <v/>
      </c>
      <c r="CZ1211" s="1"/>
      <c r="DC1211" s="307"/>
      <c r="DE1211" s="307"/>
    </row>
    <row r="1212">
      <c r="A1212" s="1"/>
      <c r="B1212" s="1"/>
      <c r="C1212" s="76"/>
      <c r="D1212" s="76"/>
      <c r="E1212" s="76"/>
      <c r="F1212" s="76"/>
      <c r="G1212" s="79"/>
      <c r="H1212" s="80"/>
      <c r="I1212" s="79"/>
      <c r="J1212" s="80"/>
      <c r="K1212" s="79"/>
      <c r="L1212" s="142"/>
      <c r="M1212" s="1"/>
      <c r="N1212" s="142"/>
      <c r="O1212" s="1"/>
      <c r="P1212" s="142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79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R1212" s="1"/>
      <c r="CS1212" s="1"/>
      <c r="CT1212" s="1"/>
      <c r="CU1212" s="1"/>
      <c r="CV1212" s="1"/>
      <c r="CW1212" s="1"/>
      <c r="CX1212" s="1"/>
      <c r="CY1212" s="91" t="str">
        <f t="shared" si="831"/>
        <v/>
      </c>
      <c r="CZ1212" s="1"/>
      <c r="DC1212" s="307"/>
      <c r="DE1212" s="307"/>
    </row>
    <row r="1213">
      <c r="A1213" s="1"/>
      <c r="B1213" s="1"/>
      <c r="C1213" s="76"/>
      <c r="D1213" s="76"/>
      <c r="E1213" s="76"/>
      <c r="F1213" s="76"/>
      <c r="G1213" s="79"/>
      <c r="H1213" s="80"/>
      <c r="I1213" s="79"/>
      <c r="J1213" s="80"/>
      <c r="K1213" s="79"/>
      <c r="L1213" s="142"/>
      <c r="M1213" s="1"/>
      <c r="N1213" s="142"/>
      <c r="O1213" s="1"/>
      <c r="P1213" s="142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79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R1213" s="1"/>
      <c r="CS1213" s="1"/>
      <c r="CT1213" s="1"/>
      <c r="CU1213" s="1"/>
      <c r="CV1213" s="1"/>
      <c r="CW1213" s="1"/>
      <c r="CX1213" s="1"/>
      <c r="CY1213" s="91" t="str">
        <f t="shared" si="831"/>
        <v/>
      </c>
      <c r="CZ1213" s="1"/>
      <c r="DC1213" s="307"/>
      <c r="DE1213" s="307"/>
    </row>
    <row r="1214">
      <c r="A1214" s="1"/>
      <c r="B1214" s="1"/>
      <c r="C1214" s="76"/>
      <c r="D1214" s="76"/>
      <c r="E1214" s="76"/>
      <c r="F1214" s="76"/>
      <c r="G1214" s="79"/>
      <c r="H1214" s="80"/>
      <c r="I1214" s="79"/>
      <c r="J1214" s="80"/>
      <c r="K1214" s="79"/>
      <c r="L1214" s="142"/>
      <c r="M1214" s="1"/>
      <c r="N1214" s="142"/>
      <c r="O1214" s="1"/>
      <c r="P1214" s="142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79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R1214" s="1"/>
      <c r="CS1214" s="1"/>
      <c r="CT1214" s="1"/>
      <c r="CU1214" s="1"/>
      <c r="CV1214" s="1"/>
      <c r="CW1214" s="1"/>
      <c r="CX1214" s="1"/>
      <c r="CY1214" s="91" t="str">
        <f t="shared" si="831"/>
        <v/>
      </c>
      <c r="CZ1214" s="1"/>
      <c r="DC1214" s="307"/>
      <c r="DE1214" s="307"/>
    </row>
    <row r="1215">
      <c r="A1215" s="1"/>
      <c r="B1215" s="1"/>
      <c r="C1215" s="76"/>
      <c r="D1215" s="76"/>
      <c r="E1215" s="76"/>
      <c r="F1215" s="76"/>
      <c r="G1215" s="79"/>
      <c r="H1215" s="80"/>
      <c r="I1215" s="79"/>
      <c r="J1215" s="80"/>
      <c r="K1215" s="79"/>
      <c r="L1215" s="142"/>
      <c r="M1215" s="1"/>
      <c r="N1215" s="142"/>
      <c r="O1215" s="1"/>
      <c r="P1215" s="142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79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R1215" s="1"/>
      <c r="CS1215" s="1"/>
      <c r="CT1215" s="1"/>
      <c r="CU1215" s="1"/>
      <c r="CV1215" s="1"/>
      <c r="CW1215" s="1"/>
      <c r="CX1215" s="1"/>
      <c r="CY1215" s="91" t="str">
        <f t="shared" si="831"/>
        <v/>
      </c>
      <c r="CZ1215" s="1"/>
      <c r="DC1215" s="307"/>
      <c r="DE1215" s="307"/>
    </row>
    <row r="1216">
      <c r="A1216" s="1"/>
      <c r="B1216" s="1"/>
      <c r="C1216" s="76"/>
      <c r="D1216" s="76"/>
      <c r="E1216" s="76"/>
      <c r="F1216" s="76"/>
      <c r="G1216" s="79"/>
      <c r="H1216" s="80"/>
      <c r="I1216" s="79"/>
      <c r="J1216" s="80"/>
      <c r="K1216" s="79"/>
      <c r="L1216" s="142"/>
      <c r="M1216" s="1"/>
      <c r="N1216" s="142"/>
      <c r="O1216" s="1"/>
      <c r="P1216" s="142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79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R1216" s="1"/>
      <c r="CS1216" s="1"/>
      <c r="CT1216" s="1"/>
      <c r="CU1216" s="1"/>
      <c r="CV1216" s="1"/>
      <c r="CW1216" s="1"/>
      <c r="CX1216" s="1"/>
      <c r="CY1216" s="91" t="str">
        <f t="shared" si="831"/>
        <v/>
      </c>
      <c r="CZ1216" s="1"/>
      <c r="DC1216" s="307"/>
      <c r="DE1216" s="307"/>
    </row>
    <row r="1217">
      <c r="A1217" s="1"/>
      <c r="B1217" s="1"/>
      <c r="C1217" s="76"/>
      <c r="D1217" s="76"/>
      <c r="E1217" s="76"/>
      <c r="F1217" s="76"/>
      <c r="G1217" s="79"/>
      <c r="H1217" s="80"/>
      <c r="I1217" s="79"/>
      <c r="J1217" s="80"/>
      <c r="K1217" s="79"/>
      <c r="L1217" s="142"/>
      <c r="M1217" s="1"/>
      <c r="N1217" s="142"/>
      <c r="O1217" s="1"/>
      <c r="P1217" s="142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79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R1217" s="1"/>
      <c r="CS1217" s="1"/>
      <c r="CT1217" s="1"/>
      <c r="CU1217" s="1"/>
      <c r="CV1217" s="1"/>
      <c r="CW1217" s="1"/>
      <c r="CX1217" s="1"/>
      <c r="CY1217" s="91" t="str">
        <f t="shared" si="831"/>
        <v/>
      </c>
      <c r="CZ1217" s="1"/>
      <c r="DC1217" s="307"/>
      <c r="DE1217" s="307"/>
    </row>
    <row r="1218">
      <c r="A1218" s="1"/>
      <c r="B1218" s="1"/>
      <c r="C1218" s="76"/>
      <c r="D1218" s="76"/>
      <c r="E1218" s="76"/>
      <c r="F1218" s="76"/>
      <c r="G1218" s="79"/>
      <c r="H1218" s="80"/>
      <c r="I1218" s="79"/>
      <c r="J1218" s="80"/>
      <c r="K1218" s="79"/>
      <c r="L1218" s="142"/>
      <c r="M1218" s="1"/>
      <c r="N1218" s="142"/>
      <c r="O1218" s="1"/>
      <c r="P1218" s="142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79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R1218" s="1"/>
      <c r="CS1218" s="1"/>
      <c r="CT1218" s="1"/>
      <c r="CU1218" s="1"/>
      <c r="CV1218" s="1"/>
      <c r="CW1218" s="1"/>
      <c r="CX1218" s="1"/>
      <c r="CY1218" s="91" t="str">
        <f t="shared" si="831"/>
        <v/>
      </c>
      <c r="CZ1218" s="1"/>
      <c r="DC1218" s="307"/>
      <c r="DE1218" s="307"/>
    </row>
    <row r="1219">
      <c r="A1219" s="1"/>
      <c r="B1219" s="1"/>
      <c r="C1219" s="76"/>
      <c r="D1219" s="76"/>
      <c r="E1219" s="76"/>
      <c r="F1219" s="76"/>
      <c r="G1219" s="79"/>
      <c r="H1219" s="80"/>
      <c r="I1219" s="79"/>
      <c r="J1219" s="80"/>
      <c r="K1219" s="79"/>
      <c r="L1219" s="142"/>
      <c r="M1219" s="1"/>
      <c r="N1219" s="142"/>
      <c r="O1219" s="1"/>
      <c r="P1219" s="142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79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R1219" s="1"/>
      <c r="CS1219" s="1"/>
      <c r="CT1219" s="1"/>
      <c r="CU1219" s="1"/>
      <c r="CV1219" s="1"/>
      <c r="CW1219" s="1"/>
      <c r="CX1219" s="1"/>
      <c r="CY1219" s="91" t="str">
        <f t="shared" si="831"/>
        <v/>
      </c>
      <c r="CZ1219" s="1"/>
      <c r="DC1219" s="307"/>
      <c r="DE1219" s="307"/>
    </row>
    <row r="1220">
      <c r="A1220" s="1"/>
      <c r="B1220" s="1"/>
      <c r="C1220" s="76"/>
      <c r="D1220" s="76"/>
      <c r="E1220" s="76"/>
      <c r="F1220" s="76"/>
      <c r="G1220" s="79"/>
      <c r="H1220" s="80"/>
      <c r="I1220" s="79"/>
      <c r="J1220" s="80"/>
      <c r="K1220" s="79"/>
      <c r="L1220" s="142"/>
      <c r="M1220" s="1"/>
      <c r="N1220" s="142"/>
      <c r="O1220" s="1"/>
      <c r="P1220" s="142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79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R1220" s="1"/>
      <c r="CS1220" s="1"/>
      <c r="CT1220" s="1"/>
      <c r="CU1220" s="1"/>
      <c r="CV1220" s="1"/>
      <c r="CW1220" s="1"/>
      <c r="CX1220" s="1"/>
      <c r="CY1220" s="91" t="str">
        <f t="shared" si="831"/>
        <v/>
      </c>
      <c r="CZ1220" s="1"/>
      <c r="DC1220" s="307"/>
      <c r="DE1220" s="307"/>
    </row>
    <row r="1221">
      <c r="A1221" s="1"/>
      <c r="B1221" s="1"/>
      <c r="C1221" s="76"/>
      <c r="D1221" s="76"/>
      <c r="E1221" s="76"/>
      <c r="F1221" s="76"/>
      <c r="G1221" s="79"/>
      <c r="H1221" s="80"/>
      <c r="I1221" s="79"/>
      <c r="J1221" s="80"/>
      <c r="K1221" s="79"/>
      <c r="L1221" s="142"/>
      <c r="M1221" s="1"/>
      <c r="N1221" s="142"/>
      <c r="O1221" s="1"/>
      <c r="P1221" s="142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79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R1221" s="1"/>
      <c r="CS1221" s="1"/>
      <c r="CT1221" s="1"/>
      <c r="CU1221" s="1"/>
      <c r="CV1221" s="1"/>
      <c r="CW1221" s="1"/>
      <c r="CX1221" s="1"/>
      <c r="CY1221" s="91" t="str">
        <f t="shared" si="831"/>
        <v/>
      </c>
      <c r="CZ1221" s="1"/>
      <c r="DC1221" s="307"/>
      <c r="DE1221" s="307"/>
    </row>
    <row r="1222">
      <c r="A1222" s="1"/>
      <c r="B1222" s="1"/>
      <c r="C1222" s="76"/>
      <c r="D1222" s="76"/>
      <c r="E1222" s="76"/>
      <c r="F1222" s="76"/>
      <c r="G1222" s="79"/>
      <c r="H1222" s="80"/>
      <c r="I1222" s="79"/>
      <c r="J1222" s="80"/>
      <c r="K1222" s="79"/>
      <c r="L1222" s="142"/>
      <c r="M1222" s="1"/>
      <c r="N1222" s="142"/>
      <c r="O1222" s="1"/>
      <c r="P1222" s="142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79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R1222" s="1"/>
      <c r="CS1222" s="1"/>
      <c r="CT1222" s="1"/>
      <c r="CU1222" s="1"/>
      <c r="CV1222" s="1"/>
      <c r="CW1222" s="1"/>
      <c r="CX1222" s="1"/>
      <c r="CY1222" s="91" t="str">
        <f t="shared" si="831"/>
        <v/>
      </c>
      <c r="CZ1222" s="1"/>
      <c r="DC1222" s="307"/>
      <c r="DE1222" s="307"/>
    </row>
    <row r="1223">
      <c r="A1223" s="1"/>
      <c r="B1223" s="1"/>
      <c r="C1223" s="76"/>
      <c r="D1223" s="76"/>
      <c r="E1223" s="76"/>
      <c r="F1223" s="76"/>
      <c r="G1223" s="79"/>
      <c r="H1223" s="80"/>
      <c r="I1223" s="79"/>
      <c r="J1223" s="80"/>
      <c r="K1223" s="79"/>
      <c r="L1223" s="142"/>
      <c r="M1223" s="1"/>
      <c r="N1223" s="142"/>
      <c r="O1223" s="1"/>
      <c r="P1223" s="142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79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R1223" s="1"/>
      <c r="CS1223" s="1"/>
      <c r="CT1223" s="1"/>
      <c r="CU1223" s="1"/>
      <c r="CV1223" s="1"/>
      <c r="CW1223" s="1"/>
      <c r="CX1223" s="1"/>
      <c r="CY1223" s="91" t="str">
        <f t="shared" si="831"/>
        <v/>
      </c>
      <c r="CZ1223" s="1"/>
      <c r="DC1223" s="307"/>
      <c r="DE1223" s="307"/>
    </row>
    <row r="1224">
      <c r="A1224" s="1"/>
      <c r="B1224" s="1"/>
      <c r="C1224" s="76"/>
      <c r="D1224" s="76"/>
      <c r="E1224" s="76"/>
      <c r="F1224" s="76"/>
      <c r="G1224" s="79"/>
      <c r="H1224" s="80"/>
      <c r="I1224" s="79"/>
      <c r="J1224" s="80"/>
      <c r="K1224" s="79"/>
      <c r="L1224" s="142"/>
      <c r="M1224" s="1"/>
      <c r="N1224" s="142"/>
      <c r="O1224" s="1"/>
      <c r="P1224" s="142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79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R1224" s="1"/>
      <c r="CS1224" s="1"/>
      <c r="CT1224" s="1"/>
      <c r="CU1224" s="1"/>
      <c r="CV1224" s="1"/>
      <c r="CW1224" s="1"/>
      <c r="CX1224" s="1"/>
      <c r="CY1224" s="91" t="str">
        <f t="shared" si="831"/>
        <v/>
      </c>
      <c r="CZ1224" s="1"/>
      <c r="DC1224" s="307"/>
      <c r="DE1224" s="307"/>
    </row>
    <row r="1225">
      <c r="A1225" s="1"/>
      <c r="B1225" s="1"/>
      <c r="C1225" s="76"/>
      <c r="D1225" s="76"/>
      <c r="E1225" s="76"/>
      <c r="F1225" s="76"/>
      <c r="G1225" s="79"/>
      <c r="H1225" s="80"/>
      <c r="I1225" s="79"/>
      <c r="J1225" s="80"/>
      <c r="K1225" s="79"/>
      <c r="L1225" s="142"/>
      <c r="M1225" s="1"/>
      <c r="N1225" s="142"/>
      <c r="O1225" s="1"/>
      <c r="P1225" s="142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79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R1225" s="1"/>
      <c r="CS1225" s="1"/>
      <c r="CT1225" s="1"/>
      <c r="CU1225" s="1"/>
      <c r="CV1225" s="1"/>
      <c r="CW1225" s="1"/>
      <c r="CX1225" s="1"/>
      <c r="CY1225" s="91" t="str">
        <f t="shared" si="831"/>
        <v/>
      </c>
      <c r="CZ1225" s="1"/>
      <c r="DC1225" s="307"/>
      <c r="DE1225" s="307"/>
    </row>
    <row r="1226">
      <c r="A1226" s="1"/>
      <c r="B1226" s="1"/>
      <c r="C1226" s="76"/>
      <c r="D1226" s="76"/>
      <c r="E1226" s="76"/>
      <c r="F1226" s="76"/>
      <c r="G1226" s="79"/>
      <c r="H1226" s="80"/>
      <c r="I1226" s="79"/>
      <c r="J1226" s="80"/>
      <c r="K1226" s="79"/>
      <c r="L1226" s="142"/>
      <c r="M1226" s="1"/>
      <c r="N1226" s="142"/>
      <c r="O1226" s="1"/>
      <c r="P1226" s="142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79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R1226" s="1"/>
      <c r="CS1226" s="1"/>
      <c r="CT1226" s="1"/>
      <c r="CU1226" s="1"/>
      <c r="CV1226" s="1"/>
      <c r="CW1226" s="1"/>
      <c r="CX1226" s="1"/>
      <c r="CY1226" s="91" t="str">
        <f t="shared" si="831"/>
        <v/>
      </c>
      <c r="CZ1226" s="1"/>
      <c r="DC1226" s="307"/>
      <c r="DE1226" s="307"/>
    </row>
    <row r="1227">
      <c r="A1227" s="1"/>
      <c r="B1227" s="1"/>
      <c r="C1227" s="76"/>
      <c r="D1227" s="76"/>
      <c r="E1227" s="76"/>
      <c r="F1227" s="76"/>
      <c r="G1227" s="79"/>
      <c r="H1227" s="80"/>
      <c r="I1227" s="79"/>
      <c r="J1227" s="80"/>
      <c r="K1227" s="79"/>
      <c r="L1227" s="142"/>
      <c r="M1227" s="1"/>
      <c r="N1227" s="142"/>
      <c r="O1227" s="1"/>
      <c r="P1227" s="142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79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R1227" s="1"/>
      <c r="CS1227" s="1"/>
      <c r="CT1227" s="1"/>
      <c r="CU1227" s="1"/>
      <c r="CV1227" s="1"/>
      <c r="CW1227" s="1"/>
      <c r="CX1227" s="1"/>
      <c r="CY1227" s="91" t="str">
        <f t="shared" si="831"/>
        <v/>
      </c>
      <c r="CZ1227" s="1"/>
      <c r="DC1227" s="307"/>
      <c r="DE1227" s="307"/>
    </row>
    <row r="1228">
      <c r="A1228" s="1"/>
      <c r="B1228" s="1"/>
      <c r="C1228" s="76"/>
      <c r="D1228" s="76"/>
      <c r="E1228" s="76"/>
      <c r="F1228" s="76"/>
      <c r="G1228" s="79"/>
      <c r="H1228" s="80"/>
      <c r="I1228" s="79"/>
      <c r="J1228" s="80"/>
      <c r="K1228" s="79"/>
      <c r="L1228" s="142"/>
      <c r="M1228" s="1"/>
      <c r="N1228" s="142"/>
      <c r="O1228" s="1"/>
      <c r="P1228" s="142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79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R1228" s="1"/>
      <c r="CS1228" s="1"/>
      <c r="CT1228" s="1"/>
      <c r="CU1228" s="1"/>
      <c r="CV1228" s="1"/>
      <c r="CW1228" s="1"/>
      <c r="CX1228" s="1"/>
      <c r="CY1228" s="91" t="str">
        <f t="shared" si="831"/>
        <v/>
      </c>
      <c r="CZ1228" s="1"/>
      <c r="DC1228" s="307"/>
      <c r="DE1228" s="307"/>
    </row>
    <row r="1229">
      <c r="A1229" s="1"/>
      <c r="B1229" s="1"/>
      <c r="C1229" s="76"/>
      <c r="D1229" s="76"/>
      <c r="E1229" s="76"/>
      <c r="F1229" s="76"/>
      <c r="G1229" s="79"/>
      <c r="H1229" s="80"/>
      <c r="I1229" s="79"/>
      <c r="J1229" s="80"/>
      <c r="K1229" s="79"/>
      <c r="L1229" s="142"/>
      <c r="M1229" s="1"/>
      <c r="N1229" s="142"/>
      <c r="O1229" s="1"/>
      <c r="P1229" s="142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79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R1229" s="1"/>
      <c r="CS1229" s="1"/>
      <c r="CT1229" s="1"/>
      <c r="CU1229" s="1"/>
      <c r="CV1229" s="1"/>
      <c r="CW1229" s="1"/>
      <c r="CX1229" s="1"/>
      <c r="CY1229" s="91" t="str">
        <f t="shared" si="831"/>
        <v/>
      </c>
      <c r="CZ1229" s="1"/>
      <c r="DC1229" s="307"/>
      <c r="DE1229" s="307"/>
    </row>
    <row r="1230">
      <c r="A1230" s="1"/>
      <c r="B1230" s="1"/>
      <c r="C1230" s="76"/>
      <c r="D1230" s="76"/>
      <c r="E1230" s="76"/>
      <c r="F1230" s="76"/>
      <c r="G1230" s="79"/>
      <c r="H1230" s="80"/>
      <c r="I1230" s="79"/>
      <c r="J1230" s="80"/>
      <c r="K1230" s="79"/>
      <c r="L1230" s="142"/>
      <c r="M1230" s="1"/>
      <c r="N1230" s="142"/>
      <c r="O1230" s="1"/>
      <c r="P1230" s="142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79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R1230" s="1"/>
      <c r="CS1230" s="1"/>
      <c r="CT1230" s="1"/>
      <c r="CU1230" s="1"/>
      <c r="CV1230" s="1"/>
      <c r="CW1230" s="1"/>
      <c r="CX1230" s="1"/>
      <c r="CY1230" s="91" t="str">
        <f t="shared" si="831"/>
        <v/>
      </c>
      <c r="CZ1230" s="1"/>
      <c r="DC1230" s="307"/>
      <c r="DE1230" s="307"/>
    </row>
    <row r="1231">
      <c r="A1231" s="1"/>
      <c r="B1231" s="1"/>
      <c r="C1231" s="76"/>
      <c r="D1231" s="76"/>
      <c r="E1231" s="76"/>
      <c r="F1231" s="76"/>
      <c r="G1231" s="79"/>
      <c r="H1231" s="80"/>
      <c r="I1231" s="79"/>
      <c r="J1231" s="80"/>
      <c r="K1231" s="79"/>
      <c r="L1231" s="142"/>
      <c r="M1231" s="1"/>
      <c r="N1231" s="142"/>
      <c r="O1231" s="1"/>
      <c r="P1231" s="142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79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R1231" s="1"/>
      <c r="CS1231" s="1"/>
      <c r="CT1231" s="1"/>
      <c r="CU1231" s="1"/>
      <c r="CV1231" s="1"/>
      <c r="CW1231" s="1"/>
      <c r="CX1231" s="1"/>
      <c r="CY1231" s="91" t="str">
        <f t="shared" si="831"/>
        <v/>
      </c>
      <c r="CZ1231" s="1"/>
      <c r="DC1231" s="307"/>
      <c r="DE1231" s="307"/>
    </row>
    <row r="1232">
      <c r="A1232" s="1"/>
      <c r="B1232" s="1"/>
      <c r="C1232" s="76"/>
      <c r="D1232" s="76"/>
      <c r="E1232" s="76"/>
      <c r="F1232" s="76"/>
      <c r="G1232" s="79"/>
      <c r="H1232" s="80"/>
      <c r="I1232" s="79"/>
      <c r="J1232" s="80"/>
      <c r="K1232" s="79"/>
      <c r="L1232" s="142"/>
      <c r="M1232" s="1"/>
      <c r="N1232" s="142"/>
      <c r="O1232" s="1"/>
      <c r="P1232" s="142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79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R1232" s="1"/>
      <c r="CS1232" s="1"/>
      <c r="CT1232" s="1"/>
      <c r="CU1232" s="1"/>
      <c r="CV1232" s="1"/>
      <c r="CW1232" s="1"/>
      <c r="CX1232" s="1"/>
      <c r="CY1232" s="91" t="str">
        <f t="shared" si="831"/>
        <v/>
      </c>
      <c r="CZ1232" s="1"/>
      <c r="DC1232" s="307"/>
      <c r="DE1232" s="307"/>
    </row>
    <row r="1233">
      <c r="A1233" s="1"/>
      <c r="B1233" s="1"/>
      <c r="C1233" s="76"/>
      <c r="D1233" s="76"/>
      <c r="E1233" s="76"/>
      <c r="F1233" s="76"/>
      <c r="G1233" s="79"/>
      <c r="H1233" s="80"/>
      <c r="I1233" s="79"/>
      <c r="J1233" s="80"/>
      <c r="K1233" s="79"/>
      <c r="L1233" s="142"/>
      <c r="M1233" s="1"/>
      <c r="N1233" s="142"/>
      <c r="O1233" s="1"/>
      <c r="P1233" s="142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79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R1233" s="1"/>
      <c r="CS1233" s="1"/>
      <c r="CT1233" s="1"/>
      <c r="CU1233" s="1"/>
      <c r="CV1233" s="1"/>
      <c r="CW1233" s="1"/>
      <c r="CX1233" s="1"/>
      <c r="CY1233" s="91" t="str">
        <f t="shared" si="831"/>
        <v/>
      </c>
      <c r="CZ1233" s="1"/>
      <c r="DC1233" s="307"/>
      <c r="DE1233" s="307"/>
    </row>
    <row r="1234">
      <c r="A1234" s="1"/>
      <c r="B1234" s="1"/>
      <c r="C1234" s="76"/>
      <c r="D1234" s="76"/>
      <c r="E1234" s="76"/>
      <c r="F1234" s="76"/>
      <c r="G1234" s="79"/>
      <c r="H1234" s="80"/>
      <c r="I1234" s="79"/>
      <c r="J1234" s="80"/>
      <c r="K1234" s="79"/>
      <c r="L1234" s="142"/>
      <c r="M1234" s="1"/>
      <c r="N1234" s="142"/>
      <c r="O1234" s="1"/>
      <c r="P1234" s="142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79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R1234" s="1"/>
      <c r="CS1234" s="1"/>
      <c r="CT1234" s="1"/>
      <c r="CU1234" s="1"/>
      <c r="CV1234" s="1"/>
      <c r="CW1234" s="1"/>
      <c r="CX1234" s="1"/>
      <c r="CY1234" s="91" t="str">
        <f t="shared" si="831"/>
        <v/>
      </c>
      <c r="CZ1234" s="1"/>
      <c r="DC1234" s="307"/>
      <c r="DE1234" s="307"/>
    </row>
    <row r="1235">
      <c r="A1235" s="1"/>
      <c r="B1235" s="1"/>
      <c r="C1235" s="76"/>
      <c r="D1235" s="76"/>
      <c r="E1235" s="76"/>
      <c r="F1235" s="76"/>
      <c r="G1235" s="79"/>
      <c r="H1235" s="80"/>
      <c r="I1235" s="79"/>
      <c r="J1235" s="80"/>
      <c r="K1235" s="79"/>
      <c r="L1235" s="142"/>
      <c r="M1235" s="1"/>
      <c r="N1235" s="142"/>
      <c r="O1235" s="1"/>
      <c r="P1235" s="142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79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R1235" s="1"/>
      <c r="CS1235" s="1"/>
      <c r="CT1235" s="1"/>
      <c r="CU1235" s="1"/>
      <c r="CV1235" s="1"/>
      <c r="CW1235" s="1"/>
      <c r="CX1235" s="1"/>
      <c r="CY1235" s="91" t="str">
        <f t="shared" si="831"/>
        <v/>
      </c>
      <c r="CZ1235" s="1"/>
      <c r="DC1235" s="307"/>
      <c r="DE1235" s="307"/>
    </row>
    <row r="1236">
      <c r="A1236" s="1"/>
      <c r="B1236" s="1"/>
      <c r="C1236" s="76"/>
      <c r="D1236" s="76"/>
      <c r="E1236" s="76"/>
      <c r="F1236" s="76"/>
      <c r="G1236" s="79"/>
      <c r="H1236" s="80"/>
      <c r="I1236" s="79"/>
      <c r="J1236" s="80"/>
      <c r="K1236" s="79"/>
      <c r="L1236" s="142"/>
      <c r="M1236" s="1"/>
      <c r="N1236" s="142"/>
      <c r="O1236" s="1"/>
      <c r="P1236" s="142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79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R1236" s="1"/>
      <c r="CS1236" s="1"/>
      <c r="CT1236" s="1"/>
      <c r="CU1236" s="1"/>
      <c r="CV1236" s="1"/>
      <c r="CW1236" s="1"/>
      <c r="CX1236" s="1"/>
      <c r="CY1236" s="91" t="str">
        <f t="shared" si="831"/>
        <v/>
      </c>
      <c r="CZ1236" s="1"/>
      <c r="DC1236" s="307"/>
      <c r="DE1236" s="307"/>
    </row>
    <row r="1237">
      <c r="A1237" s="1"/>
      <c r="B1237" s="1"/>
      <c r="C1237" s="76"/>
      <c r="D1237" s="76"/>
      <c r="E1237" s="76"/>
      <c r="F1237" s="76"/>
      <c r="G1237" s="79"/>
      <c r="H1237" s="80"/>
      <c r="I1237" s="79"/>
      <c r="J1237" s="80"/>
      <c r="K1237" s="79"/>
      <c r="L1237" s="142"/>
      <c r="M1237" s="1"/>
      <c r="N1237" s="142"/>
      <c r="O1237" s="1"/>
      <c r="P1237" s="142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79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R1237" s="1"/>
      <c r="CS1237" s="1"/>
      <c r="CT1237" s="1"/>
      <c r="CU1237" s="1"/>
      <c r="CV1237" s="1"/>
      <c r="CW1237" s="1"/>
      <c r="CX1237" s="1"/>
      <c r="CY1237" s="91" t="str">
        <f t="shared" si="831"/>
        <v/>
      </c>
      <c r="CZ1237" s="1"/>
      <c r="DC1237" s="307"/>
      <c r="DE1237" s="307"/>
    </row>
    <row r="1238">
      <c r="A1238" s="1"/>
      <c r="B1238" s="1"/>
      <c r="C1238" s="76"/>
      <c r="D1238" s="76"/>
      <c r="E1238" s="76"/>
      <c r="F1238" s="76"/>
      <c r="G1238" s="79"/>
      <c r="H1238" s="80"/>
      <c r="I1238" s="79"/>
      <c r="J1238" s="80"/>
      <c r="K1238" s="79"/>
      <c r="L1238" s="142"/>
      <c r="M1238" s="1"/>
      <c r="N1238" s="142"/>
      <c r="O1238" s="1"/>
      <c r="P1238" s="142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79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R1238" s="1"/>
      <c r="CS1238" s="1"/>
      <c r="CT1238" s="1"/>
      <c r="CU1238" s="1"/>
      <c r="CV1238" s="1"/>
      <c r="CW1238" s="1"/>
      <c r="CX1238" s="1"/>
      <c r="CY1238" s="91" t="str">
        <f t="shared" si="831"/>
        <v/>
      </c>
      <c r="CZ1238" s="1"/>
      <c r="DC1238" s="307"/>
      <c r="DE1238" s="307"/>
    </row>
    <row r="1239">
      <c r="A1239" s="1"/>
      <c r="B1239" s="1"/>
      <c r="C1239" s="76"/>
      <c r="D1239" s="76"/>
      <c r="E1239" s="76"/>
      <c r="F1239" s="76"/>
      <c r="G1239" s="79"/>
      <c r="H1239" s="80"/>
      <c r="I1239" s="79"/>
      <c r="J1239" s="80"/>
      <c r="K1239" s="79"/>
      <c r="L1239" s="142"/>
      <c r="M1239" s="1"/>
      <c r="N1239" s="142"/>
      <c r="O1239" s="1"/>
      <c r="P1239" s="142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79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R1239" s="1"/>
      <c r="CS1239" s="1"/>
      <c r="CT1239" s="1"/>
      <c r="CU1239" s="1"/>
      <c r="CV1239" s="1"/>
      <c r="CW1239" s="1"/>
      <c r="CX1239" s="1"/>
      <c r="CY1239" s="91" t="str">
        <f t="shared" si="831"/>
        <v/>
      </c>
      <c r="CZ1239" s="1"/>
      <c r="DC1239" s="307"/>
      <c r="DE1239" s="307"/>
    </row>
    <row r="1240">
      <c r="A1240" s="1"/>
      <c r="B1240" s="1"/>
      <c r="C1240" s="76"/>
      <c r="D1240" s="76"/>
      <c r="E1240" s="76"/>
      <c r="F1240" s="76"/>
      <c r="G1240" s="79"/>
      <c r="H1240" s="80"/>
      <c r="I1240" s="79"/>
      <c r="J1240" s="80"/>
      <c r="K1240" s="79"/>
      <c r="L1240" s="142"/>
      <c r="M1240" s="1"/>
      <c r="N1240" s="142"/>
      <c r="O1240" s="1"/>
      <c r="P1240" s="142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79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R1240" s="1"/>
      <c r="CS1240" s="1"/>
      <c r="CT1240" s="1"/>
      <c r="CU1240" s="1"/>
      <c r="CV1240" s="1"/>
      <c r="CW1240" s="1"/>
      <c r="CX1240" s="1"/>
      <c r="CY1240" s="91" t="str">
        <f t="shared" si="831"/>
        <v/>
      </c>
      <c r="CZ1240" s="1"/>
      <c r="DC1240" s="307"/>
      <c r="DE1240" s="307"/>
    </row>
    <row r="1241">
      <c r="A1241" s="1"/>
      <c r="B1241" s="1"/>
      <c r="C1241" s="76"/>
      <c r="D1241" s="76"/>
      <c r="E1241" s="76"/>
      <c r="F1241" s="76"/>
      <c r="G1241" s="79"/>
      <c r="H1241" s="80"/>
      <c r="I1241" s="79"/>
      <c r="J1241" s="80"/>
      <c r="K1241" s="79"/>
      <c r="L1241" s="142"/>
      <c r="M1241" s="1"/>
      <c r="N1241" s="142"/>
      <c r="O1241" s="1"/>
      <c r="P1241" s="142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79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R1241" s="1"/>
      <c r="CS1241" s="1"/>
      <c r="CT1241" s="1"/>
      <c r="CU1241" s="1"/>
      <c r="CV1241" s="1"/>
      <c r="CW1241" s="1"/>
      <c r="CX1241" s="1"/>
      <c r="CY1241" s="91" t="str">
        <f t="shared" si="831"/>
        <v/>
      </c>
      <c r="CZ1241" s="1"/>
      <c r="DC1241" s="307"/>
      <c r="DE1241" s="307"/>
    </row>
    <row r="1242">
      <c r="A1242" s="1"/>
      <c r="B1242" s="1"/>
      <c r="C1242" s="76"/>
      <c r="D1242" s="76"/>
      <c r="E1242" s="76"/>
      <c r="F1242" s="76"/>
      <c r="G1242" s="79"/>
      <c r="H1242" s="80"/>
      <c r="I1242" s="79"/>
      <c r="J1242" s="80"/>
      <c r="K1242" s="79"/>
      <c r="L1242" s="142"/>
      <c r="M1242" s="1"/>
      <c r="N1242" s="142"/>
      <c r="O1242" s="1"/>
      <c r="P1242" s="142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79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R1242" s="1"/>
      <c r="CS1242" s="1"/>
      <c r="CT1242" s="1"/>
      <c r="CU1242" s="1"/>
      <c r="CV1242" s="1"/>
      <c r="CW1242" s="1"/>
      <c r="CX1242" s="1"/>
      <c r="CY1242" s="91" t="str">
        <f t="shared" si="831"/>
        <v/>
      </c>
      <c r="CZ1242" s="1"/>
      <c r="DC1242" s="307"/>
      <c r="DE1242" s="307"/>
    </row>
    <row r="1243">
      <c r="A1243" s="1"/>
      <c r="B1243" s="1"/>
      <c r="C1243" s="76"/>
      <c r="D1243" s="76"/>
      <c r="E1243" s="76"/>
      <c r="F1243" s="76"/>
      <c r="G1243" s="79"/>
      <c r="H1243" s="80"/>
      <c r="I1243" s="79"/>
      <c r="J1243" s="80"/>
      <c r="K1243" s="79"/>
      <c r="L1243" s="142"/>
      <c r="M1243" s="1"/>
      <c r="N1243" s="142"/>
      <c r="O1243" s="1"/>
      <c r="P1243" s="142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79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R1243" s="1"/>
      <c r="CS1243" s="1"/>
      <c r="CT1243" s="1"/>
      <c r="CU1243" s="1"/>
      <c r="CV1243" s="1"/>
      <c r="CW1243" s="1"/>
      <c r="CX1243" s="1"/>
      <c r="CY1243" s="91" t="str">
        <f t="shared" si="831"/>
        <v/>
      </c>
      <c r="CZ1243" s="1"/>
      <c r="DC1243" s="307"/>
      <c r="DE1243" s="307"/>
    </row>
    <row r="1244">
      <c r="A1244" s="1"/>
      <c r="B1244" s="1"/>
      <c r="C1244" s="76"/>
      <c r="D1244" s="76"/>
      <c r="E1244" s="76"/>
      <c r="F1244" s="76"/>
      <c r="G1244" s="79"/>
      <c r="H1244" s="80"/>
      <c r="I1244" s="79"/>
      <c r="J1244" s="80"/>
      <c r="K1244" s="79"/>
      <c r="L1244" s="142"/>
      <c r="M1244" s="1"/>
      <c r="N1244" s="142"/>
      <c r="O1244" s="1"/>
      <c r="P1244" s="142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79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R1244" s="1"/>
      <c r="CS1244" s="1"/>
      <c r="CT1244" s="1"/>
      <c r="CU1244" s="1"/>
      <c r="CV1244" s="1"/>
      <c r="CW1244" s="1"/>
      <c r="CX1244" s="1"/>
      <c r="CY1244" s="91" t="str">
        <f t="shared" si="831"/>
        <v/>
      </c>
      <c r="CZ1244" s="1"/>
      <c r="DC1244" s="307"/>
      <c r="DE1244" s="307"/>
    </row>
    <row r="1245">
      <c r="A1245" s="1"/>
      <c r="B1245" s="1"/>
      <c r="C1245" s="76"/>
      <c r="D1245" s="76"/>
      <c r="E1245" s="76"/>
      <c r="F1245" s="76"/>
      <c r="G1245" s="79"/>
      <c r="H1245" s="80"/>
      <c r="I1245" s="79"/>
      <c r="J1245" s="80"/>
      <c r="K1245" s="79"/>
      <c r="L1245" s="142"/>
      <c r="M1245" s="1"/>
      <c r="N1245" s="142"/>
      <c r="O1245" s="1"/>
      <c r="P1245" s="142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79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R1245" s="1"/>
      <c r="CS1245" s="1"/>
      <c r="CT1245" s="1"/>
      <c r="CU1245" s="1"/>
      <c r="CV1245" s="1"/>
      <c r="CW1245" s="1"/>
      <c r="CX1245" s="1"/>
      <c r="CY1245" s="91" t="str">
        <f t="shared" si="831"/>
        <v/>
      </c>
      <c r="CZ1245" s="1"/>
      <c r="DC1245" s="307"/>
      <c r="DE1245" s="307"/>
    </row>
    <row r="1246">
      <c r="A1246" s="1"/>
      <c r="B1246" s="1"/>
      <c r="C1246" s="76"/>
      <c r="D1246" s="76"/>
      <c r="E1246" s="76"/>
      <c r="F1246" s="76"/>
      <c r="G1246" s="79"/>
      <c r="H1246" s="80"/>
      <c r="I1246" s="79"/>
      <c r="J1246" s="80"/>
      <c r="K1246" s="79"/>
      <c r="L1246" s="142"/>
      <c r="M1246" s="1"/>
      <c r="N1246" s="142"/>
      <c r="O1246" s="1"/>
      <c r="P1246" s="142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79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R1246" s="1"/>
      <c r="CS1246" s="1"/>
      <c r="CT1246" s="1"/>
      <c r="CU1246" s="1"/>
      <c r="CV1246" s="1"/>
      <c r="CW1246" s="1"/>
      <c r="CX1246" s="1"/>
      <c r="CY1246" s="91" t="str">
        <f t="shared" si="831"/>
        <v/>
      </c>
      <c r="CZ1246" s="1"/>
      <c r="DC1246" s="307"/>
      <c r="DE1246" s="307"/>
    </row>
    <row r="1247">
      <c r="A1247" s="1"/>
      <c r="B1247" s="1"/>
      <c r="C1247" s="76"/>
      <c r="D1247" s="76"/>
      <c r="E1247" s="76"/>
      <c r="F1247" s="76"/>
      <c r="G1247" s="79"/>
      <c r="H1247" s="80"/>
      <c r="I1247" s="79"/>
      <c r="J1247" s="80"/>
      <c r="K1247" s="79"/>
      <c r="L1247" s="142"/>
      <c r="M1247" s="1"/>
      <c r="N1247" s="142"/>
      <c r="O1247" s="1"/>
      <c r="P1247" s="142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79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R1247" s="1"/>
      <c r="CS1247" s="1"/>
      <c r="CT1247" s="1"/>
      <c r="CU1247" s="1"/>
      <c r="CV1247" s="1"/>
      <c r="CW1247" s="1"/>
      <c r="CX1247" s="1"/>
      <c r="CY1247" s="91" t="str">
        <f t="shared" si="831"/>
        <v/>
      </c>
      <c r="CZ1247" s="1"/>
      <c r="DC1247" s="307"/>
      <c r="DE1247" s="307"/>
    </row>
    <row r="1248">
      <c r="A1248" s="1"/>
      <c r="B1248" s="1"/>
      <c r="C1248" s="76"/>
      <c r="D1248" s="76"/>
      <c r="E1248" s="76"/>
      <c r="F1248" s="76"/>
      <c r="G1248" s="79"/>
      <c r="H1248" s="80"/>
      <c r="I1248" s="79"/>
      <c r="J1248" s="80"/>
      <c r="K1248" s="79"/>
      <c r="L1248" s="142"/>
      <c r="M1248" s="1"/>
      <c r="N1248" s="142"/>
      <c r="O1248" s="1"/>
      <c r="P1248" s="142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79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R1248" s="1"/>
      <c r="CS1248" s="1"/>
      <c r="CT1248" s="1"/>
      <c r="CU1248" s="1"/>
      <c r="CV1248" s="1"/>
      <c r="CW1248" s="1"/>
      <c r="CX1248" s="1"/>
      <c r="CY1248" s="91" t="str">
        <f t="shared" si="831"/>
        <v/>
      </c>
      <c r="CZ1248" s="1"/>
      <c r="DC1248" s="307"/>
      <c r="DE1248" s="307"/>
    </row>
    <row r="1249">
      <c r="A1249" s="1"/>
      <c r="B1249" s="1"/>
      <c r="C1249" s="76"/>
      <c r="D1249" s="76"/>
      <c r="E1249" s="76"/>
      <c r="F1249" s="76"/>
      <c r="G1249" s="79"/>
      <c r="H1249" s="80"/>
      <c r="I1249" s="79"/>
      <c r="J1249" s="80"/>
      <c r="K1249" s="79"/>
      <c r="L1249" s="142"/>
      <c r="M1249" s="1"/>
      <c r="N1249" s="142"/>
      <c r="O1249" s="1"/>
      <c r="P1249" s="142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79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R1249" s="1"/>
      <c r="CS1249" s="1"/>
      <c r="CT1249" s="1"/>
      <c r="CU1249" s="1"/>
      <c r="CV1249" s="1"/>
      <c r="CW1249" s="1"/>
      <c r="CX1249" s="1"/>
      <c r="CY1249" s="91" t="str">
        <f t="shared" si="831"/>
        <v/>
      </c>
      <c r="CZ1249" s="1"/>
      <c r="DC1249" s="307"/>
      <c r="DE1249" s="307"/>
    </row>
    <row r="1250">
      <c r="A1250" s="1"/>
      <c r="B1250" s="1"/>
      <c r="C1250" s="76"/>
      <c r="D1250" s="76"/>
      <c r="E1250" s="76"/>
      <c r="F1250" s="76"/>
      <c r="G1250" s="79"/>
      <c r="H1250" s="80"/>
      <c r="I1250" s="79"/>
      <c r="J1250" s="80"/>
      <c r="K1250" s="79"/>
      <c r="L1250" s="142"/>
      <c r="M1250" s="1"/>
      <c r="N1250" s="142"/>
      <c r="O1250" s="1"/>
      <c r="P1250" s="142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79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R1250" s="1"/>
      <c r="CS1250" s="1"/>
      <c r="CT1250" s="1"/>
      <c r="CU1250" s="1"/>
      <c r="CV1250" s="1"/>
      <c r="CW1250" s="1"/>
      <c r="CX1250" s="1"/>
      <c r="CY1250" s="91" t="str">
        <f t="shared" si="831"/>
        <v/>
      </c>
      <c r="CZ1250" s="1"/>
      <c r="DC1250" s="307"/>
      <c r="DE1250" s="307"/>
    </row>
    <row r="1251">
      <c r="A1251" s="1"/>
      <c r="B1251" s="1"/>
      <c r="C1251" s="76"/>
      <c r="D1251" s="76"/>
      <c r="E1251" s="76"/>
      <c r="F1251" s="76"/>
      <c r="G1251" s="79"/>
      <c r="H1251" s="80"/>
      <c r="I1251" s="79"/>
      <c r="J1251" s="80"/>
      <c r="K1251" s="79"/>
      <c r="L1251" s="142"/>
      <c r="M1251" s="1"/>
      <c r="N1251" s="142"/>
      <c r="O1251" s="1"/>
      <c r="P1251" s="142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79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R1251" s="1"/>
      <c r="CS1251" s="1"/>
      <c r="CT1251" s="1"/>
      <c r="CU1251" s="1"/>
      <c r="CV1251" s="1"/>
      <c r="CW1251" s="1"/>
      <c r="CX1251" s="1"/>
      <c r="CY1251" s="91" t="str">
        <f t="shared" si="831"/>
        <v/>
      </c>
      <c r="CZ1251" s="1"/>
      <c r="DC1251" s="307"/>
      <c r="DE1251" s="307"/>
    </row>
    <row r="1252">
      <c r="A1252" s="1"/>
      <c r="B1252" s="1"/>
      <c r="C1252" s="76"/>
      <c r="D1252" s="76"/>
      <c r="E1252" s="76"/>
      <c r="F1252" s="76"/>
      <c r="G1252" s="79"/>
      <c r="H1252" s="80"/>
      <c r="I1252" s="79"/>
      <c r="J1252" s="80"/>
      <c r="K1252" s="79"/>
      <c r="L1252" s="142"/>
      <c r="M1252" s="1"/>
      <c r="N1252" s="142"/>
      <c r="O1252" s="1"/>
      <c r="P1252" s="142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79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R1252" s="1"/>
      <c r="CS1252" s="1"/>
      <c r="CT1252" s="1"/>
      <c r="CU1252" s="1"/>
      <c r="CV1252" s="1"/>
      <c r="CW1252" s="1"/>
      <c r="CX1252" s="1"/>
      <c r="CY1252" s="91" t="str">
        <f t="shared" si="831"/>
        <v/>
      </c>
      <c r="CZ1252" s="1"/>
      <c r="DC1252" s="307"/>
      <c r="DE1252" s="307"/>
    </row>
    <row r="1253">
      <c r="A1253" s="1"/>
      <c r="B1253" s="1"/>
      <c r="C1253" s="76"/>
      <c r="D1253" s="76"/>
      <c r="E1253" s="76"/>
      <c r="F1253" s="76"/>
      <c r="G1253" s="79"/>
      <c r="H1253" s="80"/>
      <c r="I1253" s="79"/>
      <c r="J1253" s="80"/>
      <c r="K1253" s="79"/>
      <c r="L1253" s="142"/>
      <c r="M1253" s="1"/>
      <c r="N1253" s="142"/>
      <c r="O1253" s="1"/>
      <c r="P1253" s="142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79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R1253" s="1"/>
      <c r="CS1253" s="1"/>
      <c r="CT1253" s="1"/>
      <c r="CU1253" s="1"/>
      <c r="CV1253" s="1"/>
      <c r="CW1253" s="1"/>
      <c r="CX1253" s="1"/>
      <c r="CY1253" s="91" t="str">
        <f t="shared" si="831"/>
        <v/>
      </c>
      <c r="CZ1253" s="1"/>
      <c r="DC1253" s="307"/>
      <c r="DE1253" s="307"/>
    </row>
    <row r="1254">
      <c r="A1254" s="1"/>
      <c r="B1254" s="1"/>
      <c r="C1254" s="76"/>
      <c r="D1254" s="76"/>
      <c r="E1254" s="76"/>
      <c r="F1254" s="76"/>
      <c r="G1254" s="79"/>
      <c r="H1254" s="80"/>
      <c r="I1254" s="79"/>
      <c r="J1254" s="80"/>
      <c r="K1254" s="79"/>
      <c r="L1254" s="142"/>
      <c r="M1254" s="1"/>
      <c r="N1254" s="142"/>
      <c r="O1254" s="1"/>
      <c r="P1254" s="142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79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R1254" s="1"/>
      <c r="CS1254" s="1"/>
      <c r="CT1254" s="1"/>
      <c r="CU1254" s="1"/>
      <c r="CV1254" s="1"/>
      <c r="CW1254" s="1"/>
      <c r="CX1254" s="1"/>
      <c r="CY1254" s="91" t="str">
        <f t="shared" si="831"/>
        <v/>
      </c>
      <c r="CZ1254" s="1"/>
      <c r="DC1254" s="307"/>
      <c r="DE1254" s="307"/>
    </row>
    <row r="1255">
      <c r="A1255" s="1"/>
      <c r="B1255" s="1"/>
      <c r="C1255" s="76"/>
      <c r="D1255" s="76"/>
      <c r="E1255" s="76"/>
      <c r="F1255" s="76"/>
      <c r="G1255" s="79"/>
      <c r="H1255" s="80"/>
      <c r="I1255" s="79"/>
      <c r="J1255" s="80"/>
      <c r="K1255" s="79"/>
      <c r="L1255" s="142"/>
      <c r="M1255" s="1"/>
      <c r="N1255" s="142"/>
      <c r="O1255" s="1"/>
      <c r="P1255" s="142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79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R1255" s="1"/>
      <c r="CS1255" s="1"/>
      <c r="CT1255" s="1"/>
      <c r="CU1255" s="1"/>
      <c r="CV1255" s="1"/>
      <c r="CW1255" s="1"/>
      <c r="CX1255" s="1"/>
      <c r="CY1255" s="91" t="str">
        <f t="shared" si="831"/>
        <v/>
      </c>
      <c r="CZ1255" s="1"/>
      <c r="DC1255" s="307"/>
      <c r="DE1255" s="307"/>
    </row>
    <row r="1256">
      <c r="A1256" s="1"/>
      <c r="B1256" s="1"/>
      <c r="C1256" s="76"/>
      <c r="D1256" s="76"/>
      <c r="E1256" s="76"/>
      <c r="F1256" s="76"/>
      <c r="G1256" s="79"/>
      <c r="H1256" s="80"/>
      <c r="I1256" s="79"/>
      <c r="J1256" s="80"/>
      <c r="K1256" s="79"/>
      <c r="L1256" s="142"/>
      <c r="M1256" s="1"/>
      <c r="N1256" s="142"/>
      <c r="O1256" s="1"/>
      <c r="P1256" s="142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79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R1256" s="1"/>
      <c r="CS1256" s="1"/>
      <c r="CT1256" s="1"/>
      <c r="CU1256" s="1"/>
      <c r="CV1256" s="1"/>
      <c r="CW1256" s="1"/>
      <c r="CX1256" s="1"/>
      <c r="CY1256" s="91" t="str">
        <f t="shared" si="831"/>
        <v/>
      </c>
      <c r="CZ1256" s="1"/>
      <c r="DC1256" s="307"/>
      <c r="DE1256" s="307"/>
    </row>
    <row r="1257">
      <c r="A1257" s="1"/>
      <c r="B1257" s="1"/>
      <c r="C1257" s="76"/>
      <c r="D1257" s="76"/>
      <c r="E1257" s="76"/>
      <c r="F1257" s="76"/>
      <c r="G1257" s="79"/>
      <c r="H1257" s="80"/>
      <c r="I1257" s="79"/>
      <c r="J1257" s="80"/>
      <c r="K1257" s="79"/>
      <c r="L1257" s="142"/>
      <c r="M1257" s="1"/>
      <c r="N1257" s="142"/>
      <c r="O1257" s="1"/>
      <c r="P1257" s="142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79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R1257" s="1"/>
      <c r="CS1257" s="1"/>
      <c r="CT1257" s="1"/>
      <c r="CU1257" s="1"/>
      <c r="CV1257" s="1"/>
      <c r="CW1257" s="1"/>
      <c r="CX1257" s="1"/>
      <c r="CY1257" s="91" t="str">
        <f t="shared" si="831"/>
        <v/>
      </c>
      <c r="CZ1257" s="1"/>
      <c r="DC1257" s="307"/>
      <c r="DE1257" s="307"/>
    </row>
    <row r="1258">
      <c r="A1258" s="1"/>
      <c r="B1258" s="1"/>
      <c r="C1258" s="76"/>
      <c r="D1258" s="76"/>
      <c r="E1258" s="76"/>
      <c r="F1258" s="76"/>
      <c r="G1258" s="79"/>
      <c r="H1258" s="80"/>
      <c r="I1258" s="79"/>
      <c r="J1258" s="80"/>
      <c r="K1258" s="79"/>
      <c r="L1258" s="142"/>
      <c r="M1258" s="1"/>
      <c r="N1258" s="142"/>
      <c r="O1258" s="1"/>
      <c r="P1258" s="142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79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R1258" s="1"/>
      <c r="CS1258" s="1"/>
      <c r="CT1258" s="1"/>
      <c r="CU1258" s="1"/>
      <c r="CV1258" s="1"/>
      <c r="CW1258" s="1"/>
      <c r="CX1258" s="1"/>
      <c r="CY1258" s="91" t="str">
        <f t="shared" si="831"/>
        <v/>
      </c>
      <c r="CZ1258" s="1"/>
      <c r="DC1258" s="307"/>
      <c r="DE1258" s="307"/>
    </row>
    <row r="1259">
      <c r="A1259" s="1"/>
      <c r="B1259" s="1"/>
      <c r="C1259" s="76"/>
      <c r="D1259" s="76"/>
      <c r="E1259" s="76"/>
      <c r="F1259" s="76"/>
      <c r="G1259" s="79"/>
      <c r="H1259" s="80"/>
      <c r="I1259" s="79"/>
      <c r="J1259" s="80"/>
      <c r="K1259" s="79"/>
      <c r="L1259" s="142"/>
      <c r="M1259" s="1"/>
      <c r="N1259" s="142"/>
      <c r="O1259" s="1"/>
      <c r="P1259" s="142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79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R1259" s="1"/>
      <c r="CS1259" s="1"/>
      <c r="CT1259" s="1"/>
      <c r="CU1259" s="1"/>
      <c r="CV1259" s="1"/>
      <c r="CW1259" s="1"/>
      <c r="CX1259" s="1"/>
      <c r="CY1259" s="91" t="str">
        <f t="shared" si="831"/>
        <v/>
      </c>
      <c r="CZ1259" s="1"/>
      <c r="DC1259" s="307"/>
      <c r="DE1259" s="307"/>
    </row>
    <row r="1260">
      <c r="A1260" s="1"/>
      <c r="B1260" s="1"/>
      <c r="C1260" s="76"/>
      <c r="D1260" s="76"/>
      <c r="E1260" s="76"/>
      <c r="F1260" s="76"/>
      <c r="G1260" s="79"/>
      <c r="H1260" s="80"/>
      <c r="I1260" s="79"/>
      <c r="J1260" s="80"/>
      <c r="K1260" s="79"/>
      <c r="L1260" s="142"/>
      <c r="M1260" s="1"/>
      <c r="N1260" s="142"/>
      <c r="O1260" s="1"/>
      <c r="P1260" s="142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79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R1260" s="1"/>
      <c r="CS1260" s="1"/>
      <c r="CT1260" s="1"/>
      <c r="CU1260" s="1"/>
      <c r="CV1260" s="1"/>
      <c r="CW1260" s="1"/>
      <c r="CX1260" s="1"/>
      <c r="CY1260" s="91" t="str">
        <f t="shared" si="831"/>
        <v/>
      </c>
      <c r="CZ1260" s="1"/>
      <c r="DC1260" s="307"/>
      <c r="DE1260" s="307"/>
    </row>
    <row r="1261">
      <c r="A1261" s="1"/>
      <c r="B1261" s="1"/>
      <c r="C1261" s="76"/>
      <c r="D1261" s="76"/>
      <c r="E1261" s="76"/>
      <c r="F1261" s="76"/>
      <c r="G1261" s="79"/>
      <c r="H1261" s="80"/>
      <c r="I1261" s="79"/>
      <c r="J1261" s="80"/>
      <c r="K1261" s="79"/>
      <c r="L1261" s="142"/>
      <c r="M1261" s="1"/>
      <c r="N1261" s="142"/>
      <c r="O1261" s="1"/>
      <c r="P1261" s="142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79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R1261" s="1"/>
      <c r="CS1261" s="1"/>
      <c r="CT1261" s="1"/>
      <c r="CU1261" s="1"/>
      <c r="CV1261" s="1"/>
      <c r="CW1261" s="1"/>
      <c r="CX1261" s="1"/>
      <c r="CY1261" s="91" t="str">
        <f t="shared" si="831"/>
        <v/>
      </c>
      <c r="CZ1261" s="1"/>
      <c r="DC1261" s="307"/>
      <c r="DE1261" s="307"/>
    </row>
    <row r="1262">
      <c r="A1262" s="1"/>
      <c r="B1262" s="1"/>
      <c r="C1262" s="76"/>
      <c r="D1262" s="76"/>
      <c r="E1262" s="76"/>
      <c r="F1262" s="76"/>
      <c r="G1262" s="79"/>
      <c r="H1262" s="80"/>
      <c r="I1262" s="79"/>
      <c r="J1262" s="80"/>
      <c r="K1262" s="79"/>
      <c r="L1262" s="142"/>
      <c r="M1262" s="1"/>
      <c r="N1262" s="142"/>
      <c r="O1262" s="1"/>
      <c r="P1262" s="142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79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R1262" s="1"/>
      <c r="CS1262" s="1"/>
      <c r="CT1262" s="1"/>
      <c r="CU1262" s="1"/>
      <c r="CV1262" s="1"/>
      <c r="CW1262" s="1"/>
      <c r="CX1262" s="1"/>
      <c r="CY1262" s="91" t="str">
        <f t="shared" si="831"/>
        <v/>
      </c>
      <c r="CZ1262" s="1"/>
      <c r="DC1262" s="307"/>
      <c r="DE1262" s="307"/>
    </row>
    <row r="1263">
      <c r="A1263" s="1"/>
      <c r="B1263" s="1"/>
      <c r="C1263" s="76"/>
      <c r="D1263" s="76"/>
      <c r="E1263" s="76"/>
      <c r="F1263" s="76"/>
      <c r="G1263" s="79"/>
      <c r="H1263" s="80"/>
      <c r="I1263" s="79"/>
      <c r="J1263" s="80"/>
      <c r="K1263" s="79"/>
      <c r="L1263" s="142"/>
      <c r="M1263" s="1"/>
      <c r="N1263" s="142"/>
      <c r="O1263" s="1"/>
      <c r="P1263" s="142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79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R1263" s="1"/>
      <c r="CS1263" s="1"/>
      <c r="CT1263" s="1"/>
      <c r="CU1263" s="1"/>
      <c r="CV1263" s="1"/>
      <c r="CW1263" s="1"/>
      <c r="CX1263" s="1"/>
      <c r="CY1263" s="91" t="str">
        <f t="shared" si="831"/>
        <v/>
      </c>
      <c r="CZ1263" s="1"/>
      <c r="DC1263" s="307"/>
      <c r="DE1263" s="307"/>
    </row>
    <row r="1264">
      <c r="A1264" s="1"/>
      <c r="B1264" s="1"/>
      <c r="C1264" s="76"/>
      <c r="D1264" s="76"/>
      <c r="E1264" s="76"/>
      <c r="F1264" s="76"/>
      <c r="G1264" s="79"/>
      <c r="H1264" s="80"/>
      <c r="I1264" s="79"/>
      <c r="J1264" s="80"/>
      <c r="K1264" s="79"/>
      <c r="L1264" s="142"/>
      <c r="M1264" s="1"/>
      <c r="N1264" s="142"/>
      <c r="O1264" s="1"/>
      <c r="P1264" s="142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79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R1264" s="1"/>
      <c r="CS1264" s="1"/>
      <c r="CT1264" s="1"/>
      <c r="CU1264" s="1"/>
      <c r="CV1264" s="1"/>
      <c r="CW1264" s="1"/>
      <c r="CX1264" s="1"/>
      <c r="CY1264" s="91" t="str">
        <f t="shared" si="831"/>
        <v/>
      </c>
      <c r="CZ1264" s="1"/>
      <c r="DC1264" s="307"/>
      <c r="DE1264" s="307"/>
    </row>
    <row r="1265">
      <c r="A1265" s="1"/>
      <c r="B1265" s="1"/>
      <c r="C1265" s="76"/>
      <c r="D1265" s="76"/>
      <c r="E1265" s="76"/>
      <c r="F1265" s="76"/>
      <c r="G1265" s="79"/>
      <c r="H1265" s="80"/>
      <c r="I1265" s="79"/>
      <c r="J1265" s="80"/>
      <c r="K1265" s="79"/>
      <c r="L1265" s="142"/>
      <c r="M1265" s="1"/>
      <c r="N1265" s="142"/>
      <c r="O1265" s="1"/>
      <c r="P1265" s="142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79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R1265" s="1"/>
      <c r="CS1265" s="1"/>
      <c r="CT1265" s="1"/>
      <c r="CU1265" s="1"/>
      <c r="CV1265" s="1"/>
      <c r="CW1265" s="1"/>
      <c r="CX1265" s="1"/>
      <c r="CY1265" s="91" t="str">
        <f t="shared" si="831"/>
        <v/>
      </c>
      <c r="CZ1265" s="1"/>
      <c r="DC1265" s="307"/>
      <c r="DE1265" s="307"/>
    </row>
    <row r="1266">
      <c r="A1266" s="1"/>
      <c r="B1266" s="1"/>
      <c r="C1266" s="76"/>
      <c r="D1266" s="76"/>
      <c r="E1266" s="76"/>
      <c r="F1266" s="76"/>
      <c r="G1266" s="79"/>
      <c r="H1266" s="80"/>
      <c r="I1266" s="79"/>
      <c r="J1266" s="80"/>
      <c r="K1266" s="79"/>
      <c r="L1266" s="142"/>
      <c r="M1266" s="1"/>
      <c r="N1266" s="142"/>
      <c r="O1266" s="1"/>
      <c r="P1266" s="142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79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R1266" s="1"/>
      <c r="CS1266" s="1"/>
      <c r="CT1266" s="1"/>
      <c r="CU1266" s="1"/>
      <c r="CV1266" s="1"/>
      <c r="CW1266" s="1"/>
      <c r="CX1266" s="1"/>
      <c r="CY1266" s="91" t="str">
        <f t="shared" si="831"/>
        <v/>
      </c>
      <c r="CZ1266" s="1"/>
      <c r="DC1266" s="307"/>
      <c r="DE1266" s="307"/>
    </row>
    <row r="1267">
      <c r="A1267" s="1"/>
      <c r="B1267" s="1"/>
      <c r="C1267" s="76"/>
      <c r="D1267" s="76"/>
      <c r="E1267" s="76"/>
      <c r="F1267" s="76"/>
      <c r="G1267" s="79"/>
      <c r="H1267" s="80"/>
      <c r="I1267" s="79"/>
      <c r="J1267" s="80"/>
      <c r="K1267" s="79"/>
      <c r="L1267" s="142"/>
      <c r="M1267" s="1"/>
      <c r="N1267" s="142"/>
      <c r="O1267" s="1"/>
      <c r="P1267" s="142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79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R1267" s="1"/>
      <c r="CS1267" s="1"/>
      <c r="CT1267" s="1"/>
      <c r="CU1267" s="1"/>
      <c r="CV1267" s="1"/>
      <c r="CW1267" s="1"/>
      <c r="CX1267" s="1"/>
      <c r="CY1267" s="91" t="str">
        <f t="shared" si="831"/>
        <v/>
      </c>
      <c r="CZ1267" s="1"/>
      <c r="DC1267" s="307"/>
      <c r="DE1267" s="307"/>
    </row>
    <row r="1268">
      <c r="A1268" s="1"/>
      <c r="B1268" s="1"/>
      <c r="C1268" s="76"/>
      <c r="D1268" s="76"/>
      <c r="E1268" s="76"/>
      <c r="F1268" s="76"/>
      <c r="G1268" s="79"/>
      <c r="H1268" s="80"/>
      <c r="I1268" s="79"/>
      <c r="J1268" s="80"/>
      <c r="K1268" s="79"/>
      <c r="L1268" s="142"/>
      <c r="M1268" s="1"/>
      <c r="N1268" s="142"/>
      <c r="O1268" s="1"/>
      <c r="P1268" s="142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79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R1268" s="1"/>
      <c r="CS1268" s="1"/>
      <c r="CT1268" s="1"/>
      <c r="CU1268" s="1"/>
      <c r="CV1268" s="1"/>
      <c r="CW1268" s="1"/>
      <c r="CX1268" s="1"/>
      <c r="CY1268" s="91" t="str">
        <f t="shared" si="831"/>
        <v/>
      </c>
      <c r="CZ1268" s="1"/>
      <c r="DC1268" s="307"/>
      <c r="DE1268" s="307"/>
    </row>
    <row r="1269">
      <c r="A1269" s="1"/>
      <c r="B1269" s="1"/>
      <c r="C1269" s="76"/>
      <c r="D1269" s="76"/>
      <c r="E1269" s="76"/>
      <c r="F1269" s="76"/>
      <c r="G1269" s="79"/>
      <c r="H1269" s="80"/>
      <c r="I1269" s="79"/>
      <c r="J1269" s="80"/>
      <c r="K1269" s="79"/>
      <c r="L1269" s="142"/>
      <c r="M1269" s="1"/>
      <c r="N1269" s="142"/>
      <c r="O1269" s="1"/>
      <c r="P1269" s="142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79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R1269" s="1"/>
      <c r="CS1269" s="1"/>
      <c r="CT1269" s="1"/>
      <c r="CU1269" s="1"/>
      <c r="CV1269" s="1"/>
      <c r="CW1269" s="1"/>
      <c r="CX1269" s="1"/>
      <c r="CY1269" s="91" t="str">
        <f t="shared" si="831"/>
        <v/>
      </c>
      <c r="CZ1269" s="1"/>
      <c r="DC1269" s="307"/>
      <c r="DE1269" s="307"/>
    </row>
    <row r="1270">
      <c r="A1270" s="1"/>
      <c r="B1270" s="1"/>
      <c r="C1270" s="76"/>
      <c r="D1270" s="76"/>
      <c r="E1270" s="76"/>
      <c r="F1270" s="76"/>
      <c r="G1270" s="79"/>
      <c r="H1270" s="80"/>
      <c r="I1270" s="79"/>
      <c r="J1270" s="80"/>
      <c r="K1270" s="79"/>
      <c r="L1270" s="142"/>
      <c r="M1270" s="1"/>
      <c r="N1270" s="142"/>
      <c r="O1270" s="1"/>
      <c r="P1270" s="142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79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R1270" s="1"/>
      <c r="CS1270" s="1"/>
      <c r="CT1270" s="1"/>
      <c r="CU1270" s="1"/>
      <c r="CV1270" s="1"/>
      <c r="CW1270" s="1"/>
      <c r="CX1270" s="1"/>
      <c r="CY1270" s="91" t="str">
        <f t="shared" si="831"/>
        <v/>
      </c>
      <c r="CZ1270" s="1"/>
      <c r="DC1270" s="307"/>
      <c r="DE1270" s="307"/>
    </row>
    <row r="1271">
      <c r="A1271" s="1"/>
      <c r="B1271" s="1"/>
      <c r="C1271" s="76"/>
      <c r="D1271" s="76"/>
      <c r="E1271" s="76"/>
      <c r="F1271" s="76"/>
      <c r="G1271" s="79"/>
      <c r="H1271" s="80"/>
      <c r="I1271" s="79"/>
      <c r="J1271" s="80"/>
      <c r="K1271" s="79"/>
      <c r="L1271" s="142"/>
      <c r="M1271" s="1"/>
      <c r="N1271" s="142"/>
      <c r="O1271" s="1"/>
      <c r="P1271" s="142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79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R1271" s="1"/>
      <c r="CS1271" s="1"/>
      <c r="CT1271" s="1"/>
      <c r="CU1271" s="1"/>
      <c r="CV1271" s="1"/>
      <c r="CW1271" s="1"/>
      <c r="CX1271" s="1"/>
      <c r="CY1271" s="91" t="str">
        <f t="shared" si="831"/>
        <v/>
      </c>
      <c r="CZ1271" s="1"/>
      <c r="DC1271" s="307"/>
      <c r="DE1271" s="307"/>
    </row>
    <row r="1272">
      <c r="A1272" s="1"/>
      <c r="B1272" s="1"/>
      <c r="C1272" s="76"/>
      <c r="D1272" s="76"/>
      <c r="E1272" s="76"/>
      <c r="F1272" s="76"/>
      <c r="G1272" s="79"/>
      <c r="H1272" s="80"/>
      <c r="I1272" s="79"/>
      <c r="J1272" s="80"/>
      <c r="K1272" s="79"/>
      <c r="L1272" s="142"/>
      <c r="M1272" s="1"/>
      <c r="N1272" s="142"/>
      <c r="O1272" s="1"/>
      <c r="P1272" s="142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79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R1272" s="1"/>
      <c r="CS1272" s="1"/>
      <c r="CT1272" s="1"/>
      <c r="CU1272" s="1"/>
      <c r="CV1272" s="1"/>
      <c r="CW1272" s="1"/>
      <c r="CX1272" s="1"/>
      <c r="CY1272" s="91" t="str">
        <f t="shared" si="831"/>
        <v/>
      </c>
      <c r="CZ1272" s="1"/>
      <c r="DC1272" s="307"/>
      <c r="DE1272" s="307"/>
    </row>
    <row r="1273">
      <c r="A1273" s="1"/>
      <c r="B1273" s="1"/>
      <c r="C1273" s="76"/>
      <c r="D1273" s="76"/>
      <c r="E1273" s="76"/>
      <c r="F1273" s="76"/>
      <c r="G1273" s="79"/>
      <c r="H1273" s="80"/>
      <c r="I1273" s="79"/>
      <c r="J1273" s="80"/>
      <c r="K1273" s="79"/>
      <c r="L1273" s="142"/>
      <c r="M1273" s="1"/>
      <c r="N1273" s="142"/>
      <c r="O1273" s="1"/>
      <c r="P1273" s="142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79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R1273" s="1"/>
      <c r="CS1273" s="1"/>
      <c r="CT1273" s="1"/>
      <c r="CU1273" s="1"/>
      <c r="CV1273" s="1"/>
      <c r="CW1273" s="1"/>
      <c r="CX1273" s="1"/>
      <c r="CY1273" s="91" t="str">
        <f t="shared" si="831"/>
        <v/>
      </c>
      <c r="CZ1273" s="1"/>
      <c r="DC1273" s="307"/>
      <c r="DE1273" s="307"/>
    </row>
    <row r="1274">
      <c r="A1274" s="1"/>
      <c r="B1274" s="1"/>
      <c r="C1274" s="76"/>
      <c r="D1274" s="76"/>
      <c r="E1274" s="76"/>
      <c r="F1274" s="76"/>
      <c r="G1274" s="79"/>
      <c r="H1274" s="80"/>
      <c r="I1274" s="79"/>
      <c r="J1274" s="80"/>
      <c r="K1274" s="79"/>
      <c r="L1274" s="142"/>
      <c r="M1274" s="1"/>
      <c r="N1274" s="142"/>
      <c r="O1274" s="1"/>
      <c r="P1274" s="142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79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R1274" s="1"/>
      <c r="CS1274" s="1"/>
      <c r="CT1274" s="1"/>
      <c r="CU1274" s="1"/>
      <c r="CV1274" s="1"/>
      <c r="CW1274" s="1"/>
      <c r="CX1274" s="1"/>
      <c r="CY1274" s="91" t="str">
        <f t="shared" si="831"/>
        <v/>
      </c>
      <c r="CZ1274" s="1"/>
      <c r="DC1274" s="307"/>
      <c r="DE1274" s="307"/>
    </row>
    <row r="1275">
      <c r="A1275" s="1"/>
      <c r="B1275" s="1"/>
      <c r="C1275" s="76"/>
      <c r="D1275" s="76"/>
      <c r="E1275" s="76"/>
      <c r="F1275" s="76"/>
      <c r="G1275" s="79"/>
      <c r="H1275" s="80"/>
      <c r="I1275" s="79"/>
      <c r="J1275" s="80"/>
      <c r="K1275" s="79"/>
      <c r="L1275" s="142"/>
      <c r="M1275" s="1"/>
      <c r="N1275" s="142"/>
      <c r="O1275" s="1"/>
      <c r="P1275" s="142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79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R1275" s="1"/>
      <c r="CS1275" s="1"/>
      <c r="CT1275" s="1"/>
      <c r="CU1275" s="1"/>
      <c r="CV1275" s="1"/>
      <c r="CW1275" s="1"/>
      <c r="CX1275" s="1"/>
      <c r="CY1275" s="91" t="str">
        <f t="shared" si="831"/>
        <v/>
      </c>
      <c r="CZ1275" s="1"/>
      <c r="DC1275" s="307"/>
      <c r="DE1275" s="307"/>
    </row>
    <row r="1276">
      <c r="A1276" s="1"/>
      <c r="B1276" s="1"/>
      <c r="C1276" s="76"/>
      <c r="D1276" s="76"/>
      <c r="E1276" s="76"/>
      <c r="F1276" s="76"/>
      <c r="G1276" s="79"/>
      <c r="H1276" s="80"/>
      <c r="I1276" s="79"/>
      <c r="J1276" s="80"/>
      <c r="K1276" s="79"/>
      <c r="L1276" s="142"/>
      <c r="M1276" s="1"/>
      <c r="N1276" s="142"/>
      <c r="O1276" s="1"/>
      <c r="P1276" s="142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79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R1276" s="1"/>
      <c r="CS1276" s="1"/>
      <c r="CT1276" s="1"/>
      <c r="CU1276" s="1"/>
      <c r="CV1276" s="1"/>
      <c r="CW1276" s="1"/>
      <c r="CX1276" s="1"/>
      <c r="CY1276" s="91" t="str">
        <f t="shared" si="831"/>
        <v/>
      </c>
      <c r="CZ1276" s="1"/>
      <c r="DC1276" s="307"/>
      <c r="DE1276" s="307"/>
    </row>
    <row r="1277">
      <c r="A1277" s="1"/>
      <c r="B1277" s="1"/>
      <c r="C1277" s="76"/>
      <c r="D1277" s="76"/>
      <c r="E1277" s="76"/>
      <c r="F1277" s="76"/>
      <c r="G1277" s="79"/>
      <c r="H1277" s="80"/>
      <c r="I1277" s="79"/>
      <c r="J1277" s="80"/>
      <c r="K1277" s="79"/>
      <c r="L1277" s="142"/>
      <c r="M1277" s="1"/>
      <c r="N1277" s="142"/>
      <c r="O1277" s="1"/>
      <c r="P1277" s="142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79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R1277" s="1"/>
      <c r="CS1277" s="1"/>
      <c r="CT1277" s="1"/>
      <c r="CU1277" s="1"/>
      <c r="CV1277" s="1"/>
      <c r="CW1277" s="1"/>
      <c r="CX1277" s="1"/>
      <c r="CY1277" s="91" t="str">
        <f t="shared" si="831"/>
        <v/>
      </c>
      <c r="CZ1277" s="1"/>
      <c r="DC1277" s="307"/>
      <c r="DE1277" s="307"/>
    </row>
    <row r="1278">
      <c r="A1278" s="1"/>
      <c r="B1278" s="1"/>
      <c r="C1278" s="76"/>
      <c r="D1278" s="76"/>
      <c r="E1278" s="76"/>
      <c r="F1278" s="76"/>
      <c r="G1278" s="79"/>
      <c r="H1278" s="80"/>
      <c r="I1278" s="79"/>
      <c r="J1278" s="80"/>
      <c r="K1278" s="79"/>
      <c r="L1278" s="142"/>
      <c r="M1278" s="1"/>
      <c r="N1278" s="142"/>
      <c r="O1278" s="1"/>
      <c r="P1278" s="142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79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R1278" s="1"/>
      <c r="CS1278" s="1"/>
      <c r="CT1278" s="1"/>
      <c r="CU1278" s="1"/>
      <c r="CV1278" s="1"/>
      <c r="CW1278" s="1"/>
      <c r="CX1278" s="1"/>
      <c r="CY1278" s="91" t="str">
        <f t="shared" si="831"/>
        <v/>
      </c>
      <c r="CZ1278" s="1"/>
      <c r="DC1278" s="307"/>
      <c r="DE1278" s="307"/>
    </row>
    <row r="1279">
      <c r="A1279" s="1"/>
      <c r="B1279" s="1"/>
      <c r="C1279" s="76"/>
      <c r="D1279" s="76"/>
      <c r="E1279" s="76"/>
      <c r="F1279" s="76"/>
      <c r="G1279" s="79"/>
      <c r="H1279" s="80"/>
      <c r="I1279" s="79"/>
      <c r="J1279" s="80"/>
      <c r="K1279" s="79"/>
      <c r="L1279" s="142"/>
      <c r="M1279" s="1"/>
      <c r="N1279" s="142"/>
      <c r="O1279" s="1"/>
      <c r="P1279" s="142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79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R1279" s="1"/>
      <c r="CS1279" s="1"/>
      <c r="CT1279" s="1"/>
      <c r="CU1279" s="1"/>
      <c r="CV1279" s="1"/>
      <c r="CW1279" s="1"/>
      <c r="CX1279" s="1"/>
      <c r="CY1279" s="91" t="str">
        <f t="shared" si="831"/>
        <v/>
      </c>
      <c r="CZ1279" s="1"/>
      <c r="DC1279" s="307"/>
      <c r="DE1279" s="307"/>
    </row>
    <row r="1280">
      <c r="A1280" s="1"/>
      <c r="B1280" s="1"/>
      <c r="C1280" s="76"/>
      <c r="D1280" s="76"/>
      <c r="E1280" s="76"/>
      <c r="F1280" s="76"/>
      <c r="G1280" s="79"/>
      <c r="H1280" s="80"/>
      <c r="I1280" s="79"/>
      <c r="J1280" s="80"/>
      <c r="K1280" s="79"/>
      <c r="L1280" s="142"/>
      <c r="M1280" s="1"/>
      <c r="N1280" s="142"/>
      <c r="O1280" s="1"/>
      <c r="P1280" s="142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79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R1280" s="1"/>
      <c r="CS1280" s="1"/>
      <c r="CT1280" s="1"/>
      <c r="CU1280" s="1"/>
      <c r="CV1280" s="1"/>
      <c r="CW1280" s="1"/>
      <c r="CX1280" s="1"/>
      <c r="CY1280" s="91" t="str">
        <f t="shared" si="831"/>
        <v/>
      </c>
      <c r="CZ1280" s="1"/>
      <c r="DC1280" s="307"/>
      <c r="DE1280" s="307"/>
    </row>
    <row r="1281">
      <c r="A1281" s="1"/>
      <c r="B1281" s="1"/>
      <c r="C1281" s="76"/>
      <c r="D1281" s="76"/>
      <c r="E1281" s="76"/>
      <c r="F1281" s="76"/>
      <c r="G1281" s="79"/>
      <c r="H1281" s="80"/>
      <c r="I1281" s="79"/>
      <c r="J1281" s="80"/>
      <c r="K1281" s="79"/>
      <c r="L1281" s="142"/>
      <c r="M1281" s="1"/>
      <c r="N1281" s="142"/>
      <c r="O1281" s="1"/>
      <c r="P1281" s="142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79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R1281" s="1"/>
      <c r="CS1281" s="1"/>
      <c r="CT1281" s="1"/>
      <c r="CU1281" s="1"/>
      <c r="CV1281" s="1"/>
      <c r="CW1281" s="1"/>
      <c r="CX1281" s="1"/>
      <c r="CY1281" s="91" t="str">
        <f t="shared" si="831"/>
        <v/>
      </c>
      <c r="CZ1281" s="1"/>
      <c r="DC1281" s="307"/>
      <c r="DE1281" s="307"/>
    </row>
    <row r="1282">
      <c r="A1282" s="1"/>
      <c r="B1282" s="1"/>
      <c r="C1282" s="76"/>
      <c r="D1282" s="76"/>
      <c r="E1282" s="76"/>
      <c r="F1282" s="76"/>
      <c r="G1282" s="79"/>
      <c r="H1282" s="80"/>
      <c r="I1282" s="79"/>
      <c r="J1282" s="80"/>
      <c r="K1282" s="79"/>
      <c r="L1282" s="142"/>
      <c r="M1282" s="1"/>
      <c r="N1282" s="142"/>
      <c r="O1282" s="1"/>
      <c r="P1282" s="142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79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R1282" s="1"/>
      <c r="CS1282" s="1"/>
      <c r="CT1282" s="1"/>
      <c r="CU1282" s="1"/>
      <c r="CV1282" s="1"/>
      <c r="CW1282" s="1"/>
      <c r="CX1282" s="1"/>
      <c r="CY1282" s="91" t="str">
        <f t="shared" si="831"/>
        <v/>
      </c>
      <c r="CZ1282" s="1"/>
      <c r="DC1282" s="307"/>
      <c r="DE1282" s="307"/>
    </row>
    <row r="1283">
      <c r="A1283" s="1"/>
      <c r="B1283" s="1"/>
      <c r="C1283" s="76"/>
      <c r="D1283" s="76"/>
      <c r="E1283" s="76"/>
      <c r="F1283" s="76"/>
      <c r="G1283" s="79"/>
      <c r="H1283" s="80"/>
      <c r="I1283" s="79"/>
      <c r="J1283" s="80"/>
      <c r="K1283" s="79"/>
      <c r="L1283" s="142"/>
      <c r="M1283" s="1"/>
      <c r="N1283" s="142"/>
      <c r="O1283" s="1"/>
      <c r="P1283" s="142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79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R1283" s="1"/>
      <c r="CS1283" s="1"/>
      <c r="CT1283" s="1"/>
      <c r="CU1283" s="1"/>
      <c r="CV1283" s="1"/>
      <c r="CW1283" s="1"/>
      <c r="CX1283" s="1"/>
      <c r="CY1283" s="91" t="str">
        <f t="shared" si="831"/>
        <v/>
      </c>
      <c r="CZ1283" s="1"/>
      <c r="DC1283" s="307"/>
      <c r="DE1283" s="307"/>
    </row>
    <row r="1284">
      <c r="A1284" s="1"/>
      <c r="B1284" s="1"/>
      <c r="C1284" s="76"/>
      <c r="D1284" s="76"/>
      <c r="E1284" s="76"/>
      <c r="F1284" s="76"/>
      <c r="G1284" s="79"/>
      <c r="H1284" s="80"/>
      <c r="I1284" s="79"/>
      <c r="J1284" s="80"/>
      <c r="K1284" s="79"/>
      <c r="L1284" s="142"/>
      <c r="M1284" s="1"/>
      <c r="N1284" s="142"/>
      <c r="O1284" s="1"/>
      <c r="P1284" s="142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79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R1284" s="1"/>
      <c r="CS1284" s="1"/>
      <c r="CT1284" s="1"/>
      <c r="CU1284" s="1"/>
      <c r="CV1284" s="1"/>
      <c r="CW1284" s="1"/>
      <c r="CX1284" s="1"/>
      <c r="CY1284" s="91" t="str">
        <f t="shared" si="831"/>
        <v/>
      </c>
      <c r="CZ1284" s="1"/>
      <c r="DC1284" s="307"/>
      <c r="DE1284" s="307"/>
    </row>
    <row r="1285">
      <c r="A1285" s="1"/>
      <c r="B1285" s="1"/>
      <c r="C1285" s="76"/>
      <c r="D1285" s="76"/>
      <c r="E1285" s="76"/>
      <c r="F1285" s="76"/>
      <c r="G1285" s="79"/>
      <c r="H1285" s="80"/>
      <c r="I1285" s="79"/>
      <c r="J1285" s="80"/>
      <c r="K1285" s="79"/>
      <c r="L1285" s="142"/>
      <c r="M1285" s="1"/>
      <c r="N1285" s="142"/>
      <c r="O1285" s="1"/>
      <c r="P1285" s="142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79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R1285" s="1"/>
      <c r="CS1285" s="1"/>
      <c r="CT1285" s="1"/>
      <c r="CU1285" s="1"/>
      <c r="CV1285" s="1"/>
      <c r="CW1285" s="1"/>
      <c r="CX1285" s="1"/>
      <c r="CY1285" s="91" t="str">
        <f t="shared" si="831"/>
        <v/>
      </c>
      <c r="CZ1285" s="1"/>
      <c r="DC1285" s="307"/>
      <c r="DE1285" s="307"/>
    </row>
    <row r="1286">
      <c r="A1286" s="1"/>
      <c r="B1286" s="1"/>
      <c r="C1286" s="76"/>
      <c r="D1286" s="76"/>
      <c r="E1286" s="76"/>
      <c r="F1286" s="76"/>
      <c r="G1286" s="79"/>
      <c r="H1286" s="80"/>
      <c r="I1286" s="79"/>
      <c r="J1286" s="80"/>
      <c r="K1286" s="79"/>
      <c r="L1286" s="142"/>
      <c r="M1286" s="1"/>
      <c r="N1286" s="142"/>
      <c r="O1286" s="1"/>
      <c r="P1286" s="142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79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R1286" s="1"/>
      <c r="CS1286" s="1"/>
      <c r="CT1286" s="1"/>
      <c r="CU1286" s="1"/>
      <c r="CV1286" s="1"/>
      <c r="CW1286" s="1"/>
      <c r="CX1286" s="1"/>
      <c r="CY1286" s="91" t="str">
        <f t="shared" si="831"/>
        <v/>
      </c>
      <c r="CZ1286" s="1"/>
      <c r="DC1286" s="307"/>
      <c r="DE1286" s="307"/>
    </row>
    <row r="1287">
      <c r="A1287" s="1"/>
      <c r="B1287" s="1"/>
      <c r="C1287" s="76"/>
      <c r="D1287" s="76"/>
      <c r="E1287" s="76"/>
      <c r="F1287" s="76"/>
      <c r="G1287" s="79"/>
      <c r="H1287" s="80"/>
      <c r="I1287" s="79"/>
      <c r="J1287" s="80"/>
      <c r="K1287" s="79"/>
      <c r="L1287" s="142"/>
      <c r="M1287" s="1"/>
      <c r="N1287" s="142"/>
      <c r="O1287" s="1"/>
      <c r="P1287" s="142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79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R1287" s="1"/>
      <c r="CS1287" s="1"/>
      <c r="CT1287" s="1"/>
      <c r="CU1287" s="1"/>
      <c r="CV1287" s="1"/>
      <c r="CW1287" s="1"/>
      <c r="CX1287" s="1"/>
      <c r="CY1287" s="91" t="str">
        <f t="shared" si="831"/>
        <v/>
      </c>
      <c r="CZ1287" s="1"/>
      <c r="DC1287" s="307"/>
      <c r="DE1287" s="307"/>
    </row>
    <row r="1288">
      <c r="A1288" s="1"/>
      <c r="B1288" s="1"/>
      <c r="C1288" s="76"/>
      <c r="D1288" s="76"/>
      <c r="E1288" s="76"/>
      <c r="F1288" s="76"/>
      <c r="G1288" s="79"/>
      <c r="H1288" s="80"/>
      <c r="I1288" s="79"/>
      <c r="J1288" s="80"/>
      <c r="K1288" s="79"/>
      <c r="L1288" s="142"/>
      <c r="M1288" s="1"/>
      <c r="N1288" s="142"/>
      <c r="O1288" s="1"/>
      <c r="P1288" s="142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79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R1288" s="1"/>
      <c r="CS1288" s="1"/>
      <c r="CT1288" s="1"/>
      <c r="CU1288" s="1"/>
      <c r="CV1288" s="1"/>
      <c r="CW1288" s="1"/>
      <c r="CX1288" s="1"/>
      <c r="CY1288" s="91" t="str">
        <f t="shared" si="831"/>
        <v/>
      </c>
      <c r="CZ1288" s="1"/>
      <c r="DC1288" s="307"/>
      <c r="DE1288" s="307"/>
    </row>
    <row r="1289">
      <c r="A1289" s="1"/>
      <c r="B1289" s="1"/>
      <c r="C1289" s="76"/>
      <c r="D1289" s="76"/>
      <c r="E1289" s="76"/>
      <c r="F1289" s="76"/>
      <c r="G1289" s="79"/>
      <c r="H1289" s="80"/>
      <c r="I1289" s="79"/>
      <c r="J1289" s="80"/>
      <c r="K1289" s="79"/>
      <c r="L1289" s="142"/>
      <c r="M1289" s="1"/>
      <c r="N1289" s="142"/>
      <c r="O1289" s="1"/>
      <c r="P1289" s="142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79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R1289" s="1"/>
      <c r="CS1289" s="1"/>
      <c r="CT1289" s="1"/>
      <c r="CU1289" s="1"/>
      <c r="CV1289" s="1"/>
      <c r="CW1289" s="1"/>
      <c r="CX1289" s="1"/>
      <c r="CY1289" s="91" t="str">
        <f t="shared" si="831"/>
        <v/>
      </c>
      <c r="CZ1289" s="1"/>
      <c r="DC1289" s="307"/>
      <c r="DE1289" s="307"/>
    </row>
    <row r="1290">
      <c r="A1290" s="1"/>
      <c r="B1290" s="1"/>
      <c r="C1290" s="76"/>
      <c r="D1290" s="76"/>
      <c r="E1290" s="76"/>
      <c r="F1290" s="76"/>
      <c r="G1290" s="79"/>
      <c r="H1290" s="80"/>
      <c r="I1290" s="79"/>
      <c r="J1290" s="80"/>
      <c r="K1290" s="79"/>
      <c r="L1290" s="142"/>
      <c r="M1290" s="1"/>
      <c r="N1290" s="142"/>
      <c r="O1290" s="1"/>
      <c r="P1290" s="142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79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R1290" s="1"/>
      <c r="CS1290" s="1"/>
      <c r="CT1290" s="1"/>
      <c r="CU1290" s="1"/>
      <c r="CV1290" s="1"/>
      <c r="CW1290" s="1"/>
      <c r="CX1290" s="1"/>
      <c r="CY1290" s="91" t="str">
        <f t="shared" si="831"/>
        <v/>
      </c>
      <c r="CZ1290" s="1"/>
      <c r="DC1290" s="307"/>
      <c r="DE1290" s="307"/>
    </row>
    <row r="1291">
      <c r="A1291" s="1"/>
      <c r="B1291" s="1"/>
      <c r="C1291" s="76"/>
      <c r="D1291" s="76"/>
      <c r="E1291" s="76"/>
      <c r="F1291" s="76"/>
      <c r="G1291" s="79"/>
      <c r="H1291" s="80"/>
      <c r="I1291" s="79"/>
      <c r="J1291" s="80"/>
      <c r="K1291" s="79"/>
      <c r="L1291" s="142"/>
      <c r="M1291" s="1"/>
      <c r="N1291" s="142"/>
      <c r="O1291" s="1"/>
      <c r="P1291" s="142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79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R1291" s="1"/>
      <c r="CS1291" s="1"/>
      <c r="CT1291" s="1"/>
      <c r="CU1291" s="1"/>
      <c r="CV1291" s="1"/>
      <c r="CW1291" s="1"/>
      <c r="CX1291" s="1"/>
      <c r="CY1291" s="91" t="str">
        <f t="shared" si="831"/>
        <v/>
      </c>
      <c r="CZ1291" s="1"/>
      <c r="DC1291" s="307"/>
      <c r="DE1291" s="307"/>
    </row>
    <row r="1292">
      <c r="A1292" s="1"/>
      <c r="B1292" s="1"/>
      <c r="C1292" s="76"/>
      <c r="D1292" s="76"/>
      <c r="E1292" s="76"/>
      <c r="F1292" s="76"/>
      <c r="G1292" s="79"/>
      <c r="H1292" s="80"/>
      <c r="I1292" s="79"/>
      <c r="J1292" s="80"/>
      <c r="K1292" s="79"/>
      <c r="L1292" s="142"/>
      <c r="M1292" s="1"/>
      <c r="N1292" s="142"/>
      <c r="O1292" s="1"/>
      <c r="P1292" s="142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79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R1292" s="1"/>
      <c r="CS1292" s="1"/>
      <c r="CT1292" s="1"/>
      <c r="CU1292" s="1"/>
      <c r="CV1292" s="1"/>
      <c r="CW1292" s="1"/>
      <c r="CX1292" s="1"/>
      <c r="CY1292" s="91" t="str">
        <f t="shared" si="831"/>
        <v/>
      </c>
      <c r="CZ1292" s="1"/>
      <c r="DC1292" s="307"/>
      <c r="DE1292" s="307"/>
    </row>
    <row r="1293">
      <c r="A1293" s="1"/>
      <c r="B1293" s="1"/>
      <c r="C1293" s="76"/>
      <c r="D1293" s="76"/>
      <c r="E1293" s="76"/>
      <c r="F1293" s="76"/>
      <c r="G1293" s="79"/>
      <c r="H1293" s="80"/>
      <c r="I1293" s="79"/>
      <c r="J1293" s="80"/>
      <c r="K1293" s="79"/>
      <c r="L1293" s="142"/>
      <c r="M1293" s="1"/>
      <c r="N1293" s="142"/>
      <c r="O1293" s="1"/>
      <c r="P1293" s="142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79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R1293" s="1"/>
      <c r="CS1293" s="1"/>
      <c r="CT1293" s="1"/>
      <c r="CU1293" s="1"/>
      <c r="CV1293" s="1"/>
      <c r="CW1293" s="1"/>
      <c r="CX1293" s="1"/>
      <c r="CY1293" s="91" t="str">
        <f t="shared" si="831"/>
        <v/>
      </c>
      <c r="CZ1293" s="1"/>
      <c r="DC1293" s="307"/>
      <c r="DE1293" s="307"/>
    </row>
    <row r="1294">
      <c r="A1294" s="1"/>
      <c r="B1294" s="1"/>
      <c r="C1294" s="76"/>
      <c r="D1294" s="76"/>
      <c r="E1294" s="76"/>
      <c r="F1294" s="76"/>
      <c r="G1294" s="79"/>
      <c r="H1294" s="80"/>
      <c r="I1294" s="79"/>
      <c r="J1294" s="80"/>
      <c r="K1294" s="79"/>
      <c r="L1294" s="142"/>
      <c r="M1294" s="1"/>
      <c r="N1294" s="142"/>
      <c r="O1294" s="1"/>
      <c r="P1294" s="142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79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R1294" s="1"/>
      <c r="CS1294" s="1"/>
      <c r="CT1294" s="1"/>
      <c r="CU1294" s="1"/>
      <c r="CV1294" s="1"/>
      <c r="CW1294" s="1"/>
      <c r="CX1294" s="1"/>
      <c r="CY1294" s="91" t="str">
        <f t="shared" si="831"/>
        <v/>
      </c>
      <c r="CZ1294" s="1"/>
      <c r="DC1294" s="307"/>
      <c r="DE1294" s="307"/>
    </row>
    <row r="1295">
      <c r="A1295" s="1"/>
      <c r="B1295" s="1"/>
      <c r="C1295" s="76"/>
      <c r="D1295" s="76"/>
      <c r="E1295" s="76"/>
      <c r="F1295" s="76"/>
      <c r="G1295" s="79"/>
      <c r="H1295" s="80"/>
      <c r="I1295" s="79"/>
      <c r="J1295" s="80"/>
      <c r="K1295" s="79"/>
      <c r="L1295" s="142"/>
      <c r="M1295" s="1"/>
      <c r="N1295" s="142"/>
      <c r="O1295" s="1"/>
      <c r="P1295" s="142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79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R1295" s="1"/>
      <c r="CS1295" s="1"/>
      <c r="CT1295" s="1"/>
      <c r="CU1295" s="1"/>
      <c r="CV1295" s="1"/>
      <c r="CW1295" s="1"/>
      <c r="CX1295" s="1"/>
      <c r="CY1295" s="91" t="str">
        <f t="shared" si="831"/>
        <v/>
      </c>
      <c r="CZ1295" s="1"/>
      <c r="DC1295" s="307"/>
      <c r="DE1295" s="307"/>
    </row>
    <row r="1296">
      <c r="A1296" s="1"/>
      <c r="B1296" s="1"/>
      <c r="C1296" s="76"/>
      <c r="D1296" s="76"/>
      <c r="E1296" s="76"/>
      <c r="F1296" s="76"/>
      <c r="G1296" s="79"/>
      <c r="H1296" s="80"/>
      <c r="I1296" s="79"/>
      <c r="J1296" s="80"/>
      <c r="K1296" s="79"/>
      <c r="L1296" s="142"/>
      <c r="M1296" s="1"/>
      <c r="N1296" s="142"/>
      <c r="O1296" s="1"/>
      <c r="P1296" s="142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79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R1296" s="1"/>
      <c r="CS1296" s="1"/>
      <c r="CT1296" s="1"/>
      <c r="CU1296" s="1"/>
      <c r="CV1296" s="1"/>
      <c r="CW1296" s="1"/>
      <c r="CX1296" s="1"/>
      <c r="CY1296" s="91" t="str">
        <f t="shared" si="831"/>
        <v/>
      </c>
      <c r="CZ1296" s="1"/>
      <c r="DC1296" s="307"/>
      <c r="DE1296" s="307"/>
    </row>
    <row r="1297">
      <c r="A1297" s="1"/>
      <c r="B1297" s="1"/>
      <c r="C1297" s="76"/>
      <c r="D1297" s="76"/>
      <c r="E1297" s="76"/>
      <c r="F1297" s="76"/>
      <c r="G1297" s="79"/>
      <c r="H1297" s="80"/>
      <c r="I1297" s="79"/>
      <c r="J1297" s="80"/>
      <c r="K1297" s="79"/>
      <c r="L1297" s="142"/>
      <c r="M1297" s="1"/>
      <c r="N1297" s="142"/>
      <c r="O1297" s="1"/>
      <c r="P1297" s="142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79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R1297" s="1"/>
      <c r="CS1297" s="1"/>
      <c r="CT1297" s="1"/>
      <c r="CU1297" s="1"/>
      <c r="CV1297" s="1"/>
      <c r="CW1297" s="1"/>
      <c r="CX1297" s="1"/>
      <c r="CY1297" s="91" t="str">
        <f t="shared" si="831"/>
        <v/>
      </c>
      <c r="CZ1297" s="1"/>
      <c r="DC1297" s="307"/>
      <c r="DE1297" s="307"/>
    </row>
    <row r="1298">
      <c r="A1298" s="1"/>
      <c r="B1298" s="1"/>
      <c r="C1298" s="76"/>
      <c r="D1298" s="76"/>
      <c r="E1298" s="76"/>
      <c r="F1298" s="76"/>
      <c r="G1298" s="79"/>
      <c r="H1298" s="80"/>
      <c r="I1298" s="79"/>
      <c r="J1298" s="80"/>
      <c r="K1298" s="79"/>
      <c r="L1298" s="142"/>
      <c r="M1298" s="1"/>
      <c r="N1298" s="142"/>
      <c r="O1298" s="1"/>
      <c r="P1298" s="142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79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R1298" s="1"/>
      <c r="CS1298" s="1"/>
      <c r="CT1298" s="1"/>
      <c r="CU1298" s="1"/>
      <c r="CV1298" s="1"/>
      <c r="CW1298" s="1"/>
      <c r="CX1298" s="1"/>
      <c r="CY1298" s="91" t="str">
        <f t="shared" si="831"/>
        <v/>
      </c>
      <c r="CZ1298" s="1"/>
      <c r="DC1298" s="307"/>
      <c r="DE1298" s="307"/>
    </row>
    <row r="1299">
      <c r="A1299" s="1"/>
      <c r="B1299" s="1"/>
      <c r="C1299" s="76"/>
      <c r="D1299" s="76"/>
      <c r="E1299" s="76"/>
      <c r="F1299" s="76"/>
      <c r="G1299" s="79"/>
      <c r="H1299" s="80"/>
      <c r="I1299" s="79"/>
      <c r="J1299" s="80"/>
      <c r="K1299" s="79"/>
      <c r="L1299" s="142"/>
      <c r="M1299" s="1"/>
      <c r="N1299" s="142"/>
      <c r="O1299" s="1"/>
      <c r="P1299" s="142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79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R1299" s="1"/>
      <c r="CS1299" s="1"/>
      <c r="CT1299" s="1"/>
      <c r="CU1299" s="1"/>
      <c r="CV1299" s="1"/>
      <c r="CW1299" s="1"/>
      <c r="CX1299" s="1"/>
      <c r="CY1299" s="91" t="str">
        <f t="shared" si="831"/>
        <v/>
      </c>
      <c r="CZ1299" s="1"/>
      <c r="DC1299" s="307"/>
      <c r="DE1299" s="307"/>
    </row>
    <row r="1300">
      <c r="A1300" s="1"/>
      <c r="B1300" s="1"/>
      <c r="C1300" s="76"/>
      <c r="D1300" s="76"/>
      <c r="E1300" s="76"/>
      <c r="F1300" s="76"/>
      <c r="G1300" s="79"/>
      <c r="H1300" s="80"/>
      <c r="I1300" s="79"/>
      <c r="J1300" s="80"/>
      <c r="K1300" s="79"/>
      <c r="L1300" s="142"/>
      <c r="M1300" s="1"/>
      <c r="N1300" s="142"/>
      <c r="O1300" s="1"/>
      <c r="P1300" s="142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79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R1300" s="1"/>
      <c r="CS1300" s="1"/>
      <c r="CT1300" s="1"/>
      <c r="CU1300" s="1"/>
      <c r="CV1300" s="1"/>
      <c r="CW1300" s="1"/>
      <c r="CX1300" s="1"/>
      <c r="CY1300" s="91" t="str">
        <f t="shared" si="831"/>
        <v/>
      </c>
      <c r="CZ1300" s="1"/>
      <c r="DC1300" s="307"/>
      <c r="DE1300" s="307"/>
    </row>
    <row r="1301">
      <c r="A1301" s="1"/>
      <c r="B1301" s="1"/>
      <c r="C1301" s="76"/>
      <c r="D1301" s="76"/>
      <c r="E1301" s="76"/>
      <c r="F1301" s="76"/>
      <c r="G1301" s="79"/>
      <c r="H1301" s="80"/>
      <c r="I1301" s="79"/>
      <c r="J1301" s="80"/>
      <c r="K1301" s="79"/>
      <c r="L1301" s="142"/>
      <c r="M1301" s="1"/>
      <c r="N1301" s="142"/>
      <c r="O1301" s="1"/>
      <c r="P1301" s="142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79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R1301" s="1"/>
      <c r="CS1301" s="1"/>
      <c r="CT1301" s="1"/>
      <c r="CU1301" s="1"/>
      <c r="CV1301" s="1"/>
      <c r="CW1301" s="1"/>
      <c r="CX1301" s="1"/>
      <c r="CY1301" s="91" t="str">
        <f t="shared" si="831"/>
        <v/>
      </c>
      <c r="CZ1301" s="1"/>
      <c r="DC1301" s="307"/>
      <c r="DE1301" s="307"/>
    </row>
    <row r="1302">
      <c r="A1302" s="1"/>
      <c r="B1302" s="1"/>
      <c r="C1302" s="76"/>
      <c r="D1302" s="76"/>
      <c r="E1302" s="76"/>
      <c r="F1302" s="76"/>
      <c r="G1302" s="79"/>
      <c r="H1302" s="80"/>
      <c r="I1302" s="79"/>
      <c r="J1302" s="80"/>
      <c r="K1302" s="79"/>
      <c r="L1302" s="142"/>
      <c r="M1302" s="1"/>
      <c r="N1302" s="142"/>
      <c r="O1302" s="1"/>
      <c r="P1302" s="142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79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R1302" s="1"/>
      <c r="CS1302" s="1"/>
      <c r="CT1302" s="1"/>
      <c r="CU1302" s="1"/>
      <c r="CV1302" s="1"/>
      <c r="CW1302" s="1"/>
      <c r="CX1302" s="1"/>
      <c r="CY1302" s="91" t="str">
        <f t="shared" si="831"/>
        <v/>
      </c>
      <c r="CZ1302" s="1"/>
      <c r="DC1302" s="307"/>
      <c r="DE1302" s="307"/>
    </row>
    <row r="1303">
      <c r="A1303" s="1"/>
      <c r="B1303" s="1"/>
      <c r="C1303" s="76"/>
      <c r="D1303" s="76"/>
      <c r="E1303" s="76"/>
      <c r="F1303" s="76"/>
      <c r="G1303" s="79"/>
      <c r="H1303" s="80"/>
      <c r="I1303" s="79"/>
      <c r="J1303" s="80"/>
      <c r="K1303" s="79"/>
      <c r="L1303" s="142"/>
      <c r="M1303" s="1"/>
      <c r="N1303" s="142"/>
      <c r="O1303" s="1"/>
      <c r="P1303" s="142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79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R1303" s="1"/>
      <c r="CS1303" s="1"/>
      <c r="CT1303" s="1"/>
      <c r="CU1303" s="1"/>
      <c r="CV1303" s="1"/>
      <c r="CW1303" s="1"/>
      <c r="CX1303" s="1"/>
      <c r="CY1303" s="91" t="str">
        <f t="shared" si="831"/>
        <v/>
      </c>
      <c r="CZ1303" s="1"/>
      <c r="DC1303" s="307"/>
      <c r="DE1303" s="307"/>
    </row>
    <row r="1304">
      <c r="A1304" s="1"/>
      <c r="B1304" s="1"/>
      <c r="C1304" s="76"/>
      <c r="D1304" s="76"/>
      <c r="E1304" s="76"/>
      <c r="F1304" s="76"/>
      <c r="G1304" s="79"/>
      <c r="H1304" s="80"/>
      <c r="I1304" s="79"/>
      <c r="J1304" s="80"/>
      <c r="K1304" s="79"/>
      <c r="L1304" s="142"/>
      <c r="M1304" s="1"/>
      <c r="N1304" s="142"/>
      <c r="O1304" s="1"/>
      <c r="P1304" s="142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79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R1304" s="1"/>
      <c r="CS1304" s="1"/>
      <c r="CT1304" s="1"/>
      <c r="CU1304" s="1"/>
      <c r="CV1304" s="1"/>
      <c r="CW1304" s="1"/>
      <c r="CX1304" s="1"/>
      <c r="CY1304" s="91" t="str">
        <f t="shared" si="831"/>
        <v/>
      </c>
      <c r="CZ1304" s="1"/>
      <c r="DC1304" s="307"/>
      <c r="DE1304" s="307"/>
    </row>
    <row r="1305">
      <c r="A1305" s="1"/>
      <c r="B1305" s="1"/>
      <c r="C1305" s="76"/>
      <c r="D1305" s="76"/>
      <c r="E1305" s="76"/>
      <c r="F1305" s="76"/>
      <c r="G1305" s="79"/>
      <c r="H1305" s="80"/>
      <c r="I1305" s="79"/>
      <c r="J1305" s="80"/>
      <c r="K1305" s="79"/>
      <c r="L1305" s="142"/>
      <c r="M1305" s="1"/>
      <c r="N1305" s="142"/>
      <c r="O1305" s="1"/>
      <c r="P1305" s="142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79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R1305" s="1"/>
      <c r="CS1305" s="1"/>
      <c r="CT1305" s="1"/>
      <c r="CU1305" s="1"/>
      <c r="CV1305" s="1"/>
      <c r="CW1305" s="1"/>
      <c r="CX1305" s="1"/>
      <c r="CY1305" s="91" t="str">
        <f t="shared" si="831"/>
        <v/>
      </c>
      <c r="CZ1305" s="1"/>
      <c r="DC1305" s="307"/>
      <c r="DE1305" s="307"/>
    </row>
    <row r="1306">
      <c r="A1306" s="1"/>
      <c r="B1306" s="1"/>
      <c r="C1306" s="76"/>
      <c r="D1306" s="76"/>
      <c r="E1306" s="76"/>
      <c r="F1306" s="76"/>
      <c r="G1306" s="79"/>
      <c r="H1306" s="80"/>
      <c r="I1306" s="79"/>
      <c r="J1306" s="80"/>
      <c r="K1306" s="79"/>
      <c r="L1306" s="142"/>
      <c r="M1306" s="1"/>
      <c r="N1306" s="142"/>
      <c r="O1306" s="1"/>
      <c r="P1306" s="142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79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R1306" s="1"/>
      <c r="CS1306" s="1"/>
      <c r="CT1306" s="1"/>
      <c r="CU1306" s="1"/>
      <c r="CV1306" s="1"/>
      <c r="CW1306" s="1"/>
      <c r="CX1306" s="1"/>
      <c r="CY1306" s="91" t="str">
        <f t="shared" si="831"/>
        <v/>
      </c>
      <c r="CZ1306" s="1"/>
      <c r="DC1306" s="307"/>
      <c r="DE1306" s="307"/>
    </row>
    <row r="1307">
      <c r="A1307" s="1"/>
      <c r="B1307" s="1"/>
      <c r="C1307" s="76"/>
      <c r="D1307" s="76"/>
      <c r="E1307" s="76"/>
      <c r="F1307" s="76"/>
      <c r="G1307" s="79"/>
      <c r="H1307" s="80"/>
      <c r="I1307" s="79"/>
      <c r="J1307" s="80"/>
      <c r="K1307" s="79"/>
      <c r="L1307" s="142"/>
      <c r="M1307" s="1"/>
      <c r="N1307" s="142"/>
      <c r="O1307" s="1"/>
      <c r="P1307" s="142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79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R1307" s="1"/>
      <c r="CS1307" s="1"/>
      <c r="CT1307" s="1"/>
      <c r="CU1307" s="1"/>
      <c r="CV1307" s="1"/>
      <c r="CW1307" s="1"/>
      <c r="CX1307" s="1"/>
      <c r="CY1307" s="91" t="str">
        <f t="shared" si="831"/>
        <v/>
      </c>
      <c r="CZ1307" s="1"/>
      <c r="DC1307" s="307"/>
      <c r="DE1307" s="307"/>
    </row>
    <row r="1308">
      <c r="A1308" s="1"/>
      <c r="B1308" s="1"/>
      <c r="C1308" s="76"/>
      <c r="D1308" s="76"/>
      <c r="E1308" s="76"/>
      <c r="F1308" s="76"/>
      <c r="G1308" s="79"/>
      <c r="H1308" s="80"/>
      <c r="I1308" s="79"/>
      <c r="J1308" s="80"/>
      <c r="K1308" s="79"/>
      <c r="L1308" s="142"/>
      <c r="M1308" s="1"/>
      <c r="N1308" s="142"/>
      <c r="O1308" s="1"/>
      <c r="P1308" s="142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79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R1308" s="1"/>
      <c r="CS1308" s="1"/>
      <c r="CT1308" s="1"/>
      <c r="CU1308" s="1"/>
      <c r="CV1308" s="1"/>
      <c r="CW1308" s="1"/>
      <c r="CX1308" s="1"/>
      <c r="CY1308" s="91" t="str">
        <f t="shared" si="831"/>
        <v/>
      </c>
      <c r="CZ1308" s="1"/>
      <c r="DC1308" s="307"/>
      <c r="DE1308" s="307"/>
    </row>
    <row r="1309">
      <c r="A1309" s="1"/>
      <c r="B1309" s="1"/>
      <c r="C1309" s="76"/>
      <c r="D1309" s="76"/>
      <c r="E1309" s="76"/>
      <c r="F1309" s="76"/>
      <c r="G1309" s="79"/>
      <c r="H1309" s="80"/>
      <c r="I1309" s="79"/>
      <c r="J1309" s="80"/>
      <c r="K1309" s="79"/>
      <c r="L1309" s="142"/>
      <c r="M1309" s="1"/>
      <c r="N1309" s="142"/>
      <c r="O1309" s="1"/>
      <c r="P1309" s="142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79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R1309" s="1"/>
      <c r="CS1309" s="1"/>
      <c r="CT1309" s="1"/>
      <c r="CU1309" s="1"/>
      <c r="CV1309" s="1"/>
      <c r="CW1309" s="1"/>
      <c r="CX1309" s="1"/>
      <c r="CY1309" s="91" t="str">
        <f t="shared" si="831"/>
        <v/>
      </c>
      <c r="CZ1309" s="1"/>
      <c r="DC1309" s="307"/>
      <c r="DE1309" s="307"/>
    </row>
    <row r="1310">
      <c r="A1310" s="1"/>
      <c r="B1310" s="1"/>
      <c r="C1310" s="76"/>
      <c r="D1310" s="76"/>
      <c r="E1310" s="76"/>
      <c r="F1310" s="76"/>
      <c r="G1310" s="79"/>
      <c r="H1310" s="80"/>
      <c r="I1310" s="79"/>
      <c r="J1310" s="80"/>
      <c r="K1310" s="79"/>
      <c r="L1310" s="142"/>
      <c r="M1310" s="1"/>
      <c r="N1310" s="142"/>
      <c r="O1310" s="1"/>
      <c r="P1310" s="142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79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R1310" s="1"/>
      <c r="CS1310" s="1"/>
      <c r="CT1310" s="1"/>
      <c r="CU1310" s="1"/>
      <c r="CV1310" s="1"/>
      <c r="CW1310" s="1"/>
      <c r="CX1310" s="1"/>
      <c r="CY1310" s="91" t="str">
        <f t="shared" si="831"/>
        <v/>
      </c>
      <c r="CZ1310" s="1"/>
      <c r="DC1310" s="307"/>
      <c r="DE1310" s="307"/>
    </row>
    <row r="1311">
      <c r="A1311" s="1"/>
      <c r="B1311" s="1"/>
      <c r="C1311" s="76"/>
      <c r="D1311" s="76"/>
      <c r="E1311" s="76"/>
      <c r="F1311" s="76"/>
      <c r="G1311" s="79"/>
      <c r="H1311" s="80"/>
      <c r="I1311" s="79"/>
      <c r="J1311" s="80"/>
      <c r="K1311" s="79"/>
      <c r="L1311" s="142"/>
      <c r="M1311" s="1"/>
      <c r="N1311" s="142"/>
      <c r="O1311" s="1"/>
      <c r="P1311" s="142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79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R1311" s="1"/>
      <c r="CS1311" s="1"/>
      <c r="CT1311" s="1"/>
      <c r="CU1311" s="1"/>
      <c r="CV1311" s="1"/>
      <c r="CW1311" s="1"/>
      <c r="CX1311" s="1"/>
      <c r="CY1311" s="91" t="str">
        <f t="shared" si="831"/>
        <v/>
      </c>
      <c r="CZ1311" s="1"/>
      <c r="DC1311" s="307"/>
      <c r="DE1311" s="307"/>
    </row>
    <row r="1312">
      <c r="A1312" s="1"/>
      <c r="B1312" s="1"/>
      <c r="C1312" s="76"/>
      <c r="D1312" s="76"/>
      <c r="E1312" s="76"/>
      <c r="F1312" s="76"/>
      <c r="G1312" s="79"/>
      <c r="H1312" s="80"/>
      <c r="I1312" s="79"/>
      <c r="J1312" s="80"/>
      <c r="K1312" s="79"/>
      <c r="L1312" s="142"/>
      <c r="M1312" s="1"/>
      <c r="N1312" s="142"/>
      <c r="O1312" s="1"/>
      <c r="P1312" s="142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79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R1312" s="1"/>
      <c r="CS1312" s="1"/>
      <c r="CT1312" s="1"/>
      <c r="CU1312" s="1"/>
      <c r="CV1312" s="1"/>
      <c r="CW1312" s="1"/>
      <c r="CX1312" s="1"/>
      <c r="CY1312" s="91" t="str">
        <f t="shared" si="831"/>
        <v/>
      </c>
      <c r="CZ1312" s="1"/>
      <c r="DC1312" s="307"/>
      <c r="DE1312" s="307"/>
    </row>
    <row r="1313">
      <c r="A1313" s="1"/>
      <c r="B1313" s="1"/>
      <c r="C1313" s="76"/>
      <c r="D1313" s="76"/>
      <c r="E1313" s="76"/>
      <c r="F1313" s="76"/>
      <c r="G1313" s="79"/>
      <c r="H1313" s="80"/>
      <c r="I1313" s="79"/>
      <c r="J1313" s="80"/>
      <c r="K1313" s="79"/>
      <c r="L1313" s="142"/>
      <c r="M1313" s="1"/>
      <c r="N1313" s="142"/>
      <c r="O1313" s="1"/>
      <c r="P1313" s="142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79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R1313" s="1"/>
      <c r="CS1313" s="1"/>
      <c r="CT1313" s="1"/>
      <c r="CU1313" s="1"/>
      <c r="CV1313" s="1"/>
      <c r="CW1313" s="1"/>
      <c r="CX1313" s="1"/>
      <c r="CY1313" s="91" t="str">
        <f t="shared" si="831"/>
        <v/>
      </c>
      <c r="CZ1313" s="1"/>
      <c r="DC1313" s="307"/>
      <c r="DE1313" s="307"/>
    </row>
    <row r="1314">
      <c r="A1314" s="1"/>
      <c r="B1314" s="1"/>
      <c r="C1314" s="76"/>
      <c r="D1314" s="76"/>
      <c r="E1314" s="76"/>
      <c r="F1314" s="76"/>
      <c r="G1314" s="79"/>
      <c r="H1314" s="80"/>
      <c r="I1314" s="79"/>
      <c r="J1314" s="80"/>
      <c r="K1314" s="79"/>
      <c r="L1314" s="142"/>
      <c r="M1314" s="1"/>
      <c r="N1314" s="142"/>
      <c r="O1314" s="1"/>
      <c r="P1314" s="142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79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R1314" s="1"/>
      <c r="CS1314" s="1"/>
      <c r="CT1314" s="1"/>
      <c r="CU1314" s="1"/>
      <c r="CV1314" s="1"/>
      <c r="CW1314" s="1"/>
      <c r="CX1314" s="1"/>
      <c r="CY1314" s="91" t="str">
        <f t="shared" si="831"/>
        <v/>
      </c>
      <c r="CZ1314" s="1"/>
      <c r="DC1314" s="307"/>
      <c r="DE1314" s="307"/>
    </row>
    <row r="1315">
      <c r="A1315" s="1"/>
      <c r="B1315" s="1"/>
      <c r="C1315" s="76"/>
      <c r="D1315" s="76"/>
      <c r="E1315" s="76"/>
      <c r="F1315" s="76"/>
      <c r="G1315" s="79"/>
      <c r="H1315" s="80"/>
      <c r="I1315" s="79"/>
      <c r="J1315" s="80"/>
      <c r="K1315" s="79"/>
      <c r="L1315" s="142"/>
      <c r="M1315" s="1"/>
      <c r="N1315" s="142"/>
      <c r="O1315" s="1"/>
      <c r="P1315" s="142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79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R1315" s="1"/>
      <c r="CS1315" s="1"/>
      <c r="CT1315" s="1"/>
      <c r="CU1315" s="1"/>
      <c r="CV1315" s="1"/>
      <c r="CW1315" s="1"/>
      <c r="CX1315" s="1"/>
      <c r="CY1315" s="91" t="str">
        <f t="shared" si="831"/>
        <v/>
      </c>
      <c r="CZ1315" s="1"/>
      <c r="DC1315" s="307"/>
      <c r="DE1315" s="307"/>
    </row>
    <row r="1316">
      <c r="A1316" s="1"/>
      <c r="B1316" s="1"/>
      <c r="C1316" s="76"/>
      <c r="D1316" s="76"/>
      <c r="E1316" s="76"/>
      <c r="F1316" s="76"/>
      <c r="G1316" s="79"/>
      <c r="H1316" s="80"/>
      <c r="I1316" s="79"/>
      <c r="J1316" s="80"/>
      <c r="K1316" s="79"/>
      <c r="L1316" s="142"/>
      <c r="M1316" s="1"/>
      <c r="N1316" s="142"/>
      <c r="O1316" s="1"/>
      <c r="P1316" s="142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79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R1316" s="1"/>
      <c r="CS1316" s="1"/>
      <c r="CT1316" s="1"/>
      <c r="CU1316" s="1"/>
      <c r="CV1316" s="1"/>
      <c r="CW1316" s="1"/>
      <c r="CX1316" s="1"/>
      <c r="CY1316" s="91" t="str">
        <f t="shared" si="831"/>
        <v/>
      </c>
      <c r="CZ1316" s="1"/>
      <c r="DC1316" s="307"/>
      <c r="DE1316" s="307"/>
    </row>
    <row r="1317">
      <c r="A1317" s="1"/>
      <c r="B1317" s="1"/>
      <c r="C1317" s="76"/>
      <c r="D1317" s="76"/>
      <c r="E1317" s="76"/>
      <c r="F1317" s="76"/>
      <c r="G1317" s="79"/>
      <c r="H1317" s="80"/>
      <c r="I1317" s="79"/>
      <c r="J1317" s="80"/>
      <c r="K1317" s="79"/>
      <c r="L1317" s="142"/>
      <c r="M1317" s="1"/>
      <c r="N1317" s="142"/>
      <c r="O1317" s="1"/>
      <c r="P1317" s="142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79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R1317" s="1"/>
      <c r="CS1317" s="1"/>
      <c r="CT1317" s="1"/>
      <c r="CU1317" s="1"/>
      <c r="CV1317" s="1"/>
      <c r="CW1317" s="1"/>
      <c r="CX1317" s="1"/>
      <c r="CY1317" s="91" t="str">
        <f t="shared" si="831"/>
        <v/>
      </c>
      <c r="CZ1317" s="1"/>
      <c r="DC1317" s="307"/>
      <c r="DE1317" s="307"/>
    </row>
    <row r="1318">
      <c r="A1318" s="1"/>
      <c r="B1318" s="1"/>
      <c r="C1318" s="76"/>
      <c r="D1318" s="76"/>
      <c r="E1318" s="76"/>
      <c r="F1318" s="76"/>
      <c r="G1318" s="79"/>
      <c r="H1318" s="80"/>
      <c r="I1318" s="79"/>
      <c r="J1318" s="80"/>
      <c r="K1318" s="79"/>
      <c r="L1318" s="142"/>
      <c r="M1318" s="1"/>
      <c r="N1318" s="142"/>
      <c r="O1318" s="1"/>
      <c r="P1318" s="142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79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R1318" s="1"/>
      <c r="CS1318" s="1"/>
      <c r="CT1318" s="1"/>
      <c r="CU1318" s="1"/>
      <c r="CV1318" s="1"/>
      <c r="CW1318" s="1"/>
      <c r="CX1318" s="1"/>
      <c r="CY1318" s="91" t="str">
        <f t="shared" si="831"/>
        <v/>
      </c>
      <c r="CZ1318" s="1"/>
      <c r="DC1318" s="307"/>
      <c r="DE1318" s="307"/>
    </row>
    <row r="1319">
      <c r="A1319" s="1"/>
      <c r="B1319" s="1"/>
      <c r="C1319" s="76"/>
      <c r="D1319" s="76"/>
      <c r="E1319" s="76"/>
      <c r="F1319" s="76"/>
      <c r="G1319" s="79"/>
      <c r="H1319" s="80"/>
      <c r="I1319" s="79"/>
      <c r="J1319" s="80"/>
      <c r="K1319" s="79"/>
      <c r="L1319" s="142"/>
      <c r="M1319" s="1"/>
      <c r="N1319" s="142"/>
      <c r="O1319" s="1"/>
      <c r="P1319" s="142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79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R1319" s="1"/>
      <c r="CS1319" s="1"/>
      <c r="CT1319" s="1"/>
      <c r="CU1319" s="1"/>
      <c r="CV1319" s="1"/>
      <c r="CW1319" s="1"/>
      <c r="CX1319" s="1"/>
      <c r="CY1319" s="91" t="str">
        <f t="shared" si="831"/>
        <v/>
      </c>
      <c r="CZ1319" s="1"/>
      <c r="DC1319" s="307"/>
      <c r="DE1319" s="307"/>
    </row>
    <row r="1320">
      <c r="A1320" s="1"/>
      <c r="B1320" s="1"/>
      <c r="C1320" s="76"/>
      <c r="D1320" s="76"/>
      <c r="E1320" s="76"/>
      <c r="F1320" s="76"/>
      <c r="G1320" s="79"/>
      <c r="H1320" s="80"/>
      <c r="I1320" s="79"/>
      <c r="J1320" s="80"/>
      <c r="K1320" s="79"/>
      <c r="L1320" s="142"/>
      <c r="M1320" s="1"/>
      <c r="N1320" s="142"/>
      <c r="O1320" s="1"/>
      <c r="P1320" s="142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79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R1320" s="1"/>
      <c r="CS1320" s="1"/>
      <c r="CT1320" s="1"/>
      <c r="CU1320" s="1"/>
      <c r="CV1320" s="1"/>
      <c r="CW1320" s="1"/>
      <c r="CX1320" s="1"/>
      <c r="CY1320" s="91" t="str">
        <f t="shared" si="831"/>
        <v/>
      </c>
      <c r="CZ1320" s="1"/>
      <c r="DC1320" s="307"/>
      <c r="DE1320" s="307"/>
    </row>
    <row r="1321">
      <c r="A1321" s="1"/>
      <c r="B1321" s="1"/>
      <c r="C1321" s="76"/>
      <c r="D1321" s="76"/>
      <c r="E1321" s="76"/>
      <c r="F1321" s="76"/>
      <c r="G1321" s="79"/>
      <c r="H1321" s="80"/>
      <c r="I1321" s="79"/>
      <c r="J1321" s="80"/>
      <c r="K1321" s="79"/>
      <c r="L1321" s="142"/>
      <c r="M1321" s="1"/>
      <c r="N1321" s="142"/>
      <c r="O1321" s="1"/>
      <c r="P1321" s="142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79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R1321" s="1"/>
      <c r="CS1321" s="1"/>
      <c r="CT1321" s="1"/>
      <c r="CU1321" s="1"/>
      <c r="CV1321" s="1"/>
      <c r="CW1321" s="1"/>
      <c r="CX1321" s="1"/>
      <c r="CY1321" s="91" t="str">
        <f t="shared" si="831"/>
        <v/>
      </c>
      <c r="CZ1321" s="1"/>
      <c r="DC1321" s="307"/>
      <c r="DE1321" s="307"/>
    </row>
    <row r="1322">
      <c r="A1322" s="1"/>
      <c r="B1322" s="1"/>
      <c r="C1322" s="76"/>
      <c r="D1322" s="76"/>
      <c r="E1322" s="76"/>
      <c r="F1322" s="76"/>
      <c r="G1322" s="79"/>
      <c r="H1322" s="80"/>
      <c r="I1322" s="79"/>
      <c r="J1322" s="80"/>
      <c r="K1322" s="79"/>
      <c r="L1322" s="142"/>
      <c r="M1322" s="1"/>
      <c r="N1322" s="142"/>
      <c r="O1322" s="1"/>
      <c r="P1322" s="142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79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R1322" s="1"/>
      <c r="CS1322" s="1"/>
      <c r="CT1322" s="1"/>
      <c r="CU1322" s="1"/>
      <c r="CV1322" s="1"/>
      <c r="CW1322" s="1"/>
      <c r="CX1322" s="1"/>
      <c r="CY1322" s="91" t="str">
        <f t="shared" si="831"/>
        <v/>
      </c>
      <c r="CZ1322" s="1"/>
      <c r="DC1322" s="307"/>
      <c r="DE1322" s="307"/>
    </row>
    <row r="1323">
      <c r="A1323" s="1"/>
      <c r="B1323" s="1"/>
      <c r="C1323" s="76"/>
      <c r="D1323" s="76"/>
      <c r="E1323" s="76"/>
      <c r="F1323" s="76"/>
      <c r="G1323" s="79"/>
      <c r="H1323" s="80"/>
      <c r="I1323" s="79"/>
      <c r="J1323" s="80"/>
      <c r="K1323" s="79"/>
      <c r="L1323" s="142"/>
      <c r="M1323" s="1"/>
      <c r="N1323" s="142"/>
      <c r="O1323" s="1"/>
      <c r="P1323" s="142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79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R1323" s="1"/>
      <c r="CS1323" s="1"/>
      <c r="CT1323" s="1"/>
      <c r="CU1323" s="1"/>
      <c r="CV1323" s="1"/>
      <c r="CW1323" s="1"/>
      <c r="CX1323" s="1"/>
      <c r="CY1323" s="91" t="str">
        <f t="shared" si="831"/>
        <v/>
      </c>
      <c r="CZ1323" s="1"/>
      <c r="DC1323" s="307"/>
      <c r="DE1323" s="307"/>
    </row>
    <row r="1324">
      <c r="A1324" s="1"/>
      <c r="B1324" s="1"/>
      <c r="C1324" s="76"/>
      <c r="D1324" s="76"/>
      <c r="E1324" s="76"/>
      <c r="F1324" s="76"/>
      <c r="G1324" s="79"/>
      <c r="H1324" s="80"/>
      <c r="I1324" s="79"/>
      <c r="J1324" s="80"/>
      <c r="K1324" s="79"/>
      <c r="L1324" s="142"/>
      <c r="M1324" s="1"/>
      <c r="N1324" s="142"/>
      <c r="O1324" s="1"/>
      <c r="P1324" s="142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79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R1324" s="1"/>
      <c r="CS1324" s="1"/>
      <c r="CT1324" s="1"/>
      <c r="CU1324" s="1"/>
      <c r="CV1324" s="1"/>
      <c r="CW1324" s="1"/>
      <c r="CX1324" s="1"/>
      <c r="CY1324" s="91" t="str">
        <f t="shared" si="831"/>
        <v/>
      </c>
      <c r="CZ1324" s="1"/>
      <c r="DC1324" s="307"/>
      <c r="DE1324" s="307"/>
    </row>
    <row r="1325">
      <c r="A1325" s="1"/>
      <c r="B1325" s="1"/>
      <c r="C1325" s="76"/>
      <c r="D1325" s="76"/>
      <c r="E1325" s="76"/>
      <c r="F1325" s="76"/>
      <c r="G1325" s="79"/>
      <c r="H1325" s="80"/>
      <c r="I1325" s="79"/>
      <c r="J1325" s="80"/>
      <c r="K1325" s="79"/>
      <c r="L1325" s="142"/>
      <c r="M1325" s="1"/>
      <c r="N1325" s="142"/>
      <c r="O1325" s="1"/>
      <c r="P1325" s="142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79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R1325" s="1"/>
      <c r="CS1325" s="1"/>
      <c r="CT1325" s="1"/>
      <c r="CU1325" s="1"/>
      <c r="CV1325" s="1"/>
      <c r="CW1325" s="1"/>
      <c r="CX1325" s="1"/>
      <c r="CY1325" s="91" t="str">
        <f t="shared" si="831"/>
        <v/>
      </c>
      <c r="CZ1325" s="1"/>
      <c r="DC1325" s="307"/>
      <c r="DE1325" s="307"/>
    </row>
    <row r="1326">
      <c r="A1326" s="1"/>
      <c r="B1326" s="1"/>
      <c r="C1326" s="76"/>
      <c r="D1326" s="76"/>
      <c r="E1326" s="76"/>
      <c r="F1326" s="76"/>
      <c r="G1326" s="79"/>
      <c r="H1326" s="80"/>
      <c r="I1326" s="79"/>
      <c r="J1326" s="80"/>
      <c r="K1326" s="79"/>
      <c r="L1326" s="142"/>
      <c r="M1326" s="1"/>
      <c r="N1326" s="142"/>
      <c r="O1326" s="1"/>
      <c r="P1326" s="142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79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R1326" s="1"/>
      <c r="CS1326" s="1"/>
      <c r="CT1326" s="1"/>
      <c r="CU1326" s="1"/>
      <c r="CV1326" s="1"/>
      <c r="CW1326" s="1"/>
      <c r="CX1326" s="1"/>
      <c r="CY1326" s="91" t="str">
        <f t="shared" si="831"/>
        <v/>
      </c>
      <c r="CZ1326" s="1"/>
      <c r="DC1326" s="307"/>
      <c r="DE1326" s="307"/>
    </row>
    <row r="1327">
      <c r="A1327" s="1"/>
      <c r="B1327" s="1"/>
      <c r="C1327" s="76"/>
      <c r="D1327" s="76"/>
      <c r="E1327" s="76"/>
      <c r="F1327" s="76"/>
      <c r="G1327" s="79"/>
      <c r="H1327" s="80"/>
      <c r="I1327" s="79"/>
      <c r="J1327" s="80"/>
      <c r="K1327" s="79"/>
      <c r="L1327" s="142"/>
      <c r="M1327" s="1"/>
      <c r="N1327" s="142"/>
      <c r="O1327" s="1"/>
      <c r="P1327" s="142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79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R1327" s="1"/>
      <c r="CS1327" s="1"/>
      <c r="CT1327" s="1"/>
      <c r="CU1327" s="1"/>
      <c r="CV1327" s="1"/>
      <c r="CW1327" s="1"/>
      <c r="CX1327" s="1"/>
      <c r="CY1327" s="91" t="str">
        <f t="shared" si="831"/>
        <v/>
      </c>
      <c r="CZ1327" s="1"/>
      <c r="DC1327" s="307"/>
      <c r="DE1327" s="307"/>
    </row>
    <row r="1328">
      <c r="A1328" s="1"/>
      <c r="B1328" s="1"/>
      <c r="C1328" s="76"/>
      <c r="D1328" s="76"/>
      <c r="E1328" s="76"/>
      <c r="F1328" s="76"/>
      <c r="G1328" s="79"/>
      <c r="H1328" s="80"/>
      <c r="I1328" s="79"/>
      <c r="J1328" s="80"/>
      <c r="K1328" s="79"/>
      <c r="L1328" s="142"/>
      <c r="M1328" s="1"/>
      <c r="N1328" s="142"/>
      <c r="O1328" s="1"/>
      <c r="P1328" s="142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79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R1328" s="1"/>
      <c r="CS1328" s="1"/>
      <c r="CT1328" s="1"/>
      <c r="CU1328" s="1"/>
      <c r="CV1328" s="1"/>
      <c r="CW1328" s="1"/>
      <c r="CX1328" s="1"/>
      <c r="CY1328" s="91" t="str">
        <f t="shared" si="831"/>
        <v/>
      </c>
      <c r="CZ1328" s="1"/>
      <c r="DC1328" s="307"/>
      <c r="DE1328" s="307"/>
    </row>
    <row r="1329">
      <c r="A1329" s="1"/>
      <c r="B1329" s="1"/>
      <c r="C1329" s="76"/>
      <c r="D1329" s="76"/>
      <c r="E1329" s="76"/>
      <c r="F1329" s="76"/>
      <c r="G1329" s="79"/>
      <c r="H1329" s="80"/>
      <c r="I1329" s="79"/>
      <c r="J1329" s="80"/>
      <c r="K1329" s="79"/>
      <c r="L1329" s="142"/>
      <c r="M1329" s="1"/>
      <c r="N1329" s="142"/>
      <c r="O1329" s="1"/>
      <c r="P1329" s="142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79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R1329" s="1"/>
      <c r="CS1329" s="1"/>
      <c r="CT1329" s="1"/>
      <c r="CU1329" s="1"/>
      <c r="CV1329" s="1"/>
      <c r="CW1329" s="1"/>
      <c r="CX1329" s="1"/>
      <c r="CY1329" s="91" t="str">
        <f t="shared" si="831"/>
        <v/>
      </c>
      <c r="CZ1329" s="1"/>
      <c r="DC1329" s="307"/>
      <c r="DE1329" s="307"/>
    </row>
    <row r="1330">
      <c r="A1330" s="1"/>
      <c r="B1330" s="1"/>
      <c r="C1330" s="76"/>
      <c r="D1330" s="76"/>
      <c r="E1330" s="76"/>
      <c r="F1330" s="76"/>
      <c r="G1330" s="79"/>
      <c r="H1330" s="80"/>
      <c r="I1330" s="79"/>
      <c r="J1330" s="80"/>
      <c r="K1330" s="79"/>
      <c r="L1330" s="142"/>
      <c r="M1330" s="1"/>
      <c r="N1330" s="142"/>
      <c r="O1330" s="1"/>
      <c r="P1330" s="142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79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R1330" s="1"/>
      <c r="CS1330" s="1"/>
      <c r="CT1330" s="1"/>
      <c r="CU1330" s="1"/>
      <c r="CV1330" s="1"/>
      <c r="CW1330" s="1"/>
      <c r="CX1330" s="1"/>
      <c r="CY1330" s="91" t="str">
        <f t="shared" si="831"/>
        <v/>
      </c>
      <c r="CZ1330" s="1"/>
      <c r="DC1330" s="307"/>
      <c r="DE1330" s="307"/>
    </row>
    <row r="1331">
      <c r="A1331" s="1"/>
      <c r="B1331" s="1"/>
      <c r="C1331" s="76"/>
      <c r="D1331" s="76"/>
      <c r="E1331" s="76"/>
      <c r="F1331" s="76"/>
      <c r="G1331" s="79"/>
      <c r="H1331" s="80"/>
      <c r="I1331" s="79"/>
      <c r="J1331" s="80"/>
      <c r="K1331" s="79"/>
      <c r="L1331" s="142"/>
      <c r="M1331" s="1"/>
      <c r="N1331" s="142"/>
      <c r="O1331" s="1"/>
      <c r="P1331" s="142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79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R1331" s="1"/>
      <c r="CS1331" s="1"/>
      <c r="CT1331" s="1"/>
      <c r="CU1331" s="1"/>
      <c r="CV1331" s="1"/>
      <c r="CW1331" s="1"/>
      <c r="CX1331" s="1"/>
      <c r="CY1331" s="91" t="str">
        <f t="shared" si="831"/>
        <v/>
      </c>
      <c r="CZ1331" s="1"/>
      <c r="DC1331" s="307"/>
      <c r="DE1331" s="307"/>
    </row>
    <row r="1332">
      <c r="A1332" s="1"/>
      <c r="B1332" s="1"/>
      <c r="C1332" s="76"/>
      <c r="D1332" s="76"/>
      <c r="E1332" s="76"/>
      <c r="F1332" s="76"/>
      <c r="G1332" s="79"/>
      <c r="H1332" s="80"/>
      <c r="I1332" s="79"/>
      <c r="J1332" s="80"/>
      <c r="K1332" s="79"/>
      <c r="L1332" s="142"/>
      <c r="M1332" s="1"/>
      <c r="N1332" s="142"/>
      <c r="O1332" s="1"/>
      <c r="P1332" s="142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79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R1332" s="1"/>
      <c r="CS1332" s="1"/>
      <c r="CT1332" s="1"/>
      <c r="CU1332" s="1"/>
      <c r="CV1332" s="1"/>
      <c r="CW1332" s="1"/>
      <c r="CX1332" s="1"/>
      <c r="CY1332" s="91" t="str">
        <f t="shared" si="831"/>
        <v/>
      </c>
      <c r="CZ1332" s="1"/>
      <c r="DC1332" s="307"/>
      <c r="DE1332" s="307"/>
    </row>
    <row r="1333">
      <c r="A1333" s="1"/>
      <c r="B1333" s="1"/>
      <c r="C1333" s="76"/>
      <c r="D1333" s="76"/>
      <c r="E1333" s="76"/>
      <c r="F1333" s="76"/>
      <c r="G1333" s="79"/>
      <c r="H1333" s="80"/>
      <c r="I1333" s="79"/>
      <c r="J1333" s="80"/>
      <c r="K1333" s="79"/>
      <c r="L1333" s="142"/>
      <c r="M1333" s="1"/>
      <c r="N1333" s="142"/>
      <c r="O1333" s="1"/>
      <c r="P1333" s="142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79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R1333" s="1"/>
      <c r="CS1333" s="1"/>
      <c r="CT1333" s="1"/>
      <c r="CU1333" s="1"/>
      <c r="CV1333" s="1"/>
      <c r="CW1333" s="1"/>
      <c r="CX1333" s="1"/>
      <c r="CY1333" s="91" t="str">
        <f t="shared" si="831"/>
        <v/>
      </c>
      <c r="CZ1333" s="1"/>
      <c r="DC1333" s="307"/>
      <c r="DE1333" s="307"/>
    </row>
    <row r="1334">
      <c r="A1334" s="1"/>
      <c r="B1334" s="1"/>
      <c r="C1334" s="76"/>
      <c r="D1334" s="76"/>
      <c r="E1334" s="76"/>
      <c r="F1334" s="76"/>
      <c r="G1334" s="79"/>
      <c r="H1334" s="80"/>
      <c r="I1334" s="79"/>
      <c r="J1334" s="80"/>
      <c r="K1334" s="79"/>
      <c r="L1334" s="142"/>
      <c r="M1334" s="1"/>
      <c r="N1334" s="142"/>
      <c r="O1334" s="1"/>
      <c r="P1334" s="142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79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R1334" s="1"/>
      <c r="CS1334" s="1"/>
      <c r="CT1334" s="1"/>
      <c r="CU1334" s="1"/>
      <c r="CV1334" s="1"/>
      <c r="CW1334" s="1"/>
      <c r="CX1334" s="1"/>
      <c r="CY1334" s="91" t="str">
        <f t="shared" si="831"/>
        <v/>
      </c>
      <c r="CZ1334" s="1"/>
      <c r="DC1334" s="307"/>
      <c r="DE1334" s="307"/>
    </row>
    <row r="1335">
      <c r="A1335" s="1"/>
      <c r="B1335" s="1"/>
      <c r="C1335" s="76"/>
      <c r="D1335" s="76"/>
      <c r="E1335" s="76"/>
      <c r="F1335" s="76"/>
      <c r="G1335" s="79"/>
      <c r="H1335" s="80"/>
      <c r="I1335" s="79"/>
      <c r="J1335" s="80"/>
      <c r="K1335" s="79"/>
      <c r="L1335" s="142"/>
      <c r="M1335" s="1"/>
      <c r="N1335" s="142"/>
      <c r="O1335" s="1"/>
      <c r="P1335" s="142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79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R1335" s="1"/>
      <c r="CS1335" s="1"/>
      <c r="CT1335" s="1"/>
      <c r="CU1335" s="1"/>
      <c r="CV1335" s="1"/>
      <c r="CW1335" s="1"/>
      <c r="CX1335" s="1"/>
      <c r="CY1335" s="91" t="str">
        <f t="shared" si="831"/>
        <v/>
      </c>
      <c r="CZ1335" s="1"/>
      <c r="DC1335" s="307"/>
      <c r="DE1335" s="307"/>
    </row>
    <row r="1336">
      <c r="A1336" s="1"/>
      <c r="B1336" s="1"/>
      <c r="C1336" s="76"/>
      <c r="D1336" s="76"/>
      <c r="E1336" s="76"/>
      <c r="F1336" s="76"/>
      <c r="G1336" s="79"/>
      <c r="H1336" s="80"/>
      <c r="I1336" s="79"/>
      <c r="J1336" s="80"/>
      <c r="K1336" s="79"/>
      <c r="L1336" s="142"/>
      <c r="M1336" s="1"/>
      <c r="N1336" s="142"/>
      <c r="O1336" s="1"/>
      <c r="P1336" s="142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79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R1336" s="1"/>
      <c r="CS1336" s="1"/>
      <c r="CT1336" s="1"/>
      <c r="CU1336" s="1"/>
      <c r="CV1336" s="1"/>
      <c r="CW1336" s="1"/>
      <c r="CX1336" s="1"/>
      <c r="CY1336" s="91" t="str">
        <f t="shared" si="831"/>
        <v/>
      </c>
      <c r="CZ1336" s="1"/>
      <c r="DC1336" s="307"/>
      <c r="DE1336" s="307"/>
    </row>
    <row r="1337">
      <c r="A1337" s="1"/>
      <c r="B1337" s="1"/>
      <c r="C1337" s="76"/>
      <c r="D1337" s="76"/>
      <c r="E1337" s="76"/>
      <c r="F1337" s="76"/>
      <c r="G1337" s="79"/>
      <c r="H1337" s="80"/>
      <c r="I1337" s="79"/>
      <c r="J1337" s="80"/>
      <c r="K1337" s="79"/>
      <c r="L1337" s="142"/>
      <c r="M1337" s="1"/>
      <c r="N1337" s="142"/>
      <c r="O1337" s="1"/>
      <c r="P1337" s="142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79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R1337" s="1"/>
      <c r="CS1337" s="1"/>
      <c r="CT1337" s="1"/>
      <c r="CU1337" s="1"/>
      <c r="CV1337" s="1"/>
      <c r="CW1337" s="1"/>
      <c r="CX1337" s="1"/>
      <c r="CY1337" s="91" t="str">
        <f t="shared" si="831"/>
        <v/>
      </c>
      <c r="CZ1337" s="1"/>
      <c r="DC1337" s="307"/>
      <c r="DE1337" s="307"/>
    </row>
    <row r="1338">
      <c r="A1338" s="1"/>
      <c r="B1338" s="1"/>
      <c r="C1338" s="76"/>
      <c r="D1338" s="76"/>
      <c r="E1338" s="76"/>
      <c r="F1338" s="76"/>
      <c r="G1338" s="79"/>
      <c r="H1338" s="80"/>
      <c r="I1338" s="79"/>
      <c r="J1338" s="80"/>
      <c r="K1338" s="79"/>
      <c r="L1338" s="142"/>
      <c r="M1338" s="1"/>
      <c r="N1338" s="142"/>
      <c r="O1338" s="1"/>
      <c r="P1338" s="142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79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R1338" s="1"/>
      <c r="CS1338" s="1"/>
      <c r="CT1338" s="1"/>
      <c r="CU1338" s="1"/>
      <c r="CV1338" s="1"/>
      <c r="CW1338" s="1"/>
      <c r="CX1338" s="1"/>
      <c r="CY1338" s="91" t="str">
        <f t="shared" si="831"/>
        <v/>
      </c>
      <c r="CZ1338" s="1"/>
      <c r="DC1338" s="307"/>
      <c r="DE1338" s="307"/>
    </row>
    <row r="1339">
      <c r="A1339" s="1"/>
      <c r="B1339" s="1"/>
      <c r="C1339" s="76"/>
      <c r="D1339" s="76"/>
      <c r="E1339" s="76"/>
      <c r="F1339" s="76"/>
      <c r="G1339" s="79"/>
      <c r="H1339" s="80"/>
      <c r="I1339" s="79"/>
      <c r="J1339" s="80"/>
      <c r="K1339" s="79"/>
      <c r="L1339" s="142"/>
      <c r="M1339" s="1"/>
      <c r="N1339" s="142"/>
      <c r="O1339" s="1"/>
      <c r="P1339" s="142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79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R1339" s="1"/>
      <c r="CS1339" s="1"/>
      <c r="CT1339" s="1"/>
      <c r="CU1339" s="1"/>
      <c r="CV1339" s="1"/>
      <c r="CW1339" s="1"/>
      <c r="CX1339" s="1"/>
      <c r="CY1339" s="91" t="str">
        <f t="shared" si="831"/>
        <v/>
      </c>
      <c r="CZ1339" s="1"/>
      <c r="DC1339" s="307"/>
      <c r="DE1339" s="307"/>
    </row>
    <row r="1340">
      <c r="A1340" s="1"/>
      <c r="B1340" s="1"/>
      <c r="C1340" s="76"/>
      <c r="D1340" s="76"/>
      <c r="E1340" s="76"/>
      <c r="F1340" s="76"/>
      <c r="G1340" s="79"/>
      <c r="H1340" s="80"/>
      <c r="I1340" s="79"/>
      <c r="J1340" s="80"/>
      <c r="K1340" s="79"/>
      <c r="L1340" s="142"/>
      <c r="M1340" s="1"/>
      <c r="N1340" s="142"/>
      <c r="O1340" s="1"/>
      <c r="P1340" s="142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79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R1340" s="1"/>
      <c r="CS1340" s="1"/>
      <c r="CT1340" s="1"/>
      <c r="CU1340" s="1"/>
      <c r="CV1340" s="1"/>
      <c r="CW1340" s="1"/>
      <c r="CX1340" s="1"/>
      <c r="CY1340" s="91" t="str">
        <f t="shared" si="831"/>
        <v/>
      </c>
      <c r="CZ1340" s="1"/>
      <c r="DC1340" s="307"/>
      <c r="DE1340" s="307"/>
    </row>
    <row r="1341">
      <c r="A1341" s="1"/>
      <c r="B1341" s="1"/>
      <c r="C1341" s="76"/>
      <c r="D1341" s="76"/>
      <c r="E1341" s="76"/>
      <c r="F1341" s="76"/>
      <c r="G1341" s="79"/>
      <c r="H1341" s="80"/>
      <c r="I1341" s="79"/>
      <c r="J1341" s="80"/>
      <c r="K1341" s="79"/>
      <c r="L1341" s="142"/>
      <c r="M1341" s="1"/>
      <c r="N1341" s="142"/>
      <c r="O1341" s="1"/>
      <c r="P1341" s="142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79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R1341" s="1"/>
      <c r="CS1341" s="1"/>
      <c r="CT1341" s="1"/>
      <c r="CU1341" s="1"/>
      <c r="CV1341" s="1"/>
      <c r="CW1341" s="1"/>
      <c r="CX1341" s="1"/>
      <c r="CY1341" s="91" t="str">
        <f t="shared" si="831"/>
        <v/>
      </c>
      <c r="CZ1341" s="1"/>
      <c r="DC1341" s="307"/>
      <c r="DE1341" s="307"/>
    </row>
    <row r="1342">
      <c r="A1342" s="1"/>
      <c r="B1342" s="1"/>
      <c r="C1342" s="76"/>
      <c r="D1342" s="76"/>
      <c r="E1342" s="76"/>
      <c r="F1342" s="76"/>
      <c r="G1342" s="79"/>
      <c r="H1342" s="80"/>
      <c r="I1342" s="79"/>
      <c r="J1342" s="80"/>
      <c r="K1342" s="79"/>
      <c r="L1342" s="142"/>
      <c r="M1342" s="1"/>
      <c r="N1342" s="142"/>
      <c r="O1342" s="1"/>
      <c r="P1342" s="142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79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R1342" s="1"/>
      <c r="CS1342" s="1"/>
      <c r="CT1342" s="1"/>
      <c r="CU1342" s="1"/>
      <c r="CV1342" s="1"/>
      <c r="CW1342" s="1"/>
      <c r="CX1342" s="1"/>
      <c r="CY1342" s="91" t="str">
        <f t="shared" si="831"/>
        <v/>
      </c>
      <c r="CZ1342" s="1"/>
      <c r="DC1342" s="307"/>
      <c r="DE1342" s="307"/>
    </row>
    <row r="1343">
      <c r="A1343" s="1"/>
      <c r="B1343" s="1"/>
      <c r="C1343" s="76"/>
      <c r="D1343" s="76"/>
      <c r="E1343" s="76"/>
      <c r="F1343" s="76"/>
      <c r="G1343" s="79"/>
      <c r="H1343" s="80"/>
      <c r="I1343" s="79"/>
      <c r="J1343" s="80"/>
      <c r="K1343" s="79"/>
      <c r="L1343" s="142"/>
      <c r="M1343" s="1"/>
      <c r="N1343" s="142"/>
      <c r="O1343" s="1"/>
      <c r="P1343" s="142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79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R1343" s="1"/>
      <c r="CS1343" s="1"/>
      <c r="CT1343" s="1"/>
      <c r="CU1343" s="1"/>
      <c r="CV1343" s="1"/>
      <c r="CW1343" s="1"/>
      <c r="CX1343" s="1"/>
      <c r="CY1343" s="91" t="str">
        <f t="shared" si="831"/>
        <v/>
      </c>
      <c r="CZ1343" s="1"/>
      <c r="DC1343" s="307"/>
      <c r="DE1343" s="307"/>
    </row>
    <row r="1344">
      <c r="A1344" s="1"/>
      <c r="B1344" s="1"/>
      <c r="C1344" s="76"/>
      <c r="D1344" s="76"/>
      <c r="E1344" s="76"/>
      <c r="F1344" s="76"/>
      <c r="G1344" s="79"/>
      <c r="H1344" s="80"/>
      <c r="I1344" s="79"/>
      <c r="J1344" s="80"/>
      <c r="K1344" s="79"/>
      <c r="L1344" s="142"/>
      <c r="M1344" s="1"/>
      <c r="N1344" s="142"/>
      <c r="O1344" s="1"/>
      <c r="P1344" s="142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79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R1344" s="1"/>
      <c r="CS1344" s="1"/>
      <c r="CT1344" s="1"/>
      <c r="CU1344" s="1"/>
      <c r="CV1344" s="1"/>
      <c r="CW1344" s="1"/>
      <c r="CX1344" s="1"/>
      <c r="CY1344" s="91" t="str">
        <f t="shared" si="831"/>
        <v/>
      </c>
      <c r="CZ1344" s="1"/>
      <c r="DC1344" s="307"/>
      <c r="DE1344" s="307"/>
    </row>
    <row r="1345">
      <c r="A1345" s="1"/>
      <c r="B1345" s="1"/>
      <c r="C1345" s="76"/>
      <c r="D1345" s="76"/>
      <c r="E1345" s="76"/>
      <c r="F1345" s="76"/>
      <c r="G1345" s="79"/>
      <c r="H1345" s="80"/>
      <c r="I1345" s="79"/>
      <c r="J1345" s="80"/>
      <c r="K1345" s="79"/>
      <c r="L1345" s="142"/>
      <c r="M1345" s="1"/>
      <c r="N1345" s="142"/>
      <c r="O1345" s="1"/>
      <c r="P1345" s="142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79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R1345" s="1"/>
      <c r="CS1345" s="1"/>
      <c r="CT1345" s="1"/>
      <c r="CU1345" s="1"/>
      <c r="CV1345" s="1"/>
      <c r="CW1345" s="1"/>
      <c r="CX1345" s="1"/>
      <c r="CY1345" s="91" t="str">
        <f t="shared" si="831"/>
        <v/>
      </c>
      <c r="CZ1345" s="1"/>
      <c r="DC1345" s="307"/>
      <c r="DE1345" s="307"/>
    </row>
    <row r="1346">
      <c r="A1346" s="1"/>
      <c r="B1346" s="1"/>
      <c r="C1346" s="76"/>
      <c r="D1346" s="76"/>
      <c r="E1346" s="76"/>
      <c r="F1346" s="76"/>
      <c r="G1346" s="79"/>
      <c r="H1346" s="80"/>
      <c r="I1346" s="79"/>
      <c r="J1346" s="80"/>
      <c r="K1346" s="79"/>
      <c r="L1346" s="142"/>
      <c r="M1346" s="1"/>
      <c r="N1346" s="142"/>
      <c r="O1346" s="1"/>
      <c r="P1346" s="142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79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R1346" s="1"/>
      <c r="CS1346" s="1"/>
      <c r="CT1346" s="1"/>
      <c r="CU1346" s="1"/>
      <c r="CV1346" s="1"/>
      <c r="CW1346" s="1"/>
      <c r="CX1346" s="1"/>
      <c r="CY1346" s="91" t="str">
        <f t="shared" si="831"/>
        <v/>
      </c>
      <c r="CZ1346" s="1"/>
      <c r="DC1346" s="307"/>
      <c r="DE1346" s="307"/>
    </row>
    <row r="1347">
      <c r="A1347" s="1"/>
      <c r="B1347" s="1"/>
      <c r="C1347" s="76"/>
      <c r="D1347" s="76"/>
      <c r="E1347" s="76"/>
      <c r="F1347" s="76"/>
      <c r="G1347" s="79"/>
      <c r="H1347" s="80"/>
      <c r="I1347" s="79"/>
      <c r="J1347" s="80"/>
      <c r="K1347" s="79"/>
      <c r="L1347" s="142"/>
      <c r="M1347" s="1"/>
      <c r="N1347" s="142"/>
      <c r="O1347" s="1"/>
      <c r="P1347" s="142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79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R1347" s="1"/>
      <c r="CS1347" s="1"/>
      <c r="CT1347" s="1"/>
      <c r="CU1347" s="1"/>
      <c r="CV1347" s="1"/>
      <c r="CW1347" s="1"/>
      <c r="CX1347" s="1"/>
      <c r="CY1347" s="91" t="str">
        <f t="shared" si="831"/>
        <v/>
      </c>
      <c r="CZ1347" s="1"/>
      <c r="DC1347" s="307"/>
      <c r="DE1347" s="307"/>
    </row>
    <row r="1348">
      <c r="A1348" s="1"/>
      <c r="B1348" s="1"/>
      <c r="C1348" s="76"/>
      <c r="D1348" s="76"/>
      <c r="E1348" s="76"/>
      <c r="F1348" s="76"/>
      <c r="G1348" s="79"/>
      <c r="H1348" s="80"/>
      <c r="I1348" s="79"/>
      <c r="J1348" s="80"/>
      <c r="K1348" s="79"/>
      <c r="L1348" s="142"/>
      <c r="M1348" s="1"/>
      <c r="N1348" s="142"/>
      <c r="O1348" s="1"/>
      <c r="P1348" s="142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79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R1348" s="1"/>
      <c r="CS1348" s="1"/>
      <c r="CT1348" s="1"/>
      <c r="CU1348" s="1"/>
      <c r="CV1348" s="1"/>
      <c r="CW1348" s="1"/>
      <c r="CX1348" s="1"/>
      <c r="CY1348" s="91" t="str">
        <f t="shared" si="831"/>
        <v/>
      </c>
      <c r="CZ1348" s="1"/>
      <c r="DC1348" s="307"/>
      <c r="DE1348" s="307"/>
    </row>
    <row r="1349">
      <c r="A1349" s="1"/>
      <c r="B1349" s="1"/>
      <c r="C1349" s="76"/>
      <c r="D1349" s="76"/>
      <c r="E1349" s="76"/>
      <c r="F1349" s="76"/>
      <c r="G1349" s="79"/>
      <c r="H1349" s="80"/>
      <c r="I1349" s="79"/>
      <c r="J1349" s="80"/>
      <c r="K1349" s="79"/>
      <c r="L1349" s="142"/>
      <c r="M1349" s="1"/>
      <c r="N1349" s="142"/>
      <c r="O1349" s="1"/>
      <c r="P1349" s="142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79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R1349" s="1"/>
      <c r="CS1349" s="1"/>
      <c r="CT1349" s="1"/>
      <c r="CU1349" s="1"/>
      <c r="CV1349" s="1"/>
      <c r="CW1349" s="1"/>
      <c r="CX1349" s="1"/>
      <c r="CY1349" s="91" t="str">
        <f t="shared" si="831"/>
        <v/>
      </c>
      <c r="CZ1349" s="1"/>
      <c r="DC1349" s="307"/>
      <c r="DE1349" s="307"/>
    </row>
    <row r="1350">
      <c r="A1350" s="1"/>
      <c r="B1350" s="1"/>
      <c r="C1350" s="76"/>
      <c r="D1350" s="76"/>
      <c r="E1350" s="76"/>
      <c r="F1350" s="76"/>
      <c r="G1350" s="79"/>
      <c r="H1350" s="80"/>
      <c r="I1350" s="79"/>
      <c r="J1350" s="80"/>
      <c r="K1350" s="79"/>
      <c r="L1350" s="142"/>
      <c r="M1350" s="1"/>
      <c r="N1350" s="142"/>
      <c r="O1350" s="1"/>
      <c r="P1350" s="142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79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R1350" s="1"/>
      <c r="CS1350" s="1"/>
      <c r="CT1350" s="1"/>
      <c r="CU1350" s="1"/>
      <c r="CV1350" s="1"/>
      <c r="CW1350" s="1"/>
      <c r="CX1350" s="1"/>
      <c r="CY1350" s="91" t="str">
        <f t="shared" si="831"/>
        <v/>
      </c>
      <c r="CZ1350" s="1"/>
      <c r="DC1350" s="307"/>
      <c r="DE1350" s="307"/>
    </row>
    <row r="1351">
      <c r="A1351" s="1"/>
      <c r="B1351" s="1"/>
      <c r="C1351" s="76"/>
      <c r="D1351" s="76"/>
      <c r="E1351" s="76"/>
      <c r="F1351" s="76"/>
      <c r="G1351" s="79"/>
      <c r="H1351" s="80"/>
      <c r="I1351" s="79"/>
      <c r="J1351" s="80"/>
      <c r="K1351" s="79"/>
      <c r="L1351" s="142"/>
      <c r="M1351" s="1"/>
      <c r="N1351" s="142"/>
      <c r="O1351" s="1"/>
      <c r="P1351" s="142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79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R1351" s="1"/>
      <c r="CS1351" s="1"/>
      <c r="CT1351" s="1"/>
      <c r="CU1351" s="1"/>
      <c r="CV1351" s="1"/>
      <c r="CW1351" s="1"/>
      <c r="CX1351" s="1"/>
      <c r="CY1351" s="91" t="str">
        <f t="shared" si="831"/>
        <v/>
      </c>
      <c r="CZ1351" s="1"/>
      <c r="DC1351" s="307"/>
      <c r="DE1351" s="307"/>
    </row>
    <row r="1352">
      <c r="A1352" s="1"/>
      <c r="B1352" s="1"/>
      <c r="C1352" s="76"/>
      <c r="D1352" s="76"/>
      <c r="E1352" s="76"/>
      <c r="F1352" s="76"/>
      <c r="G1352" s="79"/>
      <c r="H1352" s="80"/>
      <c r="I1352" s="79"/>
      <c r="J1352" s="80"/>
      <c r="K1352" s="79"/>
      <c r="L1352" s="142"/>
      <c r="M1352" s="1"/>
      <c r="N1352" s="142"/>
      <c r="O1352" s="1"/>
      <c r="P1352" s="142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79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R1352" s="1"/>
      <c r="CS1352" s="1"/>
      <c r="CT1352" s="1"/>
      <c r="CU1352" s="1"/>
      <c r="CV1352" s="1"/>
      <c r="CW1352" s="1"/>
      <c r="CX1352" s="1"/>
      <c r="CY1352" s="91" t="str">
        <f t="shared" si="831"/>
        <v/>
      </c>
      <c r="CZ1352" s="1"/>
      <c r="DC1352" s="307"/>
      <c r="DE1352" s="307"/>
    </row>
    <row r="1353">
      <c r="A1353" s="1"/>
      <c r="B1353" s="1"/>
      <c r="C1353" s="76"/>
      <c r="D1353" s="76"/>
      <c r="E1353" s="76"/>
      <c r="F1353" s="76"/>
      <c r="G1353" s="79"/>
      <c r="H1353" s="80"/>
      <c r="I1353" s="79"/>
      <c r="J1353" s="80"/>
      <c r="K1353" s="79"/>
      <c r="L1353" s="142"/>
      <c r="M1353" s="1"/>
      <c r="N1353" s="142"/>
      <c r="O1353" s="1"/>
      <c r="P1353" s="142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79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R1353" s="1"/>
      <c r="CS1353" s="1"/>
      <c r="CT1353" s="1"/>
      <c r="CU1353" s="1"/>
      <c r="CV1353" s="1"/>
      <c r="CW1353" s="1"/>
      <c r="CX1353" s="1"/>
      <c r="CY1353" s="91" t="str">
        <f t="shared" si="831"/>
        <v/>
      </c>
      <c r="CZ1353" s="1"/>
      <c r="DC1353" s="307"/>
      <c r="DE1353" s="307"/>
    </row>
    <row r="1354">
      <c r="A1354" s="1"/>
      <c r="B1354" s="1"/>
      <c r="C1354" s="76"/>
      <c r="D1354" s="76"/>
      <c r="E1354" s="76"/>
      <c r="F1354" s="76"/>
      <c r="G1354" s="79"/>
      <c r="H1354" s="80"/>
      <c r="I1354" s="79"/>
      <c r="J1354" s="80"/>
      <c r="K1354" s="79"/>
      <c r="L1354" s="142"/>
      <c r="M1354" s="1"/>
      <c r="N1354" s="142"/>
      <c r="O1354" s="1"/>
      <c r="P1354" s="142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79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R1354" s="1"/>
      <c r="CS1354" s="1"/>
      <c r="CT1354" s="1"/>
      <c r="CU1354" s="1"/>
      <c r="CV1354" s="1"/>
      <c r="CW1354" s="1"/>
      <c r="CX1354" s="1"/>
      <c r="CY1354" s="91" t="str">
        <f t="shared" si="831"/>
        <v/>
      </c>
      <c r="CZ1354" s="1"/>
      <c r="DC1354" s="307"/>
      <c r="DE1354" s="307"/>
    </row>
    <row r="1355">
      <c r="A1355" s="1"/>
      <c r="B1355" s="1"/>
      <c r="C1355" s="76"/>
      <c r="D1355" s="76"/>
      <c r="E1355" s="76"/>
      <c r="F1355" s="76"/>
      <c r="G1355" s="79"/>
      <c r="H1355" s="80"/>
      <c r="I1355" s="79"/>
      <c r="J1355" s="80"/>
      <c r="K1355" s="79"/>
      <c r="L1355" s="142"/>
      <c r="M1355" s="1"/>
      <c r="N1355" s="142"/>
      <c r="O1355" s="1"/>
      <c r="P1355" s="142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79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R1355" s="1"/>
      <c r="CS1355" s="1"/>
      <c r="CT1355" s="1"/>
      <c r="CU1355" s="1"/>
      <c r="CV1355" s="1"/>
      <c r="CW1355" s="1"/>
      <c r="CX1355" s="1"/>
      <c r="CY1355" s="91" t="str">
        <f t="shared" si="831"/>
        <v/>
      </c>
      <c r="CZ1355" s="1"/>
      <c r="DC1355" s="307"/>
      <c r="DE1355" s="307"/>
    </row>
    <row r="1356">
      <c r="A1356" s="1"/>
      <c r="B1356" s="1"/>
      <c r="C1356" s="76"/>
      <c r="D1356" s="76"/>
      <c r="E1356" s="76"/>
      <c r="F1356" s="76"/>
      <c r="G1356" s="79"/>
      <c r="H1356" s="80"/>
      <c r="I1356" s="79"/>
      <c r="J1356" s="80"/>
      <c r="K1356" s="79"/>
      <c r="L1356" s="142"/>
      <c r="M1356" s="1"/>
      <c r="N1356" s="142"/>
      <c r="O1356" s="1"/>
      <c r="P1356" s="142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79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R1356" s="1"/>
      <c r="CS1356" s="1"/>
      <c r="CT1356" s="1"/>
      <c r="CU1356" s="1"/>
      <c r="CV1356" s="1"/>
      <c r="CW1356" s="1"/>
      <c r="CX1356" s="1"/>
      <c r="CY1356" s="91" t="str">
        <f t="shared" si="831"/>
        <v/>
      </c>
      <c r="CZ1356" s="1"/>
      <c r="DC1356" s="307"/>
      <c r="DE1356" s="307"/>
    </row>
    <row r="1357">
      <c r="A1357" s="1"/>
      <c r="B1357" s="1"/>
      <c r="C1357" s="76"/>
      <c r="D1357" s="76"/>
      <c r="E1357" s="76"/>
      <c r="F1357" s="76"/>
      <c r="G1357" s="79"/>
      <c r="H1357" s="80"/>
      <c r="I1357" s="79"/>
      <c r="J1357" s="80"/>
      <c r="K1357" s="79"/>
      <c r="L1357" s="142"/>
      <c r="M1357" s="1"/>
      <c r="N1357" s="142"/>
      <c r="O1357" s="1"/>
      <c r="P1357" s="142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79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R1357" s="1"/>
      <c r="CS1357" s="1"/>
      <c r="CT1357" s="1"/>
      <c r="CU1357" s="1"/>
      <c r="CV1357" s="1"/>
      <c r="CW1357" s="1"/>
      <c r="CX1357" s="1"/>
      <c r="CY1357" s="91" t="str">
        <f t="shared" si="831"/>
        <v/>
      </c>
      <c r="CZ1357" s="1"/>
      <c r="DC1357" s="307"/>
      <c r="DE1357" s="307"/>
    </row>
    <row r="1358">
      <c r="A1358" s="1"/>
      <c r="B1358" s="1"/>
      <c r="C1358" s="76"/>
      <c r="D1358" s="76"/>
      <c r="E1358" s="76"/>
      <c r="F1358" s="76"/>
      <c r="G1358" s="79"/>
      <c r="H1358" s="80"/>
      <c r="I1358" s="79"/>
      <c r="J1358" s="80"/>
      <c r="K1358" s="79"/>
      <c r="L1358" s="142"/>
      <c r="M1358" s="1"/>
      <c r="N1358" s="142"/>
      <c r="O1358" s="1"/>
      <c r="P1358" s="142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79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R1358" s="1"/>
      <c r="CS1358" s="1"/>
      <c r="CT1358" s="1"/>
      <c r="CU1358" s="1"/>
      <c r="CV1358" s="1"/>
      <c r="CW1358" s="1"/>
      <c r="CX1358" s="1"/>
      <c r="CY1358" s="91" t="str">
        <f t="shared" si="831"/>
        <v/>
      </c>
      <c r="CZ1358" s="1"/>
      <c r="DC1358" s="307"/>
      <c r="DE1358" s="307"/>
    </row>
    <row r="1359">
      <c r="A1359" s="1"/>
      <c r="B1359" s="1"/>
      <c r="C1359" s="76"/>
      <c r="D1359" s="76"/>
      <c r="E1359" s="76"/>
      <c r="F1359" s="76"/>
      <c r="G1359" s="79"/>
      <c r="H1359" s="80"/>
      <c r="I1359" s="79"/>
      <c r="J1359" s="80"/>
      <c r="K1359" s="79"/>
      <c r="L1359" s="142"/>
      <c r="M1359" s="1"/>
      <c r="N1359" s="142"/>
      <c r="O1359" s="1"/>
      <c r="P1359" s="142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79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R1359" s="1"/>
      <c r="CS1359" s="1"/>
      <c r="CT1359" s="1"/>
      <c r="CU1359" s="1"/>
      <c r="CV1359" s="1"/>
      <c r="CW1359" s="1"/>
      <c r="CX1359" s="1"/>
      <c r="CY1359" s="91" t="str">
        <f t="shared" si="831"/>
        <v/>
      </c>
      <c r="CZ1359" s="1"/>
      <c r="DC1359" s="307"/>
      <c r="DE1359" s="307"/>
    </row>
    <row r="1360">
      <c r="A1360" s="1"/>
      <c r="B1360" s="1"/>
      <c r="C1360" s="76"/>
      <c r="D1360" s="76"/>
      <c r="E1360" s="76"/>
      <c r="F1360" s="76"/>
      <c r="G1360" s="79"/>
      <c r="H1360" s="80"/>
      <c r="I1360" s="79"/>
      <c r="J1360" s="80"/>
      <c r="K1360" s="79"/>
      <c r="L1360" s="142"/>
      <c r="M1360" s="1"/>
      <c r="N1360" s="142"/>
      <c r="O1360" s="1"/>
      <c r="P1360" s="142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79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R1360" s="1"/>
      <c r="CS1360" s="1"/>
      <c r="CT1360" s="1"/>
      <c r="CU1360" s="1"/>
      <c r="CV1360" s="1"/>
      <c r="CW1360" s="1"/>
      <c r="CX1360" s="1"/>
      <c r="CY1360" s="91" t="str">
        <f t="shared" si="831"/>
        <v/>
      </c>
      <c r="CZ1360" s="1"/>
      <c r="DC1360" s="307"/>
      <c r="DE1360" s="307"/>
    </row>
    <row r="1361">
      <c r="A1361" s="1"/>
      <c r="B1361" s="1"/>
      <c r="C1361" s="76"/>
      <c r="D1361" s="76"/>
      <c r="E1361" s="76"/>
      <c r="F1361" s="76"/>
      <c r="G1361" s="79"/>
      <c r="H1361" s="80"/>
      <c r="I1361" s="79"/>
      <c r="J1361" s="80"/>
      <c r="K1361" s="79"/>
      <c r="L1361" s="142"/>
      <c r="M1361" s="1"/>
      <c r="N1361" s="142"/>
      <c r="O1361" s="1"/>
      <c r="P1361" s="142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79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R1361" s="1"/>
      <c r="CS1361" s="1"/>
      <c r="CT1361" s="1"/>
      <c r="CU1361" s="1"/>
      <c r="CV1361" s="1"/>
      <c r="CW1361" s="1"/>
      <c r="CX1361" s="1"/>
      <c r="CY1361" s="91" t="str">
        <f t="shared" si="831"/>
        <v/>
      </c>
      <c r="CZ1361" s="1"/>
      <c r="DC1361" s="307"/>
      <c r="DE1361" s="307"/>
    </row>
    <row r="1362">
      <c r="A1362" s="1"/>
      <c r="B1362" s="1"/>
      <c r="C1362" s="76"/>
      <c r="D1362" s="76"/>
      <c r="E1362" s="76"/>
      <c r="F1362" s="76"/>
      <c r="G1362" s="79"/>
      <c r="H1362" s="80"/>
      <c r="I1362" s="79"/>
      <c r="J1362" s="80"/>
      <c r="K1362" s="79"/>
      <c r="L1362" s="142"/>
      <c r="M1362" s="1"/>
      <c r="N1362" s="142"/>
      <c r="O1362" s="1"/>
      <c r="P1362" s="142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79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R1362" s="1"/>
      <c r="CS1362" s="1"/>
      <c r="CT1362" s="1"/>
      <c r="CU1362" s="1"/>
      <c r="CV1362" s="1"/>
      <c r="CW1362" s="1"/>
      <c r="CX1362" s="1"/>
      <c r="CY1362" s="91" t="str">
        <f t="shared" si="831"/>
        <v/>
      </c>
      <c r="CZ1362" s="1"/>
      <c r="DC1362" s="307"/>
      <c r="DE1362" s="307"/>
    </row>
    <row r="1363">
      <c r="A1363" s="1"/>
      <c r="B1363" s="1"/>
      <c r="C1363" s="76"/>
      <c r="D1363" s="76"/>
      <c r="E1363" s="76"/>
      <c r="F1363" s="76"/>
      <c r="G1363" s="79"/>
      <c r="H1363" s="80"/>
      <c r="I1363" s="79"/>
      <c r="J1363" s="80"/>
      <c r="K1363" s="79"/>
      <c r="L1363" s="142"/>
      <c r="M1363" s="1"/>
      <c r="N1363" s="142"/>
      <c r="O1363" s="1"/>
      <c r="P1363" s="142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79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R1363" s="1"/>
      <c r="CS1363" s="1"/>
      <c r="CT1363" s="1"/>
      <c r="CU1363" s="1"/>
      <c r="CV1363" s="1"/>
      <c r="CW1363" s="1"/>
      <c r="CX1363" s="1"/>
      <c r="CY1363" s="91" t="str">
        <f t="shared" si="831"/>
        <v/>
      </c>
      <c r="CZ1363" s="1"/>
      <c r="DC1363" s="307"/>
      <c r="DE1363" s="307"/>
    </row>
    <row r="1364">
      <c r="A1364" s="1"/>
      <c r="B1364" s="1"/>
      <c r="C1364" s="76"/>
      <c r="D1364" s="76"/>
      <c r="E1364" s="76"/>
      <c r="F1364" s="76"/>
      <c r="G1364" s="79"/>
      <c r="H1364" s="80"/>
      <c r="I1364" s="79"/>
      <c r="J1364" s="80"/>
      <c r="K1364" s="79"/>
      <c r="L1364" s="142"/>
      <c r="M1364" s="1"/>
      <c r="N1364" s="142"/>
      <c r="O1364" s="1"/>
      <c r="P1364" s="142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79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R1364" s="1"/>
      <c r="CS1364" s="1"/>
      <c r="CT1364" s="1"/>
      <c r="CU1364" s="1"/>
      <c r="CV1364" s="1"/>
      <c r="CW1364" s="1"/>
      <c r="CX1364" s="1"/>
      <c r="CY1364" s="91" t="str">
        <f t="shared" si="831"/>
        <v/>
      </c>
      <c r="CZ1364" s="1"/>
      <c r="DC1364" s="307"/>
      <c r="DE1364" s="307"/>
    </row>
    <row r="1365">
      <c r="A1365" s="1"/>
      <c r="B1365" s="1"/>
      <c r="C1365" s="76"/>
      <c r="D1365" s="76"/>
      <c r="E1365" s="76"/>
      <c r="F1365" s="76"/>
      <c r="G1365" s="79"/>
      <c r="H1365" s="80"/>
      <c r="I1365" s="79"/>
      <c r="J1365" s="80"/>
      <c r="K1365" s="79"/>
      <c r="L1365" s="142"/>
      <c r="M1365" s="1"/>
      <c r="N1365" s="142"/>
      <c r="O1365" s="1"/>
      <c r="P1365" s="142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79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R1365" s="1"/>
      <c r="CS1365" s="1"/>
      <c r="CT1365" s="1"/>
      <c r="CU1365" s="1"/>
      <c r="CV1365" s="1"/>
      <c r="CW1365" s="1"/>
      <c r="CX1365" s="1"/>
      <c r="CY1365" s="91" t="str">
        <f t="shared" si="831"/>
        <v/>
      </c>
      <c r="CZ1365" s="1"/>
      <c r="DC1365" s="307"/>
      <c r="DE1365" s="307"/>
    </row>
    <row r="1366">
      <c r="A1366" s="1"/>
      <c r="B1366" s="1"/>
      <c r="C1366" s="76"/>
      <c r="D1366" s="76"/>
      <c r="E1366" s="76"/>
      <c r="F1366" s="76"/>
      <c r="G1366" s="79"/>
      <c r="H1366" s="80"/>
      <c r="I1366" s="79"/>
      <c r="J1366" s="80"/>
      <c r="K1366" s="79"/>
      <c r="L1366" s="142"/>
      <c r="M1366" s="1"/>
      <c r="N1366" s="142"/>
      <c r="O1366" s="1"/>
      <c r="P1366" s="142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79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R1366" s="1"/>
      <c r="CS1366" s="1"/>
      <c r="CT1366" s="1"/>
      <c r="CU1366" s="1"/>
      <c r="CV1366" s="1"/>
      <c r="CW1366" s="1"/>
      <c r="CX1366" s="1"/>
      <c r="CY1366" s="91" t="str">
        <f t="shared" si="831"/>
        <v/>
      </c>
      <c r="CZ1366" s="1"/>
      <c r="DC1366" s="307"/>
      <c r="DE1366" s="307"/>
    </row>
    <row r="1367">
      <c r="A1367" s="1"/>
      <c r="B1367" s="1"/>
      <c r="C1367" s="76"/>
      <c r="D1367" s="76"/>
      <c r="E1367" s="76"/>
      <c r="F1367" s="76"/>
      <c r="G1367" s="79"/>
      <c r="H1367" s="80"/>
      <c r="I1367" s="79"/>
      <c r="J1367" s="80"/>
      <c r="K1367" s="79"/>
      <c r="L1367" s="142"/>
      <c r="M1367" s="1"/>
      <c r="N1367" s="142"/>
      <c r="O1367" s="1"/>
      <c r="P1367" s="142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79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R1367" s="1"/>
      <c r="CS1367" s="1"/>
      <c r="CT1367" s="1"/>
      <c r="CU1367" s="1"/>
      <c r="CV1367" s="1"/>
      <c r="CW1367" s="1"/>
      <c r="CX1367" s="1"/>
      <c r="CY1367" s="91" t="str">
        <f t="shared" si="831"/>
        <v/>
      </c>
      <c r="CZ1367" s="1"/>
      <c r="DC1367" s="307"/>
      <c r="DE1367" s="307"/>
    </row>
    <row r="1368">
      <c r="A1368" s="1"/>
      <c r="B1368" s="1"/>
      <c r="C1368" s="76"/>
      <c r="D1368" s="76"/>
      <c r="E1368" s="76"/>
      <c r="F1368" s="76"/>
      <c r="G1368" s="79"/>
      <c r="H1368" s="80"/>
      <c r="I1368" s="79"/>
      <c r="J1368" s="80"/>
      <c r="K1368" s="79"/>
      <c r="L1368" s="142"/>
      <c r="M1368" s="1"/>
      <c r="N1368" s="142"/>
      <c r="O1368" s="1"/>
      <c r="P1368" s="142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79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R1368" s="1"/>
      <c r="CS1368" s="1"/>
      <c r="CT1368" s="1"/>
      <c r="CU1368" s="1"/>
      <c r="CV1368" s="1"/>
      <c r="CW1368" s="1"/>
      <c r="CX1368" s="1"/>
      <c r="CY1368" s="91" t="str">
        <f t="shared" si="831"/>
        <v/>
      </c>
      <c r="CZ1368" s="1"/>
      <c r="DC1368" s="307"/>
      <c r="DE1368" s="307"/>
    </row>
    <row r="1369">
      <c r="A1369" s="1"/>
      <c r="B1369" s="1"/>
      <c r="C1369" s="76"/>
      <c r="D1369" s="76"/>
      <c r="E1369" s="76"/>
      <c r="F1369" s="76"/>
      <c r="G1369" s="79"/>
      <c r="H1369" s="80"/>
      <c r="I1369" s="79"/>
      <c r="J1369" s="80"/>
      <c r="K1369" s="79"/>
      <c r="L1369" s="142"/>
      <c r="M1369" s="1"/>
      <c r="N1369" s="142"/>
      <c r="O1369" s="1"/>
      <c r="P1369" s="142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79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R1369" s="1"/>
      <c r="CS1369" s="1"/>
      <c r="CT1369" s="1"/>
      <c r="CU1369" s="1"/>
      <c r="CV1369" s="1"/>
      <c r="CW1369" s="1"/>
      <c r="CX1369" s="1"/>
      <c r="CY1369" s="91" t="str">
        <f t="shared" si="831"/>
        <v/>
      </c>
      <c r="CZ1369" s="1"/>
      <c r="DC1369" s="307"/>
      <c r="DE1369" s="307"/>
    </row>
    <row r="1370">
      <c r="A1370" s="1"/>
      <c r="B1370" s="1"/>
      <c r="C1370" s="76"/>
      <c r="D1370" s="76"/>
      <c r="E1370" s="76"/>
      <c r="F1370" s="76"/>
      <c r="G1370" s="79"/>
      <c r="H1370" s="80"/>
      <c r="I1370" s="79"/>
      <c r="J1370" s="80"/>
      <c r="K1370" s="79"/>
      <c r="L1370" s="142"/>
      <c r="M1370" s="1"/>
      <c r="N1370" s="142"/>
      <c r="O1370" s="1"/>
      <c r="P1370" s="142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79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R1370" s="1"/>
      <c r="CS1370" s="1"/>
      <c r="CT1370" s="1"/>
      <c r="CU1370" s="1"/>
      <c r="CV1370" s="1"/>
      <c r="CW1370" s="1"/>
      <c r="CX1370" s="1"/>
      <c r="CY1370" s="91" t="str">
        <f t="shared" si="831"/>
        <v/>
      </c>
      <c r="CZ1370" s="1"/>
      <c r="DC1370" s="307"/>
      <c r="DE1370" s="307"/>
    </row>
    <row r="1371">
      <c r="A1371" s="1"/>
      <c r="B1371" s="1"/>
      <c r="C1371" s="76"/>
      <c r="D1371" s="76"/>
      <c r="E1371" s="76"/>
      <c r="F1371" s="76"/>
      <c r="G1371" s="79"/>
      <c r="H1371" s="80"/>
      <c r="I1371" s="79"/>
      <c r="J1371" s="80"/>
      <c r="K1371" s="79"/>
      <c r="L1371" s="142"/>
      <c r="M1371" s="1"/>
      <c r="N1371" s="142"/>
      <c r="O1371" s="1"/>
      <c r="P1371" s="142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79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R1371" s="1"/>
      <c r="CS1371" s="1"/>
      <c r="CT1371" s="1"/>
      <c r="CU1371" s="1"/>
      <c r="CV1371" s="1"/>
      <c r="CW1371" s="1"/>
      <c r="CX1371" s="1"/>
      <c r="CY1371" s="91" t="str">
        <f t="shared" si="831"/>
        <v/>
      </c>
      <c r="CZ1371" s="1"/>
      <c r="DC1371" s="307"/>
      <c r="DE1371" s="307"/>
    </row>
    <row r="1372">
      <c r="A1372" s="1"/>
      <c r="B1372" s="1"/>
      <c r="C1372" s="76"/>
      <c r="D1372" s="76"/>
      <c r="E1372" s="76"/>
      <c r="F1372" s="76"/>
      <c r="G1372" s="79"/>
      <c r="H1372" s="80"/>
      <c r="I1372" s="79"/>
      <c r="J1372" s="80"/>
      <c r="K1372" s="79"/>
      <c r="L1372" s="142"/>
      <c r="M1372" s="1"/>
      <c r="N1372" s="142"/>
      <c r="O1372" s="1"/>
      <c r="P1372" s="142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79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R1372" s="1"/>
      <c r="CS1372" s="1"/>
      <c r="CT1372" s="1"/>
      <c r="CU1372" s="1"/>
      <c r="CV1372" s="1"/>
      <c r="CW1372" s="1"/>
      <c r="CX1372" s="1"/>
      <c r="CY1372" s="91" t="str">
        <f t="shared" si="831"/>
        <v/>
      </c>
      <c r="CZ1372" s="1"/>
      <c r="DC1372" s="307"/>
      <c r="DE1372" s="307"/>
    </row>
    <row r="1373">
      <c r="A1373" s="1"/>
      <c r="B1373" s="1"/>
      <c r="C1373" s="76"/>
      <c r="D1373" s="76"/>
      <c r="E1373" s="76"/>
      <c r="F1373" s="76"/>
      <c r="G1373" s="79"/>
      <c r="H1373" s="80"/>
      <c r="I1373" s="79"/>
      <c r="J1373" s="80"/>
      <c r="K1373" s="79"/>
      <c r="L1373" s="142"/>
      <c r="M1373" s="1"/>
      <c r="N1373" s="142"/>
      <c r="O1373" s="1"/>
      <c r="P1373" s="142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79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R1373" s="1"/>
      <c r="CS1373" s="1"/>
      <c r="CT1373" s="1"/>
      <c r="CU1373" s="1"/>
      <c r="CV1373" s="1"/>
      <c r="CW1373" s="1"/>
      <c r="CX1373" s="1"/>
      <c r="CY1373" s="91" t="str">
        <f t="shared" si="831"/>
        <v/>
      </c>
      <c r="CZ1373" s="1"/>
      <c r="DC1373" s="307"/>
      <c r="DE1373" s="307"/>
    </row>
    <row r="1374">
      <c r="A1374" s="1"/>
      <c r="B1374" s="1"/>
      <c r="C1374" s="76"/>
      <c r="D1374" s="76"/>
      <c r="E1374" s="76"/>
      <c r="F1374" s="76"/>
      <c r="G1374" s="79"/>
      <c r="H1374" s="80"/>
      <c r="I1374" s="79"/>
      <c r="J1374" s="80"/>
      <c r="K1374" s="79"/>
      <c r="L1374" s="142"/>
      <c r="M1374" s="1"/>
      <c r="N1374" s="142"/>
      <c r="O1374" s="1"/>
      <c r="P1374" s="142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79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R1374" s="1"/>
      <c r="CS1374" s="1"/>
      <c r="CT1374" s="1"/>
      <c r="CU1374" s="1"/>
      <c r="CV1374" s="1"/>
      <c r="CW1374" s="1"/>
      <c r="CX1374" s="1"/>
      <c r="CY1374" s="91" t="str">
        <f t="shared" si="831"/>
        <v/>
      </c>
      <c r="CZ1374" s="1"/>
      <c r="DC1374" s="307"/>
      <c r="DE1374" s="307"/>
    </row>
    <row r="1375">
      <c r="A1375" s="1"/>
      <c r="B1375" s="1"/>
      <c r="C1375" s="76"/>
      <c r="D1375" s="76"/>
      <c r="E1375" s="76"/>
      <c r="F1375" s="76"/>
      <c r="G1375" s="79"/>
      <c r="H1375" s="80"/>
      <c r="I1375" s="79"/>
      <c r="J1375" s="80"/>
      <c r="K1375" s="79"/>
      <c r="L1375" s="142"/>
      <c r="M1375" s="1"/>
      <c r="N1375" s="142"/>
      <c r="O1375" s="1"/>
      <c r="P1375" s="142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79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R1375" s="1"/>
      <c r="CS1375" s="1"/>
      <c r="CT1375" s="1"/>
      <c r="CU1375" s="1"/>
      <c r="CV1375" s="1"/>
      <c r="CW1375" s="1"/>
      <c r="CX1375" s="1"/>
      <c r="CY1375" s="91" t="str">
        <f t="shared" si="831"/>
        <v/>
      </c>
      <c r="CZ1375" s="1"/>
      <c r="DC1375" s="307"/>
      <c r="DE1375" s="307"/>
    </row>
    <row r="1376">
      <c r="A1376" s="1"/>
      <c r="B1376" s="1"/>
      <c r="C1376" s="76"/>
      <c r="D1376" s="76"/>
      <c r="E1376" s="76"/>
      <c r="F1376" s="76"/>
      <c r="G1376" s="79"/>
      <c r="H1376" s="80"/>
      <c r="I1376" s="79"/>
      <c r="J1376" s="80"/>
      <c r="K1376" s="79"/>
      <c r="L1376" s="142"/>
      <c r="M1376" s="1"/>
      <c r="N1376" s="142"/>
      <c r="O1376" s="1"/>
      <c r="P1376" s="142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79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R1376" s="1"/>
      <c r="CS1376" s="1"/>
      <c r="CT1376" s="1"/>
      <c r="CU1376" s="1"/>
      <c r="CV1376" s="1"/>
      <c r="CW1376" s="1"/>
      <c r="CX1376" s="1"/>
      <c r="CY1376" s="91" t="str">
        <f t="shared" si="831"/>
        <v/>
      </c>
      <c r="CZ1376" s="1"/>
      <c r="DC1376" s="307"/>
      <c r="DE1376" s="307"/>
    </row>
    <row r="1377">
      <c r="A1377" s="1"/>
      <c r="B1377" s="1"/>
      <c r="C1377" s="76"/>
      <c r="D1377" s="76"/>
      <c r="E1377" s="76"/>
      <c r="F1377" s="76"/>
      <c r="G1377" s="79"/>
      <c r="H1377" s="80"/>
      <c r="I1377" s="79"/>
      <c r="J1377" s="80"/>
      <c r="K1377" s="79"/>
      <c r="L1377" s="142"/>
      <c r="M1377" s="1"/>
      <c r="N1377" s="142"/>
      <c r="O1377" s="1"/>
      <c r="P1377" s="142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79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R1377" s="1"/>
      <c r="CS1377" s="1"/>
      <c r="CT1377" s="1"/>
      <c r="CU1377" s="1"/>
      <c r="CV1377" s="1"/>
      <c r="CW1377" s="1"/>
      <c r="CX1377" s="1"/>
      <c r="CY1377" s="91" t="str">
        <f t="shared" si="831"/>
        <v/>
      </c>
      <c r="CZ1377" s="1"/>
      <c r="DC1377" s="307"/>
      <c r="DE1377" s="307"/>
    </row>
    <row r="1378">
      <c r="A1378" s="1"/>
      <c r="B1378" s="1"/>
      <c r="C1378" s="76"/>
      <c r="D1378" s="76"/>
      <c r="E1378" s="76"/>
      <c r="F1378" s="76"/>
      <c r="G1378" s="79"/>
      <c r="H1378" s="80"/>
      <c r="I1378" s="79"/>
      <c r="J1378" s="80"/>
      <c r="K1378" s="79"/>
      <c r="L1378" s="142"/>
      <c r="M1378" s="1"/>
      <c r="N1378" s="142"/>
      <c r="O1378" s="1"/>
      <c r="P1378" s="142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79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R1378" s="1"/>
      <c r="CS1378" s="1"/>
      <c r="CT1378" s="1"/>
      <c r="CU1378" s="1"/>
      <c r="CV1378" s="1"/>
      <c r="CW1378" s="1"/>
      <c r="CX1378" s="1"/>
      <c r="CY1378" s="91" t="str">
        <f t="shared" si="831"/>
        <v/>
      </c>
      <c r="CZ1378" s="1"/>
      <c r="DC1378" s="307"/>
      <c r="DE1378" s="307"/>
    </row>
    <row r="1379">
      <c r="A1379" s="1"/>
      <c r="B1379" s="1"/>
      <c r="C1379" s="76"/>
      <c r="D1379" s="76"/>
      <c r="E1379" s="76"/>
      <c r="F1379" s="76"/>
      <c r="G1379" s="79"/>
      <c r="H1379" s="80"/>
      <c r="I1379" s="79"/>
      <c r="J1379" s="80"/>
      <c r="K1379" s="79"/>
      <c r="L1379" s="142"/>
      <c r="M1379" s="1"/>
      <c r="N1379" s="142"/>
      <c r="O1379" s="1"/>
      <c r="P1379" s="142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79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R1379" s="1"/>
      <c r="CS1379" s="1"/>
      <c r="CT1379" s="1"/>
      <c r="CU1379" s="1"/>
      <c r="CV1379" s="1"/>
      <c r="CW1379" s="1"/>
      <c r="CX1379" s="1"/>
      <c r="CY1379" s="91" t="str">
        <f t="shared" si="831"/>
        <v/>
      </c>
      <c r="CZ1379" s="1"/>
      <c r="DC1379" s="307"/>
      <c r="DE1379" s="307"/>
    </row>
    <row r="1380">
      <c r="A1380" s="1"/>
      <c r="B1380" s="1"/>
      <c r="C1380" s="76"/>
      <c r="D1380" s="76"/>
      <c r="E1380" s="76"/>
      <c r="F1380" s="76"/>
      <c r="G1380" s="79"/>
      <c r="H1380" s="80"/>
      <c r="I1380" s="79"/>
      <c r="J1380" s="80"/>
      <c r="K1380" s="79"/>
      <c r="L1380" s="142"/>
      <c r="M1380" s="1"/>
      <c r="N1380" s="142"/>
      <c r="O1380" s="1"/>
      <c r="P1380" s="142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79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R1380" s="1"/>
      <c r="CS1380" s="1"/>
      <c r="CT1380" s="1"/>
      <c r="CU1380" s="1"/>
      <c r="CV1380" s="1"/>
      <c r="CW1380" s="1"/>
      <c r="CX1380" s="1"/>
      <c r="CY1380" s="91" t="str">
        <f t="shared" si="831"/>
        <v/>
      </c>
      <c r="CZ1380" s="1"/>
      <c r="DC1380" s="307"/>
      <c r="DE1380" s="307"/>
    </row>
    <row r="1381">
      <c r="A1381" s="1"/>
      <c r="B1381" s="1"/>
      <c r="C1381" s="76"/>
      <c r="D1381" s="76"/>
      <c r="E1381" s="76"/>
      <c r="F1381" s="76"/>
      <c r="G1381" s="79"/>
      <c r="H1381" s="80"/>
      <c r="I1381" s="79"/>
      <c r="J1381" s="80"/>
      <c r="K1381" s="79"/>
      <c r="L1381" s="142"/>
      <c r="M1381" s="1"/>
      <c r="N1381" s="142"/>
      <c r="O1381" s="1"/>
      <c r="P1381" s="142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79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R1381" s="1"/>
      <c r="CS1381" s="1"/>
      <c r="CT1381" s="1"/>
      <c r="CU1381" s="1"/>
      <c r="CV1381" s="1"/>
      <c r="CW1381" s="1"/>
      <c r="CX1381" s="1"/>
      <c r="CY1381" s="91" t="str">
        <f t="shared" si="831"/>
        <v/>
      </c>
      <c r="CZ1381" s="1"/>
      <c r="DC1381" s="307"/>
      <c r="DE1381" s="307"/>
    </row>
    <row r="1382">
      <c r="A1382" s="1"/>
      <c r="B1382" s="1"/>
      <c r="C1382" s="76"/>
      <c r="D1382" s="76"/>
      <c r="E1382" s="76"/>
      <c r="F1382" s="76"/>
      <c r="G1382" s="79"/>
      <c r="H1382" s="80"/>
      <c r="I1382" s="79"/>
      <c r="J1382" s="80"/>
      <c r="K1382" s="79"/>
      <c r="L1382" s="142"/>
      <c r="M1382" s="1"/>
      <c r="N1382" s="142"/>
      <c r="O1382" s="1"/>
      <c r="P1382" s="142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79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R1382" s="1"/>
      <c r="CS1382" s="1"/>
      <c r="CT1382" s="1"/>
      <c r="CU1382" s="1"/>
      <c r="CV1382" s="1"/>
      <c r="CW1382" s="1"/>
      <c r="CX1382" s="1"/>
      <c r="CY1382" s="91" t="str">
        <f t="shared" si="831"/>
        <v/>
      </c>
      <c r="CZ1382" s="1"/>
      <c r="DC1382" s="307"/>
      <c r="DE1382" s="307"/>
    </row>
    <row r="1383">
      <c r="A1383" s="1"/>
      <c r="B1383" s="1"/>
      <c r="C1383" s="76"/>
      <c r="D1383" s="76"/>
      <c r="E1383" s="76"/>
      <c r="F1383" s="76"/>
      <c r="G1383" s="79"/>
      <c r="H1383" s="80"/>
      <c r="I1383" s="79"/>
      <c r="J1383" s="80"/>
      <c r="K1383" s="79"/>
      <c r="L1383" s="142"/>
      <c r="M1383" s="1"/>
      <c r="N1383" s="142"/>
      <c r="O1383" s="1"/>
      <c r="P1383" s="142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79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R1383" s="1"/>
      <c r="CS1383" s="1"/>
      <c r="CT1383" s="1"/>
      <c r="CU1383" s="1"/>
      <c r="CV1383" s="1"/>
      <c r="CW1383" s="1"/>
      <c r="CX1383" s="1"/>
      <c r="CY1383" s="91" t="str">
        <f t="shared" si="831"/>
        <v/>
      </c>
      <c r="CZ1383" s="1"/>
      <c r="DC1383" s="307"/>
      <c r="DE1383" s="307"/>
    </row>
    <row r="1384">
      <c r="A1384" s="1"/>
      <c r="B1384" s="1"/>
      <c r="C1384" s="76"/>
      <c r="D1384" s="76"/>
      <c r="E1384" s="76"/>
      <c r="F1384" s="76"/>
      <c r="G1384" s="79"/>
      <c r="H1384" s="80"/>
      <c r="I1384" s="79"/>
      <c r="J1384" s="80"/>
      <c r="K1384" s="79"/>
      <c r="L1384" s="142"/>
      <c r="M1384" s="1"/>
      <c r="N1384" s="142"/>
      <c r="O1384" s="1"/>
      <c r="P1384" s="142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79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R1384" s="1"/>
      <c r="CS1384" s="1"/>
      <c r="CT1384" s="1"/>
      <c r="CU1384" s="1"/>
      <c r="CV1384" s="1"/>
      <c r="CW1384" s="1"/>
      <c r="CX1384" s="1"/>
      <c r="CY1384" s="91" t="str">
        <f t="shared" si="831"/>
        <v/>
      </c>
      <c r="CZ1384" s="1"/>
      <c r="DC1384" s="307"/>
      <c r="DE1384" s="307"/>
    </row>
    <row r="1385">
      <c r="A1385" s="1"/>
      <c r="B1385" s="1"/>
      <c r="C1385" s="76"/>
      <c r="D1385" s="76"/>
      <c r="E1385" s="76"/>
      <c r="F1385" s="76"/>
      <c r="G1385" s="79"/>
      <c r="H1385" s="80"/>
      <c r="I1385" s="79"/>
      <c r="J1385" s="80"/>
      <c r="K1385" s="79"/>
      <c r="L1385" s="142"/>
      <c r="M1385" s="1"/>
      <c r="N1385" s="142"/>
      <c r="O1385" s="1"/>
      <c r="P1385" s="142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79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R1385" s="1"/>
      <c r="CS1385" s="1"/>
      <c r="CT1385" s="1"/>
      <c r="CU1385" s="1"/>
      <c r="CV1385" s="1"/>
      <c r="CW1385" s="1"/>
      <c r="CX1385" s="1"/>
      <c r="CY1385" s="91" t="str">
        <f t="shared" si="831"/>
        <v/>
      </c>
      <c r="CZ1385" s="1"/>
      <c r="DC1385" s="307"/>
      <c r="DE1385" s="307"/>
    </row>
    <row r="1386">
      <c r="A1386" s="1"/>
      <c r="B1386" s="1"/>
      <c r="C1386" s="76"/>
      <c r="D1386" s="76"/>
      <c r="E1386" s="76"/>
      <c r="F1386" s="76"/>
      <c r="G1386" s="79"/>
      <c r="H1386" s="80"/>
      <c r="I1386" s="79"/>
      <c r="J1386" s="80"/>
      <c r="K1386" s="79"/>
      <c r="L1386" s="142"/>
      <c r="M1386" s="1"/>
      <c r="N1386" s="142"/>
      <c r="O1386" s="1"/>
      <c r="P1386" s="142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79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R1386" s="1"/>
      <c r="CS1386" s="1"/>
      <c r="CT1386" s="1"/>
      <c r="CU1386" s="1"/>
      <c r="CV1386" s="1"/>
      <c r="CW1386" s="1"/>
      <c r="CX1386" s="1"/>
      <c r="CY1386" s="91" t="str">
        <f t="shared" si="831"/>
        <v/>
      </c>
      <c r="CZ1386" s="1"/>
      <c r="DC1386" s="307"/>
      <c r="DE1386" s="307"/>
    </row>
    <row r="1387">
      <c r="A1387" s="1"/>
      <c r="B1387" s="1"/>
      <c r="C1387" s="76"/>
      <c r="D1387" s="76"/>
      <c r="E1387" s="76"/>
      <c r="F1387" s="76"/>
      <c r="G1387" s="79"/>
      <c r="H1387" s="80"/>
      <c r="I1387" s="79"/>
      <c r="J1387" s="80"/>
      <c r="K1387" s="79"/>
      <c r="L1387" s="142"/>
      <c r="M1387" s="1"/>
      <c r="N1387" s="142"/>
      <c r="O1387" s="1"/>
      <c r="P1387" s="142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79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R1387" s="1"/>
      <c r="CS1387" s="1"/>
      <c r="CT1387" s="1"/>
      <c r="CU1387" s="1"/>
      <c r="CV1387" s="1"/>
      <c r="CW1387" s="1"/>
      <c r="CX1387" s="1"/>
      <c r="CY1387" s="91" t="str">
        <f t="shared" si="831"/>
        <v/>
      </c>
      <c r="CZ1387" s="1"/>
      <c r="DC1387" s="307"/>
      <c r="DE1387" s="307"/>
    </row>
    <row r="1388">
      <c r="A1388" s="1"/>
      <c r="B1388" s="1"/>
      <c r="C1388" s="76"/>
      <c r="D1388" s="76"/>
      <c r="E1388" s="76"/>
      <c r="F1388" s="76"/>
      <c r="G1388" s="79"/>
      <c r="H1388" s="80"/>
      <c r="I1388" s="79"/>
      <c r="J1388" s="80"/>
      <c r="K1388" s="79"/>
      <c r="L1388" s="142"/>
      <c r="M1388" s="1"/>
      <c r="N1388" s="142"/>
      <c r="O1388" s="1"/>
      <c r="P1388" s="142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79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R1388" s="1"/>
      <c r="CS1388" s="1"/>
      <c r="CT1388" s="1"/>
      <c r="CU1388" s="1"/>
      <c r="CV1388" s="1"/>
      <c r="CW1388" s="1"/>
      <c r="CX1388" s="1"/>
      <c r="CY1388" s="91" t="str">
        <f t="shared" si="831"/>
        <v/>
      </c>
      <c r="CZ1388" s="1"/>
      <c r="DC1388" s="307"/>
      <c r="DE1388" s="307"/>
    </row>
    <row r="1389">
      <c r="A1389" s="1"/>
      <c r="B1389" s="1"/>
      <c r="C1389" s="76"/>
      <c r="D1389" s="76"/>
      <c r="E1389" s="76"/>
      <c r="F1389" s="76"/>
      <c r="G1389" s="79"/>
      <c r="H1389" s="80"/>
      <c r="I1389" s="79"/>
      <c r="J1389" s="80"/>
      <c r="K1389" s="79"/>
      <c r="L1389" s="142"/>
      <c r="M1389" s="1"/>
      <c r="N1389" s="142"/>
      <c r="O1389" s="1"/>
      <c r="P1389" s="142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79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R1389" s="1"/>
      <c r="CS1389" s="1"/>
      <c r="CT1389" s="1"/>
      <c r="CU1389" s="1"/>
      <c r="CV1389" s="1"/>
      <c r="CW1389" s="1"/>
      <c r="CX1389" s="1"/>
      <c r="CY1389" s="91" t="str">
        <f t="shared" si="831"/>
        <v/>
      </c>
      <c r="CZ1389" s="1"/>
      <c r="DC1389" s="307"/>
      <c r="DE1389" s="307"/>
    </row>
    <row r="1390">
      <c r="A1390" s="1"/>
      <c r="B1390" s="1"/>
      <c r="C1390" s="76"/>
      <c r="D1390" s="76"/>
      <c r="E1390" s="76"/>
      <c r="F1390" s="76"/>
      <c r="G1390" s="79"/>
      <c r="H1390" s="80"/>
      <c r="I1390" s="79"/>
      <c r="J1390" s="80"/>
      <c r="K1390" s="79"/>
      <c r="L1390" s="142"/>
      <c r="M1390" s="1"/>
      <c r="N1390" s="142"/>
      <c r="O1390" s="1"/>
      <c r="P1390" s="142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79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R1390" s="1"/>
      <c r="CS1390" s="1"/>
      <c r="CT1390" s="1"/>
      <c r="CU1390" s="1"/>
      <c r="CV1390" s="1"/>
      <c r="CW1390" s="1"/>
      <c r="CX1390" s="1"/>
      <c r="CY1390" s="91" t="str">
        <f t="shared" si="831"/>
        <v/>
      </c>
      <c r="CZ1390" s="1"/>
      <c r="DC1390" s="307"/>
      <c r="DE1390" s="307"/>
    </row>
    <row r="1391">
      <c r="A1391" s="1"/>
      <c r="B1391" s="1"/>
      <c r="C1391" s="76"/>
      <c r="D1391" s="76"/>
      <c r="E1391" s="76"/>
      <c r="F1391" s="76"/>
      <c r="G1391" s="79"/>
      <c r="H1391" s="80"/>
      <c r="I1391" s="79"/>
      <c r="J1391" s="80"/>
      <c r="K1391" s="79"/>
      <c r="L1391" s="142"/>
      <c r="M1391" s="1"/>
      <c r="N1391" s="142"/>
      <c r="O1391" s="1"/>
      <c r="P1391" s="142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79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R1391" s="1"/>
      <c r="CS1391" s="1"/>
      <c r="CT1391" s="1"/>
      <c r="CU1391" s="1"/>
      <c r="CV1391" s="1"/>
      <c r="CW1391" s="1"/>
      <c r="CX1391" s="1"/>
      <c r="CY1391" s="91" t="str">
        <f t="shared" si="831"/>
        <v/>
      </c>
      <c r="CZ1391" s="1"/>
      <c r="DC1391" s="307"/>
      <c r="DE1391" s="307"/>
    </row>
    <row r="1392">
      <c r="A1392" s="1"/>
      <c r="B1392" s="1"/>
      <c r="C1392" s="76"/>
      <c r="D1392" s="76"/>
      <c r="E1392" s="76"/>
      <c r="F1392" s="76"/>
      <c r="G1392" s="79"/>
      <c r="H1392" s="80"/>
      <c r="I1392" s="79"/>
      <c r="J1392" s="80"/>
      <c r="K1392" s="79"/>
      <c r="L1392" s="142"/>
      <c r="M1392" s="1"/>
      <c r="N1392" s="142"/>
      <c r="O1392" s="1"/>
      <c r="P1392" s="142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79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R1392" s="1"/>
      <c r="CS1392" s="1"/>
      <c r="CT1392" s="1"/>
      <c r="CU1392" s="1"/>
      <c r="CV1392" s="1"/>
      <c r="CW1392" s="1"/>
      <c r="CX1392" s="1"/>
      <c r="CY1392" s="91" t="str">
        <f t="shared" si="831"/>
        <v/>
      </c>
      <c r="CZ1392" s="1"/>
      <c r="DC1392" s="307"/>
      <c r="DE1392" s="307"/>
    </row>
    <row r="1393">
      <c r="A1393" s="1"/>
      <c r="B1393" s="1"/>
      <c r="C1393" s="76"/>
      <c r="D1393" s="76"/>
      <c r="E1393" s="76"/>
      <c r="F1393" s="76"/>
      <c r="G1393" s="79"/>
      <c r="H1393" s="80"/>
      <c r="I1393" s="79"/>
      <c r="J1393" s="80"/>
      <c r="K1393" s="79"/>
      <c r="L1393" s="142"/>
      <c r="M1393" s="1"/>
      <c r="N1393" s="142"/>
      <c r="O1393" s="1"/>
      <c r="P1393" s="142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79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R1393" s="1"/>
      <c r="CS1393" s="1"/>
      <c r="CT1393" s="1"/>
      <c r="CU1393" s="1"/>
      <c r="CV1393" s="1"/>
      <c r="CW1393" s="1"/>
      <c r="CX1393" s="1"/>
      <c r="CY1393" s="91" t="str">
        <f t="shared" si="831"/>
        <v/>
      </c>
      <c r="CZ1393" s="1"/>
      <c r="DC1393" s="307"/>
      <c r="DE1393" s="307"/>
    </row>
    <row r="1394">
      <c r="A1394" s="1"/>
      <c r="B1394" s="1"/>
      <c r="C1394" s="76"/>
      <c r="D1394" s="76"/>
      <c r="E1394" s="76"/>
      <c r="F1394" s="76"/>
      <c r="G1394" s="79"/>
      <c r="H1394" s="80"/>
      <c r="I1394" s="79"/>
      <c r="J1394" s="80"/>
      <c r="K1394" s="79"/>
      <c r="L1394" s="142"/>
      <c r="M1394" s="1"/>
      <c r="N1394" s="142"/>
      <c r="O1394" s="1"/>
      <c r="P1394" s="142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79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R1394" s="1"/>
      <c r="CS1394" s="1"/>
      <c r="CT1394" s="1"/>
      <c r="CU1394" s="1"/>
      <c r="CV1394" s="1"/>
      <c r="CW1394" s="1"/>
      <c r="CX1394" s="1"/>
      <c r="CY1394" s="91" t="str">
        <f t="shared" si="831"/>
        <v/>
      </c>
      <c r="CZ1394" s="1"/>
      <c r="DC1394" s="307"/>
      <c r="DE1394" s="307"/>
    </row>
    <row r="1395">
      <c r="A1395" s="1"/>
      <c r="B1395" s="1"/>
      <c r="C1395" s="76"/>
      <c r="D1395" s="76"/>
      <c r="E1395" s="76"/>
      <c r="F1395" s="76"/>
      <c r="G1395" s="79"/>
      <c r="H1395" s="80"/>
      <c r="I1395" s="79"/>
      <c r="J1395" s="80"/>
      <c r="K1395" s="79"/>
      <c r="L1395" s="142"/>
      <c r="M1395" s="1"/>
      <c r="N1395" s="142"/>
      <c r="O1395" s="1"/>
      <c r="P1395" s="142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79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R1395" s="1"/>
      <c r="CS1395" s="1"/>
      <c r="CT1395" s="1"/>
      <c r="CU1395" s="1"/>
      <c r="CV1395" s="1"/>
      <c r="CW1395" s="1"/>
      <c r="CX1395" s="1"/>
      <c r="CY1395" s="91" t="str">
        <f t="shared" si="831"/>
        <v/>
      </c>
      <c r="CZ1395" s="1"/>
      <c r="DC1395" s="307"/>
      <c r="DE1395" s="307"/>
    </row>
    <row r="1396">
      <c r="A1396" s="1"/>
      <c r="B1396" s="1"/>
      <c r="C1396" s="76"/>
      <c r="D1396" s="76"/>
      <c r="E1396" s="76"/>
      <c r="F1396" s="76"/>
      <c r="G1396" s="79"/>
      <c r="H1396" s="80"/>
      <c r="I1396" s="79"/>
      <c r="J1396" s="80"/>
      <c r="K1396" s="79"/>
      <c r="L1396" s="142"/>
      <c r="M1396" s="1"/>
      <c r="N1396" s="142"/>
      <c r="O1396" s="1"/>
      <c r="P1396" s="142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79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R1396" s="1"/>
      <c r="CS1396" s="1"/>
      <c r="CT1396" s="1"/>
      <c r="CU1396" s="1"/>
      <c r="CV1396" s="1"/>
      <c r="CW1396" s="1"/>
      <c r="CX1396" s="1"/>
      <c r="CY1396" s="91" t="str">
        <f t="shared" si="831"/>
        <v/>
      </c>
      <c r="CZ1396" s="1"/>
      <c r="DC1396" s="307"/>
      <c r="DE1396" s="307"/>
    </row>
    <row r="1397">
      <c r="A1397" s="1"/>
      <c r="B1397" s="1"/>
      <c r="C1397" s="76"/>
      <c r="D1397" s="76"/>
      <c r="E1397" s="76"/>
      <c r="F1397" s="76"/>
      <c r="G1397" s="79"/>
      <c r="H1397" s="80"/>
      <c r="I1397" s="79"/>
      <c r="J1397" s="80"/>
      <c r="K1397" s="79"/>
      <c r="L1397" s="142"/>
      <c r="M1397" s="1"/>
      <c r="N1397" s="142"/>
      <c r="O1397" s="1"/>
      <c r="P1397" s="142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79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R1397" s="1"/>
      <c r="CS1397" s="1"/>
      <c r="CT1397" s="1"/>
      <c r="CU1397" s="1"/>
      <c r="CV1397" s="1"/>
      <c r="CW1397" s="1"/>
      <c r="CX1397" s="1"/>
      <c r="CY1397" s="91" t="str">
        <f t="shared" si="831"/>
        <v/>
      </c>
      <c r="CZ1397" s="1"/>
      <c r="DC1397" s="307"/>
      <c r="DE1397" s="307"/>
    </row>
    <row r="1398">
      <c r="A1398" s="1"/>
      <c r="B1398" s="1"/>
      <c r="C1398" s="76"/>
      <c r="D1398" s="76"/>
      <c r="E1398" s="76"/>
      <c r="F1398" s="76"/>
      <c r="G1398" s="79"/>
      <c r="H1398" s="80"/>
      <c r="I1398" s="79"/>
      <c r="J1398" s="80"/>
      <c r="K1398" s="79"/>
      <c r="L1398" s="142"/>
      <c r="M1398" s="1"/>
      <c r="N1398" s="142"/>
      <c r="O1398" s="1"/>
      <c r="P1398" s="142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79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R1398" s="1"/>
      <c r="CS1398" s="1"/>
      <c r="CT1398" s="1"/>
      <c r="CU1398" s="1"/>
      <c r="CV1398" s="1"/>
      <c r="CW1398" s="1"/>
      <c r="CX1398" s="1"/>
      <c r="CY1398" s="91" t="str">
        <f t="shared" si="831"/>
        <v/>
      </c>
      <c r="CZ1398" s="1"/>
      <c r="DC1398" s="307"/>
      <c r="DE1398" s="307"/>
    </row>
    <row r="1399">
      <c r="A1399" s="1"/>
      <c r="B1399" s="1"/>
      <c r="C1399" s="76"/>
      <c r="D1399" s="76"/>
      <c r="E1399" s="76"/>
      <c r="F1399" s="76"/>
      <c r="G1399" s="79"/>
      <c r="H1399" s="80"/>
      <c r="I1399" s="79"/>
      <c r="J1399" s="80"/>
      <c r="K1399" s="79"/>
      <c r="L1399" s="142"/>
      <c r="M1399" s="1"/>
      <c r="N1399" s="142"/>
      <c r="O1399" s="1"/>
      <c r="P1399" s="142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79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R1399" s="1"/>
      <c r="CS1399" s="1"/>
      <c r="CT1399" s="1"/>
      <c r="CU1399" s="1"/>
      <c r="CV1399" s="1"/>
      <c r="CW1399" s="1"/>
      <c r="CX1399" s="1"/>
      <c r="CY1399" s="91" t="str">
        <f t="shared" si="831"/>
        <v/>
      </c>
      <c r="CZ1399" s="1"/>
      <c r="DC1399" s="307"/>
      <c r="DE1399" s="307"/>
    </row>
    <row r="1400">
      <c r="A1400" s="1"/>
      <c r="B1400" s="1"/>
      <c r="C1400" s="76"/>
      <c r="D1400" s="76"/>
      <c r="E1400" s="76"/>
      <c r="F1400" s="76"/>
      <c r="G1400" s="79"/>
      <c r="H1400" s="80"/>
      <c r="I1400" s="79"/>
      <c r="J1400" s="80"/>
      <c r="K1400" s="79"/>
      <c r="L1400" s="142"/>
      <c r="M1400" s="1"/>
      <c r="N1400" s="142"/>
      <c r="O1400" s="1"/>
      <c r="P1400" s="142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79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R1400" s="1"/>
      <c r="CS1400" s="1"/>
      <c r="CT1400" s="1"/>
      <c r="CU1400" s="1"/>
      <c r="CV1400" s="1"/>
      <c r="CW1400" s="1"/>
      <c r="CX1400" s="1"/>
      <c r="CY1400" s="91" t="str">
        <f t="shared" si="831"/>
        <v/>
      </c>
      <c r="CZ1400" s="1"/>
      <c r="DC1400" s="307"/>
      <c r="DE1400" s="307"/>
    </row>
    <row r="1401">
      <c r="A1401" s="1"/>
      <c r="B1401" s="1"/>
      <c r="C1401" s="76"/>
      <c r="D1401" s="76"/>
      <c r="E1401" s="76"/>
      <c r="F1401" s="76"/>
      <c r="G1401" s="79"/>
      <c r="H1401" s="80"/>
      <c r="I1401" s="79"/>
      <c r="J1401" s="80"/>
      <c r="K1401" s="79"/>
      <c r="L1401" s="142"/>
      <c r="M1401" s="1"/>
      <c r="N1401" s="142"/>
      <c r="O1401" s="1"/>
      <c r="P1401" s="142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79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R1401" s="1"/>
      <c r="CS1401" s="1"/>
      <c r="CT1401" s="1"/>
      <c r="CU1401" s="1"/>
      <c r="CV1401" s="1"/>
      <c r="CW1401" s="1"/>
      <c r="CX1401" s="1"/>
      <c r="CY1401" s="91" t="str">
        <f t="shared" si="831"/>
        <v/>
      </c>
      <c r="CZ1401" s="1"/>
      <c r="DC1401" s="307"/>
      <c r="DE1401" s="307"/>
    </row>
    <row r="1402">
      <c r="A1402" s="1"/>
      <c r="B1402" s="1"/>
      <c r="C1402" s="76"/>
      <c r="D1402" s="76"/>
      <c r="E1402" s="76"/>
      <c r="F1402" s="76"/>
      <c r="G1402" s="79"/>
      <c r="H1402" s="80"/>
      <c r="I1402" s="79"/>
      <c r="J1402" s="80"/>
      <c r="K1402" s="79"/>
      <c r="L1402" s="142"/>
      <c r="M1402" s="1"/>
      <c r="N1402" s="142"/>
      <c r="O1402" s="1"/>
      <c r="P1402" s="142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79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R1402" s="1"/>
      <c r="CS1402" s="1"/>
      <c r="CT1402" s="1"/>
      <c r="CU1402" s="1"/>
      <c r="CV1402" s="1"/>
      <c r="CW1402" s="1"/>
      <c r="CX1402" s="1"/>
      <c r="CY1402" s="91" t="str">
        <f t="shared" si="831"/>
        <v/>
      </c>
      <c r="CZ1402" s="1"/>
      <c r="DC1402" s="307"/>
      <c r="DE1402" s="307"/>
    </row>
    <row r="1403">
      <c r="A1403" s="1"/>
      <c r="B1403" s="1"/>
      <c r="C1403" s="76"/>
      <c r="D1403" s="76"/>
      <c r="E1403" s="76"/>
      <c r="F1403" s="76"/>
      <c r="G1403" s="79"/>
      <c r="H1403" s="80"/>
      <c r="I1403" s="79"/>
      <c r="J1403" s="80"/>
      <c r="K1403" s="79"/>
      <c r="L1403" s="142"/>
      <c r="M1403" s="1"/>
      <c r="N1403" s="142"/>
      <c r="O1403" s="1"/>
      <c r="P1403" s="142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79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R1403" s="1"/>
      <c r="CS1403" s="1"/>
      <c r="CT1403" s="1"/>
      <c r="CU1403" s="1"/>
      <c r="CV1403" s="1"/>
      <c r="CW1403" s="1"/>
      <c r="CX1403" s="1"/>
      <c r="CY1403" s="91" t="str">
        <f t="shared" si="831"/>
        <v/>
      </c>
      <c r="CZ1403" s="1"/>
      <c r="DC1403" s="307"/>
      <c r="DE1403" s="307"/>
    </row>
    <row r="1404">
      <c r="A1404" s="1"/>
      <c r="B1404" s="1"/>
      <c r="C1404" s="76"/>
      <c r="D1404" s="76"/>
      <c r="E1404" s="76"/>
      <c r="F1404" s="76"/>
      <c r="G1404" s="79"/>
      <c r="H1404" s="80"/>
      <c r="I1404" s="79"/>
      <c r="J1404" s="80"/>
      <c r="K1404" s="79"/>
      <c r="L1404" s="142"/>
      <c r="M1404" s="1"/>
      <c r="N1404" s="142"/>
      <c r="O1404" s="1"/>
      <c r="P1404" s="142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79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R1404" s="1"/>
      <c r="CS1404" s="1"/>
      <c r="CT1404" s="1"/>
      <c r="CU1404" s="1"/>
      <c r="CV1404" s="1"/>
      <c r="CW1404" s="1"/>
      <c r="CX1404" s="1"/>
      <c r="CY1404" s="91" t="str">
        <f t="shared" si="831"/>
        <v/>
      </c>
      <c r="CZ1404" s="1"/>
      <c r="DC1404" s="307"/>
      <c r="DE1404" s="307"/>
    </row>
    <row r="1405">
      <c r="A1405" s="1"/>
      <c r="B1405" s="1"/>
      <c r="C1405" s="76"/>
      <c r="D1405" s="76"/>
      <c r="E1405" s="76"/>
      <c r="F1405" s="76"/>
      <c r="G1405" s="79"/>
      <c r="H1405" s="80"/>
      <c r="I1405" s="79"/>
      <c r="J1405" s="80"/>
      <c r="K1405" s="79"/>
      <c r="L1405" s="142"/>
      <c r="M1405" s="1"/>
      <c r="N1405" s="142"/>
      <c r="O1405" s="1"/>
      <c r="P1405" s="142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79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R1405" s="1"/>
      <c r="CS1405" s="1"/>
      <c r="CT1405" s="1"/>
      <c r="CU1405" s="1"/>
      <c r="CV1405" s="1"/>
      <c r="CW1405" s="1"/>
      <c r="CX1405" s="1"/>
      <c r="CY1405" s="91" t="str">
        <f t="shared" si="831"/>
        <v/>
      </c>
      <c r="CZ1405" s="1"/>
      <c r="DC1405" s="307"/>
      <c r="DE1405" s="307"/>
    </row>
    <row r="1406">
      <c r="A1406" s="1"/>
      <c r="B1406" s="1"/>
      <c r="C1406" s="76"/>
      <c r="D1406" s="76"/>
      <c r="E1406" s="76"/>
      <c r="F1406" s="76"/>
      <c r="G1406" s="79"/>
      <c r="H1406" s="80"/>
      <c r="I1406" s="79"/>
      <c r="J1406" s="80"/>
      <c r="K1406" s="79"/>
      <c r="L1406" s="142"/>
      <c r="M1406" s="1"/>
      <c r="N1406" s="142"/>
      <c r="O1406" s="1"/>
      <c r="P1406" s="142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79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R1406" s="1"/>
      <c r="CS1406" s="1"/>
      <c r="CT1406" s="1"/>
      <c r="CU1406" s="1"/>
      <c r="CV1406" s="1"/>
      <c r="CW1406" s="1"/>
      <c r="CX1406" s="1"/>
      <c r="CY1406" s="91" t="str">
        <f t="shared" si="831"/>
        <v/>
      </c>
      <c r="CZ1406" s="1"/>
      <c r="DC1406" s="307"/>
      <c r="DE1406" s="307"/>
    </row>
    <row r="1407">
      <c r="A1407" s="1"/>
      <c r="B1407" s="1"/>
      <c r="C1407" s="76"/>
      <c r="D1407" s="76"/>
      <c r="E1407" s="76"/>
      <c r="F1407" s="76"/>
      <c r="G1407" s="79"/>
      <c r="H1407" s="80"/>
      <c r="I1407" s="79"/>
      <c r="J1407" s="80"/>
      <c r="K1407" s="79"/>
      <c r="L1407" s="142"/>
      <c r="M1407" s="1"/>
      <c r="N1407" s="142"/>
      <c r="O1407" s="1"/>
      <c r="P1407" s="142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79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R1407" s="1"/>
      <c r="CS1407" s="1"/>
      <c r="CT1407" s="1"/>
      <c r="CU1407" s="1"/>
      <c r="CV1407" s="1"/>
      <c r="CW1407" s="1"/>
      <c r="CX1407" s="1"/>
      <c r="CY1407" s="91" t="str">
        <f t="shared" si="831"/>
        <v/>
      </c>
      <c r="CZ1407" s="1"/>
      <c r="DC1407" s="307"/>
      <c r="DE1407" s="307"/>
    </row>
    <row r="1408">
      <c r="A1408" s="1"/>
      <c r="B1408" s="1"/>
      <c r="C1408" s="76"/>
      <c r="D1408" s="76"/>
      <c r="E1408" s="76"/>
      <c r="F1408" s="76"/>
      <c r="G1408" s="79"/>
      <c r="H1408" s="80"/>
      <c r="I1408" s="79"/>
      <c r="J1408" s="80"/>
      <c r="K1408" s="79"/>
      <c r="L1408" s="142"/>
      <c r="M1408" s="1"/>
      <c r="N1408" s="142"/>
      <c r="O1408" s="1"/>
      <c r="P1408" s="142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79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R1408" s="1"/>
      <c r="CS1408" s="1"/>
      <c r="CT1408" s="1"/>
      <c r="CU1408" s="1"/>
      <c r="CV1408" s="1"/>
      <c r="CW1408" s="1"/>
      <c r="CX1408" s="1"/>
      <c r="CY1408" s="91" t="str">
        <f t="shared" si="831"/>
        <v/>
      </c>
      <c r="CZ1408" s="1"/>
      <c r="DC1408" s="307"/>
      <c r="DE1408" s="307"/>
    </row>
    <row r="1409">
      <c r="A1409" s="1"/>
      <c r="B1409" s="1"/>
      <c r="C1409" s="76"/>
      <c r="D1409" s="76"/>
      <c r="E1409" s="76"/>
      <c r="F1409" s="76"/>
      <c r="G1409" s="79"/>
      <c r="H1409" s="80"/>
      <c r="I1409" s="79"/>
      <c r="J1409" s="80"/>
      <c r="K1409" s="79"/>
      <c r="L1409" s="142"/>
      <c r="M1409" s="1"/>
      <c r="N1409" s="142"/>
      <c r="O1409" s="1"/>
      <c r="P1409" s="142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79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R1409" s="1"/>
      <c r="CS1409" s="1"/>
      <c r="CT1409" s="1"/>
      <c r="CU1409" s="1"/>
      <c r="CV1409" s="1"/>
      <c r="CW1409" s="1"/>
      <c r="CX1409" s="1"/>
      <c r="CY1409" s="91" t="str">
        <f t="shared" si="831"/>
        <v/>
      </c>
      <c r="CZ1409" s="1"/>
      <c r="DC1409" s="307"/>
      <c r="DE1409" s="307"/>
    </row>
    <row r="1410">
      <c r="A1410" s="1"/>
      <c r="B1410" s="1"/>
      <c r="C1410" s="76"/>
      <c r="D1410" s="76"/>
      <c r="E1410" s="76"/>
      <c r="F1410" s="76"/>
      <c r="G1410" s="79"/>
      <c r="H1410" s="80"/>
      <c r="I1410" s="79"/>
      <c r="J1410" s="80"/>
      <c r="K1410" s="79"/>
      <c r="L1410" s="142"/>
      <c r="M1410" s="1"/>
      <c r="N1410" s="142"/>
      <c r="O1410" s="1"/>
      <c r="P1410" s="142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79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R1410" s="1"/>
      <c r="CS1410" s="1"/>
      <c r="CT1410" s="1"/>
      <c r="CU1410" s="1"/>
      <c r="CV1410" s="1"/>
      <c r="CW1410" s="1"/>
      <c r="CX1410" s="1"/>
      <c r="CY1410" s="91" t="str">
        <f t="shared" si="831"/>
        <v/>
      </c>
      <c r="CZ1410" s="1"/>
      <c r="DC1410" s="307"/>
      <c r="DE1410" s="307"/>
    </row>
    <row r="1411">
      <c r="A1411" s="1"/>
      <c r="B1411" s="1"/>
      <c r="C1411" s="76"/>
      <c r="D1411" s="76"/>
      <c r="E1411" s="76"/>
      <c r="F1411" s="76"/>
      <c r="G1411" s="79"/>
      <c r="H1411" s="80"/>
      <c r="I1411" s="79"/>
      <c r="J1411" s="80"/>
      <c r="K1411" s="79"/>
      <c r="L1411" s="142"/>
      <c r="M1411" s="1"/>
      <c r="N1411" s="142"/>
      <c r="O1411" s="1"/>
      <c r="P1411" s="142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79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R1411" s="1"/>
      <c r="CS1411" s="1"/>
      <c r="CT1411" s="1"/>
      <c r="CU1411" s="1"/>
      <c r="CV1411" s="1"/>
      <c r="CW1411" s="1"/>
      <c r="CX1411" s="1"/>
      <c r="CY1411" s="91" t="str">
        <f t="shared" si="831"/>
        <v/>
      </c>
      <c r="CZ1411" s="1"/>
      <c r="DC1411" s="307"/>
      <c r="DE1411" s="307"/>
    </row>
    <row r="1412">
      <c r="A1412" s="1"/>
      <c r="B1412" s="1"/>
      <c r="C1412" s="76"/>
      <c r="D1412" s="76"/>
      <c r="E1412" s="76"/>
      <c r="F1412" s="76"/>
      <c r="G1412" s="79"/>
      <c r="H1412" s="80"/>
      <c r="I1412" s="79"/>
      <c r="J1412" s="80"/>
      <c r="K1412" s="79"/>
      <c r="L1412" s="142"/>
      <c r="M1412" s="1"/>
      <c r="N1412" s="142"/>
      <c r="O1412" s="1"/>
      <c r="P1412" s="142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79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R1412" s="1"/>
      <c r="CS1412" s="1"/>
      <c r="CT1412" s="1"/>
      <c r="CU1412" s="1"/>
      <c r="CV1412" s="1"/>
      <c r="CW1412" s="1"/>
      <c r="CX1412" s="1"/>
      <c r="CY1412" s="91" t="str">
        <f t="shared" si="831"/>
        <v/>
      </c>
      <c r="CZ1412" s="1"/>
      <c r="DC1412" s="307"/>
      <c r="DE1412" s="307"/>
    </row>
    <row r="1413">
      <c r="A1413" s="1"/>
      <c r="B1413" s="1"/>
      <c r="C1413" s="76"/>
      <c r="D1413" s="76"/>
      <c r="E1413" s="76"/>
      <c r="F1413" s="76"/>
      <c r="G1413" s="79"/>
      <c r="H1413" s="80"/>
      <c r="I1413" s="79"/>
      <c r="J1413" s="80"/>
      <c r="K1413" s="79"/>
      <c r="L1413" s="142"/>
      <c r="M1413" s="1"/>
      <c r="N1413" s="142"/>
      <c r="O1413" s="1"/>
      <c r="P1413" s="142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79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R1413" s="1"/>
      <c r="CS1413" s="1"/>
      <c r="CT1413" s="1"/>
      <c r="CU1413" s="1"/>
      <c r="CV1413" s="1"/>
      <c r="CW1413" s="1"/>
      <c r="CX1413" s="1"/>
      <c r="CY1413" s="91" t="str">
        <f t="shared" si="831"/>
        <v/>
      </c>
      <c r="CZ1413" s="1"/>
      <c r="DC1413" s="307"/>
      <c r="DE1413" s="307"/>
    </row>
    <row r="1414">
      <c r="A1414" s="1"/>
      <c r="B1414" s="1"/>
      <c r="C1414" s="76"/>
      <c r="D1414" s="76"/>
      <c r="E1414" s="76"/>
      <c r="F1414" s="76"/>
      <c r="G1414" s="79"/>
      <c r="H1414" s="80"/>
      <c r="I1414" s="79"/>
      <c r="J1414" s="80"/>
      <c r="K1414" s="79"/>
      <c r="L1414" s="142"/>
      <c r="M1414" s="1"/>
      <c r="N1414" s="142"/>
      <c r="O1414" s="1"/>
      <c r="P1414" s="142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79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R1414" s="1"/>
      <c r="CS1414" s="1"/>
      <c r="CT1414" s="1"/>
      <c r="CU1414" s="1"/>
      <c r="CV1414" s="1"/>
      <c r="CW1414" s="1"/>
      <c r="CX1414" s="1"/>
      <c r="CY1414" s="91" t="str">
        <f t="shared" si="831"/>
        <v/>
      </c>
      <c r="CZ1414" s="1"/>
      <c r="DC1414" s="307"/>
      <c r="DE1414" s="307"/>
    </row>
    <row r="1415">
      <c r="A1415" s="1"/>
      <c r="B1415" s="1"/>
      <c r="C1415" s="76"/>
      <c r="D1415" s="76"/>
      <c r="E1415" s="76"/>
      <c r="F1415" s="76"/>
      <c r="G1415" s="79"/>
      <c r="H1415" s="80"/>
      <c r="I1415" s="79"/>
      <c r="J1415" s="80"/>
      <c r="K1415" s="79"/>
      <c r="L1415" s="142"/>
      <c r="M1415" s="1"/>
      <c r="N1415" s="142"/>
      <c r="O1415" s="1"/>
      <c r="P1415" s="142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79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R1415" s="1"/>
      <c r="CS1415" s="1"/>
      <c r="CT1415" s="1"/>
      <c r="CU1415" s="1"/>
      <c r="CV1415" s="1"/>
      <c r="CW1415" s="1"/>
      <c r="CX1415" s="1"/>
      <c r="CY1415" s="91" t="str">
        <f t="shared" si="831"/>
        <v/>
      </c>
      <c r="CZ1415" s="1"/>
      <c r="DC1415" s="307"/>
      <c r="DE1415" s="307"/>
    </row>
    <row r="1416">
      <c r="A1416" s="1"/>
      <c r="B1416" s="1"/>
      <c r="C1416" s="76"/>
      <c r="D1416" s="76"/>
      <c r="E1416" s="76"/>
      <c r="F1416" s="76"/>
      <c r="G1416" s="79"/>
      <c r="H1416" s="80"/>
      <c r="I1416" s="79"/>
      <c r="J1416" s="80"/>
      <c r="K1416" s="79"/>
      <c r="L1416" s="142"/>
      <c r="M1416" s="1"/>
      <c r="N1416" s="142"/>
      <c r="O1416" s="1"/>
      <c r="P1416" s="142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79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R1416" s="1"/>
      <c r="CS1416" s="1"/>
      <c r="CT1416" s="1"/>
      <c r="CU1416" s="1"/>
      <c r="CV1416" s="1"/>
      <c r="CW1416" s="1"/>
      <c r="CX1416" s="1"/>
      <c r="CY1416" s="91" t="str">
        <f t="shared" si="831"/>
        <v/>
      </c>
      <c r="CZ1416" s="1"/>
      <c r="DC1416" s="307"/>
      <c r="DE1416" s="307"/>
    </row>
    <row r="1417">
      <c r="A1417" s="1"/>
      <c r="B1417" s="1"/>
      <c r="C1417" s="76"/>
      <c r="D1417" s="76"/>
      <c r="E1417" s="76"/>
      <c r="F1417" s="76"/>
      <c r="G1417" s="79"/>
      <c r="H1417" s="80"/>
      <c r="I1417" s="79"/>
      <c r="J1417" s="80"/>
      <c r="K1417" s="79"/>
      <c r="L1417" s="142"/>
      <c r="M1417" s="1"/>
      <c r="N1417" s="142"/>
      <c r="O1417" s="1"/>
      <c r="P1417" s="142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79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R1417" s="1"/>
      <c r="CS1417" s="1"/>
      <c r="CT1417" s="1"/>
      <c r="CU1417" s="1"/>
      <c r="CV1417" s="1"/>
      <c r="CW1417" s="1"/>
      <c r="CX1417" s="1"/>
      <c r="CY1417" s="91" t="str">
        <f t="shared" si="831"/>
        <v/>
      </c>
      <c r="CZ1417" s="1"/>
      <c r="DC1417" s="307"/>
      <c r="DE1417" s="307"/>
    </row>
    <row r="1418">
      <c r="A1418" s="1"/>
      <c r="B1418" s="1"/>
      <c r="C1418" s="76"/>
      <c r="D1418" s="76"/>
      <c r="E1418" s="76"/>
      <c r="F1418" s="76"/>
      <c r="G1418" s="79"/>
      <c r="H1418" s="80"/>
      <c r="I1418" s="79"/>
      <c r="J1418" s="80"/>
      <c r="K1418" s="79"/>
      <c r="L1418" s="142"/>
      <c r="M1418" s="1"/>
      <c r="N1418" s="142"/>
      <c r="O1418" s="1"/>
      <c r="P1418" s="142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79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R1418" s="1"/>
      <c r="CS1418" s="1"/>
      <c r="CT1418" s="1"/>
      <c r="CU1418" s="1"/>
      <c r="CV1418" s="1"/>
      <c r="CW1418" s="1"/>
      <c r="CX1418" s="1"/>
      <c r="CY1418" s="91" t="str">
        <f t="shared" si="831"/>
        <v/>
      </c>
      <c r="CZ1418" s="1"/>
      <c r="DC1418" s="307"/>
      <c r="DE1418" s="307"/>
    </row>
    <row r="1419">
      <c r="A1419" s="1"/>
      <c r="B1419" s="1"/>
      <c r="C1419" s="76"/>
      <c r="D1419" s="76"/>
      <c r="E1419" s="76"/>
      <c r="F1419" s="76"/>
      <c r="G1419" s="79"/>
      <c r="H1419" s="80"/>
      <c r="I1419" s="79"/>
      <c r="J1419" s="80"/>
      <c r="K1419" s="79"/>
      <c r="L1419" s="142"/>
      <c r="M1419" s="1"/>
      <c r="N1419" s="142"/>
      <c r="O1419" s="1"/>
      <c r="P1419" s="142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79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R1419" s="1"/>
      <c r="CS1419" s="1"/>
      <c r="CT1419" s="1"/>
      <c r="CU1419" s="1"/>
      <c r="CV1419" s="1"/>
      <c r="CW1419" s="1"/>
      <c r="CX1419" s="1"/>
      <c r="CY1419" s="91" t="str">
        <f t="shared" si="831"/>
        <v/>
      </c>
      <c r="CZ1419" s="1"/>
      <c r="DC1419" s="307"/>
      <c r="DE1419" s="307"/>
    </row>
    <row r="1420">
      <c r="A1420" s="1"/>
      <c r="B1420" s="1"/>
      <c r="C1420" s="76"/>
      <c r="D1420" s="76"/>
      <c r="E1420" s="76"/>
      <c r="F1420" s="76"/>
      <c r="G1420" s="79"/>
      <c r="H1420" s="80"/>
      <c r="I1420" s="79"/>
      <c r="J1420" s="80"/>
      <c r="K1420" s="79"/>
      <c r="L1420" s="142"/>
      <c r="M1420" s="1"/>
      <c r="N1420" s="142"/>
      <c r="O1420" s="1"/>
      <c r="P1420" s="142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79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R1420" s="1"/>
      <c r="CS1420" s="1"/>
      <c r="CT1420" s="1"/>
      <c r="CU1420" s="1"/>
      <c r="CV1420" s="1"/>
      <c r="CW1420" s="1"/>
      <c r="CX1420" s="1"/>
      <c r="CY1420" s="91" t="str">
        <f t="shared" si="831"/>
        <v/>
      </c>
      <c r="CZ1420" s="1"/>
      <c r="DC1420" s="307"/>
      <c r="DE1420" s="307"/>
    </row>
    <row r="1421">
      <c r="A1421" s="1"/>
      <c r="B1421" s="1"/>
      <c r="C1421" s="76"/>
      <c r="D1421" s="76"/>
      <c r="E1421" s="76"/>
      <c r="F1421" s="76"/>
      <c r="G1421" s="79"/>
      <c r="H1421" s="80"/>
      <c r="I1421" s="79"/>
      <c r="J1421" s="80"/>
      <c r="K1421" s="79"/>
      <c r="L1421" s="142"/>
      <c r="M1421" s="1"/>
      <c r="N1421" s="142"/>
      <c r="O1421" s="1"/>
      <c r="P1421" s="142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79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R1421" s="1"/>
      <c r="CS1421" s="1"/>
      <c r="CT1421" s="1"/>
      <c r="CU1421" s="1"/>
      <c r="CV1421" s="1"/>
      <c r="CW1421" s="1"/>
      <c r="CX1421" s="1"/>
      <c r="CY1421" s="91" t="str">
        <f t="shared" si="831"/>
        <v/>
      </c>
      <c r="CZ1421" s="1"/>
      <c r="DC1421" s="307"/>
      <c r="DE1421" s="307"/>
    </row>
    <row r="1422">
      <c r="A1422" s="1"/>
      <c r="B1422" s="1"/>
      <c r="C1422" s="76"/>
      <c r="D1422" s="76"/>
      <c r="E1422" s="76"/>
      <c r="F1422" s="76"/>
      <c r="G1422" s="79"/>
      <c r="H1422" s="80"/>
      <c r="I1422" s="79"/>
      <c r="J1422" s="80"/>
      <c r="K1422" s="79"/>
      <c r="L1422" s="142"/>
      <c r="M1422" s="1"/>
      <c r="N1422" s="142"/>
      <c r="O1422" s="1"/>
      <c r="P1422" s="142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79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R1422" s="1"/>
      <c r="CS1422" s="1"/>
      <c r="CT1422" s="1"/>
      <c r="CU1422" s="1"/>
      <c r="CV1422" s="1"/>
      <c r="CW1422" s="1"/>
      <c r="CX1422" s="1"/>
      <c r="CY1422" s="91" t="str">
        <f t="shared" si="831"/>
        <v/>
      </c>
      <c r="CZ1422" s="1"/>
      <c r="DC1422" s="307"/>
      <c r="DE1422" s="307"/>
    </row>
    <row r="1423">
      <c r="A1423" s="1"/>
      <c r="B1423" s="1"/>
      <c r="C1423" s="76"/>
      <c r="D1423" s="76"/>
      <c r="E1423" s="76"/>
      <c r="F1423" s="76"/>
      <c r="G1423" s="79"/>
      <c r="H1423" s="80"/>
      <c r="I1423" s="79"/>
      <c r="J1423" s="80"/>
      <c r="K1423" s="79"/>
      <c r="L1423" s="142"/>
      <c r="M1423" s="1"/>
      <c r="N1423" s="142"/>
      <c r="O1423" s="1"/>
      <c r="P1423" s="142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79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R1423" s="1"/>
      <c r="CS1423" s="1"/>
      <c r="CT1423" s="1"/>
      <c r="CU1423" s="1"/>
      <c r="CV1423" s="1"/>
      <c r="CW1423" s="1"/>
      <c r="CX1423" s="1"/>
      <c r="CY1423" s="91" t="str">
        <f t="shared" si="831"/>
        <v/>
      </c>
      <c r="CZ1423" s="1"/>
      <c r="DC1423" s="307"/>
      <c r="DE1423" s="307"/>
    </row>
    <row r="1424">
      <c r="A1424" s="1"/>
      <c r="B1424" s="1"/>
      <c r="C1424" s="76"/>
      <c r="D1424" s="76"/>
      <c r="E1424" s="76"/>
      <c r="F1424" s="76"/>
      <c r="G1424" s="79"/>
      <c r="H1424" s="80"/>
      <c r="I1424" s="79"/>
      <c r="J1424" s="80"/>
      <c r="K1424" s="79"/>
      <c r="L1424" s="142"/>
      <c r="M1424" s="1"/>
      <c r="N1424" s="142"/>
      <c r="O1424" s="1"/>
      <c r="P1424" s="142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79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R1424" s="1"/>
      <c r="CS1424" s="1"/>
      <c r="CT1424" s="1"/>
      <c r="CU1424" s="1"/>
      <c r="CV1424" s="1"/>
      <c r="CW1424" s="1"/>
      <c r="CX1424" s="1"/>
      <c r="CY1424" s="91" t="str">
        <f t="shared" si="831"/>
        <v/>
      </c>
      <c r="CZ1424" s="1"/>
      <c r="DC1424" s="307"/>
      <c r="DE1424" s="307"/>
    </row>
    <row r="1425">
      <c r="A1425" s="1"/>
      <c r="B1425" s="1"/>
      <c r="C1425" s="76"/>
      <c r="D1425" s="76"/>
      <c r="E1425" s="76"/>
      <c r="F1425" s="76"/>
      <c r="G1425" s="79"/>
      <c r="H1425" s="80"/>
      <c r="I1425" s="79"/>
      <c r="J1425" s="80"/>
      <c r="K1425" s="79"/>
      <c r="L1425" s="142"/>
      <c r="M1425" s="1"/>
      <c r="N1425" s="142"/>
      <c r="O1425" s="1"/>
      <c r="P1425" s="142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79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R1425" s="1"/>
      <c r="CS1425" s="1"/>
      <c r="CT1425" s="1"/>
      <c r="CU1425" s="1"/>
      <c r="CV1425" s="1"/>
      <c r="CW1425" s="1"/>
      <c r="CX1425" s="1"/>
      <c r="CY1425" s="91" t="str">
        <f t="shared" si="831"/>
        <v/>
      </c>
      <c r="CZ1425" s="1"/>
      <c r="DC1425" s="307"/>
      <c r="DE1425" s="307"/>
    </row>
    <row r="1426">
      <c r="A1426" s="1"/>
      <c r="B1426" s="1"/>
      <c r="C1426" s="76"/>
      <c r="D1426" s="76"/>
      <c r="E1426" s="76"/>
      <c r="F1426" s="76"/>
      <c r="G1426" s="79"/>
      <c r="H1426" s="80"/>
      <c r="I1426" s="79"/>
      <c r="J1426" s="80"/>
      <c r="K1426" s="79"/>
      <c r="L1426" s="142"/>
      <c r="M1426" s="1"/>
      <c r="N1426" s="142"/>
      <c r="O1426" s="1"/>
      <c r="P1426" s="142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79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R1426" s="1"/>
      <c r="CS1426" s="1"/>
      <c r="CT1426" s="1"/>
      <c r="CU1426" s="1"/>
      <c r="CV1426" s="1"/>
      <c r="CW1426" s="1"/>
      <c r="CX1426" s="1"/>
      <c r="CY1426" s="91" t="str">
        <f t="shared" si="831"/>
        <v/>
      </c>
      <c r="CZ1426" s="1"/>
      <c r="DC1426" s="307"/>
      <c r="DE1426" s="307"/>
    </row>
    <row r="1427">
      <c r="A1427" s="1"/>
      <c r="B1427" s="1"/>
      <c r="C1427" s="76"/>
      <c r="D1427" s="76"/>
      <c r="E1427" s="76"/>
      <c r="F1427" s="76"/>
      <c r="G1427" s="79"/>
      <c r="H1427" s="80"/>
      <c r="I1427" s="79"/>
      <c r="J1427" s="80"/>
      <c r="K1427" s="79"/>
      <c r="L1427" s="142"/>
      <c r="M1427" s="1"/>
      <c r="N1427" s="142"/>
      <c r="O1427" s="1"/>
      <c r="P1427" s="142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79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R1427" s="1"/>
      <c r="CS1427" s="1"/>
      <c r="CT1427" s="1"/>
      <c r="CU1427" s="1"/>
      <c r="CV1427" s="1"/>
      <c r="CW1427" s="1"/>
      <c r="CX1427" s="1"/>
      <c r="CY1427" s="91" t="str">
        <f t="shared" si="831"/>
        <v/>
      </c>
      <c r="CZ1427" s="1"/>
      <c r="DC1427" s="307"/>
      <c r="DE1427" s="307"/>
    </row>
    <row r="1428">
      <c r="A1428" s="1"/>
      <c r="B1428" s="1"/>
      <c r="C1428" s="76"/>
      <c r="D1428" s="76"/>
      <c r="E1428" s="76"/>
      <c r="F1428" s="76"/>
      <c r="G1428" s="79"/>
      <c r="H1428" s="80"/>
      <c r="I1428" s="79"/>
      <c r="J1428" s="80"/>
      <c r="K1428" s="79"/>
      <c r="L1428" s="142"/>
      <c r="M1428" s="1"/>
      <c r="N1428" s="142"/>
      <c r="O1428" s="1"/>
      <c r="P1428" s="142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79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R1428" s="1"/>
      <c r="CS1428" s="1"/>
      <c r="CT1428" s="1"/>
      <c r="CU1428" s="1"/>
      <c r="CV1428" s="1"/>
      <c r="CW1428" s="1"/>
      <c r="CX1428" s="1"/>
      <c r="CY1428" s="91" t="str">
        <f t="shared" si="831"/>
        <v/>
      </c>
      <c r="CZ1428" s="1"/>
      <c r="DC1428" s="307"/>
      <c r="DE1428" s="307"/>
    </row>
    <row r="1429">
      <c r="A1429" s="1"/>
      <c r="B1429" s="1"/>
      <c r="C1429" s="76"/>
      <c r="D1429" s="76"/>
      <c r="E1429" s="76"/>
      <c r="F1429" s="76"/>
      <c r="G1429" s="79"/>
      <c r="H1429" s="80"/>
      <c r="I1429" s="79"/>
      <c r="J1429" s="80"/>
      <c r="K1429" s="79"/>
      <c r="L1429" s="142"/>
      <c r="M1429" s="1"/>
      <c r="N1429" s="142"/>
      <c r="O1429" s="1"/>
      <c r="P1429" s="142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79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R1429" s="1"/>
      <c r="CS1429" s="1"/>
      <c r="CT1429" s="1"/>
      <c r="CU1429" s="1"/>
      <c r="CV1429" s="1"/>
      <c r="CW1429" s="1"/>
      <c r="CX1429" s="1"/>
      <c r="CY1429" s="91" t="str">
        <f t="shared" si="831"/>
        <v/>
      </c>
      <c r="CZ1429" s="1"/>
      <c r="DC1429" s="307"/>
      <c r="DE1429" s="307"/>
    </row>
    <row r="1430">
      <c r="A1430" s="1"/>
      <c r="B1430" s="1"/>
      <c r="C1430" s="76"/>
      <c r="D1430" s="76"/>
      <c r="E1430" s="76"/>
      <c r="F1430" s="76"/>
      <c r="G1430" s="79"/>
      <c r="H1430" s="80"/>
      <c r="I1430" s="79"/>
      <c r="J1430" s="80"/>
      <c r="K1430" s="79"/>
      <c r="L1430" s="142"/>
      <c r="M1430" s="1"/>
      <c r="N1430" s="142"/>
      <c r="O1430" s="1"/>
      <c r="P1430" s="142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79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R1430" s="1"/>
      <c r="CS1430" s="1"/>
      <c r="CT1430" s="1"/>
      <c r="CU1430" s="1"/>
      <c r="CV1430" s="1"/>
      <c r="CW1430" s="1"/>
      <c r="CX1430" s="1"/>
      <c r="CY1430" s="91" t="str">
        <f t="shared" si="831"/>
        <v/>
      </c>
      <c r="CZ1430" s="1"/>
      <c r="DC1430" s="307"/>
      <c r="DE1430" s="307"/>
    </row>
    <row r="1431">
      <c r="A1431" s="1"/>
      <c r="B1431" s="1"/>
      <c r="C1431" s="76"/>
      <c r="D1431" s="76"/>
      <c r="E1431" s="76"/>
      <c r="F1431" s="76"/>
      <c r="G1431" s="79"/>
      <c r="H1431" s="80"/>
      <c r="I1431" s="79"/>
      <c r="J1431" s="80"/>
      <c r="K1431" s="79"/>
      <c r="L1431" s="142"/>
      <c r="M1431" s="1"/>
      <c r="N1431" s="142"/>
      <c r="O1431" s="1"/>
      <c r="P1431" s="142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79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R1431" s="1"/>
      <c r="CS1431" s="1"/>
      <c r="CT1431" s="1"/>
      <c r="CU1431" s="1"/>
      <c r="CV1431" s="1"/>
      <c r="CW1431" s="1"/>
      <c r="CX1431" s="1"/>
      <c r="CY1431" s="91" t="str">
        <f t="shared" si="831"/>
        <v/>
      </c>
      <c r="CZ1431" s="1"/>
      <c r="DC1431" s="307"/>
      <c r="DE1431" s="307"/>
    </row>
    <row r="1432">
      <c r="A1432" s="1"/>
      <c r="B1432" s="1"/>
      <c r="C1432" s="76"/>
      <c r="D1432" s="76"/>
      <c r="E1432" s="76"/>
      <c r="F1432" s="76"/>
      <c r="G1432" s="79"/>
      <c r="H1432" s="80"/>
      <c r="I1432" s="79"/>
      <c r="J1432" s="80"/>
      <c r="K1432" s="79"/>
      <c r="L1432" s="142"/>
      <c r="M1432" s="1"/>
      <c r="N1432" s="142"/>
      <c r="O1432" s="1"/>
      <c r="P1432" s="142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79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R1432" s="1"/>
      <c r="CS1432" s="1"/>
      <c r="CT1432" s="1"/>
      <c r="CU1432" s="1"/>
      <c r="CV1432" s="1"/>
      <c r="CW1432" s="1"/>
      <c r="CX1432" s="1"/>
      <c r="CY1432" s="91" t="str">
        <f t="shared" si="831"/>
        <v/>
      </c>
      <c r="CZ1432" s="1"/>
      <c r="DC1432" s="307"/>
      <c r="DE1432" s="307"/>
    </row>
    <row r="1433">
      <c r="A1433" s="1"/>
      <c r="B1433" s="1"/>
      <c r="C1433" s="76"/>
      <c r="D1433" s="76"/>
      <c r="E1433" s="76"/>
      <c r="F1433" s="76"/>
      <c r="G1433" s="79"/>
      <c r="H1433" s="80"/>
      <c r="I1433" s="79"/>
      <c r="J1433" s="80"/>
      <c r="K1433" s="79"/>
      <c r="L1433" s="142"/>
      <c r="M1433" s="1"/>
      <c r="N1433" s="142"/>
      <c r="O1433" s="1"/>
      <c r="P1433" s="142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79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R1433" s="1"/>
      <c r="CS1433" s="1"/>
      <c r="CT1433" s="1"/>
      <c r="CU1433" s="1"/>
      <c r="CV1433" s="1"/>
      <c r="CW1433" s="1"/>
      <c r="CX1433" s="1"/>
      <c r="CY1433" s="91" t="str">
        <f t="shared" si="831"/>
        <v/>
      </c>
      <c r="CZ1433" s="1"/>
      <c r="DC1433" s="307"/>
      <c r="DE1433" s="307"/>
    </row>
    <row r="1434">
      <c r="A1434" s="1"/>
      <c r="B1434" s="1"/>
      <c r="C1434" s="76"/>
      <c r="D1434" s="76"/>
      <c r="E1434" s="76"/>
      <c r="F1434" s="76"/>
      <c r="G1434" s="79"/>
      <c r="H1434" s="80"/>
      <c r="I1434" s="79"/>
      <c r="J1434" s="80"/>
      <c r="K1434" s="79"/>
      <c r="L1434" s="142"/>
      <c r="M1434" s="1"/>
      <c r="N1434" s="142"/>
      <c r="O1434" s="1"/>
      <c r="P1434" s="142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79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R1434" s="1"/>
      <c r="CS1434" s="1"/>
      <c r="CT1434" s="1"/>
      <c r="CU1434" s="1"/>
      <c r="CV1434" s="1"/>
      <c r="CW1434" s="1"/>
      <c r="CX1434" s="1"/>
      <c r="CY1434" s="91" t="str">
        <f t="shared" si="831"/>
        <v/>
      </c>
      <c r="CZ1434" s="1"/>
      <c r="DC1434" s="307"/>
      <c r="DE1434" s="307"/>
    </row>
    <row r="1435">
      <c r="A1435" s="1"/>
      <c r="B1435" s="1"/>
      <c r="C1435" s="76"/>
      <c r="D1435" s="76"/>
      <c r="E1435" s="76"/>
      <c r="F1435" s="76"/>
      <c r="G1435" s="79"/>
      <c r="H1435" s="80"/>
      <c r="I1435" s="79"/>
      <c r="J1435" s="80"/>
      <c r="K1435" s="79"/>
      <c r="L1435" s="142"/>
      <c r="M1435" s="1"/>
      <c r="N1435" s="142"/>
      <c r="O1435" s="1"/>
      <c r="P1435" s="142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79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R1435" s="1"/>
      <c r="CS1435" s="1"/>
      <c r="CT1435" s="1"/>
      <c r="CU1435" s="1"/>
      <c r="CV1435" s="1"/>
      <c r="CW1435" s="1"/>
      <c r="CX1435" s="1"/>
      <c r="CY1435" s="91" t="str">
        <f t="shared" si="831"/>
        <v/>
      </c>
      <c r="CZ1435" s="1"/>
      <c r="DC1435" s="307"/>
      <c r="DE1435" s="307"/>
    </row>
    <row r="1436">
      <c r="A1436" s="1"/>
      <c r="B1436" s="1"/>
      <c r="C1436" s="76"/>
      <c r="D1436" s="76"/>
      <c r="E1436" s="76"/>
      <c r="F1436" s="76"/>
      <c r="G1436" s="79"/>
      <c r="H1436" s="80"/>
      <c r="I1436" s="79"/>
      <c r="J1436" s="80"/>
      <c r="K1436" s="79"/>
      <c r="L1436" s="142"/>
      <c r="M1436" s="1"/>
      <c r="N1436" s="142"/>
      <c r="O1436" s="1"/>
      <c r="P1436" s="142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79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R1436" s="1"/>
      <c r="CS1436" s="1"/>
      <c r="CT1436" s="1"/>
      <c r="CU1436" s="1"/>
      <c r="CV1436" s="1"/>
      <c r="CW1436" s="1"/>
      <c r="CX1436" s="1"/>
      <c r="CY1436" s="91" t="str">
        <f t="shared" si="831"/>
        <v/>
      </c>
      <c r="CZ1436" s="1"/>
      <c r="DC1436" s="307"/>
      <c r="DE1436" s="307"/>
    </row>
    <row r="1437">
      <c r="A1437" s="1"/>
      <c r="B1437" s="1"/>
      <c r="C1437" s="76"/>
      <c r="D1437" s="76"/>
      <c r="E1437" s="76"/>
      <c r="F1437" s="76"/>
      <c r="G1437" s="79"/>
      <c r="H1437" s="80"/>
      <c r="I1437" s="79"/>
      <c r="J1437" s="80"/>
      <c r="K1437" s="79"/>
      <c r="L1437" s="142"/>
      <c r="M1437" s="1"/>
      <c r="N1437" s="142"/>
      <c r="O1437" s="1"/>
      <c r="P1437" s="142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79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R1437" s="1"/>
      <c r="CS1437" s="1"/>
      <c r="CT1437" s="1"/>
      <c r="CU1437" s="1"/>
      <c r="CV1437" s="1"/>
      <c r="CW1437" s="1"/>
      <c r="CX1437" s="1"/>
      <c r="CY1437" s="91" t="str">
        <f t="shared" si="831"/>
        <v/>
      </c>
      <c r="CZ1437" s="1"/>
      <c r="DC1437" s="307"/>
      <c r="DE1437" s="307"/>
    </row>
    <row r="1438">
      <c r="A1438" s="1"/>
      <c r="B1438" s="1"/>
      <c r="C1438" s="76"/>
      <c r="D1438" s="76"/>
      <c r="E1438" s="76"/>
      <c r="F1438" s="76"/>
      <c r="G1438" s="79"/>
      <c r="H1438" s="80"/>
      <c r="I1438" s="79"/>
      <c r="J1438" s="80"/>
      <c r="K1438" s="79"/>
      <c r="L1438" s="142"/>
      <c r="M1438" s="1"/>
      <c r="N1438" s="142"/>
      <c r="O1438" s="1"/>
      <c r="P1438" s="142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79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R1438" s="1"/>
      <c r="CS1438" s="1"/>
      <c r="CT1438" s="1"/>
      <c r="CU1438" s="1"/>
      <c r="CV1438" s="1"/>
      <c r="CW1438" s="1"/>
      <c r="CX1438" s="1"/>
      <c r="CY1438" s="91" t="str">
        <f t="shared" si="831"/>
        <v/>
      </c>
      <c r="CZ1438" s="1"/>
      <c r="DC1438" s="307"/>
      <c r="DE1438" s="307"/>
    </row>
    <row r="1439">
      <c r="A1439" s="1"/>
      <c r="B1439" s="1"/>
      <c r="C1439" s="76"/>
      <c r="D1439" s="76"/>
      <c r="E1439" s="76"/>
      <c r="F1439" s="76"/>
      <c r="G1439" s="79"/>
      <c r="H1439" s="80"/>
      <c r="I1439" s="79"/>
      <c r="J1439" s="80"/>
      <c r="K1439" s="79"/>
      <c r="L1439" s="142"/>
      <c r="M1439" s="1"/>
      <c r="N1439" s="142"/>
      <c r="O1439" s="1"/>
      <c r="P1439" s="142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79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R1439" s="1"/>
      <c r="CS1439" s="1"/>
      <c r="CT1439" s="1"/>
      <c r="CU1439" s="1"/>
      <c r="CV1439" s="1"/>
      <c r="CW1439" s="1"/>
      <c r="CX1439" s="1"/>
      <c r="CY1439" s="91" t="str">
        <f t="shared" si="831"/>
        <v/>
      </c>
      <c r="CZ1439" s="1"/>
      <c r="DC1439" s="307"/>
      <c r="DE1439" s="307"/>
    </row>
    <row r="1440">
      <c r="A1440" s="1"/>
      <c r="B1440" s="1"/>
      <c r="C1440" s="76"/>
      <c r="D1440" s="76"/>
      <c r="E1440" s="76"/>
      <c r="F1440" s="76"/>
      <c r="G1440" s="79"/>
      <c r="H1440" s="80"/>
      <c r="I1440" s="79"/>
      <c r="J1440" s="80"/>
      <c r="K1440" s="79"/>
      <c r="L1440" s="142"/>
      <c r="M1440" s="1"/>
      <c r="N1440" s="142"/>
      <c r="O1440" s="1"/>
      <c r="P1440" s="142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79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R1440" s="1"/>
      <c r="CS1440" s="1"/>
      <c r="CT1440" s="1"/>
      <c r="CU1440" s="1"/>
      <c r="CV1440" s="1"/>
      <c r="CW1440" s="1"/>
      <c r="CX1440" s="1"/>
      <c r="CY1440" s="91" t="str">
        <f t="shared" si="831"/>
        <v/>
      </c>
      <c r="CZ1440" s="1"/>
      <c r="DC1440" s="307"/>
      <c r="DE1440" s="307"/>
    </row>
    <row r="1441">
      <c r="A1441" s="1"/>
      <c r="B1441" s="1"/>
      <c r="C1441" s="76"/>
      <c r="D1441" s="76"/>
      <c r="E1441" s="76"/>
      <c r="F1441" s="76"/>
      <c r="G1441" s="79"/>
      <c r="H1441" s="80"/>
      <c r="I1441" s="79"/>
      <c r="J1441" s="80"/>
      <c r="K1441" s="79"/>
      <c r="L1441" s="142"/>
      <c r="M1441" s="1"/>
      <c r="N1441" s="142"/>
      <c r="O1441" s="1"/>
      <c r="P1441" s="142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79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R1441" s="1"/>
      <c r="CS1441" s="1"/>
      <c r="CT1441" s="1"/>
      <c r="CU1441" s="1"/>
      <c r="CV1441" s="1"/>
      <c r="CW1441" s="1"/>
      <c r="CX1441" s="1"/>
      <c r="CY1441" s="91" t="str">
        <f t="shared" si="831"/>
        <v/>
      </c>
      <c r="CZ1441" s="1"/>
      <c r="DC1441" s="307"/>
      <c r="DE1441" s="307"/>
    </row>
    <row r="1442">
      <c r="A1442" s="1"/>
      <c r="B1442" s="1"/>
      <c r="C1442" s="76"/>
      <c r="D1442" s="76"/>
      <c r="E1442" s="76"/>
      <c r="F1442" s="76"/>
      <c r="G1442" s="79"/>
      <c r="H1442" s="80"/>
      <c r="I1442" s="79"/>
      <c r="J1442" s="80"/>
      <c r="K1442" s="79"/>
      <c r="L1442" s="142"/>
      <c r="M1442" s="1"/>
      <c r="N1442" s="142"/>
      <c r="O1442" s="1"/>
      <c r="P1442" s="142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79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R1442" s="1"/>
      <c r="CS1442" s="1"/>
      <c r="CT1442" s="1"/>
      <c r="CU1442" s="1"/>
      <c r="CV1442" s="1"/>
      <c r="CW1442" s="1"/>
      <c r="CX1442" s="1"/>
      <c r="CY1442" s="91" t="str">
        <f t="shared" si="831"/>
        <v/>
      </c>
      <c r="CZ1442" s="1"/>
      <c r="DC1442" s="307"/>
      <c r="DE1442" s="307"/>
    </row>
    <row r="1443">
      <c r="A1443" s="1"/>
      <c r="B1443" s="1"/>
      <c r="C1443" s="76"/>
      <c r="D1443" s="76"/>
      <c r="E1443" s="76"/>
      <c r="F1443" s="76"/>
      <c r="G1443" s="79"/>
      <c r="H1443" s="80"/>
      <c r="I1443" s="79"/>
      <c r="J1443" s="80"/>
      <c r="K1443" s="79"/>
      <c r="L1443" s="142"/>
      <c r="M1443" s="1"/>
      <c r="N1443" s="142"/>
      <c r="O1443" s="1"/>
      <c r="P1443" s="142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79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R1443" s="1"/>
      <c r="CS1443" s="1"/>
      <c r="CT1443" s="1"/>
      <c r="CU1443" s="1"/>
      <c r="CV1443" s="1"/>
      <c r="CW1443" s="1"/>
      <c r="CX1443" s="1"/>
      <c r="CY1443" s="91" t="str">
        <f t="shared" si="831"/>
        <v/>
      </c>
      <c r="CZ1443" s="1"/>
      <c r="DC1443" s="307"/>
      <c r="DE1443" s="307"/>
    </row>
    <row r="1444">
      <c r="A1444" s="1"/>
      <c r="B1444" s="1"/>
      <c r="C1444" s="76"/>
      <c r="D1444" s="76"/>
      <c r="E1444" s="76"/>
      <c r="F1444" s="76"/>
      <c r="G1444" s="79"/>
      <c r="H1444" s="80"/>
      <c r="I1444" s="79"/>
      <c r="J1444" s="80"/>
      <c r="K1444" s="79"/>
      <c r="L1444" s="142"/>
      <c r="M1444" s="1"/>
      <c r="N1444" s="142"/>
      <c r="O1444" s="1"/>
      <c r="P1444" s="142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79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R1444" s="1"/>
      <c r="CS1444" s="1"/>
      <c r="CT1444" s="1"/>
      <c r="CU1444" s="1"/>
      <c r="CV1444" s="1"/>
      <c r="CW1444" s="1"/>
      <c r="CX1444" s="1"/>
      <c r="CY1444" s="91" t="str">
        <f t="shared" si="831"/>
        <v/>
      </c>
      <c r="CZ1444" s="1"/>
      <c r="DC1444" s="307"/>
      <c r="DE1444" s="307"/>
    </row>
    <row r="1445">
      <c r="A1445" s="1"/>
      <c r="B1445" s="1"/>
      <c r="C1445" s="76"/>
      <c r="D1445" s="76"/>
      <c r="E1445" s="76"/>
      <c r="F1445" s="76"/>
      <c r="G1445" s="79"/>
      <c r="H1445" s="80"/>
      <c r="I1445" s="79"/>
      <c r="J1445" s="80"/>
      <c r="K1445" s="79"/>
      <c r="L1445" s="142"/>
      <c r="M1445" s="1"/>
      <c r="N1445" s="142"/>
      <c r="O1445" s="1"/>
      <c r="P1445" s="142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79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R1445" s="1"/>
      <c r="CS1445" s="1"/>
      <c r="CT1445" s="1"/>
      <c r="CU1445" s="1"/>
      <c r="CV1445" s="1"/>
      <c r="CW1445" s="1"/>
      <c r="CX1445" s="1"/>
      <c r="CY1445" s="91" t="str">
        <f t="shared" si="831"/>
        <v/>
      </c>
      <c r="CZ1445" s="1"/>
      <c r="DC1445" s="307"/>
      <c r="DE1445" s="307"/>
    </row>
    <row r="1446">
      <c r="A1446" s="1"/>
      <c r="B1446" s="1"/>
      <c r="C1446" s="76"/>
      <c r="D1446" s="76"/>
      <c r="E1446" s="76"/>
      <c r="F1446" s="76"/>
      <c r="G1446" s="79"/>
      <c r="H1446" s="80"/>
      <c r="I1446" s="79"/>
      <c r="J1446" s="80"/>
      <c r="K1446" s="79"/>
      <c r="L1446" s="142"/>
      <c r="M1446" s="1"/>
      <c r="N1446" s="142"/>
      <c r="O1446" s="1"/>
      <c r="P1446" s="142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79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R1446" s="1"/>
      <c r="CS1446" s="1"/>
      <c r="CT1446" s="1"/>
      <c r="CU1446" s="1"/>
      <c r="CV1446" s="1"/>
      <c r="CW1446" s="1"/>
      <c r="CX1446" s="1"/>
      <c r="CY1446" s="91" t="str">
        <f t="shared" si="831"/>
        <v/>
      </c>
      <c r="CZ1446" s="1"/>
      <c r="DC1446" s="307"/>
      <c r="DE1446" s="307"/>
    </row>
    <row r="1447">
      <c r="A1447" s="1"/>
      <c r="B1447" s="1"/>
      <c r="C1447" s="76"/>
      <c r="D1447" s="76"/>
      <c r="E1447" s="76"/>
      <c r="F1447" s="76"/>
      <c r="G1447" s="79"/>
      <c r="H1447" s="80"/>
      <c r="I1447" s="79"/>
      <c r="J1447" s="80"/>
      <c r="K1447" s="79"/>
      <c r="L1447" s="142"/>
      <c r="M1447" s="1"/>
      <c r="N1447" s="142"/>
      <c r="O1447" s="1"/>
      <c r="P1447" s="142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79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R1447" s="1"/>
      <c r="CS1447" s="1"/>
      <c r="CT1447" s="1"/>
      <c r="CU1447" s="1"/>
      <c r="CV1447" s="1"/>
      <c r="CW1447" s="1"/>
      <c r="CX1447" s="1"/>
      <c r="CY1447" s="91" t="str">
        <f t="shared" si="831"/>
        <v/>
      </c>
      <c r="CZ1447" s="1"/>
      <c r="DC1447" s="307"/>
      <c r="DE1447" s="307"/>
    </row>
    <row r="1448">
      <c r="A1448" s="1"/>
      <c r="B1448" s="1"/>
      <c r="C1448" s="76"/>
      <c r="D1448" s="76"/>
      <c r="E1448" s="76"/>
      <c r="F1448" s="76"/>
      <c r="G1448" s="79"/>
      <c r="H1448" s="80"/>
      <c r="I1448" s="79"/>
      <c r="J1448" s="80"/>
      <c r="K1448" s="79"/>
      <c r="L1448" s="142"/>
      <c r="M1448" s="1"/>
      <c r="N1448" s="142"/>
      <c r="O1448" s="1"/>
      <c r="P1448" s="142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79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R1448" s="1"/>
      <c r="CS1448" s="1"/>
      <c r="CT1448" s="1"/>
      <c r="CU1448" s="1"/>
      <c r="CV1448" s="1"/>
      <c r="CW1448" s="1"/>
      <c r="CX1448" s="1"/>
      <c r="CY1448" s="91" t="str">
        <f t="shared" si="831"/>
        <v/>
      </c>
      <c r="CZ1448" s="1"/>
      <c r="DC1448" s="307"/>
      <c r="DE1448" s="307"/>
    </row>
    <row r="1449">
      <c r="A1449" s="1"/>
      <c r="B1449" s="1"/>
      <c r="C1449" s="76"/>
      <c r="D1449" s="76"/>
      <c r="E1449" s="76"/>
      <c r="F1449" s="76"/>
      <c r="G1449" s="79"/>
      <c r="H1449" s="80"/>
      <c r="I1449" s="79"/>
      <c r="J1449" s="80"/>
      <c r="K1449" s="79"/>
      <c r="L1449" s="142"/>
      <c r="M1449" s="1"/>
      <c r="N1449" s="142"/>
      <c r="O1449" s="1"/>
      <c r="P1449" s="142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79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R1449" s="1"/>
      <c r="CS1449" s="1"/>
      <c r="CT1449" s="1"/>
      <c r="CU1449" s="1"/>
      <c r="CV1449" s="1"/>
      <c r="CW1449" s="1"/>
      <c r="CX1449" s="1"/>
      <c r="CY1449" s="91" t="str">
        <f t="shared" si="831"/>
        <v/>
      </c>
      <c r="CZ1449" s="1"/>
      <c r="DC1449" s="307"/>
      <c r="DE1449" s="307"/>
    </row>
    <row r="1450">
      <c r="A1450" s="1"/>
      <c r="B1450" s="1"/>
      <c r="C1450" s="76"/>
      <c r="D1450" s="76"/>
      <c r="E1450" s="76"/>
      <c r="F1450" s="76"/>
      <c r="G1450" s="79"/>
      <c r="H1450" s="80"/>
      <c r="I1450" s="79"/>
      <c r="J1450" s="80"/>
      <c r="K1450" s="79"/>
      <c r="L1450" s="142"/>
      <c r="M1450" s="1"/>
      <c r="N1450" s="142"/>
      <c r="O1450" s="1"/>
      <c r="P1450" s="142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79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R1450" s="1"/>
      <c r="CS1450" s="1"/>
      <c r="CT1450" s="1"/>
      <c r="CU1450" s="1"/>
      <c r="CV1450" s="1"/>
      <c r="CW1450" s="1"/>
      <c r="CX1450" s="1"/>
      <c r="CY1450" s="91" t="str">
        <f t="shared" si="831"/>
        <v/>
      </c>
      <c r="CZ1450" s="1"/>
      <c r="DC1450" s="307"/>
      <c r="DE1450" s="307"/>
    </row>
    <row r="1451">
      <c r="A1451" s="1"/>
      <c r="B1451" s="1"/>
      <c r="C1451" s="76"/>
      <c r="D1451" s="76"/>
      <c r="E1451" s="76"/>
      <c r="F1451" s="76"/>
      <c r="G1451" s="79"/>
      <c r="H1451" s="80"/>
      <c r="I1451" s="79"/>
      <c r="J1451" s="80"/>
      <c r="K1451" s="79"/>
      <c r="L1451" s="142"/>
      <c r="M1451" s="1"/>
      <c r="N1451" s="142"/>
      <c r="O1451" s="1"/>
      <c r="P1451" s="142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79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R1451" s="1"/>
      <c r="CS1451" s="1"/>
      <c r="CT1451" s="1"/>
      <c r="CU1451" s="1"/>
      <c r="CV1451" s="1"/>
      <c r="CW1451" s="1"/>
      <c r="CX1451" s="1"/>
      <c r="CY1451" s="91" t="str">
        <f t="shared" si="831"/>
        <v/>
      </c>
      <c r="CZ1451" s="1"/>
      <c r="DC1451" s="307"/>
      <c r="DE1451" s="307"/>
    </row>
    <row r="1452">
      <c r="A1452" s="1"/>
      <c r="B1452" s="1"/>
      <c r="C1452" s="76"/>
      <c r="D1452" s="76"/>
      <c r="E1452" s="76"/>
      <c r="F1452" s="76"/>
      <c r="G1452" s="79"/>
      <c r="H1452" s="80"/>
      <c r="I1452" s="79"/>
      <c r="J1452" s="80"/>
      <c r="K1452" s="79"/>
      <c r="L1452" s="142"/>
      <c r="M1452" s="1"/>
      <c r="N1452" s="142"/>
      <c r="O1452" s="1"/>
      <c r="P1452" s="142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79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R1452" s="1"/>
      <c r="CS1452" s="1"/>
      <c r="CT1452" s="1"/>
      <c r="CU1452" s="1"/>
      <c r="CV1452" s="1"/>
      <c r="CW1452" s="1"/>
      <c r="CX1452" s="1"/>
      <c r="CY1452" s="91" t="str">
        <f t="shared" si="831"/>
        <v/>
      </c>
      <c r="CZ1452" s="1"/>
      <c r="DC1452" s="307"/>
      <c r="DE1452" s="307"/>
    </row>
    <row r="1453">
      <c r="A1453" s="1"/>
      <c r="B1453" s="1"/>
      <c r="C1453" s="76"/>
      <c r="D1453" s="76"/>
      <c r="E1453" s="76"/>
      <c r="F1453" s="76"/>
      <c r="G1453" s="79"/>
      <c r="H1453" s="80"/>
      <c r="I1453" s="79"/>
      <c r="J1453" s="80"/>
      <c r="K1453" s="79"/>
      <c r="L1453" s="142"/>
      <c r="M1453" s="1"/>
      <c r="N1453" s="142"/>
      <c r="O1453" s="1"/>
      <c r="P1453" s="142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79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R1453" s="1"/>
      <c r="CS1453" s="1"/>
      <c r="CT1453" s="1"/>
      <c r="CU1453" s="1"/>
      <c r="CV1453" s="1"/>
      <c r="CW1453" s="1"/>
      <c r="CX1453" s="1"/>
      <c r="CY1453" s="91" t="str">
        <f t="shared" si="831"/>
        <v/>
      </c>
      <c r="CZ1453" s="1"/>
      <c r="DC1453" s="307"/>
      <c r="DE1453" s="307"/>
    </row>
    <row r="1454">
      <c r="A1454" s="1"/>
      <c r="B1454" s="1"/>
      <c r="C1454" s="76"/>
      <c r="D1454" s="76"/>
      <c r="E1454" s="76"/>
      <c r="F1454" s="76"/>
      <c r="G1454" s="79"/>
      <c r="H1454" s="80"/>
      <c r="I1454" s="79"/>
      <c r="J1454" s="80"/>
      <c r="K1454" s="79"/>
      <c r="L1454" s="142"/>
      <c r="M1454" s="1"/>
      <c r="N1454" s="142"/>
      <c r="O1454" s="1"/>
      <c r="P1454" s="142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79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R1454" s="1"/>
      <c r="CS1454" s="1"/>
      <c r="CT1454" s="1"/>
      <c r="CU1454" s="1"/>
      <c r="CV1454" s="1"/>
      <c r="CW1454" s="1"/>
      <c r="CX1454" s="1"/>
      <c r="CY1454" s="91" t="str">
        <f t="shared" si="831"/>
        <v/>
      </c>
      <c r="CZ1454" s="1"/>
      <c r="DC1454" s="307"/>
      <c r="DE1454" s="307"/>
    </row>
    <row r="1455">
      <c r="A1455" s="1"/>
      <c r="B1455" s="1"/>
      <c r="C1455" s="76"/>
      <c r="D1455" s="76"/>
      <c r="E1455" s="76"/>
      <c r="F1455" s="76"/>
      <c r="G1455" s="79"/>
      <c r="H1455" s="80"/>
      <c r="I1455" s="79"/>
      <c r="J1455" s="80"/>
      <c r="K1455" s="79"/>
      <c r="L1455" s="142"/>
      <c r="M1455" s="1"/>
      <c r="N1455" s="142"/>
      <c r="O1455" s="1"/>
      <c r="P1455" s="142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79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R1455" s="1"/>
      <c r="CS1455" s="1"/>
      <c r="CT1455" s="1"/>
      <c r="CU1455" s="1"/>
      <c r="CV1455" s="1"/>
      <c r="CW1455" s="1"/>
      <c r="CX1455" s="1"/>
      <c r="CY1455" s="91" t="str">
        <f t="shared" si="831"/>
        <v/>
      </c>
      <c r="CZ1455" s="1"/>
      <c r="DC1455" s="307"/>
      <c r="DE1455" s="307"/>
    </row>
    <row r="1456">
      <c r="A1456" s="1"/>
      <c r="B1456" s="1"/>
      <c r="C1456" s="76"/>
      <c r="D1456" s="76"/>
      <c r="E1456" s="76"/>
      <c r="F1456" s="76"/>
      <c r="G1456" s="79"/>
      <c r="H1456" s="80"/>
      <c r="I1456" s="79"/>
      <c r="J1456" s="80"/>
      <c r="K1456" s="79"/>
      <c r="L1456" s="142"/>
      <c r="M1456" s="1"/>
      <c r="N1456" s="142"/>
      <c r="O1456" s="1"/>
      <c r="P1456" s="142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79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R1456" s="1"/>
      <c r="CS1456" s="1"/>
      <c r="CT1456" s="1"/>
      <c r="CU1456" s="1"/>
      <c r="CV1456" s="1"/>
      <c r="CW1456" s="1"/>
      <c r="CX1456" s="1"/>
      <c r="CY1456" s="91" t="str">
        <f t="shared" si="831"/>
        <v/>
      </c>
      <c r="CZ1456" s="1"/>
      <c r="DC1456" s="307"/>
      <c r="DE1456" s="307"/>
    </row>
    <row r="1457">
      <c r="A1457" s="1"/>
      <c r="B1457" s="1"/>
      <c r="C1457" s="76"/>
      <c r="D1457" s="76"/>
      <c r="E1457" s="76"/>
      <c r="F1457" s="76"/>
      <c r="G1457" s="79"/>
      <c r="H1457" s="80"/>
      <c r="I1457" s="79"/>
      <c r="J1457" s="80"/>
      <c r="K1457" s="79"/>
      <c r="L1457" s="142"/>
      <c r="M1457" s="1"/>
      <c r="N1457" s="142"/>
      <c r="O1457" s="1"/>
      <c r="P1457" s="142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79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R1457" s="1"/>
      <c r="CS1457" s="1"/>
      <c r="CT1457" s="1"/>
      <c r="CU1457" s="1"/>
      <c r="CV1457" s="1"/>
      <c r="CW1457" s="1"/>
      <c r="CX1457" s="1"/>
      <c r="CY1457" s="91" t="str">
        <f t="shared" si="831"/>
        <v/>
      </c>
      <c r="CZ1457" s="1"/>
      <c r="DC1457" s="307"/>
      <c r="DE1457" s="307"/>
    </row>
    <row r="1458">
      <c r="A1458" s="1"/>
      <c r="B1458" s="1"/>
      <c r="C1458" s="76"/>
      <c r="D1458" s="76"/>
      <c r="E1458" s="76"/>
      <c r="F1458" s="76"/>
      <c r="G1458" s="79"/>
      <c r="H1458" s="80"/>
      <c r="I1458" s="79"/>
      <c r="J1458" s="80"/>
      <c r="K1458" s="79"/>
      <c r="L1458" s="142"/>
      <c r="M1458" s="1"/>
      <c r="N1458" s="142"/>
      <c r="O1458" s="1"/>
      <c r="P1458" s="142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79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R1458" s="1"/>
      <c r="CS1458" s="1"/>
      <c r="CT1458" s="1"/>
      <c r="CU1458" s="1"/>
      <c r="CV1458" s="1"/>
      <c r="CW1458" s="1"/>
      <c r="CX1458" s="1"/>
      <c r="CY1458" s="91" t="str">
        <f t="shared" si="831"/>
        <v/>
      </c>
      <c r="CZ1458" s="1"/>
      <c r="DC1458" s="307"/>
      <c r="DE1458" s="307"/>
    </row>
    <row r="1459">
      <c r="A1459" s="1"/>
      <c r="B1459" s="1"/>
      <c r="C1459" s="76"/>
      <c r="D1459" s="76"/>
      <c r="E1459" s="76"/>
      <c r="F1459" s="76"/>
      <c r="G1459" s="79"/>
      <c r="H1459" s="80"/>
      <c r="I1459" s="79"/>
      <c r="J1459" s="80"/>
      <c r="K1459" s="79"/>
      <c r="L1459" s="142"/>
      <c r="M1459" s="1"/>
      <c r="N1459" s="142"/>
      <c r="O1459" s="1"/>
      <c r="P1459" s="142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79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R1459" s="1"/>
      <c r="CS1459" s="1"/>
      <c r="CT1459" s="1"/>
      <c r="CU1459" s="1"/>
      <c r="CV1459" s="1"/>
      <c r="CW1459" s="1"/>
      <c r="CX1459" s="1"/>
      <c r="CY1459" s="91" t="str">
        <f t="shared" si="831"/>
        <v/>
      </c>
      <c r="CZ1459" s="1"/>
      <c r="DC1459" s="307"/>
      <c r="DE1459" s="307"/>
    </row>
    <row r="1460">
      <c r="A1460" s="1"/>
      <c r="B1460" s="1"/>
      <c r="C1460" s="76"/>
      <c r="D1460" s="76"/>
      <c r="E1460" s="76"/>
      <c r="F1460" s="76"/>
      <c r="G1460" s="79"/>
      <c r="H1460" s="80"/>
      <c r="I1460" s="79"/>
      <c r="J1460" s="80"/>
      <c r="K1460" s="79"/>
      <c r="L1460" s="142"/>
      <c r="M1460" s="1"/>
      <c r="N1460" s="142"/>
      <c r="O1460" s="1"/>
      <c r="P1460" s="142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79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R1460" s="1"/>
      <c r="CS1460" s="1"/>
      <c r="CT1460" s="1"/>
      <c r="CU1460" s="1"/>
      <c r="CV1460" s="1"/>
      <c r="CW1460" s="1"/>
      <c r="CX1460" s="1"/>
      <c r="CY1460" s="91" t="str">
        <f t="shared" si="831"/>
        <v/>
      </c>
      <c r="CZ1460" s="1"/>
      <c r="DC1460" s="307"/>
      <c r="DE1460" s="307"/>
    </row>
    <row r="1461">
      <c r="A1461" s="1"/>
      <c r="B1461" s="1"/>
      <c r="C1461" s="76"/>
      <c r="D1461" s="76"/>
      <c r="E1461" s="76"/>
      <c r="F1461" s="76"/>
      <c r="G1461" s="79"/>
      <c r="H1461" s="80"/>
      <c r="I1461" s="79"/>
      <c r="J1461" s="80"/>
      <c r="K1461" s="79"/>
      <c r="L1461" s="142"/>
      <c r="M1461" s="1"/>
      <c r="N1461" s="142"/>
      <c r="O1461" s="1"/>
      <c r="P1461" s="142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79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R1461" s="1"/>
      <c r="CS1461" s="1"/>
      <c r="CT1461" s="1"/>
      <c r="CU1461" s="1"/>
      <c r="CV1461" s="1"/>
      <c r="CW1461" s="1"/>
      <c r="CX1461" s="1"/>
      <c r="CY1461" s="91" t="str">
        <f t="shared" si="831"/>
        <v/>
      </c>
      <c r="CZ1461" s="1"/>
      <c r="DC1461" s="307"/>
      <c r="DE1461" s="307"/>
    </row>
    <row r="1462">
      <c r="A1462" s="1"/>
      <c r="B1462" s="1"/>
      <c r="C1462" s="76"/>
      <c r="D1462" s="76"/>
      <c r="E1462" s="76"/>
      <c r="F1462" s="76"/>
      <c r="G1462" s="79"/>
      <c r="H1462" s="80"/>
      <c r="I1462" s="79"/>
      <c r="J1462" s="80"/>
      <c r="K1462" s="79"/>
      <c r="L1462" s="142"/>
      <c r="M1462" s="1"/>
      <c r="N1462" s="142"/>
      <c r="O1462" s="1"/>
      <c r="P1462" s="142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79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R1462" s="1"/>
      <c r="CS1462" s="1"/>
      <c r="CT1462" s="1"/>
      <c r="CU1462" s="1"/>
      <c r="CV1462" s="1"/>
      <c r="CW1462" s="1"/>
      <c r="CX1462" s="1"/>
      <c r="CY1462" s="91" t="str">
        <f t="shared" si="831"/>
        <v/>
      </c>
      <c r="CZ1462" s="1"/>
      <c r="DC1462" s="307"/>
      <c r="DE1462" s="307"/>
    </row>
    <row r="1463">
      <c r="A1463" s="1"/>
      <c r="B1463" s="1"/>
      <c r="C1463" s="76"/>
      <c r="D1463" s="76"/>
      <c r="E1463" s="76"/>
      <c r="F1463" s="76"/>
      <c r="G1463" s="79"/>
      <c r="H1463" s="80"/>
      <c r="I1463" s="79"/>
      <c r="J1463" s="80"/>
      <c r="K1463" s="79"/>
      <c r="L1463" s="142"/>
      <c r="M1463" s="1"/>
      <c r="N1463" s="142"/>
      <c r="O1463" s="1"/>
      <c r="P1463" s="142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79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R1463" s="1"/>
      <c r="CS1463" s="1"/>
      <c r="CT1463" s="1"/>
      <c r="CU1463" s="1"/>
      <c r="CV1463" s="1"/>
      <c r="CW1463" s="1"/>
      <c r="CX1463" s="1"/>
      <c r="CY1463" s="91" t="str">
        <f t="shared" si="831"/>
        <v/>
      </c>
      <c r="CZ1463" s="1"/>
      <c r="DC1463" s="307"/>
      <c r="DE1463" s="307"/>
    </row>
    <row r="1464">
      <c r="A1464" s="1"/>
      <c r="B1464" s="1"/>
      <c r="C1464" s="76"/>
      <c r="D1464" s="76"/>
      <c r="E1464" s="76"/>
      <c r="F1464" s="76"/>
      <c r="G1464" s="79"/>
      <c r="H1464" s="80"/>
      <c r="I1464" s="79"/>
      <c r="J1464" s="80"/>
      <c r="K1464" s="79"/>
      <c r="L1464" s="142"/>
      <c r="M1464" s="1"/>
      <c r="N1464" s="142"/>
      <c r="O1464" s="1"/>
      <c r="P1464" s="142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79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R1464" s="1"/>
      <c r="CS1464" s="1"/>
      <c r="CT1464" s="1"/>
      <c r="CU1464" s="1"/>
      <c r="CV1464" s="1"/>
      <c r="CW1464" s="1"/>
      <c r="CX1464" s="1"/>
      <c r="CY1464" s="91" t="str">
        <f t="shared" si="831"/>
        <v/>
      </c>
      <c r="CZ1464" s="1"/>
      <c r="DC1464" s="307"/>
      <c r="DE1464" s="307"/>
    </row>
    <row r="1465">
      <c r="A1465" s="1"/>
      <c r="B1465" s="1"/>
      <c r="C1465" s="76"/>
      <c r="D1465" s="76"/>
      <c r="E1465" s="76"/>
      <c r="F1465" s="76"/>
      <c r="G1465" s="79"/>
      <c r="H1465" s="80"/>
      <c r="I1465" s="79"/>
      <c r="J1465" s="80"/>
      <c r="K1465" s="79"/>
      <c r="L1465" s="142"/>
      <c r="M1465" s="1"/>
      <c r="N1465" s="142"/>
      <c r="O1465" s="1"/>
      <c r="P1465" s="142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79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R1465" s="1"/>
      <c r="CS1465" s="1"/>
      <c r="CT1465" s="1"/>
      <c r="CU1465" s="1"/>
      <c r="CV1465" s="1"/>
      <c r="CW1465" s="1"/>
      <c r="CX1465" s="1"/>
      <c r="CY1465" s="91" t="str">
        <f t="shared" si="831"/>
        <v/>
      </c>
      <c r="CZ1465" s="1"/>
      <c r="DC1465" s="307"/>
      <c r="DE1465" s="307"/>
    </row>
    <row r="1466">
      <c r="A1466" s="1"/>
      <c r="B1466" s="1"/>
      <c r="C1466" s="76"/>
      <c r="D1466" s="76"/>
      <c r="E1466" s="76"/>
      <c r="F1466" s="76"/>
      <c r="G1466" s="79"/>
      <c r="H1466" s="80"/>
      <c r="I1466" s="79"/>
      <c r="J1466" s="80"/>
      <c r="K1466" s="79"/>
      <c r="L1466" s="142"/>
      <c r="M1466" s="1"/>
      <c r="N1466" s="142"/>
      <c r="O1466" s="1"/>
      <c r="P1466" s="142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79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R1466" s="1"/>
      <c r="CS1466" s="1"/>
      <c r="CT1466" s="1"/>
      <c r="CU1466" s="1"/>
      <c r="CV1466" s="1"/>
      <c r="CW1466" s="1"/>
      <c r="CX1466" s="1"/>
      <c r="CY1466" s="91" t="str">
        <f t="shared" si="831"/>
        <v/>
      </c>
      <c r="CZ1466" s="1"/>
      <c r="DC1466" s="307"/>
      <c r="DE1466" s="307"/>
    </row>
    <row r="1467">
      <c r="A1467" s="1"/>
      <c r="B1467" s="1"/>
      <c r="C1467" s="76"/>
      <c r="D1467" s="76"/>
      <c r="E1467" s="76"/>
      <c r="F1467" s="76"/>
      <c r="G1467" s="79"/>
      <c r="H1467" s="80"/>
      <c r="I1467" s="79"/>
      <c r="J1467" s="80"/>
      <c r="K1467" s="79"/>
      <c r="L1467" s="142"/>
      <c r="M1467" s="1"/>
      <c r="N1467" s="142"/>
      <c r="O1467" s="1"/>
      <c r="P1467" s="142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79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R1467" s="1"/>
      <c r="CS1467" s="1"/>
      <c r="CT1467" s="1"/>
      <c r="CU1467" s="1"/>
      <c r="CV1467" s="1"/>
      <c r="CW1467" s="1"/>
      <c r="CX1467" s="1"/>
      <c r="CY1467" s="91" t="str">
        <f t="shared" si="831"/>
        <v/>
      </c>
      <c r="CZ1467" s="1"/>
      <c r="DC1467" s="307"/>
      <c r="DE1467" s="307"/>
    </row>
    <row r="1468">
      <c r="A1468" s="1"/>
      <c r="B1468" s="1"/>
      <c r="C1468" s="76"/>
      <c r="D1468" s="76"/>
      <c r="E1468" s="76"/>
      <c r="F1468" s="76"/>
      <c r="G1468" s="79"/>
      <c r="H1468" s="80"/>
      <c r="I1468" s="79"/>
      <c r="J1468" s="80"/>
      <c r="K1468" s="79"/>
      <c r="L1468" s="142"/>
      <c r="M1468" s="1"/>
      <c r="N1468" s="142"/>
      <c r="O1468" s="1"/>
      <c r="P1468" s="142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79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R1468" s="1"/>
      <c r="CS1468" s="1"/>
      <c r="CT1468" s="1"/>
      <c r="CU1468" s="1"/>
      <c r="CV1468" s="1"/>
      <c r="CW1468" s="1"/>
      <c r="CX1468" s="1"/>
      <c r="CY1468" s="91" t="str">
        <f t="shared" si="831"/>
        <v/>
      </c>
      <c r="CZ1468" s="1"/>
      <c r="DC1468" s="307"/>
      <c r="DE1468" s="307"/>
    </row>
    <row r="1469">
      <c r="A1469" s="1"/>
      <c r="B1469" s="1"/>
      <c r="C1469" s="76"/>
      <c r="D1469" s="76"/>
      <c r="E1469" s="76"/>
      <c r="F1469" s="76"/>
      <c r="G1469" s="79"/>
      <c r="H1469" s="80"/>
      <c r="I1469" s="79"/>
      <c r="J1469" s="80"/>
      <c r="K1469" s="79"/>
      <c r="L1469" s="142"/>
      <c r="M1469" s="1"/>
      <c r="N1469" s="142"/>
      <c r="O1469" s="1"/>
      <c r="P1469" s="142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79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R1469" s="1"/>
      <c r="CS1469" s="1"/>
      <c r="CT1469" s="1"/>
      <c r="CU1469" s="1"/>
      <c r="CV1469" s="1"/>
      <c r="CW1469" s="1"/>
      <c r="CX1469" s="1"/>
      <c r="CY1469" s="91" t="str">
        <f t="shared" si="831"/>
        <v/>
      </c>
      <c r="CZ1469" s="1"/>
      <c r="DC1469" s="307"/>
      <c r="DE1469" s="307"/>
    </row>
    <row r="1470">
      <c r="A1470" s="1"/>
      <c r="B1470" s="1"/>
      <c r="C1470" s="76"/>
      <c r="D1470" s="76"/>
      <c r="E1470" s="76"/>
      <c r="F1470" s="76"/>
      <c r="G1470" s="79"/>
      <c r="H1470" s="80"/>
      <c r="I1470" s="79"/>
      <c r="J1470" s="80"/>
      <c r="K1470" s="79"/>
      <c r="L1470" s="142"/>
      <c r="M1470" s="1"/>
      <c r="N1470" s="142"/>
      <c r="O1470" s="1"/>
      <c r="P1470" s="142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79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R1470" s="1"/>
      <c r="CS1470" s="1"/>
      <c r="CT1470" s="1"/>
      <c r="CU1470" s="1"/>
      <c r="CV1470" s="1"/>
      <c r="CW1470" s="1"/>
      <c r="CX1470" s="1"/>
      <c r="CY1470" s="91" t="str">
        <f t="shared" si="831"/>
        <v/>
      </c>
      <c r="CZ1470" s="1"/>
      <c r="DC1470" s="307"/>
      <c r="DE1470" s="307"/>
    </row>
    <row r="1471">
      <c r="A1471" s="1"/>
      <c r="B1471" s="1"/>
      <c r="C1471" s="76"/>
      <c r="D1471" s="76"/>
      <c r="E1471" s="76"/>
      <c r="F1471" s="76"/>
      <c r="G1471" s="79"/>
      <c r="H1471" s="80"/>
      <c r="I1471" s="79"/>
      <c r="J1471" s="80"/>
      <c r="K1471" s="79"/>
      <c r="L1471" s="142"/>
      <c r="M1471" s="1"/>
      <c r="N1471" s="142"/>
      <c r="O1471" s="1"/>
      <c r="P1471" s="142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79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R1471" s="1"/>
      <c r="CS1471" s="1"/>
      <c r="CT1471" s="1"/>
      <c r="CU1471" s="1"/>
      <c r="CV1471" s="1"/>
      <c r="CW1471" s="1"/>
      <c r="CX1471" s="1"/>
      <c r="CY1471" s="91" t="str">
        <f t="shared" si="831"/>
        <v/>
      </c>
      <c r="CZ1471" s="1"/>
      <c r="DC1471" s="307"/>
      <c r="DE1471" s="307"/>
    </row>
    <row r="1472">
      <c r="A1472" s="1"/>
      <c r="B1472" s="1"/>
      <c r="C1472" s="76"/>
      <c r="D1472" s="76"/>
      <c r="E1472" s="76"/>
      <c r="F1472" s="76"/>
      <c r="G1472" s="79"/>
      <c r="H1472" s="80"/>
      <c r="I1472" s="79"/>
      <c r="J1472" s="80"/>
      <c r="K1472" s="79"/>
      <c r="L1472" s="142"/>
      <c r="M1472" s="1"/>
      <c r="N1472" s="142"/>
      <c r="O1472" s="1"/>
      <c r="P1472" s="142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79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R1472" s="1"/>
      <c r="CS1472" s="1"/>
      <c r="CT1472" s="1"/>
      <c r="CU1472" s="1"/>
      <c r="CV1472" s="1"/>
      <c r="CW1472" s="1"/>
      <c r="CX1472" s="1"/>
      <c r="CY1472" s="91" t="str">
        <f t="shared" si="831"/>
        <v/>
      </c>
      <c r="CZ1472" s="1"/>
      <c r="DC1472" s="307"/>
      <c r="DE1472" s="307"/>
    </row>
    <row r="1473">
      <c r="A1473" s="1"/>
      <c r="B1473" s="1"/>
      <c r="C1473" s="76"/>
      <c r="D1473" s="76"/>
      <c r="E1473" s="76"/>
      <c r="F1473" s="76"/>
      <c r="G1473" s="79"/>
      <c r="H1473" s="80"/>
      <c r="I1473" s="79"/>
      <c r="J1473" s="80"/>
      <c r="K1473" s="79"/>
      <c r="L1473" s="142"/>
      <c r="M1473" s="1"/>
      <c r="N1473" s="142"/>
      <c r="O1473" s="1"/>
      <c r="P1473" s="142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79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R1473" s="1"/>
      <c r="CS1473" s="1"/>
      <c r="CT1473" s="1"/>
      <c r="CU1473" s="1"/>
      <c r="CV1473" s="1"/>
      <c r="CW1473" s="1"/>
      <c r="CX1473" s="1"/>
      <c r="CY1473" s="91" t="str">
        <f t="shared" si="831"/>
        <v/>
      </c>
      <c r="CZ1473" s="1"/>
      <c r="DC1473" s="307"/>
      <c r="DE1473" s="307"/>
    </row>
    <row r="1474">
      <c r="A1474" s="1"/>
      <c r="B1474" s="1"/>
      <c r="C1474" s="76"/>
      <c r="D1474" s="76"/>
      <c r="E1474" s="76"/>
      <c r="F1474" s="76"/>
      <c r="G1474" s="79"/>
      <c r="H1474" s="80"/>
      <c r="I1474" s="79"/>
      <c r="J1474" s="80"/>
      <c r="K1474" s="79"/>
      <c r="L1474" s="142"/>
      <c r="M1474" s="1"/>
      <c r="N1474" s="142"/>
      <c r="O1474" s="1"/>
      <c r="P1474" s="142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79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R1474" s="1"/>
      <c r="CS1474" s="1"/>
      <c r="CT1474" s="1"/>
      <c r="CU1474" s="1"/>
      <c r="CV1474" s="1"/>
      <c r="CW1474" s="1"/>
      <c r="CX1474" s="1"/>
      <c r="CY1474" s="91" t="str">
        <f t="shared" si="831"/>
        <v/>
      </c>
      <c r="CZ1474" s="1"/>
      <c r="DC1474" s="307"/>
      <c r="DE1474" s="307"/>
    </row>
    <row r="1475">
      <c r="A1475" s="1"/>
      <c r="B1475" s="1"/>
      <c r="C1475" s="76"/>
      <c r="D1475" s="76"/>
      <c r="E1475" s="76"/>
      <c r="F1475" s="76"/>
      <c r="G1475" s="79"/>
      <c r="H1475" s="80"/>
      <c r="I1475" s="79"/>
      <c r="J1475" s="80"/>
      <c r="K1475" s="79"/>
      <c r="L1475" s="142"/>
      <c r="M1475" s="1"/>
      <c r="N1475" s="142"/>
      <c r="O1475" s="1"/>
      <c r="P1475" s="142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79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R1475" s="1"/>
      <c r="CS1475" s="1"/>
      <c r="CT1475" s="1"/>
      <c r="CU1475" s="1"/>
      <c r="CV1475" s="1"/>
      <c r="CW1475" s="1"/>
      <c r="CX1475" s="1"/>
      <c r="CY1475" s="91" t="str">
        <f t="shared" si="831"/>
        <v/>
      </c>
      <c r="CZ1475" s="1"/>
      <c r="DC1475" s="307"/>
      <c r="DE1475" s="307"/>
    </row>
    <row r="1476">
      <c r="A1476" s="1"/>
      <c r="B1476" s="1"/>
      <c r="C1476" s="76"/>
      <c r="D1476" s="76"/>
      <c r="E1476" s="76"/>
      <c r="F1476" s="76"/>
      <c r="G1476" s="79"/>
      <c r="H1476" s="80"/>
      <c r="I1476" s="79"/>
      <c r="J1476" s="80"/>
      <c r="K1476" s="79"/>
      <c r="L1476" s="142"/>
      <c r="M1476" s="1"/>
      <c r="N1476" s="142"/>
      <c r="O1476" s="1"/>
      <c r="P1476" s="142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79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R1476" s="1"/>
      <c r="CS1476" s="1"/>
      <c r="CT1476" s="1"/>
      <c r="CU1476" s="1"/>
      <c r="CV1476" s="1"/>
      <c r="CW1476" s="1"/>
      <c r="CX1476" s="1"/>
      <c r="CY1476" s="91" t="str">
        <f t="shared" si="831"/>
        <v/>
      </c>
      <c r="CZ1476" s="1"/>
      <c r="DC1476" s="307"/>
      <c r="DE1476" s="307"/>
    </row>
    <row r="1477">
      <c r="A1477" s="1"/>
      <c r="B1477" s="1"/>
      <c r="C1477" s="76"/>
      <c r="D1477" s="76"/>
      <c r="E1477" s="76"/>
      <c r="F1477" s="76"/>
      <c r="G1477" s="79"/>
      <c r="H1477" s="80"/>
      <c r="I1477" s="79"/>
      <c r="J1477" s="80"/>
      <c r="K1477" s="79"/>
      <c r="L1477" s="142"/>
      <c r="M1477" s="1"/>
      <c r="N1477" s="142"/>
      <c r="O1477" s="1"/>
      <c r="P1477" s="142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79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R1477" s="1"/>
      <c r="CS1477" s="1"/>
      <c r="CT1477" s="1"/>
      <c r="CU1477" s="1"/>
      <c r="CV1477" s="1"/>
      <c r="CW1477" s="1"/>
      <c r="CX1477" s="1"/>
      <c r="CY1477" s="91" t="str">
        <f t="shared" si="831"/>
        <v/>
      </c>
      <c r="CZ1477" s="1"/>
      <c r="DC1477" s="307"/>
      <c r="DE1477" s="307"/>
    </row>
    <row r="1478">
      <c r="A1478" s="1"/>
      <c r="B1478" s="1"/>
      <c r="C1478" s="76"/>
      <c r="D1478" s="76"/>
      <c r="E1478" s="76"/>
      <c r="F1478" s="76"/>
      <c r="G1478" s="79"/>
      <c r="H1478" s="80"/>
      <c r="I1478" s="79"/>
      <c r="J1478" s="80"/>
      <c r="K1478" s="79"/>
      <c r="L1478" s="142"/>
      <c r="M1478" s="1"/>
      <c r="N1478" s="142"/>
      <c r="O1478" s="1"/>
      <c r="P1478" s="142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79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R1478" s="1"/>
      <c r="CS1478" s="1"/>
      <c r="CT1478" s="1"/>
      <c r="CU1478" s="1"/>
      <c r="CV1478" s="1"/>
      <c r="CW1478" s="1"/>
      <c r="CX1478" s="1"/>
      <c r="CY1478" s="91" t="str">
        <f t="shared" si="831"/>
        <v/>
      </c>
      <c r="CZ1478" s="1"/>
      <c r="DC1478" s="307"/>
      <c r="DE1478" s="307"/>
    </row>
    <row r="1479">
      <c r="A1479" s="1"/>
      <c r="B1479" s="1"/>
      <c r="C1479" s="76"/>
      <c r="D1479" s="76"/>
      <c r="E1479" s="76"/>
      <c r="F1479" s="76"/>
      <c r="G1479" s="79"/>
      <c r="H1479" s="80"/>
      <c r="I1479" s="79"/>
      <c r="J1479" s="80"/>
      <c r="K1479" s="79"/>
      <c r="L1479" s="142"/>
      <c r="M1479" s="1"/>
      <c r="N1479" s="142"/>
      <c r="O1479" s="1"/>
      <c r="P1479" s="142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79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R1479" s="1"/>
      <c r="CS1479" s="1"/>
      <c r="CT1479" s="1"/>
      <c r="CU1479" s="1"/>
      <c r="CV1479" s="1"/>
      <c r="CW1479" s="1"/>
      <c r="CX1479" s="1"/>
      <c r="CY1479" s="91" t="str">
        <f t="shared" si="831"/>
        <v/>
      </c>
      <c r="CZ1479" s="1"/>
      <c r="DC1479" s="307"/>
      <c r="DE1479" s="307"/>
    </row>
    <row r="1480">
      <c r="A1480" s="1"/>
      <c r="B1480" s="1"/>
      <c r="C1480" s="76"/>
      <c r="D1480" s="76"/>
      <c r="E1480" s="76"/>
      <c r="F1480" s="76"/>
      <c r="G1480" s="79"/>
      <c r="H1480" s="80"/>
      <c r="I1480" s="79"/>
      <c r="J1480" s="80"/>
      <c r="K1480" s="79"/>
      <c r="L1480" s="142"/>
      <c r="M1480" s="1"/>
      <c r="N1480" s="142"/>
      <c r="O1480" s="1"/>
      <c r="P1480" s="142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79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R1480" s="1"/>
      <c r="CS1480" s="1"/>
      <c r="CT1480" s="1"/>
      <c r="CU1480" s="1"/>
      <c r="CV1480" s="1"/>
      <c r="CW1480" s="1"/>
      <c r="CX1480" s="1"/>
      <c r="CY1480" s="91" t="str">
        <f t="shared" si="831"/>
        <v/>
      </c>
      <c r="CZ1480" s="1"/>
      <c r="DC1480" s="307"/>
      <c r="DE1480" s="307"/>
    </row>
    <row r="1481">
      <c r="A1481" s="1"/>
      <c r="B1481" s="1"/>
      <c r="C1481" s="76"/>
      <c r="D1481" s="76"/>
      <c r="E1481" s="76"/>
      <c r="F1481" s="76"/>
      <c r="G1481" s="79"/>
      <c r="H1481" s="80"/>
      <c r="I1481" s="79"/>
      <c r="J1481" s="80"/>
      <c r="K1481" s="79"/>
      <c r="L1481" s="142"/>
      <c r="M1481" s="1"/>
      <c r="N1481" s="142"/>
      <c r="O1481" s="1"/>
      <c r="P1481" s="142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79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R1481" s="1"/>
      <c r="CS1481" s="1"/>
      <c r="CT1481" s="1"/>
      <c r="CU1481" s="1"/>
      <c r="CV1481" s="1"/>
      <c r="CW1481" s="1"/>
      <c r="CX1481" s="1"/>
      <c r="CY1481" s="91" t="str">
        <f t="shared" si="831"/>
        <v/>
      </c>
      <c r="CZ1481" s="1"/>
      <c r="DC1481" s="307"/>
      <c r="DE1481" s="307"/>
    </row>
    <row r="1482">
      <c r="A1482" s="1"/>
      <c r="B1482" s="1"/>
      <c r="C1482" s="76"/>
      <c r="D1482" s="76"/>
      <c r="E1482" s="76"/>
      <c r="F1482" s="76"/>
      <c r="G1482" s="79"/>
      <c r="H1482" s="80"/>
      <c r="I1482" s="79"/>
      <c r="J1482" s="80"/>
      <c r="K1482" s="79"/>
      <c r="L1482" s="142"/>
      <c r="M1482" s="1"/>
      <c r="N1482" s="142"/>
      <c r="O1482" s="1"/>
      <c r="P1482" s="142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79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R1482" s="1"/>
      <c r="CS1482" s="1"/>
      <c r="CT1482" s="1"/>
      <c r="CU1482" s="1"/>
      <c r="CV1482" s="1"/>
      <c r="CW1482" s="1"/>
      <c r="CX1482" s="1"/>
      <c r="CY1482" s="91" t="str">
        <f t="shared" si="831"/>
        <v/>
      </c>
      <c r="CZ1482" s="1"/>
      <c r="DC1482" s="307"/>
      <c r="DE1482" s="307"/>
    </row>
    <row r="1483">
      <c r="A1483" s="1"/>
      <c r="B1483" s="1"/>
      <c r="C1483" s="76"/>
      <c r="D1483" s="76"/>
      <c r="E1483" s="76"/>
      <c r="F1483" s="76"/>
      <c r="G1483" s="79"/>
      <c r="H1483" s="80"/>
      <c r="I1483" s="79"/>
      <c r="J1483" s="80"/>
      <c r="K1483" s="79"/>
      <c r="L1483" s="142"/>
      <c r="M1483" s="1"/>
      <c r="N1483" s="142"/>
      <c r="O1483" s="1"/>
      <c r="P1483" s="142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79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R1483" s="1"/>
      <c r="CS1483" s="1"/>
      <c r="CT1483" s="1"/>
      <c r="CU1483" s="1"/>
      <c r="CV1483" s="1"/>
      <c r="CW1483" s="1"/>
      <c r="CX1483" s="1"/>
      <c r="CY1483" s="91" t="str">
        <f t="shared" si="831"/>
        <v/>
      </c>
      <c r="CZ1483" s="1"/>
      <c r="DC1483" s="307"/>
      <c r="DE1483" s="307"/>
    </row>
    <row r="1484">
      <c r="A1484" s="1"/>
      <c r="B1484" s="1"/>
      <c r="C1484" s="76"/>
      <c r="D1484" s="76"/>
      <c r="E1484" s="76"/>
      <c r="F1484" s="76"/>
      <c r="G1484" s="79"/>
      <c r="H1484" s="80"/>
      <c r="I1484" s="79"/>
      <c r="J1484" s="80"/>
      <c r="K1484" s="79"/>
      <c r="L1484" s="142"/>
      <c r="M1484" s="1"/>
      <c r="N1484" s="142"/>
      <c r="O1484" s="1"/>
      <c r="P1484" s="142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79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R1484" s="1"/>
      <c r="CS1484" s="1"/>
      <c r="CT1484" s="1"/>
      <c r="CU1484" s="1"/>
      <c r="CV1484" s="1"/>
      <c r="CW1484" s="1"/>
      <c r="CX1484" s="1"/>
      <c r="CY1484" s="91" t="str">
        <f t="shared" si="831"/>
        <v/>
      </c>
      <c r="CZ1484" s="1"/>
      <c r="DC1484" s="307"/>
      <c r="DE1484" s="307"/>
    </row>
    <row r="1485">
      <c r="A1485" s="1"/>
      <c r="B1485" s="1"/>
      <c r="C1485" s="76"/>
      <c r="D1485" s="76"/>
      <c r="E1485" s="76"/>
      <c r="F1485" s="76"/>
      <c r="G1485" s="79"/>
      <c r="H1485" s="80"/>
      <c r="I1485" s="79"/>
      <c r="J1485" s="80"/>
      <c r="K1485" s="79"/>
      <c r="L1485" s="142"/>
      <c r="M1485" s="1"/>
      <c r="N1485" s="142"/>
      <c r="O1485" s="1"/>
      <c r="P1485" s="142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79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R1485" s="1"/>
      <c r="CS1485" s="1"/>
      <c r="CT1485" s="1"/>
      <c r="CU1485" s="1"/>
      <c r="CV1485" s="1"/>
      <c r="CW1485" s="1"/>
      <c r="CX1485" s="1"/>
      <c r="CY1485" s="91" t="str">
        <f t="shared" si="831"/>
        <v/>
      </c>
      <c r="CZ1485" s="1"/>
      <c r="DC1485" s="307"/>
      <c r="DE1485" s="307"/>
    </row>
    <row r="1486">
      <c r="A1486" s="1"/>
      <c r="B1486" s="1"/>
      <c r="C1486" s="76"/>
      <c r="D1486" s="76"/>
      <c r="E1486" s="76"/>
      <c r="F1486" s="76"/>
      <c r="G1486" s="79"/>
      <c r="H1486" s="80"/>
      <c r="I1486" s="79"/>
      <c r="J1486" s="80"/>
      <c r="K1486" s="79"/>
      <c r="L1486" s="142"/>
      <c r="M1486" s="1"/>
      <c r="N1486" s="142"/>
      <c r="O1486" s="1"/>
      <c r="P1486" s="142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79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R1486" s="1"/>
      <c r="CS1486" s="1"/>
      <c r="CT1486" s="1"/>
      <c r="CU1486" s="1"/>
      <c r="CV1486" s="1"/>
      <c r="CW1486" s="1"/>
      <c r="CX1486" s="1"/>
      <c r="CY1486" s="91" t="str">
        <f t="shared" si="831"/>
        <v/>
      </c>
      <c r="CZ1486" s="1"/>
      <c r="DC1486" s="307"/>
      <c r="DE1486" s="307"/>
    </row>
    <row r="1487">
      <c r="A1487" s="1"/>
      <c r="B1487" s="1"/>
      <c r="C1487" s="76"/>
      <c r="D1487" s="76"/>
      <c r="E1487" s="76"/>
      <c r="F1487" s="76"/>
      <c r="G1487" s="79"/>
      <c r="H1487" s="80"/>
      <c r="I1487" s="79"/>
      <c r="J1487" s="80"/>
      <c r="K1487" s="79"/>
      <c r="L1487" s="142"/>
      <c r="M1487" s="1"/>
      <c r="N1487" s="142"/>
      <c r="O1487" s="1"/>
      <c r="P1487" s="142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79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R1487" s="1"/>
      <c r="CS1487" s="1"/>
      <c r="CT1487" s="1"/>
      <c r="CU1487" s="1"/>
      <c r="CV1487" s="1"/>
      <c r="CW1487" s="1"/>
      <c r="CX1487" s="1"/>
      <c r="CY1487" s="91" t="str">
        <f t="shared" si="831"/>
        <v/>
      </c>
      <c r="CZ1487" s="1"/>
      <c r="DC1487" s="307"/>
      <c r="DE1487" s="307"/>
    </row>
    <row r="1488">
      <c r="A1488" s="1"/>
      <c r="B1488" s="1"/>
      <c r="C1488" s="76"/>
      <c r="D1488" s="76"/>
      <c r="E1488" s="76"/>
      <c r="F1488" s="76"/>
      <c r="G1488" s="79"/>
      <c r="H1488" s="80"/>
      <c r="I1488" s="79"/>
      <c r="J1488" s="80"/>
      <c r="K1488" s="79"/>
      <c r="L1488" s="142"/>
      <c r="M1488" s="1"/>
      <c r="N1488" s="142"/>
      <c r="O1488" s="1"/>
      <c r="P1488" s="142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79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R1488" s="1"/>
      <c r="CS1488" s="1"/>
      <c r="CT1488" s="1"/>
      <c r="CU1488" s="1"/>
      <c r="CV1488" s="1"/>
      <c r="CW1488" s="1"/>
      <c r="CX1488" s="1"/>
      <c r="CY1488" s="91" t="str">
        <f t="shared" si="831"/>
        <v/>
      </c>
      <c r="CZ1488" s="1"/>
      <c r="DC1488" s="307"/>
      <c r="DE1488" s="307"/>
    </row>
    <row r="1489">
      <c r="A1489" s="1"/>
      <c r="B1489" s="1"/>
      <c r="C1489" s="76"/>
      <c r="D1489" s="76"/>
      <c r="E1489" s="76"/>
      <c r="F1489" s="76"/>
      <c r="G1489" s="79"/>
      <c r="H1489" s="80"/>
      <c r="I1489" s="79"/>
      <c r="J1489" s="80"/>
      <c r="K1489" s="79"/>
      <c r="L1489" s="142"/>
      <c r="M1489" s="1"/>
      <c r="N1489" s="142"/>
      <c r="O1489" s="1"/>
      <c r="P1489" s="142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79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R1489" s="1"/>
      <c r="CS1489" s="1"/>
      <c r="CT1489" s="1"/>
      <c r="CU1489" s="1"/>
      <c r="CV1489" s="1"/>
      <c r="CW1489" s="1"/>
      <c r="CX1489" s="1"/>
      <c r="CY1489" s="91" t="str">
        <f t="shared" si="831"/>
        <v/>
      </c>
      <c r="CZ1489" s="1"/>
      <c r="DC1489" s="307"/>
      <c r="DE1489" s="307"/>
    </row>
    <row r="1490">
      <c r="A1490" s="1"/>
      <c r="B1490" s="1"/>
      <c r="C1490" s="76"/>
      <c r="D1490" s="76"/>
      <c r="E1490" s="76"/>
      <c r="F1490" s="76"/>
      <c r="G1490" s="79"/>
      <c r="H1490" s="80"/>
      <c r="I1490" s="79"/>
      <c r="J1490" s="80"/>
      <c r="K1490" s="79"/>
      <c r="L1490" s="142"/>
      <c r="M1490" s="1"/>
      <c r="N1490" s="142"/>
      <c r="O1490" s="1"/>
      <c r="P1490" s="142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79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R1490" s="1"/>
      <c r="CS1490" s="1"/>
      <c r="CT1490" s="1"/>
      <c r="CU1490" s="1"/>
      <c r="CV1490" s="1"/>
      <c r="CW1490" s="1"/>
      <c r="CX1490" s="1"/>
      <c r="CY1490" s="91" t="str">
        <f t="shared" si="831"/>
        <v/>
      </c>
      <c r="CZ1490" s="1"/>
      <c r="DC1490" s="307"/>
      <c r="DE1490" s="307"/>
    </row>
    <row r="1491">
      <c r="A1491" s="1"/>
      <c r="B1491" s="1"/>
      <c r="C1491" s="76"/>
      <c r="D1491" s="76"/>
      <c r="E1491" s="76"/>
      <c r="F1491" s="76"/>
      <c r="G1491" s="79"/>
      <c r="H1491" s="80"/>
      <c r="I1491" s="79"/>
      <c r="J1491" s="80"/>
      <c r="K1491" s="79"/>
      <c r="L1491" s="142"/>
      <c r="M1491" s="1"/>
      <c r="N1491" s="142"/>
      <c r="O1491" s="1"/>
      <c r="P1491" s="142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79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R1491" s="1"/>
      <c r="CS1491" s="1"/>
      <c r="CT1491" s="1"/>
      <c r="CU1491" s="1"/>
      <c r="CV1491" s="1"/>
      <c r="CW1491" s="1"/>
      <c r="CX1491" s="1"/>
      <c r="CY1491" s="91" t="str">
        <f t="shared" si="831"/>
        <v/>
      </c>
      <c r="CZ1491" s="1"/>
      <c r="DC1491" s="307"/>
      <c r="DE1491" s="307"/>
    </row>
    <row r="1492">
      <c r="A1492" s="1"/>
      <c r="B1492" s="1"/>
      <c r="C1492" s="76"/>
      <c r="D1492" s="76"/>
      <c r="E1492" s="76"/>
      <c r="F1492" s="76"/>
      <c r="G1492" s="79"/>
      <c r="H1492" s="80"/>
      <c r="I1492" s="79"/>
      <c r="J1492" s="80"/>
      <c r="K1492" s="79"/>
      <c r="L1492" s="142"/>
      <c r="M1492" s="1"/>
      <c r="N1492" s="142"/>
      <c r="O1492" s="1"/>
      <c r="P1492" s="142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79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R1492" s="1"/>
      <c r="CS1492" s="1"/>
      <c r="CT1492" s="1"/>
      <c r="CU1492" s="1"/>
      <c r="CV1492" s="1"/>
      <c r="CW1492" s="1"/>
      <c r="CX1492" s="1"/>
      <c r="CY1492" s="91" t="str">
        <f t="shared" si="831"/>
        <v/>
      </c>
      <c r="CZ1492" s="1"/>
      <c r="DC1492" s="307"/>
      <c r="DE1492" s="307"/>
    </row>
    <row r="1493">
      <c r="A1493" s="1"/>
      <c r="B1493" s="1"/>
      <c r="C1493" s="76"/>
      <c r="D1493" s="76"/>
      <c r="E1493" s="76"/>
      <c r="F1493" s="76"/>
      <c r="G1493" s="79"/>
      <c r="H1493" s="80"/>
      <c r="I1493" s="79"/>
      <c r="J1493" s="80"/>
      <c r="K1493" s="79"/>
      <c r="L1493" s="142"/>
      <c r="M1493" s="1"/>
      <c r="N1493" s="142"/>
      <c r="O1493" s="1"/>
      <c r="P1493" s="142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79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R1493" s="1"/>
      <c r="CS1493" s="1"/>
      <c r="CT1493" s="1"/>
      <c r="CU1493" s="1"/>
      <c r="CV1493" s="1"/>
      <c r="CW1493" s="1"/>
      <c r="CX1493" s="1"/>
      <c r="CY1493" s="91" t="str">
        <f t="shared" si="831"/>
        <v/>
      </c>
      <c r="CZ1493" s="1"/>
      <c r="DC1493" s="307"/>
      <c r="DE1493" s="307"/>
    </row>
    <row r="1494">
      <c r="A1494" s="1"/>
      <c r="B1494" s="1"/>
      <c r="C1494" s="76"/>
      <c r="D1494" s="76"/>
      <c r="E1494" s="76"/>
      <c r="F1494" s="76"/>
      <c r="G1494" s="79"/>
      <c r="H1494" s="80"/>
      <c r="I1494" s="79"/>
      <c r="J1494" s="80"/>
      <c r="K1494" s="79"/>
      <c r="L1494" s="142"/>
      <c r="M1494" s="1"/>
      <c r="N1494" s="142"/>
      <c r="O1494" s="1"/>
      <c r="P1494" s="142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79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R1494" s="1"/>
      <c r="CS1494" s="1"/>
      <c r="CT1494" s="1"/>
      <c r="CU1494" s="1"/>
      <c r="CV1494" s="1"/>
      <c r="CW1494" s="1"/>
      <c r="CX1494" s="1"/>
      <c r="CY1494" s="91" t="str">
        <f t="shared" si="831"/>
        <v/>
      </c>
      <c r="CZ1494" s="1"/>
      <c r="DC1494" s="307"/>
      <c r="DE1494" s="307"/>
    </row>
    <row r="1495">
      <c r="A1495" s="1"/>
      <c r="B1495" s="1"/>
      <c r="C1495" s="76"/>
      <c r="D1495" s="76"/>
      <c r="E1495" s="76"/>
      <c r="F1495" s="76"/>
      <c r="G1495" s="79"/>
      <c r="H1495" s="80"/>
      <c r="I1495" s="79"/>
      <c r="J1495" s="80"/>
      <c r="K1495" s="79"/>
      <c r="L1495" s="142"/>
      <c r="M1495" s="1"/>
      <c r="N1495" s="142"/>
      <c r="O1495" s="1"/>
      <c r="P1495" s="142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79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R1495" s="1"/>
      <c r="CS1495" s="1"/>
      <c r="CT1495" s="1"/>
      <c r="CU1495" s="1"/>
      <c r="CV1495" s="1"/>
      <c r="CW1495" s="1"/>
      <c r="CX1495" s="1"/>
      <c r="CY1495" s="91" t="str">
        <f t="shared" si="831"/>
        <v/>
      </c>
      <c r="CZ1495" s="1"/>
      <c r="DC1495" s="307"/>
      <c r="DE1495" s="307"/>
    </row>
    <row r="1496">
      <c r="A1496" s="1"/>
      <c r="B1496" s="1"/>
      <c r="C1496" s="76"/>
      <c r="D1496" s="76"/>
      <c r="E1496" s="76"/>
      <c r="F1496" s="76"/>
      <c r="G1496" s="79"/>
      <c r="H1496" s="80"/>
      <c r="I1496" s="79"/>
      <c r="J1496" s="80"/>
      <c r="K1496" s="79"/>
      <c r="L1496" s="142"/>
      <c r="M1496" s="1"/>
      <c r="N1496" s="142"/>
      <c r="O1496" s="1"/>
      <c r="P1496" s="142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79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R1496" s="1"/>
      <c r="CS1496" s="1"/>
      <c r="CT1496" s="1"/>
      <c r="CU1496" s="1"/>
      <c r="CV1496" s="1"/>
      <c r="CW1496" s="1"/>
      <c r="CX1496" s="1"/>
      <c r="CY1496" s="91" t="str">
        <f t="shared" si="831"/>
        <v/>
      </c>
      <c r="CZ1496" s="1"/>
      <c r="DC1496" s="307"/>
      <c r="DE1496" s="307"/>
    </row>
    <row r="1497">
      <c r="A1497" s="1"/>
      <c r="B1497" s="1"/>
      <c r="C1497" s="76"/>
      <c r="D1497" s="76"/>
      <c r="E1497" s="76"/>
      <c r="F1497" s="76"/>
      <c r="G1497" s="79"/>
      <c r="H1497" s="80"/>
      <c r="I1497" s="79"/>
      <c r="J1497" s="80"/>
      <c r="K1497" s="79"/>
      <c r="L1497" s="142"/>
      <c r="M1497" s="1"/>
      <c r="N1497" s="142"/>
      <c r="O1497" s="1"/>
      <c r="P1497" s="142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79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R1497" s="1"/>
      <c r="CS1497" s="1"/>
      <c r="CT1497" s="1"/>
      <c r="CU1497" s="1"/>
      <c r="CV1497" s="1"/>
      <c r="CW1497" s="1"/>
      <c r="CX1497" s="1"/>
      <c r="CY1497" s="91" t="str">
        <f t="shared" si="831"/>
        <v/>
      </c>
      <c r="CZ1497" s="1"/>
      <c r="DC1497" s="307"/>
      <c r="DE1497" s="307"/>
    </row>
    <row r="1498">
      <c r="A1498" s="1"/>
      <c r="B1498" s="1"/>
      <c r="C1498" s="76"/>
      <c r="D1498" s="76"/>
      <c r="E1498" s="76"/>
      <c r="F1498" s="76"/>
      <c r="G1498" s="79"/>
      <c r="H1498" s="80"/>
      <c r="I1498" s="79"/>
      <c r="J1498" s="80"/>
      <c r="K1498" s="79"/>
      <c r="L1498" s="142"/>
      <c r="M1498" s="1"/>
      <c r="N1498" s="142"/>
      <c r="O1498" s="1"/>
      <c r="P1498" s="142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79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R1498" s="1"/>
      <c r="CS1498" s="1"/>
      <c r="CT1498" s="1"/>
      <c r="CU1498" s="1"/>
      <c r="CV1498" s="1"/>
      <c r="CW1498" s="1"/>
      <c r="CX1498" s="1"/>
      <c r="CY1498" s="91" t="str">
        <f t="shared" si="831"/>
        <v/>
      </c>
      <c r="CZ1498" s="1"/>
      <c r="DC1498" s="307"/>
      <c r="DE1498" s="307"/>
    </row>
    <row r="1499">
      <c r="A1499" s="1"/>
      <c r="B1499" s="1"/>
      <c r="C1499" s="76"/>
      <c r="D1499" s="76"/>
      <c r="E1499" s="76"/>
      <c r="F1499" s="76"/>
      <c r="G1499" s="79"/>
      <c r="H1499" s="80"/>
      <c r="I1499" s="79"/>
      <c r="J1499" s="80"/>
      <c r="K1499" s="79"/>
      <c r="L1499" s="142"/>
      <c r="M1499" s="1"/>
      <c r="N1499" s="142"/>
      <c r="O1499" s="1"/>
      <c r="P1499" s="142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79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R1499" s="1"/>
      <c r="CS1499" s="1"/>
      <c r="CT1499" s="1"/>
      <c r="CU1499" s="1"/>
      <c r="CV1499" s="1"/>
      <c r="CW1499" s="1"/>
      <c r="CX1499" s="1"/>
      <c r="CY1499" s="91" t="str">
        <f t="shared" si="831"/>
        <v/>
      </c>
      <c r="CZ1499" s="1"/>
      <c r="DC1499" s="307"/>
      <c r="DE1499" s="307"/>
    </row>
    <row r="1500">
      <c r="A1500" s="1"/>
      <c r="B1500" s="1"/>
      <c r="C1500" s="76"/>
      <c r="D1500" s="76"/>
      <c r="E1500" s="76"/>
      <c r="F1500" s="76"/>
      <c r="G1500" s="79"/>
      <c r="H1500" s="80"/>
      <c r="I1500" s="79"/>
      <c r="J1500" s="80"/>
      <c r="K1500" s="79"/>
      <c r="L1500" s="142"/>
      <c r="M1500" s="1"/>
      <c r="N1500" s="142"/>
      <c r="O1500" s="1"/>
      <c r="P1500" s="142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79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R1500" s="1"/>
      <c r="CS1500" s="1"/>
      <c r="CT1500" s="1"/>
      <c r="CU1500" s="1"/>
      <c r="CV1500" s="1"/>
      <c r="CW1500" s="1"/>
      <c r="CX1500" s="1"/>
      <c r="CY1500" s="91" t="str">
        <f t="shared" si="831"/>
        <v/>
      </c>
      <c r="CZ1500" s="1"/>
      <c r="DC1500" s="307"/>
      <c r="DE1500" s="307"/>
    </row>
    <row r="1501">
      <c r="A1501" s="1"/>
      <c r="B1501" s="1"/>
      <c r="C1501" s="76"/>
      <c r="D1501" s="76"/>
      <c r="E1501" s="76"/>
      <c r="F1501" s="76"/>
      <c r="G1501" s="79"/>
      <c r="H1501" s="80"/>
      <c r="I1501" s="79"/>
      <c r="J1501" s="80"/>
      <c r="K1501" s="79"/>
      <c r="L1501" s="142"/>
      <c r="M1501" s="1"/>
      <c r="N1501" s="142"/>
      <c r="O1501" s="1"/>
      <c r="P1501" s="142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79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R1501" s="1"/>
      <c r="CS1501" s="1"/>
      <c r="CT1501" s="1"/>
      <c r="CU1501" s="1"/>
      <c r="CV1501" s="1"/>
      <c r="CW1501" s="1"/>
      <c r="CX1501" s="1"/>
      <c r="CY1501" s="91" t="str">
        <f t="shared" si="831"/>
        <v/>
      </c>
      <c r="CZ1501" s="1"/>
      <c r="DC1501" s="307"/>
      <c r="DE1501" s="307"/>
    </row>
    <row r="1502">
      <c r="A1502" s="1"/>
      <c r="B1502" s="1"/>
      <c r="C1502" s="76"/>
      <c r="D1502" s="76"/>
      <c r="E1502" s="76"/>
      <c r="F1502" s="76"/>
      <c r="G1502" s="79"/>
      <c r="H1502" s="80"/>
      <c r="I1502" s="79"/>
      <c r="J1502" s="80"/>
      <c r="K1502" s="79"/>
      <c r="L1502" s="142"/>
      <c r="M1502" s="1"/>
      <c r="N1502" s="142"/>
      <c r="O1502" s="1"/>
      <c r="P1502" s="142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79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R1502" s="1"/>
      <c r="CS1502" s="1"/>
      <c r="CT1502" s="1"/>
      <c r="CU1502" s="1"/>
      <c r="CV1502" s="1"/>
      <c r="CW1502" s="1"/>
      <c r="CX1502" s="1"/>
      <c r="CY1502" s="91" t="str">
        <f t="shared" si="831"/>
        <v/>
      </c>
      <c r="CZ1502" s="1"/>
      <c r="DC1502" s="307"/>
      <c r="DE1502" s="307"/>
    </row>
    <row r="1503">
      <c r="A1503" s="1"/>
      <c r="B1503" s="1"/>
      <c r="C1503" s="76"/>
      <c r="D1503" s="76"/>
      <c r="E1503" s="76"/>
      <c r="F1503" s="76"/>
      <c r="G1503" s="79"/>
      <c r="H1503" s="80"/>
      <c r="I1503" s="79"/>
      <c r="J1503" s="80"/>
      <c r="K1503" s="79"/>
      <c r="L1503" s="142"/>
      <c r="M1503" s="1"/>
      <c r="N1503" s="142"/>
      <c r="O1503" s="1"/>
      <c r="P1503" s="142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79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R1503" s="1"/>
      <c r="CS1503" s="1"/>
      <c r="CT1503" s="1"/>
      <c r="CU1503" s="1"/>
      <c r="CV1503" s="1"/>
      <c r="CW1503" s="1"/>
      <c r="CX1503" s="1"/>
      <c r="CY1503" s="91" t="str">
        <f t="shared" si="831"/>
        <v/>
      </c>
      <c r="CZ1503" s="1"/>
      <c r="DC1503" s="307"/>
      <c r="DE1503" s="307"/>
    </row>
    <row r="1504">
      <c r="A1504" s="1"/>
      <c r="B1504" s="1"/>
      <c r="C1504" s="76"/>
      <c r="D1504" s="76"/>
      <c r="E1504" s="76"/>
      <c r="F1504" s="76"/>
      <c r="G1504" s="79"/>
      <c r="H1504" s="80"/>
      <c r="I1504" s="79"/>
      <c r="J1504" s="80"/>
      <c r="K1504" s="79"/>
      <c r="L1504" s="142"/>
      <c r="M1504" s="1"/>
      <c r="N1504" s="142"/>
      <c r="O1504" s="1"/>
      <c r="P1504" s="142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79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R1504" s="1"/>
      <c r="CS1504" s="1"/>
      <c r="CT1504" s="1"/>
      <c r="CU1504" s="1"/>
      <c r="CV1504" s="1"/>
      <c r="CW1504" s="1"/>
      <c r="CX1504" s="1"/>
      <c r="CY1504" s="91" t="str">
        <f t="shared" si="831"/>
        <v/>
      </c>
      <c r="CZ1504" s="1"/>
      <c r="DC1504" s="307"/>
      <c r="DE1504" s="307"/>
    </row>
    <row r="1505">
      <c r="A1505" s="1"/>
      <c r="B1505" s="1"/>
      <c r="C1505" s="76"/>
      <c r="D1505" s="76"/>
      <c r="E1505" s="76"/>
      <c r="F1505" s="76"/>
      <c r="G1505" s="79"/>
      <c r="H1505" s="80"/>
      <c r="I1505" s="79"/>
      <c r="J1505" s="80"/>
      <c r="K1505" s="79"/>
      <c r="L1505" s="142"/>
      <c r="M1505" s="1"/>
      <c r="N1505" s="142"/>
      <c r="O1505" s="1"/>
      <c r="P1505" s="142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79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R1505" s="1"/>
      <c r="CS1505" s="1"/>
      <c r="CT1505" s="1"/>
      <c r="CU1505" s="1"/>
      <c r="CV1505" s="1"/>
      <c r="CW1505" s="1"/>
      <c r="CX1505" s="1"/>
      <c r="CY1505" s="91" t="str">
        <f t="shared" si="831"/>
        <v/>
      </c>
      <c r="CZ1505" s="1"/>
      <c r="DC1505" s="307"/>
      <c r="DE1505" s="307"/>
    </row>
    <row r="1506">
      <c r="A1506" s="1"/>
      <c r="B1506" s="1"/>
      <c r="C1506" s="76"/>
      <c r="D1506" s="76"/>
      <c r="E1506" s="76"/>
      <c r="F1506" s="76"/>
      <c r="G1506" s="79"/>
      <c r="H1506" s="80"/>
      <c r="I1506" s="79"/>
      <c r="J1506" s="80"/>
      <c r="K1506" s="79"/>
      <c r="L1506" s="142"/>
      <c r="M1506" s="1"/>
      <c r="N1506" s="142"/>
      <c r="O1506" s="1"/>
      <c r="P1506" s="142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79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R1506" s="1"/>
      <c r="CS1506" s="1"/>
      <c r="CT1506" s="1"/>
      <c r="CU1506" s="1"/>
      <c r="CV1506" s="1"/>
      <c r="CW1506" s="1"/>
      <c r="CX1506" s="1"/>
      <c r="CY1506" s="91" t="str">
        <f t="shared" si="831"/>
        <v/>
      </c>
      <c r="CZ1506" s="1"/>
      <c r="DC1506" s="307"/>
      <c r="DE1506" s="307"/>
    </row>
    <row r="1507">
      <c r="A1507" s="1"/>
      <c r="B1507" s="1"/>
      <c r="C1507" s="76"/>
      <c r="D1507" s="76"/>
      <c r="E1507" s="76"/>
      <c r="F1507" s="76"/>
      <c r="G1507" s="79"/>
      <c r="H1507" s="80"/>
      <c r="I1507" s="79"/>
      <c r="J1507" s="80"/>
      <c r="K1507" s="79"/>
      <c r="L1507" s="142"/>
      <c r="M1507" s="1"/>
      <c r="N1507" s="142"/>
      <c r="O1507" s="1"/>
      <c r="P1507" s="142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79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R1507" s="1"/>
      <c r="CS1507" s="1"/>
      <c r="CT1507" s="1"/>
      <c r="CU1507" s="1"/>
      <c r="CV1507" s="1"/>
      <c r="CW1507" s="1"/>
      <c r="CX1507" s="1"/>
      <c r="CY1507" s="91" t="str">
        <f t="shared" si="831"/>
        <v/>
      </c>
      <c r="CZ1507" s="1"/>
      <c r="DC1507" s="307"/>
      <c r="DE1507" s="307"/>
    </row>
    <row r="1508">
      <c r="A1508" s="1"/>
      <c r="B1508" s="1"/>
      <c r="C1508" s="76"/>
      <c r="D1508" s="76"/>
      <c r="E1508" s="76"/>
      <c r="F1508" s="76"/>
      <c r="G1508" s="79"/>
      <c r="H1508" s="80"/>
      <c r="I1508" s="79"/>
      <c r="J1508" s="80"/>
      <c r="K1508" s="79"/>
      <c r="L1508" s="142"/>
      <c r="M1508" s="1"/>
      <c r="N1508" s="142"/>
      <c r="O1508" s="1"/>
      <c r="P1508" s="142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79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R1508" s="1"/>
      <c r="CS1508" s="1"/>
      <c r="CT1508" s="1"/>
      <c r="CU1508" s="1"/>
      <c r="CV1508" s="1"/>
      <c r="CW1508" s="1"/>
      <c r="CX1508" s="1"/>
      <c r="CY1508" s="91" t="str">
        <f t="shared" si="831"/>
        <v/>
      </c>
      <c r="CZ1508" s="1"/>
      <c r="DC1508" s="307"/>
      <c r="DE1508" s="307"/>
    </row>
    <row r="1509">
      <c r="A1509" s="1"/>
      <c r="B1509" s="1"/>
      <c r="C1509" s="76"/>
      <c r="D1509" s="76"/>
      <c r="E1509" s="76"/>
      <c r="F1509" s="76"/>
      <c r="G1509" s="79"/>
      <c r="H1509" s="80"/>
      <c r="I1509" s="79"/>
      <c r="J1509" s="80"/>
      <c r="K1509" s="79"/>
      <c r="L1509" s="142"/>
      <c r="M1509" s="1"/>
      <c r="N1509" s="142"/>
      <c r="O1509" s="1"/>
      <c r="P1509" s="142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79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R1509" s="1"/>
      <c r="CS1509" s="1"/>
      <c r="CT1509" s="1"/>
      <c r="CU1509" s="1"/>
      <c r="CV1509" s="1"/>
      <c r="CW1509" s="1"/>
      <c r="CX1509" s="1"/>
      <c r="CY1509" s="91" t="str">
        <f t="shared" si="831"/>
        <v/>
      </c>
      <c r="CZ1509" s="1"/>
      <c r="DC1509" s="307"/>
      <c r="DE1509" s="307"/>
    </row>
    <row r="1510">
      <c r="A1510" s="1"/>
      <c r="B1510" s="1"/>
      <c r="C1510" s="76"/>
      <c r="D1510" s="76"/>
      <c r="E1510" s="76"/>
      <c r="F1510" s="76"/>
      <c r="G1510" s="79"/>
      <c r="H1510" s="80"/>
      <c r="I1510" s="79"/>
      <c r="J1510" s="80"/>
      <c r="K1510" s="79"/>
      <c r="L1510" s="142"/>
      <c r="M1510" s="1"/>
      <c r="N1510" s="142"/>
      <c r="O1510" s="1"/>
      <c r="P1510" s="142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79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R1510" s="1"/>
      <c r="CS1510" s="1"/>
      <c r="CT1510" s="1"/>
      <c r="CU1510" s="1"/>
      <c r="CV1510" s="1"/>
      <c r="CW1510" s="1"/>
      <c r="CX1510" s="1"/>
      <c r="CY1510" s="91" t="str">
        <f t="shared" si="831"/>
        <v/>
      </c>
      <c r="CZ1510" s="1"/>
      <c r="DC1510" s="307"/>
      <c r="DE1510" s="307"/>
    </row>
    <row r="1511">
      <c r="A1511" s="1"/>
      <c r="B1511" s="1"/>
      <c r="C1511" s="76"/>
      <c r="D1511" s="76"/>
      <c r="E1511" s="76"/>
      <c r="F1511" s="76"/>
      <c r="G1511" s="79"/>
      <c r="H1511" s="80"/>
      <c r="I1511" s="79"/>
      <c r="J1511" s="80"/>
      <c r="K1511" s="79"/>
      <c r="L1511" s="142"/>
      <c r="M1511" s="1"/>
      <c r="N1511" s="142"/>
      <c r="O1511" s="1"/>
      <c r="P1511" s="142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79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R1511" s="1"/>
      <c r="CS1511" s="1"/>
      <c r="CT1511" s="1"/>
      <c r="CU1511" s="1"/>
      <c r="CV1511" s="1"/>
      <c r="CW1511" s="1"/>
      <c r="CX1511" s="1"/>
      <c r="CY1511" s="91" t="str">
        <f t="shared" si="831"/>
        <v/>
      </c>
      <c r="CZ1511" s="1"/>
      <c r="DC1511" s="307"/>
      <c r="DE1511" s="307"/>
    </row>
    <row r="1512">
      <c r="A1512" s="1"/>
      <c r="B1512" s="1"/>
      <c r="C1512" s="76"/>
      <c r="D1512" s="76"/>
      <c r="E1512" s="76"/>
      <c r="F1512" s="76"/>
      <c r="G1512" s="79"/>
      <c r="H1512" s="80"/>
      <c r="I1512" s="79"/>
      <c r="J1512" s="80"/>
      <c r="K1512" s="79"/>
      <c r="L1512" s="142"/>
      <c r="M1512" s="1"/>
      <c r="N1512" s="142"/>
      <c r="O1512" s="1"/>
      <c r="P1512" s="142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79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R1512" s="1"/>
      <c r="CS1512" s="1"/>
      <c r="CT1512" s="1"/>
      <c r="CU1512" s="1"/>
      <c r="CV1512" s="1"/>
      <c r="CW1512" s="1"/>
      <c r="CX1512" s="1"/>
      <c r="CY1512" s="91" t="str">
        <f t="shared" si="831"/>
        <v/>
      </c>
      <c r="CZ1512" s="1"/>
      <c r="DC1512" s="307"/>
      <c r="DE1512" s="307"/>
    </row>
    <row r="1513">
      <c r="A1513" s="1"/>
      <c r="B1513" s="1"/>
      <c r="C1513" s="76"/>
      <c r="D1513" s="76"/>
      <c r="E1513" s="76"/>
      <c r="F1513" s="76"/>
      <c r="G1513" s="79"/>
      <c r="H1513" s="80"/>
      <c r="I1513" s="79"/>
      <c r="J1513" s="80"/>
      <c r="K1513" s="79"/>
      <c r="L1513" s="142"/>
      <c r="M1513" s="1"/>
      <c r="N1513" s="142"/>
      <c r="O1513" s="1"/>
      <c r="P1513" s="142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79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R1513" s="1"/>
      <c r="CS1513" s="1"/>
      <c r="CT1513" s="1"/>
      <c r="CU1513" s="1"/>
      <c r="CV1513" s="1"/>
      <c r="CW1513" s="1"/>
      <c r="CX1513" s="1"/>
      <c r="CY1513" s="91" t="str">
        <f t="shared" si="831"/>
        <v/>
      </c>
      <c r="CZ1513" s="1"/>
      <c r="DC1513" s="307"/>
      <c r="DE1513" s="307"/>
    </row>
    <row r="1514">
      <c r="A1514" s="1"/>
      <c r="B1514" s="1"/>
      <c r="C1514" s="76"/>
      <c r="D1514" s="76"/>
      <c r="E1514" s="76"/>
      <c r="F1514" s="76"/>
      <c r="G1514" s="79"/>
      <c r="H1514" s="80"/>
      <c r="I1514" s="79"/>
      <c r="J1514" s="80"/>
      <c r="K1514" s="79"/>
      <c r="L1514" s="142"/>
      <c r="M1514" s="1"/>
      <c r="N1514" s="142"/>
      <c r="O1514" s="1"/>
      <c r="P1514" s="142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79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R1514" s="1"/>
      <c r="CS1514" s="1"/>
      <c r="CT1514" s="1"/>
      <c r="CU1514" s="1"/>
      <c r="CV1514" s="1"/>
      <c r="CW1514" s="1"/>
      <c r="CX1514" s="1"/>
      <c r="CY1514" s="91" t="str">
        <f t="shared" si="831"/>
        <v/>
      </c>
      <c r="CZ1514" s="1"/>
      <c r="DC1514" s="307"/>
      <c r="DE1514" s="307"/>
    </row>
    <row r="1515">
      <c r="A1515" s="1"/>
      <c r="B1515" s="1"/>
      <c r="C1515" s="76"/>
      <c r="D1515" s="76"/>
      <c r="E1515" s="76"/>
      <c r="F1515" s="76"/>
      <c r="G1515" s="79"/>
      <c r="H1515" s="80"/>
      <c r="I1515" s="79"/>
      <c r="J1515" s="80"/>
      <c r="K1515" s="79"/>
      <c r="L1515" s="142"/>
      <c r="M1515" s="1"/>
      <c r="N1515" s="142"/>
      <c r="O1515" s="1"/>
      <c r="P1515" s="142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79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R1515" s="1"/>
      <c r="CS1515" s="1"/>
      <c r="CT1515" s="1"/>
      <c r="CU1515" s="1"/>
      <c r="CV1515" s="1"/>
      <c r="CW1515" s="1"/>
      <c r="CX1515" s="1"/>
      <c r="CY1515" s="91" t="str">
        <f t="shared" si="831"/>
        <v/>
      </c>
      <c r="CZ1515" s="1"/>
      <c r="DC1515" s="307"/>
      <c r="DE1515" s="307"/>
    </row>
    <row r="1516">
      <c r="A1516" s="1"/>
      <c r="B1516" s="1"/>
      <c r="C1516" s="76"/>
      <c r="D1516" s="76"/>
      <c r="E1516" s="76"/>
      <c r="F1516" s="76"/>
      <c r="G1516" s="79"/>
      <c r="H1516" s="80"/>
      <c r="I1516" s="79"/>
      <c r="J1516" s="80"/>
      <c r="K1516" s="79"/>
      <c r="L1516" s="142"/>
      <c r="M1516" s="1"/>
      <c r="N1516" s="142"/>
      <c r="O1516" s="1"/>
      <c r="P1516" s="142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79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R1516" s="1"/>
      <c r="CS1516" s="1"/>
      <c r="CT1516" s="1"/>
      <c r="CU1516" s="1"/>
      <c r="CV1516" s="1"/>
      <c r="CW1516" s="1"/>
      <c r="CX1516" s="1"/>
      <c r="CY1516" s="91" t="str">
        <f t="shared" si="831"/>
        <v/>
      </c>
      <c r="CZ1516" s="1"/>
      <c r="DC1516" s="307"/>
      <c r="DE1516" s="307"/>
    </row>
    <row r="1517">
      <c r="A1517" s="1"/>
      <c r="B1517" s="1"/>
      <c r="C1517" s="76"/>
      <c r="D1517" s="76"/>
      <c r="E1517" s="76"/>
      <c r="F1517" s="76"/>
      <c r="G1517" s="79"/>
      <c r="H1517" s="80"/>
      <c r="I1517" s="79"/>
      <c r="J1517" s="80"/>
      <c r="K1517" s="79"/>
      <c r="L1517" s="142"/>
      <c r="M1517" s="1"/>
      <c r="N1517" s="142"/>
      <c r="O1517" s="1"/>
      <c r="P1517" s="142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79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R1517" s="1"/>
      <c r="CS1517" s="1"/>
      <c r="CT1517" s="1"/>
      <c r="CU1517" s="1"/>
      <c r="CV1517" s="1"/>
      <c r="CW1517" s="1"/>
      <c r="CX1517" s="1"/>
      <c r="CY1517" s="91" t="str">
        <f t="shared" si="831"/>
        <v/>
      </c>
      <c r="CZ1517" s="1"/>
      <c r="DC1517" s="307"/>
      <c r="DE1517" s="307"/>
    </row>
    <row r="1518">
      <c r="A1518" s="1"/>
      <c r="B1518" s="1"/>
      <c r="C1518" s="76"/>
      <c r="D1518" s="76"/>
      <c r="E1518" s="76"/>
      <c r="F1518" s="76"/>
      <c r="G1518" s="79"/>
      <c r="H1518" s="80"/>
      <c r="I1518" s="79"/>
      <c r="J1518" s="80"/>
      <c r="K1518" s="79"/>
      <c r="L1518" s="142"/>
      <c r="M1518" s="1"/>
      <c r="N1518" s="142"/>
      <c r="O1518" s="1"/>
      <c r="P1518" s="142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79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R1518" s="1"/>
      <c r="CS1518" s="1"/>
      <c r="CT1518" s="1"/>
      <c r="CU1518" s="1"/>
      <c r="CV1518" s="1"/>
      <c r="CW1518" s="1"/>
      <c r="CX1518" s="1"/>
      <c r="CY1518" s="91" t="str">
        <f t="shared" si="831"/>
        <v/>
      </c>
      <c r="CZ1518" s="1"/>
      <c r="DC1518" s="307"/>
      <c r="DE1518" s="307"/>
    </row>
    <row r="1519">
      <c r="A1519" s="1"/>
      <c r="B1519" s="1"/>
      <c r="C1519" s="76"/>
      <c r="D1519" s="76"/>
      <c r="E1519" s="76"/>
      <c r="F1519" s="76"/>
      <c r="G1519" s="79"/>
      <c r="H1519" s="80"/>
      <c r="I1519" s="79"/>
      <c r="J1519" s="80"/>
      <c r="K1519" s="79"/>
      <c r="L1519" s="142"/>
      <c r="M1519" s="1"/>
      <c r="N1519" s="142"/>
      <c r="O1519" s="1"/>
      <c r="P1519" s="142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79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R1519" s="1"/>
      <c r="CS1519" s="1"/>
      <c r="CT1519" s="1"/>
      <c r="CU1519" s="1"/>
      <c r="CV1519" s="1"/>
      <c r="CW1519" s="1"/>
      <c r="CX1519" s="1"/>
      <c r="CY1519" s="91" t="str">
        <f t="shared" si="831"/>
        <v/>
      </c>
      <c r="CZ1519" s="1"/>
      <c r="DC1519" s="307"/>
      <c r="DE1519" s="307"/>
    </row>
    <row r="1520">
      <c r="A1520" s="1"/>
      <c r="B1520" s="1"/>
      <c r="C1520" s="76"/>
      <c r="D1520" s="76"/>
      <c r="E1520" s="76"/>
      <c r="F1520" s="76"/>
      <c r="G1520" s="79"/>
      <c r="H1520" s="80"/>
      <c r="I1520" s="79"/>
      <c r="J1520" s="80"/>
      <c r="K1520" s="79"/>
      <c r="L1520" s="142"/>
      <c r="M1520" s="1"/>
      <c r="N1520" s="142"/>
      <c r="O1520" s="1"/>
      <c r="P1520" s="142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79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R1520" s="1"/>
      <c r="CS1520" s="1"/>
      <c r="CT1520" s="1"/>
      <c r="CU1520" s="1"/>
      <c r="CV1520" s="1"/>
      <c r="CW1520" s="1"/>
      <c r="CX1520" s="1"/>
      <c r="CY1520" s="91" t="str">
        <f t="shared" si="831"/>
        <v/>
      </c>
      <c r="CZ1520" s="1"/>
      <c r="DC1520" s="307"/>
      <c r="DE1520" s="307"/>
    </row>
    <row r="1521">
      <c r="A1521" s="1"/>
      <c r="B1521" s="1"/>
      <c r="C1521" s="76"/>
      <c r="D1521" s="76"/>
      <c r="E1521" s="76"/>
      <c r="F1521" s="76"/>
      <c r="G1521" s="79"/>
      <c r="H1521" s="80"/>
      <c r="I1521" s="79"/>
      <c r="J1521" s="80"/>
      <c r="K1521" s="79"/>
      <c r="L1521" s="142"/>
      <c r="M1521" s="1"/>
      <c r="N1521" s="142"/>
      <c r="O1521" s="1"/>
      <c r="P1521" s="142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79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R1521" s="1"/>
      <c r="CS1521" s="1"/>
      <c r="CT1521" s="1"/>
      <c r="CU1521" s="1"/>
      <c r="CV1521" s="1"/>
      <c r="CW1521" s="1"/>
      <c r="CX1521" s="1"/>
      <c r="CY1521" s="91" t="str">
        <f t="shared" si="831"/>
        <v/>
      </c>
      <c r="CZ1521" s="1"/>
      <c r="DC1521" s="307"/>
      <c r="DE1521" s="307"/>
    </row>
    <row r="1522">
      <c r="A1522" s="1"/>
      <c r="B1522" s="1"/>
      <c r="C1522" s="76"/>
      <c r="D1522" s="76"/>
      <c r="E1522" s="76"/>
      <c r="F1522" s="76"/>
      <c r="G1522" s="79"/>
      <c r="H1522" s="80"/>
      <c r="I1522" s="79"/>
      <c r="J1522" s="80"/>
      <c r="K1522" s="79"/>
      <c r="L1522" s="142"/>
      <c r="M1522" s="1"/>
      <c r="N1522" s="142"/>
      <c r="O1522" s="1"/>
      <c r="P1522" s="142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79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R1522" s="1"/>
      <c r="CS1522" s="1"/>
      <c r="CT1522" s="1"/>
      <c r="CU1522" s="1"/>
      <c r="CV1522" s="1"/>
      <c r="CW1522" s="1"/>
      <c r="CX1522" s="1"/>
      <c r="CY1522" s="91" t="str">
        <f t="shared" si="831"/>
        <v/>
      </c>
      <c r="CZ1522" s="1"/>
      <c r="DC1522" s="307"/>
      <c r="DE1522" s="307"/>
    </row>
    <row r="1523">
      <c r="A1523" s="1"/>
      <c r="B1523" s="1"/>
      <c r="C1523" s="76"/>
      <c r="D1523" s="76"/>
      <c r="E1523" s="76"/>
      <c r="F1523" s="76"/>
      <c r="G1523" s="79"/>
      <c r="H1523" s="80"/>
      <c r="I1523" s="79"/>
      <c r="J1523" s="80"/>
      <c r="K1523" s="79"/>
      <c r="L1523" s="142"/>
      <c r="M1523" s="1"/>
      <c r="N1523" s="142"/>
      <c r="O1523" s="1"/>
      <c r="P1523" s="142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79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R1523" s="1"/>
      <c r="CS1523" s="1"/>
      <c r="CT1523" s="1"/>
      <c r="CU1523" s="1"/>
      <c r="CV1523" s="1"/>
      <c r="CW1523" s="1"/>
      <c r="CX1523" s="1"/>
      <c r="CY1523" s="91" t="str">
        <f t="shared" si="831"/>
        <v/>
      </c>
      <c r="CZ1523" s="1"/>
      <c r="DC1523" s="307"/>
      <c r="DE1523" s="307"/>
    </row>
    <row r="1524">
      <c r="A1524" s="1"/>
      <c r="B1524" s="1"/>
      <c r="C1524" s="76"/>
      <c r="D1524" s="76"/>
      <c r="E1524" s="76"/>
      <c r="F1524" s="76"/>
      <c r="G1524" s="79"/>
      <c r="H1524" s="80"/>
      <c r="I1524" s="79"/>
      <c r="J1524" s="80"/>
      <c r="K1524" s="79"/>
      <c r="L1524" s="142"/>
      <c r="M1524" s="1"/>
      <c r="N1524" s="142"/>
      <c r="O1524" s="1"/>
      <c r="P1524" s="142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79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R1524" s="1"/>
      <c r="CS1524" s="1"/>
      <c r="CT1524" s="1"/>
      <c r="CU1524" s="1"/>
      <c r="CV1524" s="1"/>
      <c r="CW1524" s="1"/>
      <c r="CX1524" s="1"/>
      <c r="CY1524" s="91" t="str">
        <f t="shared" si="831"/>
        <v/>
      </c>
      <c r="CZ1524" s="1"/>
      <c r="DC1524" s="307"/>
      <c r="DE1524" s="307"/>
    </row>
    <row r="1525">
      <c r="A1525" s="1"/>
      <c r="B1525" s="1"/>
      <c r="C1525" s="76"/>
      <c r="D1525" s="76"/>
      <c r="E1525" s="76"/>
      <c r="F1525" s="76"/>
      <c r="G1525" s="79"/>
      <c r="H1525" s="80"/>
      <c r="I1525" s="79"/>
      <c r="J1525" s="80"/>
      <c r="K1525" s="79"/>
      <c r="L1525" s="142"/>
      <c r="M1525" s="1"/>
      <c r="N1525" s="142"/>
      <c r="O1525" s="1"/>
      <c r="P1525" s="142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79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R1525" s="1"/>
      <c r="CS1525" s="1"/>
      <c r="CT1525" s="1"/>
      <c r="CU1525" s="1"/>
      <c r="CV1525" s="1"/>
      <c r="CW1525" s="1"/>
      <c r="CX1525" s="1"/>
      <c r="CY1525" s="91" t="str">
        <f t="shared" si="831"/>
        <v/>
      </c>
      <c r="CZ1525" s="1"/>
      <c r="DC1525" s="307"/>
      <c r="DE1525" s="307"/>
    </row>
    <row r="1526">
      <c r="A1526" s="1"/>
      <c r="B1526" s="1"/>
      <c r="C1526" s="76"/>
      <c r="D1526" s="76"/>
      <c r="E1526" s="76"/>
      <c r="F1526" s="76"/>
      <c r="G1526" s="79"/>
      <c r="H1526" s="80"/>
      <c r="I1526" s="79"/>
      <c r="J1526" s="80"/>
      <c r="K1526" s="79"/>
      <c r="L1526" s="142"/>
      <c r="M1526" s="1"/>
      <c r="N1526" s="142"/>
      <c r="O1526" s="1"/>
      <c r="P1526" s="142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79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R1526" s="1"/>
      <c r="CS1526" s="1"/>
      <c r="CT1526" s="1"/>
      <c r="CU1526" s="1"/>
      <c r="CV1526" s="1"/>
      <c r="CW1526" s="1"/>
      <c r="CX1526" s="1"/>
      <c r="CY1526" s="91" t="str">
        <f t="shared" si="831"/>
        <v/>
      </c>
      <c r="CZ1526" s="1"/>
      <c r="DC1526" s="307"/>
      <c r="DE1526" s="307"/>
    </row>
    <row r="1527">
      <c r="A1527" s="1"/>
      <c r="B1527" s="1"/>
      <c r="C1527" s="76"/>
      <c r="D1527" s="76"/>
      <c r="E1527" s="76"/>
      <c r="F1527" s="76"/>
      <c r="G1527" s="79"/>
      <c r="H1527" s="80"/>
      <c r="I1527" s="79"/>
      <c r="J1527" s="80"/>
      <c r="K1527" s="79"/>
      <c r="L1527" s="142"/>
      <c r="M1527" s="1"/>
      <c r="N1527" s="142"/>
      <c r="O1527" s="1"/>
      <c r="P1527" s="142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79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R1527" s="1"/>
      <c r="CS1527" s="1"/>
      <c r="CT1527" s="1"/>
      <c r="CU1527" s="1"/>
      <c r="CV1527" s="1"/>
      <c r="CW1527" s="1"/>
      <c r="CX1527" s="1"/>
      <c r="CY1527" s="91" t="str">
        <f t="shared" si="831"/>
        <v/>
      </c>
      <c r="CZ1527" s="1"/>
      <c r="DC1527" s="307"/>
      <c r="DE1527" s="307"/>
    </row>
    <row r="1528">
      <c r="A1528" s="1"/>
      <c r="B1528" s="1"/>
      <c r="C1528" s="76"/>
      <c r="D1528" s="76"/>
      <c r="E1528" s="76"/>
      <c r="F1528" s="76"/>
      <c r="G1528" s="79"/>
      <c r="H1528" s="80"/>
      <c r="I1528" s="79"/>
      <c r="J1528" s="80"/>
      <c r="K1528" s="79"/>
      <c r="L1528" s="142"/>
      <c r="M1528" s="1"/>
      <c r="N1528" s="142"/>
      <c r="O1528" s="1"/>
      <c r="P1528" s="142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79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R1528" s="1"/>
      <c r="CS1528" s="1"/>
      <c r="CT1528" s="1"/>
      <c r="CU1528" s="1"/>
      <c r="CV1528" s="1"/>
      <c r="CW1528" s="1"/>
      <c r="CX1528" s="1"/>
      <c r="CY1528" s="91" t="str">
        <f t="shared" si="831"/>
        <v/>
      </c>
      <c r="CZ1528" s="1"/>
      <c r="DC1528" s="307"/>
      <c r="DE1528" s="307"/>
    </row>
    <row r="1529">
      <c r="A1529" s="1"/>
      <c r="B1529" s="1"/>
      <c r="C1529" s="76"/>
      <c r="D1529" s="76"/>
      <c r="E1529" s="76"/>
      <c r="F1529" s="76"/>
      <c r="G1529" s="79"/>
      <c r="H1529" s="80"/>
      <c r="I1529" s="79"/>
      <c r="J1529" s="80"/>
      <c r="K1529" s="79"/>
      <c r="L1529" s="142"/>
      <c r="M1529" s="1"/>
      <c r="N1529" s="142"/>
      <c r="O1529" s="1"/>
      <c r="P1529" s="142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79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R1529" s="1"/>
      <c r="CS1529" s="1"/>
      <c r="CT1529" s="1"/>
      <c r="CU1529" s="1"/>
      <c r="CV1529" s="1"/>
      <c r="CW1529" s="1"/>
      <c r="CX1529" s="1"/>
      <c r="CY1529" s="91" t="str">
        <f t="shared" si="831"/>
        <v/>
      </c>
      <c r="CZ1529" s="1"/>
      <c r="DC1529" s="307"/>
      <c r="DE1529" s="307"/>
    </row>
    <row r="1530">
      <c r="A1530" s="1"/>
      <c r="B1530" s="1"/>
      <c r="C1530" s="76"/>
      <c r="D1530" s="76"/>
      <c r="E1530" s="76"/>
      <c r="F1530" s="76"/>
      <c r="G1530" s="79"/>
      <c r="H1530" s="80"/>
      <c r="I1530" s="79"/>
      <c r="J1530" s="80"/>
      <c r="K1530" s="79"/>
      <c r="L1530" s="142"/>
      <c r="M1530" s="1"/>
      <c r="N1530" s="142"/>
      <c r="O1530" s="1"/>
      <c r="P1530" s="142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79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R1530" s="1"/>
      <c r="CS1530" s="1"/>
      <c r="CT1530" s="1"/>
      <c r="CU1530" s="1"/>
      <c r="CV1530" s="1"/>
      <c r="CW1530" s="1"/>
      <c r="CX1530" s="1"/>
      <c r="CY1530" s="91" t="str">
        <f t="shared" si="831"/>
        <v/>
      </c>
      <c r="CZ1530" s="1"/>
      <c r="DC1530" s="307"/>
      <c r="DE1530" s="307"/>
    </row>
    <row r="1531">
      <c r="A1531" s="1"/>
      <c r="B1531" s="1"/>
      <c r="C1531" s="76"/>
      <c r="D1531" s="76"/>
      <c r="E1531" s="76"/>
      <c r="F1531" s="76"/>
      <c r="G1531" s="79"/>
      <c r="H1531" s="80"/>
      <c r="I1531" s="79"/>
      <c r="J1531" s="80"/>
      <c r="K1531" s="79"/>
      <c r="L1531" s="142"/>
      <c r="M1531" s="1"/>
      <c r="N1531" s="142"/>
      <c r="O1531" s="1"/>
      <c r="P1531" s="142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79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R1531" s="1"/>
      <c r="CS1531" s="1"/>
      <c r="CT1531" s="1"/>
      <c r="CU1531" s="1"/>
      <c r="CV1531" s="1"/>
      <c r="CW1531" s="1"/>
      <c r="CX1531" s="1"/>
      <c r="CY1531" s="91" t="str">
        <f t="shared" si="831"/>
        <v/>
      </c>
      <c r="CZ1531" s="1"/>
      <c r="DC1531" s="307"/>
      <c r="DE1531" s="307"/>
    </row>
    <row r="1532">
      <c r="A1532" s="1"/>
      <c r="B1532" s="1"/>
      <c r="C1532" s="76"/>
      <c r="D1532" s="76"/>
      <c r="E1532" s="76"/>
      <c r="F1532" s="76"/>
      <c r="G1532" s="79"/>
      <c r="H1532" s="80"/>
      <c r="I1532" s="79"/>
      <c r="J1532" s="80"/>
      <c r="K1532" s="79"/>
      <c r="L1532" s="142"/>
      <c r="M1532" s="1"/>
      <c r="N1532" s="142"/>
      <c r="O1532" s="1"/>
      <c r="P1532" s="142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79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R1532" s="1"/>
      <c r="CS1532" s="1"/>
      <c r="CT1532" s="1"/>
      <c r="CU1532" s="1"/>
      <c r="CV1532" s="1"/>
      <c r="CW1532" s="1"/>
      <c r="CX1532" s="1"/>
      <c r="CY1532" s="91" t="str">
        <f t="shared" si="831"/>
        <v/>
      </c>
      <c r="CZ1532" s="1"/>
      <c r="DC1532" s="307"/>
      <c r="DE1532" s="307"/>
    </row>
    <row r="1533">
      <c r="A1533" s="1"/>
      <c r="B1533" s="1"/>
      <c r="C1533" s="76"/>
      <c r="D1533" s="76"/>
      <c r="E1533" s="76"/>
      <c r="F1533" s="76"/>
      <c r="G1533" s="79"/>
      <c r="H1533" s="80"/>
      <c r="I1533" s="79"/>
      <c r="J1533" s="80"/>
      <c r="K1533" s="79"/>
      <c r="L1533" s="142"/>
      <c r="M1533" s="1"/>
      <c r="N1533" s="142"/>
      <c r="O1533" s="1"/>
      <c r="P1533" s="142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79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R1533" s="1"/>
      <c r="CS1533" s="1"/>
      <c r="CT1533" s="1"/>
      <c r="CU1533" s="1"/>
      <c r="CV1533" s="1"/>
      <c r="CW1533" s="1"/>
      <c r="CX1533" s="1"/>
      <c r="CY1533" s="91" t="str">
        <f t="shared" si="831"/>
        <v/>
      </c>
      <c r="CZ1533" s="1"/>
      <c r="DC1533" s="307"/>
      <c r="DE1533" s="307"/>
    </row>
    <row r="1534">
      <c r="A1534" s="1"/>
      <c r="B1534" s="1"/>
      <c r="C1534" s="76"/>
      <c r="D1534" s="76"/>
      <c r="E1534" s="76"/>
      <c r="F1534" s="76"/>
      <c r="G1534" s="79"/>
      <c r="H1534" s="80"/>
      <c r="I1534" s="79"/>
      <c r="J1534" s="80"/>
      <c r="K1534" s="79"/>
      <c r="L1534" s="142"/>
      <c r="M1534" s="1"/>
      <c r="N1534" s="142"/>
      <c r="O1534" s="1"/>
      <c r="P1534" s="142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79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R1534" s="1"/>
      <c r="CS1534" s="1"/>
      <c r="CT1534" s="1"/>
      <c r="CU1534" s="1"/>
      <c r="CV1534" s="1"/>
      <c r="CW1534" s="1"/>
      <c r="CX1534" s="1"/>
      <c r="CY1534" s="91" t="str">
        <f t="shared" si="831"/>
        <v/>
      </c>
      <c r="CZ1534" s="1"/>
      <c r="DC1534" s="307"/>
      <c r="DE1534" s="307"/>
    </row>
    <row r="1535">
      <c r="A1535" s="1"/>
      <c r="B1535" s="1"/>
      <c r="C1535" s="76"/>
      <c r="D1535" s="76"/>
      <c r="E1535" s="76"/>
      <c r="F1535" s="76"/>
      <c r="G1535" s="79"/>
      <c r="H1535" s="80"/>
      <c r="I1535" s="79"/>
      <c r="J1535" s="80"/>
      <c r="K1535" s="79"/>
      <c r="L1535" s="142"/>
      <c r="M1535" s="1"/>
      <c r="N1535" s="142"/>
      <c r="O1535" s="1"/>
      <c r="P1535" s="142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79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R1535" s="1"/>
      <c r="CS1535" s="1"/>
      <c r="CT1535" s="1"/>
      <c r="CU1535" s="1"/>
      <c r="CV1535" s="1"/>
      <c r="CW1535" s="1"/>
      <c r="CX1535" s="1"/>
      <c r="CY1535" s="91" t="str">
        <f t="shared" si="831"/>
        <v/>
      </c>
      <c r="CZ1535" s="1"/>
      <c r="DC1535" s="307"/>
      <c r="DE1535" s="307"/>
    </row>
    <row r="1536">
      <c r="A1536" s="1"/>
      <c r="B1536" s="1"/>
      <c r="C1536" s="76"/>
      <c r="D1536" s="76"/>
      <c r="E1536" s="76"/>
      <c r="F1536" s="76"/>
      <c r="G1536" s="79"/>
      <c r="H1536" s="80"/>
      <c r="I1536" s="79"/>
      <c r="J1536" s="80"/>
      <c r="K1536" s="79"/>
      <c r="L1536" s="142"/>
      <c r="M1536" s="1"/>
      <c r="N1536" s="142"/>
      <c r="O1536" s="1"/>
      <c r="P1536" s="142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79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R1536" s="1"/>
      <c r="CS1536" s="1"/>
      <c r="CT1536" s="1"/>
      <c r="CU1536" s="1"/>
      <c r="CV1536" s="1"/>
      <c r="CW1536" s="1"/>
      <c r="CX1536" s="1"/>
      <c r="CY1536" s="91" t="str">
        <f t="shared" si="831"/>
        <v/>
      </c>
      <c r="CZ1536" s="1"/>
      <c r="DC1536" s="307"/>
      <c r="DE1536" s="307"/>
    </row>
    <row r="1537">
      <c r="A1537" s="1"/>
      <c r="B1537" s="1"/>
      <c r="C1537" s="76"/>
      <c r="D1537" s="76"/>
      <c r="E1537" s="76"/>
      <c r="F1537" s="76"/>
      <c r="G1537" s="79"/>
      <c r="H1537" s="80"/>
      <c r="I1537" s="79"/>
      <c r="J1537" s="80"/>
      <c r="K1537" s="79"/>
      <c r="L1537" s="142"/>
      <c r="M1537" s="1"/>
      <c r="N1537" s="142"/>
      <c r="O1537" s="1"/>
      <c r="P1537" s="142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79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R1537" s="1"/>
      <c r="CS1537" s="1"/>
      <c r="CT1537" s="1"/>
      <c r="CU1537" s="1"/>
      <c r="CV1537" s="1"/>
      <c r="CW1537" s="1"/>
      <c r="CX1537" s="1"/>
      <c r="CY1537" s="91" t="str">
        <f t="shared" si="831"/>
        <v/>
      </c>
      <c r="CZ1537" s="1"/>
      <c r="DC1537" s="307"/>
      <c r="DE1537" s="307"/>
    </row>
    <row r="1538">
      <c r="A1538" s="1"/>
      <c r="B1538" s="1"/>
      <c r="C1538" s="76"/>
      <c r="D1538" s="76"/>
      <c r="E1538" s="76"/>
      <c r="F1538" s="76"/>
      <c r="G1538" s="79"/>
      <c r="H1538" s="80"/>
      <c r="I1538" s="79"/>
      <c r="J1538" s="80"/>
      <c r="K1538" s="79"/>
      <c r="L1538" s="142"/>
      <c r="M1538" s="1"/>
      <c r="N1538" s="142"/>
      <c r="O1538" s="1"/>
      <c r="P1538" s="142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79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R1538" s="1"/>
      <c r="CS1538" s="1"/>
      <c r="CT1538" s="1"/>
      <c r="CU1538" s="1"/>
      <c r="CV1538" s="1"/>
      <c r="CW1538" s="1"/>
      <c r="CX1538" s="1"/>
      <c r="CY1538" s="91" t="str">
        <f t="shared" si="831"/>
        <v/>
      </c>
      <c r="CZ1538" s="1"/>
      <c r="DC1538" s="307"/>
      <c r="DE1538" s="307"/>
    </row>
    <row r="1539">
      <c r="A1539" s="1"/>
      <c r="B1539" s="1"/>
      <c r="C1539" s="76"/>
      <c r="D1539" s="76"/>
      <c r="E1539" s="76"/>
      <c r="F1539" s="76"/>
      <c r="G1539" s="79"/>
      <c r="H1539" s="80"/>
      <c r="I1539" s="79"/>
      <c r="J1539" s="80"/>
      <c r="K1539" s="79"/>
      <c r="L1539" s="142"/>
      <c r="M1539" s="1"/>
      <c r="N1539" s="142"/>
      <c r="O1539" s="1"/>
      <c r="P1539" s="142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79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R1539" s="1"/>
      <c r="CS1539" s="1"/>
      <c r="CT1539" s="1"/>
      <c r="CU1539" s="1"/>
      <c r="CV1539" s="1"/>
      <c r="CW1539" s="1"/>
      <c r="CX1539" s="1"/>
      <c r="CY1539" s="91" t="str">
        <f t="shared" si="831"/>
        <v/>
      </c>
      <c r="CZ1539" s="1"/>
      <c r="DC1539" s="307"/>
      <c r="DE1539" s="307"/>
    </row>
    <row r="1540">
      <c r="A1540" s="1"/>
      <c r="B1540" s="1"/>
      <c r="C1540" s="76"/>
      <c r="D1540" s="76"/>
      <c r="E1540" s="76"/>
      <c r="F1540" s="76"/>
      <c r="G1540" s="79"/>
      <c r="H1540" s="80"/>
      <c r="I1540" s="79"/>
      <c r="J1540" s="80"/>
      <c r="K1540" s="79"/>
      <c r="L1540" s="142"/>
      <c r="M1540" s="1"/>
      <c r="N1540" s="142"/>
      <c r="O1540" s="1"/>
      <c r="P1540" s="142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79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R1540" s="1"/>
      <c r="CS1540" s="1"/>
      <c r="CT1540" s="1"/>
      <c r="CU1540" s="1"/>
      <c r="CV1540" s="1"/>
      <c r="CW1540" s="1"/>
      <c r="CX1540" s="1"/>
      <c r="CY1540" s="91" t="str">
        <f t="shared" si="831"/>
        <v/>
      </c>
      <c r="CZ1540" s="1"/>
      <c r="DC1540" s="307"/>
      <c r="DE1540" s="307"/>
    </row>
    <row r="1541">
      <c r="A1541" s="1"/>
      <c r="B1541" s="1"/>
      <c r="C1541" s="76"/>
      <c r="D1541" s="76"/>
      <c r="E1541" s="76"/>
      <c r="F1541" s="76"/>
      <c r="G1541" s="79"/>
      <c r="H1541" s="80"/>
      <c r="I1541" s="79"/>
      <c r="J1541" s="80"/>
      <c r="K1541" s="79"/>
      <c r="L1541" s="142"/>
      <c r="M1541" s="1"/>
      <c r="N1541" s="142"/>
      <c r="O1541" s="1"/>
      <c r="P1541" s="142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79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R1541" s="1"/>
      <c r="CS1541" s="1"/>
      <c r="CT1541" s="1"/>
      <c r="CU1541" s="1"/>
      <c r="CV1541" s="1"/>
      <c r="CW1541" s="1"/>
      <c r="CX1541" s="1"/>
      <c r="CY1541" s="91" t="str">
        <f t="shared" si="831"/>
        <v/>
      </c>
      <c r="CZ1541" s="1"/>
      <c r="DC1541" s="307"/>
      <c r="DE1541" s="307"/>
    </row>
    <row r="1542">
      <c r="A1542" s="1"/>
      <c r="B1542" s="1"/>
      <c r="C1542" s="76"/>
      <c r="D1542" s="76"/>
      <c r="E1542" s="76"/>
      <c r="F1542" s="76"/>
      <c r="G1542" s="79"/>
      <c r="H1542" s="80"/>
      <c r="I1542" s="79"/>
      <c r="J1542" s="80"/>
      <c r="K1542" s="79"/>
      <c r="L1542" s="142"/>
      <c r="M1542" s="1"/>
      <c r="N1542" s="142"/>
      <c r="O1542" s="1"/>
      <c r="P1542" s="142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79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R1542" s="1"/>
      <c r="CS1542" s="1"/>
      <c r="CT1542" s="1"/>
      <c r="CU1542" s="1"/>
      <c r="CV1542" s="1"/>
      <c r="CW1542" s="1"/>
      <c r="CX1542" s="1"/>
      <c r="CY1542" s="91" t="str">
        <f t="shared" si="831"/>
        <v/>
      </c>
      <c r="CZ1542" s="1"/>
      <c r="DC1542" s="307"/>
      <c r="DE1542" s="307"/>
    </row>
    <row r="1543">
      <c r="A1543" s="1"/>
      <c r="B1543" s="1"/>
      <c r="C1543" s="76"/>
      <c r="D1543" s="76"/>
      <c r="E1543" s="76"/>
      <c r="F1543" s="76"/>
      <c r="G1543" s="79"/>
      <c r="H1543" s="80"/>
      <c r="I1543" s="79"/>
      <c r="J1543" s="80"/>
      <c r="K1543" s="79"/>
      <c r="L1543" s="142"/>
      <c r="M1543" s="1"/>
      <c r="N1543" s="142"/>
      <c r="O1543" s="1"/>
      <c r="P1543" s="142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79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R1543" s="1"/>
      <c r="CS1543" s="1"/>
      <c r="CT1543" s="1"/>
      <c r="CU1543" s="1"/>
      <c r="CV1543" s="1"/>
      <c r="CW1543" s="1"/>
      <c r="CX1543" s="1"/>
      <c r="CY1543" s="91" t="str">
        <f t="shared" si="831"/>
        <v/>
      </c>
      <c r="CZ1543" s="1"/>
      <c r="DC1543" s="307"/>
      <c r="DE1543" s="307"/>
    </row>
    <row r="1544">
      <c r="A1544" s="1"/>
      <c r="B1544" s="1"/>
      <c r="C1544" s="76"/>
      <c r="D1544" s="76"/>
      <c r="E1544" s="76"/>
      <c r="F1544" s="76"/>
      <c r="G1544" s="79"/>
      <c r="H1544" s="80"/>
      <c r="I1544" s="79"/>
      <c r="J1544" s="80"/>
      <c r="K1544" s="79"/>
      <c r="L1544" s="142"/>
      <c r="M1544" s="1"/>
      <c r="N1544" s="142"/>
      <c r="O1544" s="1"/>
      <c r="P1544" s="142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79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R1544" s="1"/>
      <c r="CS1544" s="1"/>
      <c r="CT1544" s="1"/>
      <c r="CU1544" s="1"/>
      <c r="CV1544" s="1"/>
      <c r="CW1544" s="1"/>
      <c r="CX1544" s="1"/>
      <c r="CY1544" s="91" t="str">
        <f t="shared" si="831"/>
        <v/>
      </c>
      <c r="CZ1544" s="1"/>
      <c r="DC1544" s="307"/>
      <c r="DE1544" s="307"/>
    </row>
    <row r="1545">
      <c r="A1545" s="1"/>
      <c r="B1545" s="1"/>
      <c r="C1545" s="76"/>
      <c r="D1545" s="76"/>
      <c r="E1545" s="76"/>
      <c r="F1545" s="76"/>
      <c r="G1545" s="79"/>
      <c r="H1545" s="80"/>
      <c r="I1545" s="79"/>
      <c r="J1545" s="80"/>
      <c r="K1545" s="79"/>
      <c r="L1545" s="142"/>
      <c r="M1545" s="1"/>
      <c r="N1545" s="142"/>
      <c r="O1545" s="1"/>
      <c r="P1545" s="142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79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R1545" s="1"/>
      <c r="CS1545" s="1"/>
      <c r="CT1545" s="1"/>
      <c r="CU1545" s="1"/>
      <c r="CV1545" s="1"/>
      <c r="CW1545" s="1"/>
      <c r="CX1545" s="1"/>
      <c r="CY1545" s="91" t="str">
        <f t="shared" si="831"/>
        <v/>
      </c>
      <c r="CZ1545" s="1"/>
      <c r="DC1545" s="307"/>
      <c r="DE1545" s="307"/>
    </row>
    <row r="1546">
      <c r="A1546" s="1"/>
      <c r="B1546" s="1"/>
      <c r="C1546" s="76"/>
      <c r="D1546" s="76"/>
      <c r="E1546" s="76"/>
      <c r="F1546" s="76"/>
      <c r="G1546" s="79"/>
      <c r="H1546" s="80"/>
      <c r="I1546" s="79"/>
      <c r="J1546" s="80"/>
      <c r="K1546" s="79"/>
      <c r="L1546" s="142"/>
      <c r="M1546" s="1"/>
      <c r="N1546" s="142"/>
      <c r="O1546" s="1"/>
      <c r="P1546" s="142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79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R1546" s="1"/>
      <c r="CS1546" s="1"/>
      <c r="CT1546" s="1"/>
      <c r="CU1546" s="1"/>
      <c r="CV1546" s="1"/>
      <c r="CW1546" s="1"/>
      <c r="CX1546" s="1"/>
      <c r="CY1546" s="91" t="str">
        <f t="shared" si="831"/>
        <v/>
      </c>
      <c r="CZ1546" s="1"/>
      <c r="DC1546" s="307"/>
      <c r="DE1546" s="307"/>
    </row>
    <row r="1547">
      <c r="A1547" s="1"/>
      <c r="B1547" s="1"/>
      <c r="C1547" s="76"/>
      <c r="D1547" s="76"/>
      <c r="E1547" s="76"/>
      <c r="F1547" s="76"/>
      <c r="G1547" s="79"/>
      <c r="H1547" s="80"/>
      <c r="I1547" s="79"/>
      <c r="J1547" s="80"/>
      <c r="K1547" s="79"/>
      <c r="L1547" s="142"/>
      <c r="M1547" s="1"/>
      <c r="N1547" s="142"/>
      <c r="O1547" s="1"/>
      <c r="P1547" s="142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79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R1547" s="1"/>
      <c r="CS1547" s="1"/>
      <c r="CT1547" s="1"/>
      <c r="CU1547" s="1"/>
      <c r="CV1547" s="1"/>
      <c r="CW1547" s="1"/>
      <c r="CX1547" s="1"/>
      <c r="CY1547" s="91" t="str">
        <f t="shared" si="831"/>
        <v/>
      </c>
      <c r="CZ1547" s="1"/>
      <c r="DC1547" s="307"/>
      <c r="DE1547" s="307"/>
    </row>
    <row r="1548">
      <c r="A1548" s="1"/>
      <c r="B1548" s="1"/>
      <c r="C1548" s="76"/>
      <c r="D1548" s="76"/>
      <c r="E1548" s="76"/>
      <c r="F1548" s="76"/>
      <c r="G1548" s="79"/>
      <c r="H1548" s="80"/>
      <c r="I1548" s="79"/>
      <c r="J1548" s="80"/>
      <c r="K1548" s="79"/>
      <c r="L1548" s="142"/>
      <c r="M1548" s="1"/>
      <c r="N1548" s="142"/>
      <c r="O1548" s="1"/>
      <c r="P1548" s="142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79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R1548" s="1"/>
      <c r="CS1548" s="1"/>
      <c r="CT1548" s="1"/>
      <c r="CU1548" s="1"/>
      <c r="CV1548" s="1"/>
      <c r="CW1548" s="1"/>
      <c r="CX1548" s="1"/>
      <c r="CY1548" s="91" t="str">
        <f t="shared" si="831"/>
        <v/>
      </c>
      <c r="CZ1548" s="1"/>
      <c r="DC1548" s="307"/>
      <c r="DE1548" s="307"/>
    </row>
    <row r="1549">
      <c r="A1549" s="1"/>
      <c r="B1549" s="1"/>
      <c r="C1549" s="76"/>
      <c r="D1549" s="76"/>
      <c r="E1549" s="76"/>
      <c r="F1549" s="76"/>
      <c r="G1549" s="79"/>
      <c r="H1549" s="80"/>
      <c r="I1549" s="79"/>
      <c r="J1549" s="80"/>
      <c r="K1549" s="79"/>
      <c r="L1549" s="142"/>
      <c r="M1549" s="1"/>
      <c r="N1549" s="142"/>
      <c r="O1549" s="1"/>
      <c r="P1549" s="142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79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R1549" s="1"/>
      <c r="CS1549" s="1"/>
      <c r="CT1549" s="1"/>
      <c r="CU1549" s="1"/>
      <c r="CV1549" s="1"/>
      <c r="CW1549" s="1"/>
      <c r="CX1549" s="1"/>
      <c r="CY1549" s="91" t="str">
        <f t="shared" si="831"/>
        <v/>
      </c>
      <c r="CZ1549" s="1"/>
      <c r="DC1549" s="307"/>
      <c r="DE1549" s="307"/>
    </row>
    <row r="1550">
      <c r="A1550" s="1"/>
      <c r="B1550" s="1"/>
      <c r="C1550" s="76"/>
      <c r="D1550" s="76"/>
      <c r="E1550" s="76"/>
      <c r="F1550" s="76"/>
      <c r="G1550" s="79"/>
      <c r="H1550" s="80"/>
      <c r="I1550" s="79"/>
      <c r="J1550" s="80"/>
      <c r="K1550" s="79"/>
      <c r="L1550" s="142"/>
      <c r="M1550" s="1"/>
      <c r="N1550" s="142"/>
      <c r="O1550" s="1"/>
      <c r="P1550" s="142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79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R1550" s="1"/>
      <c r="CS1550" s="1"/>
      <c r="CT1550" s="1"/>
      <c r="CU1550" s="1"/>
      <c r="CV1550" s="1"/>
      <c r="CW1550" s="1"/>
      <c r="CX1550" s="1"/>
      <c r="CY1550" s="91" t="str">
        <f t="shared" si="831"/>
        <v/>
      </c>
      <c r="CZ1550" s="1"/>
      <c r="DC1550" s="307"/>
      <c r="DE1550" s="307"/>
    </row>
    <row r="1551">
      <c r="A1551" s="1"/>
      <c r="B1551" s="1"/>
      <c r="C1551" s="76"/>
      <c r="D1551" s="76"/>
      <c r="E1551" s="76"/>
      <c r="F1551" s="76"/>
      <c r="G1551" s="79"/>
      <c r="H1551" s="80"/>
      <c r="I1551" s="79"/>
      <c r="J1551" s="80"/>
      <c r="K1551" s="79"/>
      <c r="L1551" s="142"/>
      <c r="M1551" s="1"/>
      <c r="N1551" s="142"/>
      <c r="O1551" s="1"/>
      <c r="P1551" s="142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79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R1551" s="1"/>
      <c r="CS1551" s="1"/>
      <c r="CT1551" s="1"/>
      <c r="CU1551" s="1"/>
      <c r="CV1551" s="1"/>
      <c r="CW1551" s="1"/>
      <c r="CX1551" s="1"/>
      <c r="CY1551" s="91" t="str">
        <f t="shared" si="831"/>
        <v/>
      </c>
      <c r="CZ1551" s="1"/>
      <c r="DC1551" s="307"/>
      <c r="DE1551" s="307"/>
    </row>
    <row r="1552">
      <c r="A1552" s="1"/>
      <c r="B1552" s="1"/>
      <c r="C1552" s="76"/>
      <c r="D1552" s="76"/>
      <c r="E1552" s="76"/>
      <c r="F1552" s="76"/>
      <c r="G1552" s="79"/>
      <c r="H1552" s="80"/>
      <c r="I1552" s="79"/>
      <c r="J1552" s="80"/>
      <c r="K1552" s="79"/>
      <c r="L1552" s="142"/>
      <c r="M1552" s="1"/>
      <c r="N1552" s="142"/>
      <c r="O1552" s="1"/>
      <c r="P1552" s="142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79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R1552" s="1"/>
      <c r="CS1552" s="1"/>
      <c r="CT1552" s="1"/>
      <c r="CU1552" s="1"/>
      <c r="CV1552" s="1"/>
      <c r="CW1552" s="1"/>
      <c r="CX1552" s="1"/>
      <c r="CY1552" s="91" t="str">
        <f t="shared" si="831"/>
        <v/>
      </c>
      <c r="CZ1552" s="1"/>
      <c r="DC1552" s="307"/>
      <c r="DE1552" s="307"/>
    </row>
    <row r="1553">
      <c r="A1553" s="1"/>
      <c r="B1553" s="1"/>
      <c r="C1553" s="76"/>
      <c r="D1553" s="76"/>
      <c r="E1553" s="76"/>
      <c r="F1553" s="76"/>
      <c r="G1553" s="79"/>
      <c r="H1553" s="80"/>
      <c r="I1553" s="79"/>
      <c r="J1553" s="80"/>
      <c r="K1553" s="79"/>
      <c r="L1553" s="142"/>
      <c r="M1553" s="1"/>
      <c r="N1553" s="142"/>
      <c r="O1553" s="1"/>
      <c r="P1553" s="142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79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R1553" s="1"/>
      <c r="CS1553" s="1"/>
      <c r="CT1553" s="1"/>
      <c r="CU1553" s="1"/>
      <c r="CV1553" s="1"/>
      <c r="CW1553" s="1"/>
      <c r="CX1553" s="1"/>
      <c r="CY1553" s="91" t="str">
        <f t="shared" si="831"/>
        <v/>
      </c>
      <c r="CZ1553" s="1"/>
      <c r="DC1553" s="307"/>
      <c r="DE1553" s="307"/>
    </row>
    <row r="1554">
      <c r="A1554" s="1"/>
      <c r="B1554" s="1"/>
      <c r="C1554" s="76"/>
      <c r="D1554" s="76"/>
      <c r="E1554" s="76"/>
      <c r="F1554" s="76"/>
      <c r="G1554" s="79"/>
      <c r="H1554" s="80"/>
      <c r="I1554" s="79"/>
      <c r="J1554" s="80"/>
      <c r="K1554" s="79"/>
      <c r="L1554" s="142"/>
      <c r="M1554" s="1"/>
      <c r="N1554" s="142"/>
      <c r="O1554" s="1"/>
      <c r="P1554" s="142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79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R1554" s="1"/>
      <c r="CS1554" s="1"/>
      <c r="CT1554" s="1"/>
      <c r="CU1554" s="1"/>
      <c r="CV1554" s="1"/>
      <c r="CW1554" s="1"/>
      <c r="CX1554" s="1"/>
      <c r="CY1554" s="91" t="str">
        <f t="shared" si="831"/>
        <v/>
      </c>
      <c r="CZ1554" s="1"/>
      <c r="DC1554" s="307"/>
      <c r="DE1554" s="307"/>
    </row>
    <row r="1555">
      <c r="A1555" s="1"/>
      <c r="B1555" s="1"/>
      <c r="C1555" s="76"/>
      <c r="D1555" s="76"/>
      <c r="E1555" s="76"/>
      <c r="F1555" s="76"/>
      <c r="G1555" s="79"/>
      <c r="H1555" s="80"/>
      <c r="I1555" s="79"/>
      <c r="J1555" s="80"/>
      <c r="K1555" s="79"/>
      <c r="L1555" s="142"/>
      <c r="M1555" s="1"/>
      <c r="N1555" s="142"/>
      <c r="O1555" s="1"/>
      <c r="P1555" s="142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79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R1555" s="1"/>
      <c r="CS1555" s="1"/>
      <c r="CT1555" s="1"/>
      <c r="CU1555" s="1"/>
      <c r="CV1555" s="1"/>
      <c r="CW1555" s="1"/>
      <c r="CX1555" s="1"/>
      <c r="CY1555" s="91" t="str">
        <f t="shared" si="831"/>
        <v/>
      </c>
      <c r="CZ1555" s="1"/>
      <c r="DC1555" s="307"/>
      <c r="DE1555" s="307"/>
    </row>
    <row r="1556">
      <c r="A1556" s="1"/>
      <c r="B1556" s="1"/>
      <c r="C1556" s="76"/>
      <c r="D1556" s="76"/>
      <c r="E1556" s="76"/>
      <c r="F1556" s="76"/>
      <c r="G1556" s="79"/>
      <c r="H1556" s="80"/>
      <c r="I1556" s="79"/>
      <c r="J1556" s="80"/>
      <c r="K1556" s="79"/>
      <c r="L1556" s="142"/>
      <c r="M1556" s="1"/>
      <c r="N1556" s="142"/>
      <c r="O1556" s="1"/>
      <c r="P1556" s="142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79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R1556" s="1"/>
      <c r="CS1556" s="1"/>
      <c r="CT1556" s="1"/>
      <c r="CU1556" s="1"/>
      <c r="CV1556" s="1"/>
      <c r="CW1556" s="1"/>
      <c r="CX1556" s="1"/>
      <c r="CY1556" s="91" t="str">
        <f t="shared" si="831"/>
        <v/>
      </c>
      <c r="CZ1556" s="1"/>
      <c r="DC1556" s="307"/>
      <c r="DE1556" s="307"/>
    </row>
    <row r="1557">
      <c r="A1557" s="1"/>
      <c r="B1557" s="1"/>
      <c r="C1557" s="76"/>
      <c r="D1557" s="76"/>
      <c r="E1557" s="76"/>
      <c r="F1557" s="76"/>
      <c r="G1557" s="79"/>
      <c r="H1557" s="80"/>
      <c r="I1557" s="79"/>
      <c r="J1557" s="80"/>
      <c r="K1557" s="79"/>
      <c r="L1557" s="142"/>
      <c r="M1557" s="1"/>
      <c r="N1557" s="142"/>
      <c r="O1557" s="1"/>
      <c r="P1557" s="142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79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R1557" s="1"/>
      <c r="CS1557" s="1"/>
      <c r="CT1557" s="1"/>
      <c r="CU1557" s="1"/>
      <c r="CV1557" s="1"/>
      <c r="CW1557" s="1"/>
      <c r="CX1557" s="1"/>
      <c r="CY1557" s="91" t="str">
        <f t="shared" si="831"/>
        <v/>
      </c>
      <c r="CZ1557" s="1"/>
      <c r="DC1557" s="307"/>
      <c r="DE1557" s="307"/>
    </row>
    <row r="1558">
      <c r="A1558" s="1"/>
      <c r="B1558" s="1"/>
      <c r="C1558" s="76"/>
      <c r="D1558" s="76"/>
      <c r="E1558" s="76"/>
      <c r="F1558" s="76"/>
      <c r="G1558" s="79"/>
      <c r="H1558" s="80"/>
      <c r="I1558" s="79"/>
      <c r="J1558" s="80"/>
      <c r="K1558" s="79"/>
      <c r="L1558" s="142"/>
      <c r="M1558" s="1"/>
      <c r="N1558" s="142"/>
      <c r="O1558" s="1"/>
      <c r="P1558" s="142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79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R1558" s="1"/>
      <c r="CS1558" s="1"/>
      <c r="CT1558" s="1"/>
      <c r="CU1558" s="1"/>
      <c r="CV1558" s="1"/>
      <c r="CW1558" s="1"/>
      <c r="CX1558" s="1"/>
      <c r="CY1558" s="91" t="str">
        <f t="shared" si="831"/>
        <v/>
      </c>
      <c r="CZ1558" s="1"/>
      <c r="DC1558" s="307"/>
      <c r="DE1558" s="307"/>
    </row>
    <row r="1559">
      <c r="A1559" s="1"/>
      <c r="B1559" s="1"/>
      <c r="C1559" s="76"/>
      <c r="D1559" s="76"/>
      <c r="E1559" s="76"/>
      <c r="F1559" s="76"/>
      <c r="G1559" s="79"/>
      <c r="H1559" s="80"/>
      <c r="I1559" s="79"/>
      <c r="J1559" s="80"/>
      <c r="K1559" s="79"/>
      <c r="L1559" s="142"/>
      <c r="M1559" s="1"/>
      <c r="N1559" s="142"/>
      <c r="O1559" s="1"/>
      <c r="P1559" s="142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79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R1559" s="1"/>
      <c r="CS1559" s="1"/>
      <c r="CT1559" s="1"/>
      <c r="CU1559" s="1"/>
      <c r="CV1559" s="1"/>
      <c r="CW1559" s="1"/>
      <c r="CX1559" s="1"/>
      <c r="CY1559" s="91" t="str">
        <f t="shared" si="831"/>
        <v/>
      </c>
      <c r="CZ1559" s="1"/>
      <c r="DC1559" s="307"/>
      <c r="DE1559" s="307"/>
    </row>
    <row r="1560">
      <c r="A1560" s="1"/>
      <c r="B1560" s="1"/>
      <c r="C1560" s="76"/>
      <c r="D1560" s="76"/>
      <c r="E1560" s="76"/>
      <c r="F1560" s="76"/>
      <c r="G1560" s="79"/>
      <c r="H1560" s="80"/>
      <c r="I1560" s="79"/>
      <c r="J1560" s="80"/>
      <c r="K1560" s="79"/>
      <c r="L1560" s="142"/>
      <c r="M1560" s="1"/>
      <c r="N1560" s="142"/>
      <c r="O1560" s="1"/>
      <c r="P1560" s="142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79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R1560" s="1"/>
      <c r="CS1560" s="1"/>
      <c r="CT1560" s="1"/>
      <c r="CU1560" s="1"/>
      <c r="CV1560" s="1"/>
      <c r="CW1560" s="1"/>
      <c r="CX1560" s="1"/>
      <c r="CY1560" s="91" t="str">
        <f t="shared" si="831"/>
        <v/>
      </c>
      <c r="CZ1560" s="1"/>
      <c r="DC1560" s="307"/>
      <c r="DE1560" s="307"/>
    </row>
    <row r="1561">
      <c r="A1561" s="1"/>
      <c r="B1561" s="1"/>
      <c r="C1561" s="76"/>
      <c r="D1561" s="76"/>
      <c r="E1561" s="76"/>
      <c r="F1561" s="76"/>
      <c r="G1561" s="79"/>
      <c r="H1561" s="80"/>
      <c r="I1561" s="79"/>
      <c r="J1561" s="80"/>
      <c r="K1561" s="79"/>
      <c r="L1561" s="142"/>
      <c r="M1561" s="1"/>
      <c r="N1561" s="142"/>
      <c r="O1561" s="1"/>
      <c r="P1561" s="142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79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R1561" s="1"/>
      <c r="CS1561" s="1"/>
      <c r="CT1561" s="1"/>
      <c r="CU1561" s="1"/>
      <c r="CV1561" s="1"/>
      <c r="CW1561" s="1"/>
      <c r="CX1561" s="1"/>
      <c r="CY1561" s="91" t="str">
        <f t="shared" si="831"/>
        <v/>
      </c>
      <c r="CZ1561" s="1"/>
      <c r="DC1561" s="307"/>
      <c r="DE1561" s="307"/>
    </row>
    <row r="1562">
      <c r="A1562" s="1"/>
      <c r="B1562" s="1"/>
      <c r="C1562" s="76"/>
      <c r="D1562" s="76"/>
      <c r="E1562" s="76"/>
      <c r="F1562" s="76"/>
      <c r="G1562" s="79"/>
      <c r="H1562" s="80"/>
      <c r="I1562" s="79"/>
      <c r="J1562" s="80"/>
      <c r="K1562" s="79"/>
      <c r="L1562" s="142"/>
      <c r="M1562" s="1"/>
      <c r="N1562" s="142"/>
      <c r="O1562" s="1"/>
      <c r="P1562" s="142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79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R1562" s="1"/>
      <c r="CS1562" s="1"/>
      <c r="CT1562" s="1"/>
      <c r="CU1562" s="1"/>
      <c r="CV1562" s="1"/>
      <c r="CW1562" s="1"/>
      <c r="CX1562" s="1"/>
      <c r="CY1562" s="91" t="str">
        <f t="shared" si="831"/>
        <v/>
      </c>
      <c r="CZ1562" s="1"/>
      <c r="DC1562" s="307"/>
      <c r="DE1562" s="307"/>
    </row>
    <row r="1563">
      <c r="A1563" s="1"/>
      <c r="B1563" s="1"/>
      <c r="C1563" s="76"/>
      <c r="D1563" s="76"/>
      <c r="E1563" s="76"/>
      <c r="F1563" s="76"/>
      <c r="G1563" s="79"/>
      <c r="H1563" s="80"/>
      <c r="I1563" s="79"/>
      <c r="J1563" s="80"/>
      <c r="K1563" s="79"/>
      <c r="L1563" s="142"/>
      <c r="M1563" s="1"/>
      <c r="N1563" s="142"/>
      <c r="O1563" s="1"/>
      <c r="P1563" s="142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79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R1563" s="1"/>
      <c r="CS1563" s="1"/>
      <c r="CT1563" s="1"/>
      <c r="CU1563" s="1"/>
      <c r="CV1563" s="1"/>
      <c r="CW1563" s="1"/>
      <c r="CX1563" s="1"/>
      <c r="CY1563" s="91" t="str">
        <f t="shared" si="831"/>
        <v/>
      </c>
      <c r="CZ1563" s="1"/>
      <c r="DC1563" s="307"/>
      <c r="DE1563" s="307"/>
    </row>
    <row r="1564">
      <c r="A1564" s="1"/>
      <c r="B1564" s="1"/>
      <c r="C1564" s="76"/>
      <c r="D1564" s="76"/>
      <c r="E1564" s="76"/>
      <c r="F1564" s="76"/>
      <c r="G1564" s="79"/>
      <c r="H1564" s="80"/>
      <c r="I1564" s="79"/>
      <c r="J1564" s="80"/>
      <c r="K1564" s="79"/>
      <c r="L1564" s="142"/>
      <c r="M1564" s="1"/>
      <c r="N1564" s="142"/>
      <c r="O1564" s="1"/>
      <c r="P1564" s="142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79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R1564" s="1"/>
      <c r="CS1564" s="1"/>
      <c r="CT1564" s="1"/>
      <c r="CU1564" s="1"/>
      <c r="CV1564" s="1"/>
      <c r="CW1564" s="1"/>
      <c r="CX1564" s="1"/>
      <c r="CY1564" s="91" t="str">
        <f t="shared" si="831"/>
        <v/>
      </c>
      <c r="CZ1564" s="1"/>
      <c r="DC1564" s="307"/>
      <c r="DE1564" s="307"/>
    </row>
    <row r="1565">
      <c r="A1565" s="1"/>
      <c r="B1565" s="1"/>
      <c r="C1565" s="76"/>
      <c r="D1565" s="76"/>
      <c r="E1565" s="76"/>
      <c r="F1565" s="76"/>
      <c r="G1565" s="79"/>
      <c r="H1565" s="80"/>
      <c r="I1565" s="79"/>
      <c r="J1565" s="80"/>
      <c r="K1565" s="79"/>
      <c r="L1565" s="142"/>
      <c r="M1565" s="1"/>
      <c r="N1565" s="142"/>
      <c r="O1565" s="1"/>
      <c r="P1565" s="142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79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R1565" s="1"/>
      <c r="CS1565" s="1"/>
      <c r="CT1565" s="1"/>
      <c r="CU1565" s="1"/>
      <c r="CV1565" s="1"/>
      <c r="CW1565" s="1"/>
      <c r="CX1565" s="1"/>
      <c r="CY1565" s="91" t="str">
        <f t="shared" si="831"/>
        <v/>
      </c>
      <c r="CZ1565" s="1"/>
      <c r="DC1565" s="307"/>
      <c r="DE1565" s="307"/>
    </row>
    <row r="1566">
      <c r="A1566" s="1"/>
      <c r="B1566" s="1"/>
      <c r="C1566" s="76"/>
      <c r="D1566" s="76"/>
      <c r="E1566" s="76"/>
      <c r="F1566" s="76"/>
      <c r="G1566" s="79"/>
      <c r="H1566" s="80"/>
      <c r="I1566" s="79"/>
      <c r="J1566" s="80"/>
      <c r="K1566" s="79"/>
      <c r="L1566" s="142"/>
      <c r="M1566" s="1"/>
      <c r="N1566" s="142"/>
      <c r="O1566" s="1"/>
      <c r="P1566" s="142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79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R1566" s="1"/>
      <c r="CS1566" s="1"/>
      <c r="CT1566" s="1"/>
      <c r="CU1566" s="1"/>
      <c r="CV1566" s="1"/>
      <c r="CW1566" s="1"/>
      <c r="CX1566" s="1"/>
      <c r="CY1566" s="91" t="str">
        <f t="shared" si="831"/>
        <v/>
      </c>
      <c r="CZ1566" s="1"/>
      <c r="DC1566" s="307"/>
      <c r="DE1566" s="307"/>
    </row>
    <row r="1567">
      <c r="A1567" s="1"/>
      <c r="B1567" s="1"/>
      <c r="C1567" s="76"/>
      <c r="D1567" s="76"/>
      <c r="E1567" s="76"/>
      <c r="F1567" s="76"/>
      <c r="G1567" s="79"/>
      <c r="H1567" s="80"/>
      <c r="I1567" s="79"/>
      <c r="J1567" s="80"/>
      <c r="K1567" s="79"/>
      <c r="L1567" s="142"/>
      <c r="M1567" s="1"/>
      <c r="N1567" s="142"/>
      <c r="O1567" s="1"/>
      <c r="P1567" s="142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79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R1567" s="1"/>
      <c r="CS1567" s="1"/>
      <c r="CT1567" s="1"/>
      <c r="CU1567" s="1"/>
      <c r="CV1567" s="1"/>
      <c r="CW1567" s="1"/>
      <c r="CX1567" s="1"/>
      <c r="CY1567" s="91" t="str">
        <f t="shared" si="831"/>
        <v/>
      </c>
      <c r="CZ1567" s="1"/>
      <c r="DC1567" s="307"/>
      <c r="DE1567" s="307"/>
    </row>
    <row r="1568">
      <c r="A1568" s="1"/>
      <c r="B1568" s="1"/>
      <c r="C1568" s="76"/>
      <c r="D1568" s="76"/>
      <c r="E1568" s="76"/>
      <c r="F1568" s="76"/>
      <c r="G1568" s="79"/>
      <c r="H1568" s="80"/>
      <c r="I1568" s="79"/>
      <c r="J1568" s="80"/>
      <c r="K1568" s="79"/>
      <c r="L1568" s="142"/>
      <c r="M1568" s="1"/>
      <c r="N1568" s="142"/>
      <c r="O1568" s="1"/>
      <c r="P1568" s="142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79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R1568" s="1"/>
      <c r="CS1568" s="1"/>
      <c r="CT1568" s="1"/>
      <c r="CU1568" s="1"/>
      <c r="CV1568" s="1"/>
      <c r="CW1568" s="1"/>
      <c r="CX1568" s="1"/>
      <c r="CY1568" s="91" t="str">
        <f t="shared" si="831"/>
        <v/>
      </c>
      <c r="CZ1568" s="1"/>
      <c r="DC1568" s="307"/>
      <c r="DE1568" s="307"/>
    </row>
    <row r="1569">
      <c r="A1569" s="1"/>
      <c r="B1569" s="1"/>
      <c r="C1569" s="76"/>
      <c r="D1569" s="76"/>
      <c r="E1569" s="76"/>
      <c r="F1569" s="76"/>
      <c r="G1569" s="79"/>
      <c r="H1569" s="80"/>
      <c r="I1569" s="79"/>
      <c r="J1569" s="80"/>
      <c r="K1569" s="79"/>
      <c r="L1569" s="142"/>
      <c r="M1569" s="1"/>
      <c r="N1569" s="142"/>
      <c r="O1569" s="1"/>
      <c r="P1569" s="142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79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R1569" s="1"/>
      <c r="CS1569" s="1"/>
      <c r="CT1569" s="1"/>
      <c r="CU1569" s="1"/>
      <c r="CV1569" s="1"/>
      <c r="CW1569" s="1"/>
      <c r="CX1569" s="1"/>
      <c r="CY1569" s="91" t="str">
        <f t="shared" si="831"/>
        <v/>
      </c>
      <c r="CZ1569" s="1"/>
      <c r="DC1569" s="307"/>
      <c r="DE1569" s="307"/>
    </row>
    <row r="1570">
      <c r="A1570" s="1"/>
      <c r="B1570" s="1"/>
      <c r="C1570" s="76"/>
      <c r="D1570" s="76"/>
      <c r="E1570" s="76"/>
      <c r="F1570" s="76"/>
      <c r="G1570" s="79"/>
      <c r="H1570" s="80"/>
      <c r="I1570" s="79"/>
      <c r="J1570" s="80"/>
      <c r="K1570" s="79"/>
      <c r="L1570" s="142"/>
      <c r="M1570" s="1"/>
      <c r="N1570" s="142"/>
      <c r="O1570" s="1"/>
      <c r="P1570" s="142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79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R1570" s="1"/>
      <c r="CS1570" s="1"/>
      <c r="CT1570" s="1"/>
      <c r="CU1570" s="1"/>
      <c r="CV1570" s="1"/>
      <c r="CW1570" s="1"/>
      <c r="CX1570" s="1"/>
      <c r="CY1570" s="91" t="str">
        <f t="shared" si="831"/>
        <v/>
      </c>
      <c r="CZ1570" s="1"/>
      <c r="DC1570" s="307"/>
      <c r="DE1570" s="307"/>
    </row>
    <row r="1571">
      <c r="A1571" s="1"/>
      <c r="B1571" s="1"/>
      <c r="C1571" s="76"/>
      <c r="D1571" s="76"/>
      <c r="E1571" s="76"/>
      <c r="F1571" s="76"/>
      <c r="G1571" s="79"/>
      <c r="H1571" s="80"/>
      <c r="I1571" s="79"/>
      <c r="J1571" s="80"/>
      <c r="K1571" s="79"/>
      <c r="L1571" s="142"/>
      <c r="M1571" s="1"/>
      <c r="N1571" s="142"/>
      <c r="O1571" s="1"/>
      <c r="P1571" s="142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79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R1571" s="1"/>
      <c r="CS1571" s="1"/>
      <c r="CT1571" s="1"/>
      <c r="CU1571" s="1"/>
      <c r="CV1571" s="1"/>
      <c r="CW1571" s="1"/>
      <c r="CX1571" s="1"/>
      <c r="CY1571" s="91" t="str">
        <f t="shared" si="831"/>
        <v/>
      </c>
      <c r="CZ1571" s="1"/>
      <c r="DC1571" s="307"/>
      <c r="DE1571" s="307"/>
    </row>
    <row r="1572">
      <c r="A1572" s="1"/>
      <c r="B1572" s="1"/>
      <c r="C1572" s="76"/>
      <c r="D1572" s="76"/>
      <c r="E1572" s="76"/>
      <c r="F1572" s="76"/>
      <c r="G1572" s="79"/>
      <c r="H1572" s="80"/>
      <c r="I1572" s="79"/>
      <c r="J1572" s="80"/>
      <c r="K1572" s="79"/>
      <c r="L1572" s="142"/>
      <c r="M1572" s="1"/>
      <c r="N1572" s="142"/>
      <c r="O1572" s="1"/>
      <c r="P1572" s="142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79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R1572" s="1"/>
      <c r="CS1572" s="1"/>
      <c r="CT1572" s="1"/>
      <c r="CU1572" s="1"/>
      <c r="CV1572" s="1"/>
      <c r="CW1572" s="1"/>
      <c r="CX1572" s="1"/>
      <c r="CY1572" s="91" t="str">
        <f t="shared" si="831"/>
        <v/>
      </c>
      <c r="CZ1572" s="1"/>
      <c r="DC1572" s="307"/>
      <c r="DE1572" s="307"/>
    </row>
    <row r="1573">
      <c r="A1573" s="1"/>
      <c r="B1573" s="1"/>
      <c r="C1573" s="76"/>
      <c r="D1573" s="76"/>
      <c r="E1573" s="76"/>
      <c r="F1573" s="76"/>
      <c r="G1573" s="79"/>
      <c r="H1573" s="80"/>
      <c r="I1573" s="79"/>
      <c r="J1573" s="80"/>
      <c r="K1573" s="79"/>
      <c r="L1573" s="142"/>
      <c r="M1573" s="1"/>
      <c r="N1573" s="142"/>
      <c r="O1573" s="1"/>
      <c r="P1573" s="142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79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R1573" s="1"/>
      <c r="CS1573" s="1"/>
      <c r="CT1573" s="1"/>
      <c r="CU1573" s="1"/>
      <c r="CV1573" s="1"/>
      <c r="CW1573" s="1"/>
      <c r="CX1573" s="1"/>
      <c r="CY1573" s="91" t="str">
        <f t="shared" si="831"/>
        <v/>
      </c>
      <c r="CZ1573" s="1"/>
      <c r="DC1573" s="307"/>
      <c r="DE1573" s="307"/>
    </row>
    <row r="1574">
      <c r="A1574" s="1"/>
      <c r="B1574" s="1"/>
      <c r="C1574" s="76"/>
      <c r="D1574" s="76"/>
      <c r="E1574" s="76"/>
      <c r="F1574" s="76"/>
      <c r="G1574" s="79"/>
      <c r="H1574" s="80"/>
      <c r="I1574" s="79"/>
      <c r="J1574" s="80"/>
      <c r="K1574" s="79"/>
      <c r="L1574" s="142"/>
      <c r="M1574" s="1"/>
      <c r="N1574" s="142"/>
      <c r="O1574" s="1"/>
      <c r="P1574" s="142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79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R1574" s="1"/>
      <c r="CS1574" s="1"/>
      <c r="CT1574" s="1"/>
      <c r="CU1574" s="1"/>
      <c r="CV1574" s="1"/>
      <c r="CW1574" s="1"/>
      <c r="CX1574" s="1"/>
      <c r="CY1574" s="91" t="str">
        <f t="shared" si="831"/>
        <v/>
      </c>
      <c r="CZ1574" s="1"/>
      <c r="DC1574" s="307"/>
      <c r="DE1574" s="307"/>
    </row>
    <row r="1575">
      <c r="A1575" s="1"/>
      <c r="B1575" s="1"/>
      <c r="C1575" s="76"/>
      <c r="D1575" s="76"/>
      <c r="E1575" s="76"/>
      <c r="F1575" s="76"/>
      <c r="G1575" s="79"/>
      <c r="H1575" s="80"/>
      <c r="I1575" s="79"/>
      <c r="J1575" s="80"/>
      <c r="K1575" s="79"/>
      <c r="L1575" s="142"/>
      <c r="M1575" s="1"/>
      <c r="N1575" s="142"/>
      <c r="O1575" s="1"/>
      <c r="P1575" s="142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79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R1575" s="1"/>
      <c r="CS1575" s="1"/>
      <c r="CT1575" s="1"/>
      <c r="CU1575" s="1"/>
      <c r="CV1575" s="1"/>
      <c r="CW1575" s="1"/>
      <c r="CX1575" s="1"/>
      <c r="CY1575" s="91" t="str">
        <f t="shared" si="831"/>
        <v/>
      </c>
      <c r="CZ1575" s="1"/>
      <c r="DC1575" s="307"/>
      <c r="DE1575" s="307"/>
    </row>
    <row r="1576">
      <c r="A1576" s="1"/>
      <c r="B1576" s="1"/>
      <c r="C1576" s="76"/>
      <c r="D1576" s="76"/>
      <c r="E1576" s="76"/>
      <c r="F1576" s="76"/>
      <c r="G1576" s="79"/>
      <c r="H1576" s="80"/>
      <c r="I1576" s="79"/>
      <c r="J1576" s="80"/>
      <c r="K1576" s="79"/>
      <c r="L1576" s="142"/>
      <c r="M1576" s="1"/>
      <c r="N1576" s="142"/>
      <c r="O1576" s="1"/>
      <c r="P1576" s="142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79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R1576" s="1"/>
      <c r="CS1576" s="1"/>
      <c r="CT1576" s="1"/>
      <c r="CU1576" s="1"/>
      <c r="CV1576" s="1"/>
      <c r="CW1576" s="1"/>
      <c r="CX1576" s="1"/>
      <c r="CY1576" s="91" t="str">
        <f t="shared" si="831"/>
        <v/>
      </c>
      <c r="CZ1576" s="1"/>
      <c r="DC1576" s="307"/>
      <c r="DE1576" s="307"/>
    </row>
    <row r="1577">
      <c r="A1577" s="1"/>
      <c r="B1577" s="1"/>
      <c r="C1577" s="76"/>
      <c r="D1577" s="76"/>
      <c r="E1577" s="76"/>
      <c r="F1577" s="76"/>
      <c r="G1577" s="79"/>
      <c r="H1577" s="80"/>
      <c r="I1577" s="79"/>
      <c r="J1577" s="80"/>
      <c r="K1577" s="79"/>
      <c r="L1577" s="142"/>
      <c r="M1577" s="1"/>
      <c r="N1577" s="142"/>
      <c r="O1577" s="1"/>
      <c r="P1577" s="142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79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R1577" s="1"/>
      <c r="CS1577" s="1"/>
      <c r="CT1577" s="1"/>
      <c r="CU1577" s="1"/>
      <c r="CV1577" s="1"/>
      <c r="CW1577" s="1"/>
      <c r="CX1577" s="1"/>
      <c r="CY1577" s="91" t="str">
        <f t="shared" si="831"/>
        <v/>
      </c>
      <c r="CZ1577" s="1"/>
      <c r="DC1577" s="307"/>
      <c r="DE1577" s="307"/>
    </row>
    <row r="1578">
      <c r="A1578" s="1"/>
      <c r="B1578" s="1"/>
      <c r="C1578" s="76"/>
      <c r="D1578" s="76"/>
      <c r="E1578" s="76"/>
      <c r="F1578" s="76"/>
      <c r="G1578" s="79"/>
      <c r="H1578" s="80"/>
      <c r="I1578" s="79"/>
      <c r="J1578" s="80"/>
      <c r="K1578" s="79"/>
      <c r="L1578" s="142"/>
      <c r="M1578" s="1"/>
      <c r="N1578" s="142"/>
      <c r="O1578" s="1"/>
      <c r="P1578" s="142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79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R1578" s="1"/>
      <c r="CS1578" s="1"/>
      <c r="CT1578" s="1"/>
      <c r="CU1578" s="1"/>
      <c r="CV1578" s="1"/>
      <c r="CW1578" s="1"/>
      <c r="CX1578" s="1"/>
      <c r="CY1578" s="91" t="str">
        <f t="shared" si="831"/>
        <v/>
      </c>
      <c r="CZ1578" s="1"/>
      <c r="DC1578" s="307"/>
      <c r="DE1578" s="307"/>
    </row>
    <row r="1579">
      <c r="A1579" s="1"/>
      <c r="B1579" s="1"/>
      <c r="C1579" s="76"/>
      <c r="D1579" s="76"/>
      <c r="E1579" s="76"/>
      <c r="F1579" s="76"/>
      <c r="G1579" s="79"/>
      <c r="H1579" s="80"/>
      <c r="I1579" s="79"/>
      <c r="J1579" s="80"/>
      <c r="K1579" s="79"/>
      <c r="L1579" s="142"/>
      <c r="M1579" s="1"/>
      <c r="N1579" s="142"/>
      <c r="O1579" s="1"/>
      <c r="P1579" s="142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79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R1579" s="1"/>
      <c r="CS1579" s="1"/>
      <c r="CT1579" s="1"/>
      <c r="CU1579" s="1"/>
      <c r="CV1579" s="1"/>
      <c r="CW1579" s="1"/>
      <c r="CX1579" s="1"/>
      <c r="CY1579" s="91" t="str">
        <f t="shared" si="831"/>
        <v/>
      </c>
      <c r="CZ1579" s="1"/>
      <c r="DC1579" s="307"/>
      <c r="DE1579" s="307"/>
    </row>
    <row r="1580">
      <c r="A1580" s="1"/>
      <c r="B1580" s="1"/>
      <c r="C1580" s="76"/>
      <c r="D1580" s="76"/>
      <c r="E1580" s="76"/>
      <c r="F1580" s="76"/>
      <c r="G1580" s="79"/>
      <c r="H1580" s="80"/>
      <c r="I1580" s="79"/>
      <c r="J1580" s="80"/>
      <c r="K1580" s="79"/>
      <c r="L1580" s="142"/>
      <c r="M1580" s="1"/>
      <c r="N1580" s="142"/>
      <c r="O1580" s="1"/>
      <c r="P1580" s="142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79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R1580" s="1"/>
      <c r="CS1580" s="1"/>
      <c r="CT1580" s="1"/>
      <c r="CU1580" s="1"/>
      <c r="CV1580" s="1"/>
      <c r="CW1580" s="1"/>
      <c r="CX1580" s="1"/>
      <c r="CY1580" s="91" t="str">
        <f t="shared" si="831"/>
        <v/>
      </c>
      <c r="CZ1580" s="1"/>
      <c r="DC1580" s="307"/>
      <c r="DE1580" s="307"/>
    </row>
    <row r="1581">
      <c r="A1581" s="1"/>
      <c r="B1581" s="1"/>
      <c r="C1581" s="76"/>
      <c r="D1581" s="76"/>
      <c r="E1581" s="76"/>
      <c r="F1581" s="76"/>
      <c r="G1581" s="79"/>
      <c r="H1581" s="80"/>
      <c r="I1581" s="79"/>
      <c r="J1581" s="80"/>
      <c r="K1581" s="79"/>
      <c r="L1581" s="142"/>
      <c r="M1581" s="1"/>
      <c r="N1581" s="142"/>
      <c r="O1581" s="1"/>
      <c r="P1581" s="142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79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R1581" s="1"/>
      <c r="CS1581" s="1"/>
      <c r="CT1581" s="1"/>
      <c r="CU1581" s="1"/>
      <c r="CV1581" s="1"/>
      <c r="CW1581" s="1"/>
      <c r="CX1581" s="1"/>
      <c r="CY1581" s="91" t="str">
        <f t="shared" si="831"/>
        <v/>
      </c>
      <c r="CZ1581" s="1"/>
      <c r="DC1581" s="307"/>
      <c r="DE1581" s="307"/>
    </row>
    <row r="1582">
      <c r="A1582" s="1"/>
      <c r="B1582" s="1"/>
      <c r="C1582" s="76"/>
      <c r="D1582" s="76"/>
      <c r="E1582" s="76"/>
      <c r="F1582" s="76"/>
      <c r="G1582" s="79"/>
      <c r="H1582" s="80"/>
      <c r="I1582" s="79"/>
      <c r="J1582" s="80"/>
      <c r="K1582" s="79"/>
      <c r="L1582" s="142"/>
      <c r="M1582" s="1"/>
      <c r="N1582" s="142"/>
      <c r="O1582" s="1"/>
      <c r="P1582" s="142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79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R1582" s="1"/>
      <c r="CS1582" s="1"/>
      <c r="CT1582" s="1"/>
      <c r="CU1582" s="1"/>
      <c r="CV1582" s="1"/>
      <c r="CW1582" s="1"/>
      <c r="CX1582" s="1"/>
      <c r="CY1582" s="91" t="str">
        <f t="shared" si="831"/>
        <v/>
      </c>
      <c r="CZ1582" s="1"/>
      <c r="DC1582" s="307"/>
      <c r="DE1582" s="307"/>
    </row>
    <row r="1583">
      <c r="A1583" s="1"/>
      <c r="B1583" s="1"/>
      <c r="C1583" s="76"/>
      <c r="D1583" s="76"/>
      <c r="E1583" s="76"/>
      <c r="F1583" s="76"/>
      <c r="G1583" s="79"/>
      <c r="H1583" s="80"/>
      <c r="I1583" s="79"/>
      <c r="J1583" s="80"/>
      <c r="K1583" s="79"/>
      <c r="L1583" s="142"/>
      <c r="M1583" s="1"/>
      <c r="N1583" s="142"/>
      <c r="O1583" s="1"/>
      <c r="P1583" s="142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79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R1583" s="1"/>
      <c r="CS1583" s="1"/>
      <c r="CT1583" s="1"/>
      <c r="CU1583" s="1"/>
      <c r="CV1583" s="1"/>
      <c r="CW1583" s="1"/>
      <c r="CX1583" s="1"/>
      <c r="CY1583" s="91" t="str">
        <f t="shared" si="831"/>
        <v/>
      </c>
      <c r="CZ1583" s="1"/>
      <c r="DC1583" s="307"/>
      <c r="DE1583" s="307"/>
    </row>
    <row r="1584">
      <c r="A1584" s="1"/>
      <c r="B1584" s="1"/>
      <c r="C1584" s="76"/>
      <c r="D1584" s="76"/>
      <c r="E1584" s="76"/>
      <c r="F1584" s="76"/>
      <c r="G1584" s="79"/>
      <c r="H1584" s="80"/>
      <c r="I1584" s="79"/>
      <c r="J1584" s="80"/>
      <c r="K1584" s="79"/>
      <c r="L1584" s="142"/>
      <c r="M1584" s="1"/>
      <c r="N1584" s="142"/>
      <c r="O1584" s="1"/>
      <c r="P1584" s="142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79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R1584" s="1"/>
      <c r="CS1584" s="1"/>
      <c r="CT1584" s="1"/>
      <c r="CU1584" s="1"/>
      <c r="CV1584" s="1"/>
      <c r="CW1584" s="1"/>
      <c r="CX1584" s="1"/>
      <c r="CY1584" s="91" t="str">
        <f t="shared" si="831"/>
        <v/>
      </c>
      <c r="CZ1584" s="1"/>
      <c r="DC1584" s="307"/>
      <c r="DE1584" s="307"/>
    </row>
    <row r="1585">
      <c r="A1585" s="1"/>
      <c r="B1585" s="1"/>
      <c r="C1585" s="76"/>
      <c r="D1585" s="76"/>
      <c r="E1585" s="76"/>
      <c r="F1585" s="76"/>
      <c r="G1585" s="79"/>
      <c r="H1585" s="80"/>
      <c r="I1585" s="79"/>
      <c r="J1585" s="80"/>
      <c r="K1585" s="79"/>
      <c r="L1585" s="142"/>
      <c r="M1585" s="1"/>
      <c r="N1585" s="142"/>
      <c r="O1585" s="1"/>
      <c r="P1585" s="142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79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R1585" s="1"/>
      <c r="CS1585" s="1"/>
      <c r="CT1585" s="1"/>
      <c r="CU1585" s="1"/>
      <c r="CV1585" s="1"/>
      <c r="CW1585" s="1"/>
      <c r="CX1585" s="1"/>
      <c r="CY1585" s="91" t="str">
        <f t="shared" si="831"/>
        <v/>
      </c>
      <c r="CZ1585" s="1"/>
      <c r="DC1585" s="307"/>
      <c r="DE1585" s="307"/>
    </row>
    <row r="1586">
      <c r="A1586" s="1"/>
      <c r="B1586" s="1"/>
      <c r="C1586" s="76"/>
      <c r="D1586" s="76"/>
      <c r="E1586" s="76"/>
      <c r="F1586" s="76"/>
      <c r="G1586" s="79"/>
      <c r="H1586" s="80"/>
      <c r="I1586" s="79"/>
      <c r="J1586" s="80"/>
      <c r="K1586" s="79"/>
      <c r="L1586" s="142"/>
      <c r="M1586" s="1"/>
      <c r="N1586" s="142"/>
      <c r="O1586" s="1"/>
      <c r="P1586" s="142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79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R1586" s="1"/>
      <c r="CS1586" s="1"/>
      <c r="CT1586" s="1"/>
      <c r="CU1586" s="1"/>
      <c r="CV1586" s="1"/>
      <c r="CW1586" s="1"/>
      <c r="CX1586" s="1"/>
      <c r="CY1586" s="91" t="str">
        <f t="shared" si="831"/>
        <v/>
      </c>
      <c r="CZ1586" s="1"/>
      <c r="DC1586" s="307"/>
      <c r="DE1586" s="307"/>
    </row>
    <row r="1587">
      <c r="A1587" s="1"/>
      <c r="B1587" s="1"/>
      <c r="C1587" s="76"/>
      <c r="D1587" s="76"/>
      <c r="E1587" s="76"/>
      <c r="F1587" s="76"/>
      <c r="G1587" s="79"/>
      <c r="H1587" s="80"/>
      <c r="I1587" s="79"/>
      <c r="J1587" s="80"/>
      <c r="K1587" s="79"/>
      <c r="L1587" s="142"/>
      <c r="M1587" s="1"/>
      <c r="N1587" s="142"/>
      <c r="O1587" s="1"/>
      <c r="P1587" s="142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79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R1587" s="1"/>
      <c r="CS1587" s="1"/>
      <c r="CT1587" s="1"/>
      <c r="CU1587" s="1"/>
      <c r="CV1587" s="1"/>
      <c r="CW1587" s="1"/>
      <c r="CX1587" s="1"/>
      <c r="CY1587" s="91" t="str">
        <f t="shared" si="831"/>
        <v/>
      </c>
      <c r="CZ1587" s="1"/>
      <c r="DC1587" s="307"/>
      <c r="DE1587" s="307"/>
    </row>
    <row r="1588">
      <c r="A1588" s="1"/>
      <c r="B1588" s="1"/>
      <c r="C1588" s="76"/>
      <c r="D1588" s="76"/>
      <c r="E1588" s="76"/>
      <c r="F1588" s="76"/>
      <c r="G1588" s="79"/>
      <c r="H1588" s="80"/>
      <c r="I1588" s="79"/>
      <c r="J1588" s="80"/>
      <c r="K1588" s="79"/>
      <c r="L1588" s="142"/>
      <c r="M1588" s="1"/>
      <c r="N1588" s="142"/>
      <c r="O1588" s="1"/>
      <c r="P1588" s="142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79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R1588" s="1"/>
      <c r="CS1588" s="1"/>
      <c r="CT1588" s="1"/>
      <c r="CU1588" s="1"/>
      <c r="CV1588" s="1"/>
      <c r="CW1588" s="1"/>
      <c r="CX1588" s="1"/>
      <c r="CY1588" s="91" t="str">
        <f t="shared" si="831"/>
        <v/>
      </c>
      <c r="CZ1588" s="1"/>
      <c r="DC1588" s="307"/>
      <c r="DE1588" s="307"/>
    </row>
    <row r="1589">
      <c r="A1589" s="1"/>
      <c r="B1589" s="1"/>
      <c r="C1589" s="76"/>
      <c r="D1589" s="76"/>
      <c r="E1589" s="76"/>
      <c r="F1589" s="76"/>
      <c r="G1589" s="79"/>
      <c r="H1589" s="80"/>
      <c r="I1589" s="79"/>
      <c r="J1589" s="80"/>
      <c r="K1589" s="79"/>
      <c r="L1589" s="142"/>
      <c r="M1589" s="1"/>
      <c r="N1589" s="142"/>
      <c r="O1589" s="1"/>
      <c r="P1589" s="142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79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R1589" s="1"/>
      <c r="CS1589" s="1"/>
      <c r="CT1589" s="1"/>
      <c r="CU1589" s="1"/>
      <c r="CV1589" s="1"/>
      <c r="CW1589" s="1"/>
      <c r="CX1589" s="1"/>
      <c r="CY1589" s="91" t="str">
        <f t="shared" si="831"/>
        <v/>
      </c>
      <c r="CZ1589" s="1"/>
      <c r="DC1589" s="307"/>
      <c r="DE1589" s="307"/>
    </row>
    <row r="1590">
      <c r="A1590" s="1"/>
      <c r="B1590" s="1"/>
      <c r="C1590" s="76"/>
      <c r="D1590" s="76"/>
      <c r="E1590" s="76"/>
      <c r="F1590" s="76"/>
      <c r="G1590" s="79"/>
      <c r="H1590" s="80"/>
      <c r="I1590" s="79"/>
      <c r="J1590" s="80"/>
      <c r="K1590" s="79"/>
      <c r="L1590" s="142"/>
      <c r="M1590" s="1"/>
      <c r="N1590" s="142"/>
      <c r="O1590" s="1"/>
      <c r="P1590" s="142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79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R1590" s="1"/>
      <c r="CS1590" s="1"/>
      <c r="CT1590" s="1"/>
      <c r="CU1590" s="1"/>
      <c r="CV1590" s="1"/>
      <c r="CW1590" s="1"/>
      <c r="CX1590" s="1"/>
      <c r="CY1590" s="91" t="str">
        <f t="shared" si="831"/>
        <v/>
      </c>
      <c r="CZ1590" s="1"/>
      <c r="DC1590" s="307"/>
      <c r="DE1590" s="307"/>
    </row>
    <row r="1591">
      <c r="A1591" s="1"/>
      <c r="B1591" s="1"/>
      <c r="C1591" s="76"/>
      <c r="D1591" s="76"/>
      <c r="E1591" s="76"/>
      <c r="F1591" s="76"/>
      <c r="G1591" s="79"/>
      <c r="H1591" s="80"/>
      <c r="I1591" s="79"/>
      <c r="J1591" s="80"/>
      <c r="K1591" s="79"/>
      <c r="L1591" s="142"/>
      <c r="M1591" s="1"/>
      <c r="N1591" s="142"/>
      <c r="O1591" s="1"/>
      <c r="P1591" s="142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79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R1591" s="1"/>
      <c r="CS1591" s="1"/>
      <c r="CT1591" s="1"/>
      <c r="CU1591" s="1"/>
      <c r="CV1591" s="1"/>
      <c r="CW1591" s="1"/>
      <c r="CX1591" s="1"/>
      <c r="CY1591" s="91" t="str">
        <f t="shared" si="831"/>
        <v/>
      </c>
      <c r="CZ1591" s="1"/>
      <c r="DC1591" s="307"/>
      <c r="DE1591" s="307"/>
    </row>
    <row r="1592">
      <c r="A1592" s="1"/>
      <c r="B1592" s="1"/>
      <c r="C1592" s="76"/>
      <c r="D1592" s="76"/>
      <c r="E1592" s="76"/>
      <c r="F1592" s="76"/>
      <c r="G1592" s="79"/>
      <c r="H1592" s="80"/>
      <c r="I1592" s="79"/>
      <c r="J1592" s="80"/>
      <c r="K1592" s="79"/>
      <c r="L1592" s="142"/>
      <c r="M1592" s="1"/>
      <c r="N1592" s="142"/>
      <c r="O1592" s="1"/>
      <c r="P1592" s="142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79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R1592" s="1"/>
      <c r="CS1592" s="1"/>
      <c r="CT1592" s="1"/>
      <c r="CU1592" s="1"/>
      <c r="CV1592" s="1"/>
      <c r="CW1592" s="1"/>
      <c r="CX1592" s="1"/>
      <c r="CY1592" s="91" t="str">
        <f t="shared" si="831"/>
        <v/>
      </c>
      <c r="CZ1592" s="1"/>
      <c r="DC1592" s="307"/>
      <c r="DE1592" s="307"/>
    </row>
    <row r="1593">
      <c r="A1593" s="1"/>
      <c r="B1593" s="1"/>
      <c r="C1593" s="76"/>
      <c r="D1593" s="76"/>
      <c r="E1593" s="76"/>
      <c r="F1593" s="76"/>
      <c r="G1593" s="79"/>
      <c r="H1593" s="80"/>
      <c r="I1593" s="79"/>
      <c r="J1593" s="80"/>
      <c r="K1593" s="79"/>
      <c r="L1593" s="142"/>
      <c r="M1593" s="1"/>
      <c r="N1593" s="142"/>
      <c r="O1593" s="1"/>
      <c r="P1593" s="142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79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R1593" s="1"/>
      <c r="CS1593" s="1"/>
      <c r="CT1593" s="1"/>
      <c r="CU1593" s="1"/>
      <c r="CV1593" s="1"/>
      <c r="CW1593" s="1"/>
      <c r="CX1593" s="1"/>
      <c r="CY1593" s="91" t="str">
        <f t="shared" si="831"/>
        <v/>
      </c>
      <c r="CZ1593" s="1"/>
      <c r="DC1593" s="307"/>
      <c r="DE1593" s="307"/>
    </row>
    <row r="1594">
      <c r="A1594" s="1"/>
      <c r="B1594" s="1"/>
      <c r="C1594" s="76"/>
      <c r="D1594" s="76"/>
      <c r="E1594" s="76"/>
      <c r="F1594" s="76"/>
      <c r="G1594" s="79"/>
      <c r="H1594" s="80"/>
      <c r="I1594" s="79"/>
      <c r="J1594" s="80"/>
      <c r="K1594" s="79"/>
      <c r="L1594" s="142"/>
      <c r="M1594" s="1"/>
      <c r="N1594" s="142"/>
      <c r="O1594" s="1"/>
      <c r="P1594" s="142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79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R1594" s="1"/>
      <c r="CS1594" s="1"/>
      <c r="CT1594" s="1"/>
      <c r="CU1594" s="1"/>
      <c r="CV1594" s="1"/>
      <c r="CW1594" s="1"/>
      <c r="CX1594" s="1"/>
      <c r="CY1594" s="91" t="str">
        <f t="shared" si="831"/>
        <v/>
      </c>
      <c r="CZ1594" s="1"/>
      <c r="DC1594" s="307"/>
      <c r="DE1594" s="307"/>
    </row>
    <row r="1595">
      <c r="A1595" s="1"/>
      <c r="B1595" s="1"/>
      <c r="C1595" s="76"/>
      <c r="D1595" s="76"/>
      <c r="E1595" s="76"/>
      <c r="F1595" s="76"/>
      <c r="G1595" s="79"/>
      <c r="H1595" s="80"/>
      <c r="I1595" s="79"/>
      <c r="J1595" s="80"/>
      <c r="K1595" s="79"/>
      <c r="L1595" s="142"/>
      <c r="M1595" s="1"/>
      <c r="N1595" s="142"/>
      <c r="O1595" s="1"/>
      <c r="P1595" s="142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79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R1595" s="1"/>
      <c r="CS1595" s="1"/>
      <c r="CT1595" s="1"/>
      <c r="CU1595" s="1"/>
      <c r="CV1595" s="1"/>
      <c r="CW1595" s="1"/>
      <c r="CX1595" s="1"/>
      <c r="CY1595" s="91" t="str">
        <f t="shared" si="831"/>
        <v/>
      </c>
      <c r="CZ1595" s="1"/>
      <c r="DC1595" s="307"/>
      <c r="DE1595" s="307"/>
    </row>
    <row r="1596">
      <c r="A1596" s="1"/>
      <c r="B1596" s="1"/>
      <c r="C1596" s="76"/>
      <c r="D1596" s="76"/>
      <c r="E1596" s="76"/>
      <c r="F1596" s="76"/>
      <c r="G1596" s="79"/>
      <c r="H1596" s="80"/>
      <c r="I1596" s="79"/>
      <c r="J1596" s="80"/>
      <c r="K1596" s="79"/>
      <c r="L1596" s="142"/>
      <c r="M1596" s="1"/>
      <c r="N1596" s="142"/>
      <c r="O1596" s="1"/>
      <c r="P1596" s="142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79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R1596" s="1"/>
      <c r="CS1596" s="1"/>
      <c r="CT1596" s="1"/>
      <c r="CU1596" s="1"/>
      <c r="CV1596" s="1"/>
      <c r="CW1596" s="1"/>
      <c r="CX1596" s="1"/>
      <c r="CY1596" s="91" t="str">
        <f t="shared" si="831"/>
        <v/>
      </c>
      <c r="CZ1596" s="1"/>
      <c r="DC1596" s="307"/>
      <c r="DE1596" s="307"/>
    </row>
    <row r="1597">
      <c r="A1597" s="1"/>
      <c r="B1597" s="1"/>
      <c r="C1597" s="76"/>
      <c r="D1597" s="76"/>
      <c r="E1597" s="76"/>
      <c r="F1597" s="76"/>
      <c r="G1597" s="79"/>
      <c r="H1597" s="80"/>
      <c r="I1597" s="79"/>
      <c r="J1597" s="80"/>
      <c r="K1597" s="79"/>
      <c r="L1597" s="142"/>
      <c r="M1597" s="1"/>
      <c r="N1597" s="142"/>
      <c r="O1597" s="1"/>
      <c r="P1597" s="142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79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R1597" s="1"/>
      <c r="CS1597" s="1"/>
      <c r="CT1597" s="1"/>
      <c r="CU1597" s="1"/>
      <c r="CV1597" s="1"/>
      <c r="CW1597" s="1"/>
      <c r="CX1597" s="1"/>
      <c r="CY1597" s="91" t="str">
        <f t="shared" si="831"/>
        <v/>
      </c>
      <c r="CZ1597" s="1"/>
      <c r="DC1597" s="307"/>
      <c r="DE1597" s="307"/>
    </row>
    <row r="1598">
      <c r="A1598" s="1"/>
      <c r="B1598" s="1"/>
      <c r="C1598" s="76"/>
      <c r="D1598" s="76"/>
      <c r="E1598" s="76"/>
      <c r="F1598" s="76"/>
      <c r="G1598" s="79"/>
      <c r="H1598" s="80"/>
      <c r="I1598" s="79"/>
      <c r="J1598" s="80"/>
      <c r="K1598" s="79"/>
      <c r="L1598" s="142"/>
      <c r="M1598" s="1"/>
      <c r="N1598" s="142"/>
      <c r="O1598" s="1"/>
      <c r="P1598" s="142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79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R1598" s="1"/>
      <c r="CS1598" s="1"/>
      <c r="CT1598" s="1"/>
      <c r="CU1598" s="1"/>
      <c r="CV1598" s="1"/>
      <c r="CW1598" s="1"/>
      <c r="CX1598" s="1"/>
      <c r="CY1598" s="91" t="str">
        <f t="shared" si="831"/>
        <v/>
      </c>
      <c r="CZ1598" s="1"/>
      <c r="DC1598" s="307"/>
      <c r="DE1598" s="307"/>
    </row>
    <row r="1599">
      <c r="A1599" s="1"/>
      <c r="B1599" s="1"/>
      <c r="C1599" s="76"/>
      <c r="D1599" s="76"/>
      <c r="E1599" s="76"/>
      <c r="F1599" s="76"/>
      <c r="G1599" s="79"/>
      <c r="H1599" s="80"/>
      <c r="I1599" s="79"/>
      <c r="J1599" s="80"/>
      <c r="K1599" s="79"/>
      <c r="L1599" s="142"/>
      <c r="M1599" s="1"/>
      <c r="N1599" s="142"/>
      <c r="O1599" s="1"/>
      <c r="P1599" s="142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79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R1599" s="1"/>
      <c r="CS1599" s="1"/>
      <c r="CT1599" s="1"/>
      <c r="CU1599" s="1"/>
      <c r="CV1599" s="1"/>
      <c r="CW1599" s="1"/>
      <c r="CX1599" s="1"/>
      <c r="CY1599" s="91" t="str">
        <f t="shared" si="831"/>
        <v/>
      </c>
      <c r="CZ1599" s="1"/>
      <c r="DC1599" s="307"/>
      <c r="DE1599" s="307"/>
    </row>
    <row r="1600">
      <c r="A1600" s="1"/>
      <c r="B1600" s="1"/>
      <c r="C1600" s="76"/>
      <c r="D1600" s="76"/>
      <c r="E1600" s="76"/>
      <c r="F1600" s="76"/>
      <c r="G1600" s="79"/>
      <c r="H1600" s="80"/>
      <c r="I1600" s="79"/>
      <c r="J1600" s="80"/>
      <c r="K1600" s="79"/>
      <c r="L1600" s="142"/>
      <c r="M1600" s="1"/>
      <c r="N1600" s="142"/>
      <c r="O1600" s="1"/>
      <c r="P1600" s="142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79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R1600" s="1"/>
      <c r="CS1600" s="1"/>
      <c r="CT1600" s="1"/>
      <c r="CU1600" s="1"/>
      <c r="CV1600" s="1"/>
      <c r="CW1600" s="1"/>
      <c r="CX1600" s="1"/>
      <c r="CY1600" s="91" t="str">
        <f t="shared" si="831"/>
        <v/>
      </c>
      <c r="CZ1600" s="1"/>
      <c r="DC1600" s="307"/>
      <c r="DE1600" s="307"/>
    </row>
    <row r="1601">
      <c r="A1601" s="1"/>
      <c r="B1601" s="1"/>
      <c r="C1601" s="76"/>
      <c r="D1601" s="76"/>
      <c r="E1601" s="76"/>
      <c r="F1601" s="76"/>
      <c r="G1601" s="79"/>
      <c r="H1601" s="80"/>
      <c r="I1601" s="79"/>
      <c r="J1601" s="80"/>
      <c r="K1601" s="79"/>
      <c r="L1601" s="142"/>
      <c r="M1601" s="1"/>
      <c r="N1601" s="142"/>
      <c r="O1601" s="1"/>
      <c r="P1601" s="142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79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R1601" s="1"/>
      <c r="CS1601" s="1"/>
      <c r="CT1601" s="1"/>
      <c r="CU1601" s="1"/>
      <c r="CV1601" s="1"/>
      <c r="CW1601" s="1"/>
      <c r="CX1601" s="1"/>
      <c r="CY1601" s="91" t="str">
        <f t="shared" si="831"/>
        <v/>
      </c>
      <c r="CZ1601" s="1"/>
      <c r="DC1601" s="307"/>
      <c r="DE1601" s="307"/>
    </row>
    <row r="1602">
      <c r="A1602" s="1"/>
      <c r="B1602" s="1"/>
      <c r="C1602" s="76"/>
      <c r="D1602" s="76"/>
      <c r="E1602" s="76"/>
      <c r="F1602" s="76"/>
      <c r="G1602" s="79"/>
      <c r="H1602" s="80"/>
      <c r="I1602" s="79"/>
      <c r="J1602" s="80"/>
      <c r="K1602" s="79"/>
      <c r="L1602" s="142"/>
      <c r="M1602" s="1"/>
      <c r="N1602" s="142"/>
      <c r="O1602" s="1"/>
      <c r="P1602" s="142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79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R1602" s="1"/>
      <c r="CS1602" s="1"/>
      <c r="CT1602" s="1"/>
      <c r="CU1602" s="1"/>
      <c r="CV1602" s="1"/>
      <c r="CW1602" s="1"/>
      <c r="CX1602" s="1"/>
      <c r="CY1602" s="91" t="str">
        <f t="shared" si="831"/>
        <v/>
      </c>
      <c r="CZ1602" s="1"/>
      <c r="DC1602" s="307"/>
      <c r="DE1602" s="307"/>
    </row>
    <row r="1603">
      <c r="A1603" s="1"/>
      <c r="B1603" s="1"/>
      <c r="C1603" s="76"/>
      <c r="D1603" s="76"/>
      <c r="E1603" s="76"/>
      <c r="F1603" s="76"/>
      <c r="G1603" s="79"/>
      <c r="H1603" s="80"/>
      <c r="I1603" s="79"/>
      <c r="J1603" s="80"/>
      <c r="K1603" s="79"/>
      <c r="L1603" s="142"/>
      <c r="M1603" s="1"/>
      <c r="N1603" s="142"/>
      <c r="O1603" s="1"/>
      <c r="P1603" s="142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79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R1603" s="1"/>
      <c r="CS1603" s="1"/>
      <c r="CT1603" s="1"/>
      <c r="CU1603" s="1"/>
      <c r="CV1603" s="1"/>
      <c r="CW1603" s="1"/>
      <c r="CX1603" s="1"/>
      <c r="CY1603" s="91" t="str">
        <f t="shared" si="831"/>
        <v/>
      </c>
      <c r="CZ1603" s="1"/>
      <c r="DC1603" s="307"/>
      <c r="DE1603" s="307"/>
    </row>
    <row r="1604">
      <c r="A1604" s="1"/>
      <c r="B1604" s="1"/>
      <c r="C1604" s="76"/>
      <c r="D1604" s="76"/>
      <c r="E1604" s="76"/>
      <c r="F1604" s="76"/>
      <c r="G1604" s="79"/>
      <c r="H1604" s="80"/>
      <c r="I1604" s="79"/>
      <c r="J1604" s="80"/>
      <c r="K1604" s="79"/>
      <c r="L1604" s="142"/>
      <c r="M1604" s="1"/>
      <c r="N1604" s="142"/>
      <c r="O1604" s="1"/>
      <c r="P1604" s="142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79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R1604" s="1"/>
      <c r="CS1604" s="1"/>
      <c r="CT1604" s="1"/>
      <c r="CU1604" s="1"/>
      <c r="CV1604" s="1"/>
      <c r="CW1604" s="1"/>
      <c r="CX1604" s="1"/>
      <c r="CY1604" s="91" t="str">
        <f t="shared" si="831"/>
        <v/>
      </c>
      <c r="CZ1604" s="1"/>
      <c r="DC1604" s="307"/>
      <c r="DE1604" s="307"/>
    </row>
    <row r="1605">
      <c r="A1605" s="1"/>
      <c r="B1605" s="1"/>
      <c r="C1605" s="76"/>
      <c r="D1605" s="76"/>
      <c r="E1605" s="76"/>
      <c r="F1605" s="76"/>
      <c r="G1605" s="79"/>
      <c r="H1605" s="80"/>
      <c r="I1605" s="79"/>
      <c r="J1605" s="80"/>
      <c r="K1605" s="79"/>
      <c r="L1605" s="142"/>
      <c r="M1605" s="1"/>
      <c r="N1605" s="142"/>
      <c r="O1605" s="1"/>
      <c r="P1605" s="142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79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R1605" s="1"/>
      <c r="CS1605" s="1"/>
      <c r="CT1605" s="1"/>
      <c r="CU1605" s="1"/>
      <c r="CV1605" s="1"/>
      <c r="CW1605" s="1"/>
      <c r="CX1605" s="1"/>
      <c r="CY1605" s="91" t="str">
        <f t="shared" si="831"/>
        <v/>
      </c>
      <c r="CZ1605" s="1"/>
      <c r="DC1605" s="307"/>
      <c r="DE1605" s="307"/>
    </row>
    <row r="1606">
      <c r="A1606" s="1"/>
      <c r="B1606" s="1"/>
      <c r="C1606" s="76"/>
      <c r="D1606" s="76"/>
      <c r="E1606" s="76"/>
      <c r="F1606" s="76"/>
      <c r="G1606" s="79"/>
      <c r="H1606" s="80"/>
      <c r="I1606" s="79"/>
      <c r="J1606" s="80"/>
      <c r="K1606" s="79"/>
      <c r="L1606" s="142"/>
      <c r="M1606" s="1"/>
      <c r="N1606" s="142"/>
      <c r="O1606" s="1"/>
      <c r="P1606" s="142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79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R1606" s="1"/>
      <c r="CS1606" s="1"/>
      <c r="CT1606" s="1"/>
      <c r="CU1606" s="1"/>
      <c r="CV1606" s="1"/>
      <c r="CW1606" s="1"/>
      <c r="CX1606" s="1"/>
      <c r="CY1606" s="91" t="str">
        <f t="shared" si="831"/>
        <v/>
      </c>
      <c r="CZ1606" s="1"/>
      <c r="DC1606" s="307"/>
      <c r="DE1606" s="307"/>
    </row>
    <row r="1607">
      <c r="A1607" s="1"/>
      <c r="B1607" s="1"/>
      <c r="C1607" s="76"/>
      <c r="D1607" s="76"/>
      <c r="E1607" s="76"/>
      <c r="F1607" s="76"/>
      <c r="G1607" s="79"/>
      <c r="H1607" s="80"/>
      <c r="I1607" s="79"/>
      <c r="J1607" s="80"/>
      <c r="K1607" s="79"/>
      <c r="L1607" s="142"/>
      <c r="M1607" s="1"/>
      <c r="N1607" s="142"/>
      <c r="O1607" s="1"/>
      <c r="P1607" s="142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79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R1607" s="1"/>
      <c r="CS1607" s="1"/>
      <c r="CT1607" s="1"/>
      <c r="CU1607" s="1"/>
      <c r="CV1607" s="1"/>
      <c r="CW1607" s="1"/>
      <c r="CX1607" s="1"/>
      <c r="CY1607" s="91" t="str">
        <f t="shared" si="831"/>
        <v/>
      </c>
      <c r="CZ1607" s="1"/>
      <c r="DC1607" s="307"/>
      <c r="DE1607" s="307"/>
    </row>
    <row r="1608">
      <c r="A1608" s="1"/>
      <c r="B1608" s="1"/>
      <c r="C1608" s="76"/>
      <c r="D1608" s="76"/>
      <c r="E1608" s="76"/>
      <c r="F1608" s="76"/>
      <c r="G1608" s="79"/>
      <c r="H1608" s="80"/>
      <c r="I1608" s="79"/>
      <c r="J1608" s="80"/>
      <c r="K1608" s="79"/>
      <c r="L1608" s="142"/>
      <c r="M1608" s="1"/>
      <c r="N1608" s="142"/>
      <c r="O1608" s="1"/>
      <c r="P1608" s="142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79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R1608" s="1"/>
      <c r="CS1608" s="1"/>
      <c r="CT1608" s="1"/>
      <c r="CU1608" s="1"/>
      <c r="CV1608" s="1"/>
      <c r="CW1608" s="1"/>
      <c r="CX1608" s="1"/>
      <c r="CY1608" s="91" t="str">
        <f t="shared" si="831"/>
        <v/>
      </c>
      <c r="CZ1608" s="1"/>
      <c r="DC1608" s="307"/>
      <c r="DE1608" s="307"/>
    </row>
    <row r="1609">
      <c r="A1609" s="1"/>
      <c r="B1609" s="1"/>
      <c r="C1609" s="76"/>
      <c r="D1609" s="76"/>
      <c r="E1609" s="76"/>
      <c r="F1609" s="76"/>
      <c r="G1609" s="79"/>
      <c r="H1609" s="80"/>
      <c r="I1609" s="79"/>
      <c r="J1609" s="80"/>
      <c r="K1609" s="79"/>
      <c r="L1609" s="142"/>
      <c r="M1609" s="1"/>
      <c r="N1609" s="142"/>
      <c r="O1609" s="1"/>
      <c r="P1609" s="142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79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R1609" s="1"/>
      <c r="CS1609" s="1"/>
      <c r="CT1609" s="1"/>
      <c r="CU1609" s="1"/>
      <c r="CV1609" s="1"/>
      <c r="CW1609" s="1"/>
      <c r="CX1609" s="1"/>
      <c r="CY1609" s="91" t="str">
        <f t="shared" si="831"/>
        <v/>
      </c>
      <c r="CZ1609" s="1"/>
      <c r="DC1609" s="307"/>
      <c r="DE1609" s="307"/>
    </row>
    <row r="1610">
      <c r="A1610" s="1"/>
      <c r="B1610" s="1"/>
      <c r="C1610" s="76"/>
      <c r="D1610" s="76"/>
      <c r="E1610" s="76"/>
      <c r="F1610" s="76"/>
      <c r="G1610" s="79"/>
      <c r="H1610" s="80"/>
      <c r="I1610" s="79"/>
      <c r="J1610" s="80"/>
      <c r="K1610" s="79"/>
      <c r="L1610" s="142"/>
      <c r="M1610" s="1"/>
      <c r="N1610" s="142"/>
      <c r="O1610" s="1"/>
      <c r="P1610" s="142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79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R1610" s="1"/>
      <c r="CS1610" s="1"/>
      <c r="CT1610" s="1"/>
      <c r="CU1610" s="1"/>
      <c r="CV1610" s="1"/>
      <c r="CW1610" s="1"/>
      <c r="CX1610" s="1"/>
      <c r="CY1610" s="91" t="str">
        <f t="shared" si="831"/>
        <v/>
      </c>
      <c r="CZ1610" s="1"/>
      <c r="DC1610" s="307"/>
      <c r="DE1610" s="307"/>
    </row>
    <row r="1611">
      <c r="A1611" s="1"/>
      <c r="B1611" s="1"/>
      <c r="C1611" s="76"/>
      <c r="D1611" s="76"/>
      <c r="E1611" s="76"/>
      <c r="F1611" s="76"/>
      <c r="G1611" s="79"/>
      <c r="H1611" s="80"/>
      <c r="I1611" s="79"/>
      <c r="J1611" s="80"/>
      <c r="K1611" s="79"/>
      <c r="L1611" s="142"/>
      <c r="M1611" s="1"/>
      <c r="N1611" s="142"/>
      <c r="O1611" s="1"/>
      <c r="P1611" s="142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79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R1611" s="1"/>
      <c r="CS1611" s="1"/>
      <c r="CT1611" s="1"/>
      <c r="CU1611" s="1"/>
      <c r="CV1611" s="1"/>
      <c r="CW1611" s="1"/>
      <c r="CX1611" s="1"/>
      <c r="CY1611" s="91" t="str">
        <f t="shared" si="831"/>
        <v/>
      </c>
      <c r="CZ1611" s="1"/>
      <c r="DC1611" s="307"/>
      <c r="DE1611" s="307"/>
    </row>
    <row r="1612">
      <c r="A1612" s="1"/>
      <c r="B1612" s="1"/>
      <c r="C1612" s="76"/>
      <c r="D1612" s="76"/>
      <c r="E1612" s="76"/>
      <c r="F1612" s="76"/>
      <c r="G1612" s="79"/>
      <c r="H1612" s="80"/>
      <c r="I1612" s="79"/>
      <c r="J1612" s="80"/>
      <c r="K1612" s="79"/>
      <c r="L1612" s="142"/>
      <c r="M1612" s="1"/>
      <c r="N1612" s="142"/>
      <c r="O1612" s="1"/>
      <c r="P1612" s="142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79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R1612" s="1"/>
      <c r="CS1612" s="1"/>
      <c r="CT1612" s="1"/>
      <c r="CU1612" s="1"/>
      <c r="CV1612" s="1"/>
      <c r="CW1612" s="1"/>
      <c r="CX1612" s="1"/>
      <c r="CY1612" s="91" t="str">
        <f t="shared" si="831"/>
        <v/>
      </c>
      <c r="CZ1612" s="1"/>
      <c r="DC1612" s="307"/>
      <c r="DE1612" s="307"/>
    </row>
    <row r="1613">
      <c r="A1613" s="1"/>
      <c r="B1613" s="1"/>
      <c r="C1613" s="76"/>
      <c r="D1613" s="76"/>
      <c r="E1613" s="76"/>
      <c r="F1613" s="76"/>
      <c r="G1613" s="79"/>
      <c r="H1613" s="80"/>
      <c r="I1613" s="79"/>
      <c r="J1613" s="80"/>
      <c r="K1613" s="79"/>
      <c r="L1613" s="142"/>
      <c r="M1613" s="1"/>
      <c r="N1613" s="142"/>
      <c r="O1613" s="1"/>
      <c r="P1613" s="142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79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R1613" s="1"/>
      <c r="CS1613" s="1"/>
      <c r="CT1613" s="1"/>
      <c r="CU1613" s="1"/>
      <c r="CV1613" s="1"/>
      <c r="CW1613" s="1"/>
      <c r="CX1613" s="1"/>
      <c r="CY1613" s="91" t="str">
        <f t="shared" si="831"/>
        <v/>
      </c>
      <c r="CZ1613" s="1"/>
      <c r="DC1613" s="307"/>
      <c r="DE1613" s="307"/>
    </row>
    <row r="1614">
      <c r="A1614" s="1"/>
      <c r="B1614" s="1"/>
      <c r="C1614" s="76"/>
      <c r="D1614" s="76"/>
      <c r="E1614" s="76"/>
      <c r="F1614" s="76"/>
      <c r="G1614" s="79"/>
      <c r="H1614" s="80"/>
      <c r="I1614" s="79"/>
      <c r="J1614" s="80"/>
      <c r="K1614" s="79"/>
      <c r="L1614" s="142"/>
      <c r="M1614" s="1"/>
      <c r="N1614" s="142"/>
      <c r="O1614" s="1"/>
      <c r="P1614" s="142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79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R1614" s="1"/>
      <c r="CS1614" s="1"/>
      <c r="CT1614" s="1"/>
      <c r="CU1614" s="1"/>
      <c r="CV1614" s="1"/>
      <c r="CW1614" s="1"/>
      <c r="CX1614" s="1"/>
      <c r="CY1614" s="91" t="str">
        <f t="shared" si="831"/>
        <v/>
      </c>
      <c r="CZ1614" s="1"/>
      <c r="DC1614" s="307"/>
      <c r="DE1614" s="307"/>
    </row>
    <row r="1615">
      <c r="A1615" s="1"/>
      <c r="B1615" s="1"/>
      <c r="C1615" s="76"/>
      <c r="D1615" s="76"/>
      <c r="E1615" s="76"/>
      <c r="F1615" s="76"/>
      <c r="G1615" s="79"/>
      <c r="H1615" s="80"/>
      <c r="I1615" s="79"/>
      <c r="J1615" s="80"/>
      <c r="K1615" s="79"/>
      <c r="L1615" s="142"/>
      <c r="M1615" s="1"/>
      <c r="N1615" s="142"/>
      <c r="O1615" s="1"/>
      <c r="P1615" s="142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79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R1615" s="1"/>
      <c r="CS1615" s="1"/>
      <c r="CT1615" s="1"/>
      <c r="CU1615" s="1"/>
      <c r="CV1615" s="1"/>
      <c r="CW1615" s="1"/>
      <c r="CX1615" s="1"/>
      <c r="CY1615" s="91" t="str">
        <f t="shared" si="831"/>
        <v/>
      </c>
      <c r="CZ1615" s="1"/>
      <c r="DC1615" s="307"/>
      <c r="DE1615" s="307"/>
    </row>
    <row r="1616">
      <c r="A1616" s="1"/>
      <c r="B1616" s="1"/>
      <c r="C1616" s="76"/>
      <c r="D1616" s="76"/>
      <c r="E1616" s="76"/>
      <c r="F1616" s="76"/>
      <c r="G1616" s="79"/>
      <c r="H1616" s="80"/>
      <c r="I1616" s="79"/>
      <c r="J1616" s="80"/>
      <c r="K1616" s="79"/>
      <c r="L1616" s="142"/>
      <c r="M1616" s="1"/>
      <c r="N1616" s="142"/>
      <c r="O1616" s="1"/>
      <c r="P1616" s="142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79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R1616" s="1"/>
      <c r="CS1616" s="1"/>
      <c r="CT1616" s="1"/>
      <c r="CU1616" s="1"/>
      <c r="CV1616" s="1"/>
      <c r="CW1616" s="1"/>
      <c r="CX1616" s="1"/>
      <c r="CY1616" s="91" t="str">
        <f t="shared" si="831"/>
        <v/>
      </c>
      <c r="CZ1616" s="1"/>
      <c r="DC1616" s="307"/>
      <c r="DE1616" s="307"/>
    </row>
    <row r="1617">
      <c r="A1617" s="1"/>
      <c r="B1617" s="1"/>
      <c r="C1617" s="76"/>
      <c r="D1617" s="76"/>
      <c r="E1617" s="76"/>
      <c r="F1617" s="76"/>
      <c r="G1617" s="79"/>
      <c r="H1617" s="80"/>
      <c r="I1617" s="79"/>
      <c r="J1617" s="80"/>
      <c r="K1617" s="79"/>
      <c r="L1617" s="142"/>
      <c r="M1617" s="1"/>
      <c r="N1617" s="142"/>
      <c r="O1617" s="1"/>
      <c r="P1617" s="142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79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R1617" s="1"/>
      <c r="CS1617" s="1"/>
      <c r="CT1617" s="1"/>
      <c r="CU1617" s="1"/>
      <c r="CV1617" s="1"/>
      <c r="CW1617" s="1"/>
      <c r="CX1617" s="1"/>
      <c r="CY1617" s="91" t="str">
        <f t="shared" si="831"/>
        <v/>
      </c>
      <c r="CZ1617" s="1"/>
      <c r="DC1617" s="307"/>
      <c r="DE1617" s="307"/>
    </row>
    <row r="1618">
      <c r="A1618" s="1"/>
      <c r="B1618" s="1"/>
      <c r="C1618" s="76"/>
      <c r="D1618" s="76"/>
      <c r="E1618" s="76"/>
      <c r="F1618" s="76"/>
      <c r="G1618" s="79"/>
      <c r="H1618" s="80"/>
      <c r="I1618" s="79"/>
      <c r="J1618" s="80"/>
      <c r="K1618" s="79"/>
      <c r="L1618" s="142"/>
      <c r="M1618" s="1"/>
      <c r="N1618" s="142"/>
      <c r="O1618" s="1"/>
      <c r="P1618" s="142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79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R1618" s="1"/>
      <c r="CS1618" s="1"/>
      <c r="CT1618" s="1"/>
      <c r="CU1618" s="1"/>
      <c r="CV1618" s="1"/>
      <c r="CW1618" s="1"/>
      <c r="CX1618" s="1"/>
      <c r="CY1618" s="91" t="str">
        <f t="shared" si="831"/>
        <v/>
      </c>
      <c r="CZ1618" s="1"/>
      <c r="DC1618" s="307"/>
      <c r="DE1618" s="307"/>
    </row>
    <row r="1619">
      <c r="A1619" s="1"/>
      <c r="B1619" s="1"/>
      <c r="C1619" s="76"/>
      <c r="D1619" s="76"/>
      <c r="E1619" s="76"/>
      <c r="F1619" s="76"/>
      <c r="G1619" s="79"/>
      <c r="H1619" s="80"/>
      <c r="I1619" s="79"/>
      <c r="J1619" s="80"/>
      <c r="K1619" s="79"/>
      <c r="L1619" s="142"/>
      <c r="M1619" s="1"/>
      <c r="N1619" s="142"/>
      <c r="O1619" s="1"/>
      <c r="P1619" s="142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79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R1619" s="1"/>
      <c r="CS1619" s="1"/>
      <c r="CT1619" s="1"/>
      <c r="CU1619" s="1"/>
      <c r="CV1619" s="1"/>
      <c r="CW1619" s="1"/>
      <c r="CX1619" s="1"/>
      <c r="CY1619" s="91" t="str">
        <f t="shared" si="831"/>
        <v/>
      </c>
      <c r="CZ1619" s="1"/>
      <c r="DC1619" s="307"/>
      <c r="DE1619" s="307"/>
    </row>
    <row r="1620">
      <c r="A1620" s="1"/>
      <c r="B1620" s="1"/>
      <c r="C1620" s="76"/>
      <c r="D1620" s="76"/>
      <c r="E1620" s="76"/>
      <c r="F1620" s="76"/>
      <c r="G1620" s="79"/>
      <c r="H1620" s="80"/>
      <c r="I1620" s="79"/>
      <c r="J1620" s="80"/>
      <c r="K1620" s="79"/>
      <c r="L1620" s="142"/>
      <c r="M1620" s="1"/>
      <c r="N1620" s="142"/>
      <c r="O1620" s="1"/>
      <c r="P1620" s="142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79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R1620" s="1"/>
      <c r="CS1620" s="1"/>
      <c r="CT1620" s="1"/>
      <c r="CU1620" s="1"/>
      <c r="CV1620" s="1"/>
      <c r="CW1620" s="1"/>
      <c r="CX1620" s="1"/>
      <c r="CY1620" s="91" t="str">
        <f t="shared" si="831"/>
        <v/>
      </c>
      <c r="CZ1620" s="1"/>
      <c r="DC1620" s="307"/>
      <c r="DE1620" s="307"/>
    </row>
    <row r="1621">
      <c r="A1621" s="1"/>
      <c r="B1621" s="1"/>
      <c r="C1621" s="76"/>
      <c r="D1621" s="76"/>
      <c r="E1621" s="76"/>
      <c r="F1621" s="76"/>
      <c r="G1621" s="79"/>
      <c r="H1621" s="80"/>
      <c r="I1621" s="79"/>
      <c r="J1621" s="80"/>
      <c r="K1621" s="79"/>
      <c r="L1621" s="142"/>
      <c r="M1621" s="1"/>
      <c r="N1621" s="142"/>
      <c r="O1621" s="1"/>
      <c r="P1621" s="142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79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R1621" s="1"/>
      <c r="CS1621" s="1"/>
      <c r="CT1621" s="1"/>
      <c r="CU1621" s="1"/>
      <c r="CV1621" s="1"/>
      <c r="CW1621" s="1"/>
      <c r="CX1621" s="1"/>
      <c r="CY1621" s="91" t="str">
        <f t="shared" si="831"/>
        <v/>
      </c>
      <c r="CZ1621" s="1"/>
      <c r="DC1621" s="307"/>
      <c r="DE1621" s="307"/>
    </row>
    <row r="1622">
      <c r="A1622" s="1"/>
      <c r="B1622" s="1"/>
      <c r="C1622" s="76"/>
      <c r="D1622" s="76"/>
      <c r="E1622" s="76"/>
      <c r="F1622" s="76"/>
      <c r="G1622" s="79"/>
      <c r="H1622" s="80"/>
      <c r="I1622" s="79"/>
      <c r="J1622" s="80"/>
      <c r="K1622" s="79"/>
      <c r="L1622" s="142"/>
      <c r="M1622" s="1"/>
      <c r="N1622" s="142"/>
      <c r="O1622" s="1"/>
      <c r="P1622" s="142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79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R1622" s="1"/>
      <c r="CS1622" s="1"/>
      <c r="CT1622" s="1"/>
      <c r="CU1622" s="1"/>
      <c r="CV1622" s="1"/>
      <c r="CW1622" s="1"/>
      <c r="CX1622" s="1"/>
      <c r="CY1622" s="91" t="str">
        <f t="shared" si="831"/>
        <v/>
      </c>
      <c r="CZ1622" s="1"/>
      <c r="DC1622" s="307"/>
      <c r="DE1622" s="307"/>
    </row>
    <row r="1623">
      <c r="A1623" s="1"/>
      <c r="B1623" s="1"/>
      <c r="C1623" s="76"/>
      <c r="D1623" s="76"/>
      <c r="E1623" s="76"/>
      <c r="F1623" s="76"/>
      <c r="G1623" s="79"/>
      <c r="H1623" s="80"/>
      <c r="I1623" s="79"/>
      <c r="J1623" s="80"/>
      <c r="K1623" s="79"/>
      <c r="L1623" s="142"/>
      <c r="M1623" s="1"/>
      <c r="N1623" s="142"/>
      <c r="O1623" s="1"/>
      <c r="P1623" s="142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79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R1623" s="1"/>
      <c r="CS1623" s="1"/>
      <c r="CT1623" s="1"/>
      <c r="CU1623" s="1"/>
      <c r="CV1623" s="1"/>
      <c r="CW1623" s="1"/>
      <c r="CX1623" s="1"/>
      <c r="CY1623" s="91" t="str">
        <f t="shared" si="831"/>
        <v/>
      </c>
      <c r="CZ1623" s="1"/>
      <c r="DC1623" s="307"/>
      <c r="DE1623" s="307"/>
    </row>
    <row r="1624">
      <c r="A1624" s="1"/>
      <c r="B1624" s="1"/>
      <c r="C1624" s="76"/>
      <c r="D1624" s="76"/>
      <c r="E1624" s="76"/>
      <c r="F1624" s="76"/>
      <c r="G1624" s="79"/>
      <c r="H1624" s="80"/>
      <c r="I1624" s="79"/>
      <c r="J1624" s="80"/>
      <c r="K1624" s="79"/>
      <c r="L1624" s="142"/>
      <c r="M1624" s="1"/>
      <c r="N1624" s="142"/>
      <c r="O1624" s="1"/>
      <c r="P1624" s="142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79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R1624" s="1"/>
      <c r="CS1624" s="1"/>
      <c r="CT1624" s="1"/>
      <c r="CU1624" s="1"/>
      <c r="CV1624" s="1"/>
      <c r="CW1624" s="1"/>
      <c r="CX1624" s="1"/>
      <c r="CY1624" s="91" t="str">
        <f t="shared" si="831"/>
        <v/>
      </c>
      <c r="CZ1624" s="1"/>
      <c r="DC1624" s="307"/>
      <c r="DE1624" s="307"/>
    </row>
    <row r="1625">
      <c r="A1625" s="1"/>
      <c r="B1625" s="1"/>
      <c r="C1625" s="76"/>
      <c r="D1625" s="76"/>
      <c r="E1625" s="76"/>
      <c r="F1625" s="76"/>
      <c r="G1625" s="79"/>
      <c r="H1625" s="80"/>
      <c r="I1625" s="79"/>
      <c r="J1625" s="80"/>
      <c r="K1625" s="79"/>
      <c r="L1625" s="142"/>
      <c r="M1625" s="1"/>
      <c r="N1625" s="142"/>
      <c r="O1625" s="1"/>
      <c r="P1625" s="142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79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R1625" s="1"/>
      <c r="CS1625" s="1"/>
      <c r="CT1625" s="1"/>
      <c r="CU1625" s="1"/>
      <c r="CV1625" s="1"/>
      <c r="CW1625" s="1"/>
      <c r="CX1625" s="1"/>
      <c r="CY1625" s="91" t="str">
        <f t="shared" si="831"/>
        <v/>
      </c>
      <c r="CZ1625" s="1"/>
      <c r="DC1625" s="307"/>
      <c r="DE1625" s="307"/>
    </row>
    <row r="1626">
      <c r="A1626" s="1"/>
      <c r="B1626" s="1"/>
      <c r="C1626" s="76"/>
      <c r="D1626" s="76"/>
      <c r="E1626" s="76"/>
      <c r="F1626" s="76"/>
      <c r="G1626" s="79"/>
      <c r="H1626" s="80"/>
      <c r="I1626" s="79"/>
      <c r="J1626" s="80"/>
      <c r="K1626" s="79"/>
      <c r="L1626" s="142"/>
      <c r="M1626" s="1"/>
      <c r="N1626" s="142"/>
      <c r="O1626" s="1"/>
      <c r="P1626" s="142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79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R1626" s="1"/>
      <c r="CS1626" s="1"/>
      <c r="CT1626" s="1"/>
      <c r="CU1626" s="1"/>
      <c r="CV1626" s="1"/>
      <c r="CW1626" s="1"/>
      <c r="CX1626" s="1"/>
      <c r="CY1626" s="91" t="str">
        <f t="shared" si="831"/>
        <v/>
      </c>
      <c r="CZ1626" s="1"/>
      <c r="DC1626" s="307"/>
      <c r="DE1626" s="307"/>
    </row>
    <row r="1627">
      <c r="A1627" s="1"/>
      <c r="B1627" s="1"/>
      <c r="C1627" s="76"/>
      <c r="D1627" s="76"/>
      <c r="E1627" s="76"/>
      <c r="F1627" s="76"/>
      <c r="G1627" s="79"/>
      <c r="H1627" s="80"/>
      <c r="I1627" s="79"/>
      <c r="J1627" s="80"/>
      <c r="K1627" s="79"/>
      <c r="L1627" s="142"/>
      <c r="M1627" s="1"/>
      <c r="N1627" s="142"/>
      <c r="O1627" s="1"/>
      <c r="P1627" s="142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79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R1627" s="1"/>
      <c r="CS1627" s="1"/>
      <c r="CT1627" s="1"/>
      <c r="CU1627" s="1"/>
      <c r="CV1627" s="1"/>
      <c r="CW1627" s="1"/>
      <c r="CX1627" s="1"/>
      <c r="CY1627" s="91" t="str">
        <f t="shared" si="831"/>
        <v/>
      </c>
      <c r="CZ1627" s="1"/>
      <c r="DC1627" s="307"/>
      <c r="DE1627" s="307"/>
    </row>
    <row r="1628">
      <c r="A1628" s="1"/>
      <c r="B1628" s="1"/>
      <c r="C1628" s="76"/>
      <c r="D1628" s="76"/>
      <c r="E1628" s="76"/>
      <c r="F1628" s="76"/>
      <c r="G1628" s="79"/>
      <c r="H1628" s="80"/>
      <c r="I1628" s="79"/>
      <c r="J1628" s="80"/>
      <c r="K1628" s="79"/>
      <c r="L1628" s="142"/>
      <c r="M1628" s="1"/>
      <c r="N1628" s="142"/>
      <c r="O1628" s="1"/>
      <c r="P1628" s="142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79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R1628" s="1"/>
      <c r="CS1628" s="1"/>
      <c r="CT1628" s="1"/>
      <c r="CU1628" s="1"/>
      <c r="CV1628" s="1"/>
      <c r="CW1628" s="1"/>
      <c r="CX1628" s="1"/>
      <c r="CY1628" s="91" t="str">
        <f t="shared" si="831"/>
        <v/>
      </c>
      <c r="CZ1628" s="1"/>
      <c r="DC1628" s="307"/>
      <c r="DE1628" s="307"/>
    </row>
    <row r="1629">
      <c r="A1629" s="1"/>
      <c r="B1629" s="1"/>
      <c r="C1629" s="76"/>
      <c r="D1629" s="76"/>
      <c r="E1629" s="76"/>
      <c r="F1629" s="76"/>
      <c r="G1629" s="79"/>
      <c r="H1629" s="80"/>
      <c r="I1629" s="79"/>
      <c r="J1629" s="80"/>
      <c r="K1629" s="79"/>
      <c r="L1629" s="142"/>
      <c r="M1629" s="1"/>
      <c r="N1629" s="142"/>
      <c r="O1629" s="1"/>
      <c r="P1629" s="142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79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R1629" s="1"/>
      <c r="CS1629" s="1"/>
      <c r="CT1629" s="1"/>
      <c r="CU1629" s="1"/>
      <c r="CV1629" s="1"/>
      <c r="CW1629" s="1"/>
      <c r="CX1629" s="1"/>
      <c r="CY1629" s="91" t="str">
        <f t="shared" si="831"/>
        <v/>
      </c>
      <c r="CZ1629" s="1"/>
      <c r="DC1629" s="307"/>
      <c r="DE1629" s="307"/>
    </row>
    <row r="1630">
      <c r="A1630" s="1"/>
      <c r="B1630" s="1"/>
      <c r="C1630" s="76"/>
      <c r="D1630" s="76"/>
      <c r="E1630" s="76"/>
      <c r="F1630" s="76"/>
      <c r="G1630" s="79"/>
      <c r="H1630" s="80"/>
      <c r="I1630" s="79"/>
      <c r="J1630" s="80"/>
      <c r="K1630" s="79"/>
      <c r="L1630" s="142"/>
      <c r="M1630" s="1"/>
      <c r="N1630" s="142"/>
      <c r="O1630" s="1"/>
      <c r="P1630" s="142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79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R1630" s="1"/>
      <c r="CS1630" s="1"/>
      <c r="CT1630" s="1"/>
      <c r="CU1630" s="1"/>
      <c r="CV1630" s="1"/>
      <c r="CW1630" s="1"/>
      <c r="CX1630" s="1"/>
      <c r="CY1630" s="91" t="str">
        <f t="shared" si="831"/>
        <v/>
      </c>
      <c r="CZ1630" s="1"/>
      <c r="DC1630" s="307"/>
      <c r="DE1630" s="307"/>
    </row>
    <row r="1631">
      <c r="A1631" s="1"/>
      <c r="B1631" s="1"/>
      <c r="C1631" s="76"/>
      <c r="D1631" s="76"/>
      <c r="E1631" s="76"/>
      <c r="F1631" s="76"/>
      <c r="G1631" s="79"/>
      <c r="H1631" s="80"/>
      <c r="I1631" s="79"/>
      <c r="J1631" s="80"/>
      <c r="K1631" s="79"/>
      <c r="L1631" s="142"/>
      <c r="M1631" s="1"/>
      <c r="N1631" s="142"/>
      <c r="O1631" s="1"/>
      <c r="P1631" s="142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79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R1631" s="1"/>
      <c r="CS1631" s="1"/>
      <c r="CT1631" s="1"/>
      <c r="CU1631" s="1"/>
      <c r="CV1631" s="1"/>
      <c r="CW1631" s="1"/>
      <c r="CX1631" s="1"/>
      <c r="CY1631" s="91" t="str">
        <f t="shared" si="831"/>
        <v/>
      </c>
      <c r="CZ1631" s="1"/>
      <c r="DC1631" s="307"/>
      <c r="DE1631" s="307"/>
    </row>
    <row r="1632">
      <c r="A1632" s="1"/>
      <c r="B1632" s="1"/>
      <c r="C1632" s="76"/>
      <c r="D1632" s="76"/>
      <c r="E1632" s="76"/>
      <c r="F1632" s="76"/>
      <c r="G1632" s="79"/>
      <c r="H1632" s="80"/>
      <c r="I1632" s="79"/>
      <c r="J1632" s="80"/>
      <c r="K1632" s="79"/>
      <c r="L1632" s="142"/>
      <c r="M1632" s="1"/>
      <c r="N1632" s="142"/>
      <c r="O1632" s="1"/>
      <c r="P1632" s="142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79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R1632" s="1"/>
      <c r="CS1632" s="1"/>
      <c r="CT1632" s="1"/>
      <c r="CU1632" s="1"/>
      <c r="CV1632" s="1"/>
      <c r="CW1632" s="1"/>
      <c r="CX1632" s="1"/>
      <c r="CY1632" s="91" t="str">
        <f t="shared" si="831"/>
        <v/>
      </c>
      <c r="CZ1632" s="1"/>
      <c r="DC1632" s="307"/>
      <c r="DE1632" s="307"/>
    </row>
    <row r="1633">
      <c r="A1633" s="1"/>
      <c r="B1633" s="1"/>
      <c r="C1633" s="76"/>
      <c r="D1633" s="76"/>
      <c r="E1633" s="76"/>
      <c r="F1633" s="76"/>
      <c r="G1633" s="79"/>
      <c r="H1633" s="80"/>
      <c r="I1633" s="79"/>
      <c r="J1633" s="80"/>
      <c r="K1633" s="79"/>
      <c r="L1633" s="142"/>
      <c r="M1633" s="1"/>
      <c r="N1633" s="142"/>
      <c r="O1633" s="1"/>
      <c r="P1633" s="142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79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R1633" s="1"/>
      <c r="CS1633" s="1"/>
      <c r="CT1633" s="1"/>
      <c r="CU1633" s="1"/>
      <c r="CV1633" s="1"/>
      <c r="CW1633" s="1"/>
      <c r="CX1633" s="1"/>
      <c r="CY1633" s="91" t="str">
        <f t="shared" si="831"/>
        <v/>
      </c>
      <c r="CZ1633" s="1"/>
      <c r="DC1633" s="307"/>
      <c r="DE1633" s="307"/>
    </row>
    <row r="1634">
      <c r="A1634" s="1"/>
      <c r="B1634" s="1"/>
      <c r="C1634" s="76"/>
      <c r="D1634" s="76"/>
      <c r="E1634" s="76"/>
      <c r="F1634" s="76"/>
      <c r="G1634" s="79"/>
      <c r="H1634" s="80"/>
      <c r="I1634" s="79"/>
      <c r="J1634" s="80"/>
      <c r="K1634" s="79"/>
      <c r="L1634" s="142"/>
      <c r="M1634" s="1"/>
      <c r="N1634" s="142"/>
      <c r="O1634" s="1"/>
      <c r="P1634" s="142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79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R1634" s="1"/>
      <c r="CS1634" s="1"/>
      <c r="CT1634" s="1"/>
      <c r="CU1634" s="1"/>
      <c r="CV1634" s="1"/>
      <c r="CW1634" s="1"/>
      <c r="CX1634" s="1"/>
      <c r="CY1634" s="91" t="str">
        <f t="shared" si="831"/>
        <v/>
      </c>
      <c r="CZ1634" s="1"/>
      <c r="DC1634" s="307"/>
      <c r="DE1634" s="307"/>
    </row>
    <row r="1635">
      <c r="A1635" s="1"/>
      <c r="B1635" s="1"/>
      <c r="C1635" s="76"/>
      <c r="D1635" s="76"/>
      <c r="E1635" s="76"/>
      <c r="F1635" s="76"/>
      <c r="G1635" s="79"/>
      <c r="H1635" s="80"/>
      <c r="I1635" s="79"/>
      <c r="J1635" s="80"/>
      <c r="K1635" s="79"/>
      <c r="L1635" s="142"/>
      <c r="M1635" s="1"/>
      <c r="N1635" s="142"/>
      <c r="O1635" s="1"/>
      <c r="P1635" s="142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79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R1635" s="1"/>
      <c r="CS1635" s="1"/>
      <c r="CT1635" s="1"/>
      <c r="CU1635" s="1"/>
      <c r="CV1635" s="1"/>
      <c r="CW1635" s="1"/>
      <c r="CX1635" s="1"/>
      <c r="CY1635" s="91" t="str">
        <f t="shared" si="831"/>
        <v/>
      </c>
      <c r="CZ1635" s="1"/>
      <c r="DC1635" s="307"/>
      <c r="DE1635" s="307"/>
    </row>
    <row r="1636">
      <c r="A1636" s="1"/>
      <c r="B1636" s="1"/>
      <c r="C1636" s="76"/>
      <c r="D1636" s="76"/>
      <c r="E1636" s="76"/>
      <c r="F1636" s="76"/>
      <c r="G1636" s="79"/>
      <c r="H1636" s="80"/>
      <c r="I1636" s="79"/>
      <c r="J1636" s="80"/>
      <c r="K1636" s="79"/>
      <c r="L1636" s="142"/>
      <c r="M1636" s="1"/>
      <c r="N1636" s="142"/>
      <c r="O1636" s="1"/>
      <c r="P1636" s="142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79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R1636" s="1"/>
      <c r="CS1636" s="1"/>
      <c r="CT1636" s="1"/>
      <c r="CU1636" s="1"/>
      <c r="CV1636" s="1"/>
      <c r="CW1636" s="1"/>
      <c r="CX1636" s="1"/>
      <c r="CY1636" s="91" t="str">
        <f t="shared" si="831"/>
        <v/>
      </c>
      <c r="CZ1636" s="1"/>
      <c r="DC1636" s="307"/>
      <c r="DE1636" s="307"/>
    </row>
    <row r="1637">
      <c r="A1637" s="1"/>
      <c r="B1637" s="1"/>
      <c r="C1637" s="76"/>
      <c r="D1637" s="76"/>
      <c r="E1637" s="76"/>
      <c r="F1637" s="76"/>
      <c r="G1637" s="79"/>
      <c r="H1637" s="80"/>
      <c r="I1637" s="79"/>
      <c r="J1637" s="80"/>
      <c r="K1637" s="79"/>
      <c r="L1637" s="142"/>
      <c r="M1637" s="1"/>
      <c r="N1637" s="142"/>
      <c r="O1637" s="1"/>
      <c r="P1637" s="142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79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R1637" s="1"/>
      <c r="CS1637" s="1"/>
      <c r="CT1637" s="1"/>
      <c r="CU1637" s="1"/>
      <c r="CV1637" s="1"/>
      <c r="CW1637" s="1"/>
      <c r="CX1637" s="1"/>
      <c r="CY1637" s="91" t="str">
        <f t="shared" si="831"/>
        <v/>
      </c>
      <c r="CZ1637" s="1"/>
      <c r="DC1637" s="307"/>
      <c r="DE1637" s="307"/>
    </row>
    <row r="1638">
      <c r="A1638" s="1"/>
      <c r="B1638" s="1"/>
      <c r="C1638" s="76"/>
      <c r="D1638" s="76"/>
      <c r="E1638" s="76"/>
      <c r="F1638" s="76"/>
      <c r="G1638" s="79"/>
      <c r="H1638" s="80"/>
      <c r="I1638" s="79"/>
      <c r="J1638" s="80"/>
      <c r="K1638" s="79"/>
      <c r="L1638" s="142"/>
      <c r="M1638" s="1"/>
      <c r="N1638" s="142"/>
      <c r="O1638" s="1"/>
      <c r="P1638" s="142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79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R1638" s="1"/>
      <c r="CS1638" s="1"/>
      <c r="CT1638" s="1"/>
      <c r="CU1638" s="1"/>
      <c r="CV1638" s="1"/>
      <c r="CW1638" s="1"/>
      <c r="CX1638" s="1"/>
      <c r="CY1638" s="91" t="str">
        <f t="shared" si="831"/>
        <v/>
      </c>
      <c r="CZ1638" s="1"/>
      <c r="DC1638" s="307"/>
      <c r="DE1638" s="307"/>
    </row>
    <row r="1639">
      <c r="A1639" s="1"/>
      <c r="B1639" s="1"/>
      <c r="C1639" s="76"/>
      <c r="D1639" s="76"/>
      <c r="E1639" s="76"/>
      <c r="F1639" s="76"/>
      <c r="G1639" s="79"/>
      <c r="H1639" s="80"/>
      <c r="I1639" s="79"/>
      <c r="J1639" s="80"/>
      <c r="K1639" s="79"/>
      <c r="L1639" s="142"/>
      <c r="M1639" s="1"/>
      <c r="N1639" s="142"/>
      <c r="O1639" s="1"/>
      <c r="P1639" s="142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79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R1639" s="1"/>
      <c r="CS1639" s="1"/>
      <c r="CT1639" s="1"/>
      <c r="CU1639" s="1"/>
      <c r="CV1639" s="1"/>
      <c r="CW1639" s="1"/>
      <c r="CX1639" s="1"/>
      <c r="CY1639" s="91" t="str">
        <f t="shared" si="831"/>
        <v/>
      </c>
      <c r="CZ1639" s="1"/>
      <c r="DC1639" s="307"/>
      <c r="DE1639" s="307"/>
    </row>
    <row r="1640">
      <c r="A1640" s="1"/>
      <c r="B1640" s="1"/>
      <c r="C1640" s="76"/>
      <c r="D1640" s="76"/>
      <c r="E1640" s="76"/>
      <c r="F1640" s="76"/>
      <c r="G1640" s="79"/>
      <c r="H1640" s="80"/>
      <c r="I1640" s="79"/>
      <c r="J1640" s="80"/>
      <c r="K1640" s="79"/>
      <c r="L1640" s="142"/>
      <c r="M1640" s="1"/>
      <c r="N1640" s="142"/>
      <c r="O1640" s="1"/>
      <c r="P1640" s="142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79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R1640" s="1"/>
      <c r="CS1640" s="1"/>
      <c r="CT1640" s="1"/>
      <c r="CU1640" s="1"/>
      <c r="CV1640" s="1"/>
      <c r="CW1640" s="1"/>
      <c r="CX1640" s="1"/>
      <c r="CY1640" s="91" t="str">
        <f t="shared" si="831"/>
        <v/>
      </c>
      <c r="CZ1640" s="1"/>
      <c r="DC1640" s="307"/>
      <c r="DE1640" s="307"/>
    </row>
    <row r="1641">
      <c r="A1641" s="1"/>
      <c r="B1641" s="1"/>
      <c r="C1641" s="76"/>
      <c r="D1641" s="76"/>
      <c r="E1641" s="76"/>
      <c r="F1641" s="76"/>
      <c r="G1641" s="79"/>
      <c r="H1641" s="80"/>
      <c r="I1641" s="79"/>
      <c r="J1641" s="80"/>
      <c r="K1641" s="79"/>
      <c r="L1641" s="142"/>
      <c r="M1641" s="1"/>
      <c r="N1641" s="142"/>
      <c r="O1641" s="1"/>
      <c r="P1641" s="142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79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R1641" s="1"/>
      <c r="CS1641" s="1"/>
      <c r="CT1641" s="1"/>
      <c r="CU1641" s="1"/>
      <c r="CV1641" s="1"/>
      <c r="CW1641" s="1"/>
      <c r="CX1641" s="1"/>
      <c r="CY1641" s="91" t="str">
        <f t="shared" si="831"/>
        <v/>
      </c>
      <c r="CZ1641" s="1"/>
      <c r="DC1641" s="307"/>
      <c r="DE1641" s="307"/>
    </row>
    <row r="1642">
      <c r="A1642" s="1"/>
      <c r="B1642" s="1"/>
      <c r="C1642" s="76"/>
      <c r="D1642" s="76"/>
      <c r="E1642" s="76"/>
      <c r="F1642" s="76"/>
      <c r="G1642" s="79"/>
      <c r="H1642" s="80"/>
      <c r="I1642" s="79"/>
      <c r="J1642" s="80"/>
      <c r="K1642" s="79"/>
      <c r="L1642" s="142"/>
      <c r="M1642" s="1"/>
      <c r="N1642" s="142"/>
      <c r="O1642" s="1"/>
      <c r="P1642" s="142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79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R1642" s="1"/>
      <c r="CS1642" s="1"/>
      <c r="CT1642" s="1"/>
      <c r="CU1642" s="1"/>
      <c r="CV1642" s="1"/>
      <c r="CW1642" s="1"/>
      <c r="CX1642" s="1"/>
      <c r="CY1642" s="91" t="str">
        <f t="shared" si="831"/>
        <v/>
      </c>
      <c r="CZ1642" s="1"/>
      <c r="DC1642" s="307"/>
      <c r="DE1642" s="307"/>
    </row>
    <row r="1643">
      <c r="A1643" s="1"/>
      <c r="B1643" s="1"/>
      <c r="C1643" s="76"/>
      <c r="D1643" s="76"/>
      <c r="E1643" s="76"/>
      <c r="F1643" s="76"/>
      <c r="G1643" s="79"/>
      <c r="H1643" s="80"/>
      <c r="I1643" s="79"/>
      <c r="J1643" s="80"/>
      <c r="K1643" s="79"/>
      <c r="L1643" s="142"/>
      <c r="M1643" s="1"/>
      <c r="N1643" s="142"/>
      <c r="O1643" s="1"/>
      <c r="P1643" s="142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79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R1643" s="1"/>
      <c r="CS1643" s="1"/>
      <c r="CT1643" s="1"/>
      <c r="CU1643" s="1"/>
      <c r="CV1643" s="1"/>
      <c r="CW1643" s="1"/>
      <c r="CX1643" s="1"/>
      <c r="CY1643" s="91" t="str">
        <f t="shared" si="831"/>
        <v/>
      </c>
      <c r="CZ1643" s="1"/>
      <c r="DC1643" s="307"/>
      <c r="DE1643" s="307"/>
    </row>
    <row r="1644">
      <c r="A1644" s="1"/>
      <c r="B1644" s="1"/>
      <c r="C1644" s="76"/>
      <c r="D1644" s="76"/>
      <c r="E1644" s="76"/>
      <c r="F1644" s="76"/>
      <c r="G1644" s="79"/>
      <c r="H1644" s="80"/>
      <c r="I1644" s="79"/>
      <c r="J1644" s="80"/>
      <c r="K1644" s="79"/>
      <c r="L1644" s="142"/>
      <c r="M1644" s="1"/>
      <c r="N1644" s="142"/>
      <c r="O1644" s="1"/>
      <c r="P1644" s="142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79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R1644" s="1"/>
      <c r="CS1644" s="1"/>
      <c r="CT1644" s="1"/>
      <c r="CU1644" s="1"/>
      <c r="CV1644" s="1"/>
      <c r="CW1644" s="1"/>
      <c r="CX1644" s="1"/>
      <c r="CY1644" s="91" t="str">
        <f t="shared" si="831"/>
        <v/>
      </c>
      <c r="CZ1644" s="1"/>
      <c r="DC1644" s="307"/>
      <c r="DE1644" s="307"/>
    </row>
    <row r="1645">
      <c r="A1645" s="1"/>
      <c r="B1645" s="1"/>
      <c r="C1645" s="76"/>
      <c r="D1645" s="76"/>
      <c r="E1645" s="76"/>
      <c r="F1645" s="76"/>
      <c r="G1645" s="79"/>
      <c r="H1645" s="80"/>
      <c r="I1645" s="79"/>
      <c r="J1645" s="80"/>
      <c r="K1645" s="79"/>
      <c r="L1645" s="142"/>
      <c r="M1645" s="1"/>
      <c r="N1645" s="142"/>
      <c r="O1645" s="1"/>
      <c r="P1645" s="142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79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R1645" s="1"/>
      <c r="CS1645" s="1"/>
      <c r="CT1645" s="1"/>
      <c r="CU1645" s="1"/>
      <c r="CV1645" s="1"/>
      <c r="CW1645" s="1"/>
      <c r="CX1645" s="1"/>
      <c r="CY1645" s="91" t="str">
        <f t="shared" si="831"/>
        <v/>
      </c>
      <c r="CZ1645" s="1"/>
      <c r="DC1645" s="307"/>
      <c r="DE1645" s="307"/>
    </row>
    <row r="1646">
      <c r="A1646" s="1"/>
      <c r="B1646" s="1"/>
      <c r="C1646" s="76"/>
      <c r="D1646" s="76"/>
      <c r="E1646" s="76"/>
      <c r="F1646" s="76"/>
      <c r="G1646" s="79"/>
      <c r="H1646" s="80"/>
      <c r="I1646" s="79"/>
      <c r="J1646" s="80"/>
      <c r="K1646" s="79"/>
      <c r="L1646" s="142"/>
      <c r="M1646" s="1"/>
      <c r="N1646" s="142"/>
      <c r="O1646" s="1"/>
      <c r="P1646" s="142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79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R1646" s="1"/>
      <c r="CS1646" s="1"/>
      <c r="CT1646" s="1"/>
      <c r="CU1646" s="1"/>
      <c r="CV1646" s="1"/>
      <c r="CW1646" s="1"/>
      <c r="CX1646" s="1"/>
      <c r="CY1646" s="91" t="str">
        <f t="shared" si="831"/>
        <v/>
      </c>
      <c r="CZ1646" s="1"/>
      <c r="DC1646" s="307"/>
      <c r="DE1646" s="307"/>
    </row>
    <row r="1647">
      <c r="A1647" s="1"/>
      <c r="B1647" s="1"/>
      <c r="C1647" s="76"/>
      <c r="D1647" s="76"/>
      <c r="E1647" s="76"/>
      <c r="F1647" s="76"/>
      <c r="G1647" s="79"/>
      <c r="H1647" s="80"/>
      <c r="I1647" s="79"/>
      <c r="J1647" s="80"/>
      <c r="K1647" s="79"/>
      <c r="L1647" s="142"/>
      <c r="M1647" s="1"/>
      <c r="N1647" s="142"/>
      <c r="O1647" s="1"/>
      <c r="P1647" s="142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79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R1647" s="1"/>
      <c r="CS1647" s="1"/>
      <c r="CT1647" s="1"/>
      <c r="CU1647" s="1"/>
      <c r="CV1647" s="1"/>
      <c r="CW1647" s="1"/>
      <c r="CX1647" s="1"/>
      <c r="CY1647" s="91" t="str">
        <f t="shared" si="831"/>
        <v/>
      </c>
      <c r="CZ1647" s="1"/>
      <c r="DC1647" s="307"/>
      <c r="DE1647" s="307"/>
    </row>
    <row r="1648">
      <c r="A1648" s="1"/>
      <c r="B1648" s="1"/>
      <c r="C1648" s="76"/>
      <c r="D1648" s="76"/>
      <c r="E1648" s="76"/>
      <c r="F1648" s="76"/>
      <c r="G1648" s="79"/>
      <c r="H1648" s="80"/>
      <c r="I1648" s="79"/>
      <c r="J1648" s="80"/>
      <c r="K1648" s="79"/>
      <c r="L1648" s="142"/>
      <c r="M1648" s="1"/>
      <c r="N1648" s="142"/>
      <c r="O1648" s="1"/>
      <c r="P1648" s="142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79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R1648" s="1"/>
      <c r="CS1648" s="1"/>
      <c r="CT1648" s="1"/>
      <c r="CU1648" s="1"/>
      <c r="CV1648" s="1"/>
      <c r="CW1648" s="1"/>
      <c r="CX1648" s="1"/>
      <c r="CY1648" s="91" t="str">
        <f t="shared" si="831"/>
        <v/>
      </c>
      <c r="CZ1648" s="1"/>
      <c r="DC1648" s="307"/>
      <c r="DE1648" s="307"/>
    </row>
    <row r="1649">
      <c r="A1649" s="1"/>
      <c r="B1649" s="1"/>
      <c r="C1649" s="76"/>
      <c r="D1649" s="76"/>
      <c r="E1649" s="76"/>
      <c r="F1649" s="76"/>
      <c r="G1649" s="79"/>
      <c r="H1649" s="80"/>
      <c r="I1649" s="79"/>
      <c r="J1649" s="80"/>
      <c r="K1649" s="79"/>
      <c r="L1649" s="142"/>
      <c r="M1649" s="1"/>
      <c r="N1649" s="142"/>
      <c r="O1649" s="1"/>
      <c r="P1649" s="142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79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R1649" s="1"/>
      <c r="CS1649" s="1"/>
      <c r="CT1649" s="1"/>
      <c r="CU1649" s="1"/>
      <c r="CV1649" s="1"/>
      <c r="CW1649" s="1"/>
      <c r="CX1649" s="1"/>
      <c r="CY1649" s="91" t="str">
        <f t="shared" si="831"/>
        <v/>
      </c>
      <c r="CZ1649" s="1"/>
      <c r="DC1649" s="307"/>
      <c r="DE1649" s="307"/>
    </row>
    <row r="1650">
      <c r="A1650" s="1"/>
      <c r="B1650" s="1"/>
      <c r="C1650" s="76"/>
      <c r="D1650" s="76"/>
      <c r="E1650" s="76"/>
      <c r="F1650" s="76"/>
      <c r="G1650" s="79"/>
      <c r="H1650" s="80"/>
      <c r="I1650" s="79"/>
      <c r="J1650" s="80"/>
      <c r="K1650" s="79"/>
      <c r="L1650" s="142"/>
      <c r="M1650" s="1"/>
      <c r="N1650" s="142"/>
      <c r="O1650" s="1"/>
      <c r="P1650" s="142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79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R1650" s="1"/>
      <c r="CS1650" s="1"/>
      <c r="CT1650" s="1"/>
      <c r="CU1650" s="1"/>
      <c r="CV1650" s="1"/>
      <c r="CW1650" s="1"/>
      <c r="CX1650" s="1"/>
      <c r="CY1650" s="91" t="str">
        <f t="shared" si="831"/>
        <v/>
      </c>
      <c r="CZ1650" s="1"/>
      <c r="DC1650" s="307"/>
      <c r="DE1650" s="307"/>
    </row>
    <row r="1651">
      <c r="A1651" s="1"/>
      <c r="B1651" s="1"/>
      <c r="C1651" s="76"/>
      <c r="D1651" s="76"/>
      <c r="E1651" s="76"/>
      <c r="F1651" s="76"/>
      <c r="G1651" s="79"/>
      <c r="H1651" s="80"/>
      <c r="I1651" s="79"/>
      <c r="J1651" s="80"/>
      <c r="K1651" s="79"/>
      <c r="L1651" s="142"/>
      <c r="M1651" s="1"/>
      <c r="N1651" s="142"/>
      <c r="O1651" s="1"/>
      <c r="P1651" s="142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79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R1651" s="1"/>
      <c r="CS1651" s="1"/>
      <c r="CT1651" s="1"/>
      <c r="CU1651" s="1"/>
      <c r="CV1651" s="1"/>
      <c r="CW1651" s="1"/>
      <c r="CX1651" s="1"/>
      <c r="CY1651" s="91" t="str">
        <f t="shared" si="831"/>
        <v/>
      </c>
      <c r="CZ1651" s="1"/>
      <c r="DC1651" s="307"/>
      <c r="DE1651" s="307"/>
    </row>
    <row r="1652">
      <c r="A1652" s="1"/>
      <c r="B1652" s="1"/>
      <c r="C1652" s="76"/>
      <c r="D1652" s="76"/>
      <c r="E1652" s="76"/>
      <c r="F1652" s="76"/>
      <c r="G1652" s="79"/>
      <c r="H1652" s="80"/>
      <c r="I1652" s="79"/>
      <c r="J1652" s="80"/>
      <c r="K1652" s="79"/>
      <c r="L1652" s="142"/>
      <c r="M1652" s="1"/>
      <c r="N1652" s="142"/>
      <c r="O1652" s="1"/>
      <c r="P1652" s="142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79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R1652" s="1"/>
      <c r="CS1652" s="1"/>
      <c r="CT1652" s="1"/>
      <c r="CU1652" s="1"/>
      <c r="CV1652" s="1"/>
      <c r="CW1652" s="1"/>
      <c r="CX1652" s="1"/>
      <c r="CY1652" s="91" t="str">
        <f t="shared" si="831"/>
        <v/>
      </c>
      <c r="CZ1652" s="1"/>
      <c r="DC1652" s="307"/>
      <c r="DE1652" s="307"/>
    </row>
    <row r="1653">
      <c r="A1653" s="1"/>
      <c r="B1653" s="1"/>
      <c r="C1653" s="76"/>
      <c r="D1653" s="76"/>
      <c r="E1653" s="76"/>
      <c r="F1653" s="76"/>
      <c r="G1653" s="79"/>
      <c r="H1653" s="80"/>
      <c r="I1653" s="79"/>
      <c r="J1653" s="80"/>
      <c r="K1653" s="79"/>
      <c r="L1653" s="142"/>
      <c r="M1653" s="1"/>
      <c r="N1653" s="142"/>
      <c r="O1653" s="1"/>
      <c r="P1653" s="142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79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R1653" s="1"/>
      <c r="CS1653" s="1"/>
      <c r="CT1653" s="1"/>
      <c r="CU1653" s="1"/>
      <c r="CV1653" s="1"/>
      <c r="CW1653" s="1"/>
      <c r="CX1653" s="1"/>
      <c r="CY1653" s="91" t="str">
        <f t="shared" si="831"/>
        <v/>
      </c>
      <c r="CZ1653" s="1"/>
      <c r="DC1653" s="307"/>
      <c r="DE1653" s="307"/>
    </row>
    <row r="1654">
      <c r="A1654" s="1"/>
      <c r="B1654" s="1"/>
      <c r="C1654" s="76"/>
      <c r="D1654" s="76"/>
      <c r="E1654" s="76"/>
      <c r="F1654" s="76"/>
      <c r="G1654" s="79"/>
      <c r="H1654" s="80"/>
      <c r="I1654" s="79"/>
      <c r="J1654" s="80"/>
      <c r="K1654" s="79"/>
      <c r="L1654" s="142"/>
      <c r="M1654" s="1"/>
      <c r="N1654" s="142"/>
      <c r="O1654" s="1"/>
      <c r="P1654" s="142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79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R1654" s="1"/>
      <c r="CS1654" s="1"/>
      <c r="CT1654" s="1"/>
      <c r="CU1654" s="1"/>
      <c r="CV1654" s="1"/>
      <c r="CW1654" s="1"/>
      <c r="CX1654" s="1"/>
      <c r="CY1654" s="91" t="str">
        <f t="shared" si="831"/>
        <v/>
      </c>
      <c r="CZ1654" s="1"/>
      <c r="DC1654" s="307"/>
      <c r="DE1654" s="307"/>
    </row>
    <row r="1655">
      <c r="A1655" s="1"/>
      <c r="B1655" s="1"/>
      <c r="C1655" s="76"/>
      <c r="D1655" s="76"/>
      <c r="E1655" s="76"/>
      <c r="F1655" s="76"/>
      <c r="G1655" s="79"/>
      <c r="H1655" s="80"/>
      <c r="I1655" s="79"/>
      <c r="J1655" s="80"/>
      <c r="K1655" s="79"/>
      <c r="L1655" s="142"/>
      <c r="M1655" s="1"/>
      <c r="N1655" s="142"/>
      <c r="O1655" s="1"/>
      <c r="P1655" s="142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79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R1655" s="1"/>
      <c r="CS1655" s="1"/>
      <c r="CT1655" s="1"/>
      <c r="CU1655" s="1"/>
      <c r="CV1655" s="1"/>
      <c r="CW1655" s="1"/>
      <c r="CX1655" s="1"/>
      <c r="CY1655" s="91" t="str">
        <f t="shared" si="831"/>
        <v/>
      </c>
      <c r="CZ1655" s="1"/>
      <c r="DC1655" s="307"/>
      <c r="DE1655" s="307"/>
    </row>
    <row r="1656">
      <c r="A1656" s="1"/>
      <c r="B1656" s="1"/>
      <c r="C1656" s="76"/>
      <c r="D1656" s="76"/>
      <c r="E1656" s="76"/>
      <c r="F1656" s="76"/>
      <c r="G1656" s="79"/>
      <c r="H1656" s="80"/>
      <c r="I1656" s="79"/>
      <c r="J1656" s="80"/>
      <c r="K1656" s="79"/>
      <c r="L1656" s="142"/>
      <c r="M1656" s="1"/>
      <c r="N1656" s="142"/>
      <c r="O1656" s="1"/>
      <c r="P1656" s="142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79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R1656" s="1"/>
      <c r="CS1656" s="1"/>
      <c r="CT1656" s="1"/>
      <c r="CU1656" s="1"/>
      <c r="CV1656" s="1"/>
      <c r="CW1656" s="1"/>
      <c r="CX1656" s="1"/>
      <c r="CY1656" s="91" t="str">
        <f t="shared" si="831"/>
        <v/>
      </c>
      <c r="CZ1656" s="1"/>
      <c r="DC1656" s="307"/>
      <c r="DE1656" s="307"/>
    </row>
    <row r="1657">
      <c r="A1657" s="1"/>
      <c r="B1657" s="1"/>
      <c r="C1657" s="76"/>
      <c r="D1657" s="76"/>
      <c r="E1657" s="76"/>
      <c r="F1657" s="76"/>
      <c r="G1657" s="79"/>
      <c r="H1657" s="80"/>
      <c r="I1657" s="79"/>
      <c r="J1657" s="80"/>
      <c r="K1657" s="79"/>
      <c r="L1657" s="142"/>
      <c r="M1657" s="1"/>
      <c r="N1657" s="142"/>
      <c r="O1657" s="1"/>
      <c r="P1657" s="142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79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R1657" s="1"/>
      <c r="CS1657" s="1"/>
      <c r="CT1657" s="1"/>
      <c r="CU1657" s="1"/>
      <c r="CV1657" s="1"/>
      <c r="CW1657" s="1"/>
      <c r="CX1657" s="1"/>
      <c r="CY1657" s="91" t="str">
        <f t="shared" si="831"/>
        <v/>
      </c>
      <c r="CZ1657" s="1"/>
      <c r="DC1657" s="307"/>
      <c r="DE1657" s="307"/>
    </row>
    <row r="1658">
      <c r="A1658" s="1"/>
      <c r="B1658" s="1"/>
      <c r="C1658" s="76"/>
      <c r="D1658" s="76"/>
      <c r="E1658" s="76"/>
      <c r="F1658" s="76"/>
      <c r="G1658" s="79"/>
      <c r="H1658" s="80"/>
      <c r="I1658" s="79"/>
      <c r="J1658" s="80"/>
      <c r="K1658" s="79"/>
      <c r="L1658" s="142"/>
      <c r="M1658" s="1"/>
      <c r="N1658" s="142"/>
      <c r="O1658" s="1"/>
      <c r="P1658" s="142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79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R1658" s="1"/>
      <c r="CS1658" s="1"/>
      <c r="CT1658" s="1"/>
      <c r="CU1658" s="1"/>
      <c r="CV1658" s="1"/>
      <c r="CW1658" s="1"/>
      <c r="CX1658" s="1"/>
      <c r="CY1658" s="91" t="str">
        <f t="shared" si="831"/>
        <v/>
      </c>
      <c r="CZ1658" s="1"/>
      <c r="DC1658" s="307"/>
      <c r="DE1658" s="307"/>
    </row>
    <row r="1659">
      <c r="A1659" s="1"/>
      <c r="B1659" s="1"/>
      <c r="C1659" s="76"/>
      <c r="D1659" s="76"/>
      <c r="E1659" s="76"/>
      <c r="F1659" s="76"/>
      <c r="G1659" s="79"/>
      <c r="H1659" s="80"/>
      <c r="I1659" s="79"/>
      <c r="J1659" s="80"/>
      <c r="K1659" s="79"/>
      <c r="L1659" s="142"/>
      <c r="M1659" s="1"/>
      <c r="N1659" s="142"/>
      <c r="O1659" s="1"/>
      <c r="P1659" s="142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79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R1659" s="1"/>
      <c r="CS1659" s="1"/>
      <c r="CT1659" s="1"/>
      <c r="CU1659" s="1"/>
      <c r="CV1659" s="1"/>
      <c r="CW1659" s="1"/>
      <c r="CX1659" s="1"/>
      <c r="CY1659" s="91" t="str">
        <f t="shared" si="831"/>
        <v/>
      </c>
      <c r="CZ1659" s="1"/>
      <c r="DC1659" s="307"/>
      <c r="DE1659" s="307"/>
    </row>
    <row r="1660">
      <c r="A1660" s="1"/>
      <c r="B1660" s="1"/>
      <c r="C1660" s="76"/>
      <c r="D1660" s="76"/>
      <c r="E1660" s="76"/>
      <c r="F1660" s="76"/>
      <c r="G1660" s="79"/>
      <c r="H1660" s="80"/>
      <c r="I1660" s="79"/>
      <c r="J1660" s="80"/>
      <c r="K1660" s="79"/>
      <c r="L1660" s="142"/>
      <c r="M1660" s="1"/>
      <c r="N1660" s="142"/>
      <c r="O1660" s="1"/>
      <c r="P1660" s="142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79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R1660" s="1"/>
      <c r="CS1660" s="1"/>
      <c r="CT1660" s="1"/>
      <c r="CU1660" s="1"/>
      <c r="CV1660" s="1"/>
      <c r="CW1660" s="1"/>
      <c r="CX1660" s="1"/>
      <c r="CY1660" s="91" t="str">
        <f t="shared" si="831"/>
        <v/>
      </c>
      <c r="CZ1660" s="1"/>
      <c r="DC1660" s="307"/>
      <c r="DE1660" s="307"/>
    </row>
    <row r="1661">
      <c r="A1661" s="1"/>
      <c r="B1661" s="1"/>
      <c r="C1661" s="76"/>
      <c r="D1661" s="76"/>
      <c r="E1661" s="76"/>
      <c r="F1661" s="76"/>
      <c r="G1661" s="79"/>
      <c r="H1661" s="80"/>
      <c r="I1661" s="79"/>
      <c r="J1661" s="80"/>
      <c r="K1661" s="79"/>
      <c r="L1661" s="142"/>
      <c r="M1661" s="1"/>
      <c r="N1661" s="142"/>
      <c r="O1661" s="1"/>
      <c r="P1661" s="142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79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R1661" s="1"/>
      <c r="CS1661" s="1"/>
      <c r="CT1661" s="1"/>
      <c r="CU1661" s="1"/>
      <c r="CV1661" s="1"/>
      <c r="CW1661" s="1"/>
      <c r="CX1661" s="1"/>
      <c r="CY1661" s="91" t="str">
        <f t="shared" si="831"/>
        <v/>
      </c>
      <c r="CZ1661" s="1"/>
      <c r="DC1661" s="307"/>
      <c r="DE1661" s="307"/>
    </row>
    <row r="1662">
      <c r="A1662" s="1"/>
      <c r="B1662" s="1"/>
      <c r="C1662" s="76"/>
      <c r="D1662" s="76"/>
      <c r="E1662" s="76"/>
      <c r="F1662" s="76"/>
      <c r="G1662" s="79"/>
      <c r="H1662" s="80"/>
      <c r="I1662" s="79"/>
      <c r="J1662" s="80"/>
      <c r="K1662" s="79"/>
      <c r="L1662" s="142"/>
      <c r="M1662" s="1"/>
      <c r="N1662" s="142"/>
      <c r="O1662" s="1"/>
      <c r="P1662" s="142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79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R1662" s="1"/>
      <c r="CS1662" s="1"/>
      <c r="CT1662" s="1"/>
      <c r="CU1662" s="1"/>
      <c r="CV1662" s="1"/>
      <c r="CW1662" s="1"/>
      <c r="CX1662" s="1"/>
      <c r="CY1662" s="91" t="str">
        <f t="shared" si="831"/>
        <v/>
      </c>
      <c r="CZ1662" s="1"/>
      <c r="DC1662" s="307"/>
      <c r="DE1662" s="307"/>
    </row>
    <row r="1663">
      <c r="A1663" s="1"/>
      <c r="B1663" s="1"/>
      <c r="C1663" s="76"/>
      <c r="D1663" s="76"/>
      <c r="E1663" s="76"/>
      <c r="F1663" s="76"/>
      <c r="G1663" s="79"/>
      <c r="H1663" s="80"/>
      <c r="I1663" s="79"/>
      <c r="J1663" s="80"/>
      <c r="K1663" s="79"/>
      <c r="L1663" s="142"/>
      <c r="M1663" s="1"/>
      <c r="N1663" s="142"/>
      <c r="O1663" s="1"/>
      <c r="P1663" s="142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79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R1663" s="1"/>
      <c r="CS1663" s="1"/>
      <c r="CT1663" s="1"/>
      <c r="CU1663" s="1"/>
      <c r="CV1663" s="1"/>
      <c r="CW1663" s="1"/>
      <c r="CX1663" s="1"/>
      <c r="CY1663" s="91" t="str">
        <f t="shared" si="831"/>
        <v/>
      </c>
      <c r="CZ1663" s="1"/>
      <c r="DC1663" s="307"/>
      <c r="DE1663" s="307"/>
    </row>
    <row r="1664">
      <c r="A1664" s="1"/>
      <c r="B1664" s="1"/>
      <c r="C1664" s="76"/>
      <c r="D1664" s="76"/>
      <c r="E1664" s="76"/>
      <c r="F1664" s="76"/>
      <c r="G1664" s="79"/>
      <c r="H1664" s="80"/>
      <c r="I1664" s="79"/>
      <c r="J1664" s="80"/>
      <c r="K1664" s="79"/>
      <c r="L1664" s="142"/>
      <c r="M1664" s="1"/>
      <c r="N1664" s="142"/>
      <c r="O1664" s="1"/>
      <c r="P1664" s="142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79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R1664" s="1"/>
      <c r="CS1664" s="1"/>
      <c r="CT1664" s="1"/>
      <c r="CU1664" s="1"/>
      <c r="CV1664" s="1"/>
      <c r="CW1664" s="1"/>
      <c r="CX1664" s="1"/>
      <c r="CY1664" s="91" t="str">
        <f t="shared" si="831"/>
        <v/>
      </c>
      <c r="CZ1664" s="1"/>
      <c r="DC1664" s="307"/>
      <c r="DE1664" s="307"/>
    </row>
    <row r="1665">
      <c r="A1665" s="1"/>
      <c r="B1665" s="1"/>
      <c r="C1665" s="76"/>
      <c r="D1665" s="76"/>
      <c r="E1665" s="76"/>
      <c r="F1665" s="76"/>
      <c r="G1665" s="79"/>
      <c r="H1665" s="80"/>
      <c r="I1665" s="79"/>
      <c r="J1665" s="80"/>
      <c r="K1665" s="79"/>
      <c r="L1665" s="142"/>
      <c r="M1665" s="1"/>
      <c r="N1665" s="142"/>
      <c r="O1665" s="1"/>
      <c r="P1665" s="142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79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R1665" s="1"/>
      <c r="CS1665" s="1"/>
      <c r="CT1665" s="1"/>
      <c r="CU1665" s="1"/>
      <c r="CV1665" s="1"/>
      <c r="CW1665" s="1"/>
      <c r="CX1665" s="1"/>
      <c r="CY1665" s="91" t="str">
        <f t="shared" si="831"/>
        <v/>
      </c>
      <c r="CZ1665" s="1"/>
      <c r="DC1665" s="307"/>
      <c r="DE1665" s="307"/>
    </row>
    <row r="1666">
      <c r="A1666" s="1"/>
      <c r="B1666" s="1"/>
      <c r="C1666" s="76"/>
      <c r="D1666" s="76"/>
      <c r="E1666" s="76"/>
      <c r="F1666" s="76"/>
      <c r="G1666" s="79"/>
      <c r="H1666" s="80"/>
      <c r="I1666" s="79"/>
      <c r="J1666" s="80"/>
      <c r="K1666" s="79"/>
      <c r="L1666" s="142"/>
      <c r="M1666" s="1"/>
      <c r="N1666" s="142"/>
      <c r="O1666" s="1"/>
      <c r="P1666" s="142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79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R1666" s="1"/>
      <c r="CS1666" s="1"/>
      <c r="CT1666" s="1"/>
      <c r="CU1666" s="1"/>
      <c r="CV1666" s="1"/>
      <c r="CW1666" s="1"/>
      <c r="CX1666" s="1"/>
      <c r="CY1666" s="91" t="str">
        <f t="shared" si="831"/>
        <v/>
      </c>
      <c r="CZ1666" s="1"/>
      <c r="DC1666" s="307"/>
      <c r="DE1666" s="307"/>
    </row>
    <row r="1667">
      <c r="A1667" s="1"/>
      <c r="B1667" s="1"/>
      <c r="C1667" s="76"/>
      <c r="D1667" s="76"/>
      <c r="E1667" s="76"/>
      <c r="F1667" s="76"/>
      <c r="G1667" s="79"/>
      <c r="H1667" s="80"/>
      <c r="I1667" s="79"/>
      <c r="J1667" s="80"/>
      <c r="K1667" s="79"/>
      <c r="L1667" s="142"/>
      <c r="M1667" s="1"/>
      <c r="N1667" s="142"/>
      <c r="O1667" s="1"/>
      <c r="P1667" s="142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79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R1667" s="1"/>
      <c r="CS1667" s="1"/>
      <c r="CT1667" s="1"/>
      <c r="CU1667" s="1"/>
      <c r="CV1667" s="1"/>
      <c r="CW1667" s="1"/>
      <c r="CX1667" s="1"/>
      <c r="CY1667" s="91" t="str">
        <f t="shared" si="831"/>
        <v/>
      </c>
      <c r="CZ1667" s="1"/>
      <c r="DC1667" s="307"/>
      <c r="DE1667" s="307"/>
    </row>
    <row r="1668">
      <c r="A1668" s="1"/>
      <c r="B1668" s="1"/>
      <c r="C1668" s="76"/>
      <c r="D1668" s="76"/>
      <c r="E1668" s="76"/>
      <c r="F1668" s="76"/>
      <c r="G1668" s="79"/>
      <c r="H1668" s="80"/>
      <c r="I1668" s="79"/>
      <c r="J1668" s="80"/>
      <c r="K1668" s="79"/>
      <c r="L1668" s="142"/>
      <c r="M1668" s="1"/>
      <c r="N1668" s="142"/>
      <c r="O1668" s="1"/>
      <c r="P1668" s="142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79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R1668" s="1"/>
      <c r="CS1668" s="1"/>
      <c r="CT1668" s="1"/>
      <c r="CU1668" s="1"/>
      <c r="CV1668" s="1"/>
      <c r="CW1668" s="1"/>
      <c r="CX1668" s="1"/>
      <c r="CY1668" s="91" t="str">
        <f t="shared" si="831"/>
        <v/>
      </c>
      <c r="CZ1668" s="1"/>
      <c r="DC1668" s="307"/>
      <c r="DE1668" s="307"/>
    </row>
    <row r="1669">
      <c r="A1669" s="1"/>
      <c r="B1669" s="1"/>
      <c r="C1669" s="76"/>
      <c r="D1669" s="76"/>
      <c r="E1669" s="76"/>
      <c r="F1669" s="76"/>
      <c r="G1669" s="79"/>
      <c r="H1669" s="80"/>
      <c r="I1669" s="79"/>
      <c r="J1669" s="80"/>
      <c r="K1669" s="79"/>
      <c r="L1669" s="142"/>
      <c r="M1669" s="1"/>
      <c r="N1669" s="142"/>
      <c r="O1669" s="1"/>
      <c r="P1669" s="142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79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R1669" s="1"/>
      <c r="CS1669" s="1"/>
      <c r="CT1669" s="1"/>
      <c r="CU1669" s="1"/>
      <c r="CV1669" s="1"/>
      <c r="CW1669" s="1"/>
      <c r="CX1669" s="1"/>
      <c r="CY1669" s="91" t="str">
        <f t="shared" si="831"/>
        <v/>
      </c>
      <c r="CZ1669" s="1"/>
      <c r="DC1669" s="307"/>
      <c r="DE1669" s="307"/>
    </row>
    <row r="1670">
      <c r="A1670" s="1"/>
      <c r="B1670" s="1"/>
      <c r="C1670" s="76"/>
      <c r="D1670" s="76"/>
      <c r="E1670" s="76"/>
      <c r="F1670" s="76"/>
      <c r="G1670" s="79"/>
      <c r="H1670" s="80"/>
      <c r="I1670" s="79"/>
      <c r="J1670" s="80"/>
      <c r="K1670" s="79"/>
      <c r="L1670" s="142"/>
      <c r="M1670" s="1"/>
      <c r="N1670" s="142"/>
      <c r="O1670" s="1"/>
      <c r="P1670" s="142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79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R1670" s="1"/>
      <c r="CS1670" s="1"/>
      <c r="CT1670" s="1"/>
      <c r="CU1670" s="1"/>
      <c r="CV1670" s="1"/>
      <c r="CW1670" s="1"/>
      <c r="CX1670" s="1"/>
      <c r="CY1670" s="91" t="str">
        <f t="shared" si="831"/>
        <v/>
      </c>
      <c r="CZ1670" s="1"/>
      <c r="DC1670" s="307"/>
      <c r="DE1670" s="307"/>
    </row>
    <row r="1671">
      <c r="A1671" s="1"/>
      <c r="B1671" s="1"/>
      <c r="C1671" s="76"/>
      <c r="D1671" s="76"/>
      <c r="E1671" s="76"/>
      <c r="F1671" s="76"/>
      <c r="G1671" s="79"/>
      <c r="H1671" s="80"/>
      <c r="I1671" s="79"/>
      <c r="J1671" s="80"/>
      <c r="K1671" s="79"/>
      <c r="L1671" s="142"/>
      <c r="M1671" s="1"/>
      <c r="N1671" s="142"/>
      <c r="O1671" s="1"/>
      <c r="P1671" s="142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79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R1671" s="1"/>
      <c r="CS1671" s="1"/>
      <c r="CT1671" s="1"/>
      <c r="CU1671" s="1"/>
      <c r="CV1671" s="1"/>
      <c r="CW1671" s="1"/>
      <c r="CX1671" s="1"/>
      <c r="CY1671" s="91" t="str">
        <f t="shared" si="831"/>
        <v/>
      </c>
      <c r="CZ1671" s="1"/>
      <c r="DC1671" s="307"/>
      <c r="DE1671" s="307"/>
    </row>
    <row r="1672">
      <c r="A1672" s="1"/>
      <c r="B1672" s="1"/>
      <c r="C1672" s="76"/>
      <c r="D1672" s="76"/>
      <c r="E1672" s="76"/>
      <c r="F1672" s="76"/>
      <c r="G1672" s="79"/>
      <c r="H1672" s="80"/>
      <c r="I1672" s="79"/>
      <c r="J1672" s="80"/>
      <c r="K1672" s="79"/>
      <c r="L1672" s="142"/>
      <c r="M1672" s="1"/>
      <c r="N1672" s="142"/>
      <c r="O1672" s="1"/>
      <c r="P1672" s="142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79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R1672" s="1"/>
      <c r="CS1672" s="1"/>
      <c r="CT1672" s="1"/>
      <c r="CU1672" s="1"/>
      <c r="CV1672" s="1"/>
      <c r="CW1672" s="1"/>
      <c r="CX1672" s="1"/>
      <c r="CY1672" s="91" t="str">
        <f t="shared" si="831"/>
        <v/>
      </c>
      <c r="CZ1672" s="1"/>
      <c r="DC1672" s="307"/>
      <c r="DE1672" s="307"/>
    </row>
    <row r="1673">
      <c r="A1673" s="1"/>
      <c r="B1673" s="1"/>
      <c r="C1673" s="76"/>
      <c r="D1673" s="76"/>
      <c r="E1673" s="76"/>
      <c r="F1673" s="76"/>
      <c r="G1673" s="79"/>
      <c r="H1673" s="80"/>
      <c r="I1673" s="79"/>
      <c r="J1673" s="80"/>
      <c r="K1673" s="79"/>
      <c r="L1673" s="142"/>
      <c r="M1673" s="1"/>
      <c r="N1673" s="142"/>
      <c r="O1673" s="1"/>
      <c r="P1673" s="142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79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R1673" s="1"/>
      <c r="CS1673" s="1"/>
      <c r="CT1673" s="1"/>
      <c r="CU1673" s="1"/>
      <c r="CV1673" s="1"/>
      <c r="CW1673" s="1"/>
      <c r="CX1673" s="1"/>
      <c r="CY1673" s="91" t="str">
        <f t="shared" si="831"/>
        <v/>
      </c>
      <c r="CZ1673" s="1"/>
      <c r="DC1673" s="307"/>
      <c r="DE1673" s="307"/>
    </row>
    <row r="1674">
      <c r="A1674" s="1"/>
      <c r="B1674" s="1"/>
      <c r="C1674" s="76"/>
      <c r="D1674" s="76"/>
      <c r="E1674" s="76"/>
      <c r="F1674" s="76"/>
      <c r="G1674" s="79"/>
      <c r="H1674" s="80"/>
      <c r="I1674" s="79"/>
      <c r="J1674" s="80"/>
      <c r="K1674" s="79"/>
      <c r="L1674" s="142"/>
      <c r="M1674" s="1"/>
      <c r="N1674" s="142"/>
      <c r="O1674" s="1"/>
      <c r="P1674" s="142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79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R1674" s="1"/>
      <c r="CS1674" s="1"/>
      <c r="CT1674" s="1"/>
      <c r="CU1674" s="1"/>
      <c r="CV1674" s="1"/>
      <c r="CW1674" s="1"/>
      <c r="CX1674" s="1"/>
      <c r="CY1674" s="91" t="str">
        <f t="shared" si="831"/>
        <v/>
      </c>
      <c r="CZ1674" s="1"/>
      <c r="DC1674" s="307"/>
      <c r="DE1674" s="307"/>
    </row>
    <row r="1675">
      <c r="A1675" s="1"/>
      <c r="B1675" s="1"/>
      <c r="C1675" s="76"/>
      <c r="D1675" s="76"/>
      <c r="E1675" s="76"/>
      <c r="F1675" s="76"/>
      <c r="G1675" s="79"/>
      <c r="H1675" s="80"/>
      <c r="I1675" s="79"/>
      <c r="J1675" s="80"/>
      <c r="K1675" s="79"/>
      <c r="L1675" s="142"/>
      <c r="M1675" s="1"/>
      <c r="N1675" s="142"/>
      <c r="O1675" s="1"/>
      <c r="P1675" s="142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79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R1675" s="1"/>
      <c r="CS1675" s="1"/>
      <c r="CT1675" s="1"/>
      <c r="CU1675" s="1"/>
      <c r="CV1675" s="1"/>
      <c r="CW1675" s="1"/>
      <c r="CX1675" s="1"/>
      <c r="CY1675" s="91" t="str">
        <f t="shared" si="831"/>
        <v/>
      </c>
      <c r="CZ1675" s="1"/>
      <c r="DC1675" s="307"/>
      <c r="DE1675" s="307"/>
    </row>
    <row r="1676">
      <c r="A1676" s="1"/>
      <c r="B1676" s="1"/>
      <c r="C1676" s="76"/>
      <c r="D1676" s="76"/>
      <c r="E1676" s="76"/>
      <c r="F1676" s="76"/>
      <c r="G1676" s="79"/>
      <c r="H1676" s="80"/>
      <c r="I1676" s="79"/>
      <c r="J1676" s="80"/>
      <c r="K1676" s="79"/>
      <c r="L1676" s="142"/>
      <c r="M1676" s="1"/>
      <c r="N1676" s="142"/>
      <c r="O1676" s="1"/>
      <c r="P1676" s="142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79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R1676" s="1"/>
      <c r="CS1676" s="1"/>
      <c r="CT1676" s="1"/>
      <c r="CU1676" s="1"/>
      <c r="CV1676" s="1"/>
      <c r="CW1676" s="1"/>
      <c r="CX1676" s="1"/>
      <c r="CY1676" s="91" t="str">
        <f t="shared" si="831"/>
        <v/>
      </c>
      <c r="CZ1676" s="1"/>
      <c r="DC1676" s="307"/>
      <c r="DE1676" s="307"/>
    </row>
    <row r="1677">
      <c r="A1677" s="1"/>
      <c r="B1677" s="1"/>
      <c r="C1677" s="76"/>
      <c r="D1677" s="76"/>
      <c r="E1677" s="76"/>
      <c r="F1677" s="76"/>
      <c r="G1677" s="79"/>
      <c r="H1677" s="80"/>
      <c r="I1677" s="79"/>
      <c r="J1677" s="80"/>
      <c r="K1677" s="79"/>
      <c r="L1677" s="142"/>
      <c r="M1677" s="1"/>
      <c r="N1677" s="142"/>
      <c r="O1677" s="1"/>
      <c r="P1677" s="142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79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R1677" s="1"/>
      <c r="CS1677" s="1"/>
      <c r="CT1677" s="1"/>
      <c r="CU1677" s="1"/>
      <c r="CV1677" s="1"/>
      <c r="CW1677" s="1"/>
      <c r="CX1677" s="1"/>
      <c r="CY1677" s="91" t="str">
        <f t="shared" si="831"/>
        <v/>
      </c>
      <c r="CZ1677" s="1"/>
      <c r="DC1677" s="307"/>
      <c r="DE1677" s="307"/>
    </row>
    <row r="1678">
      <c r="A1678" s="1"/>
      <c r="B1678" s="1"/>
      <c r="C1678" s="76"/>
      <c r="D1678" s="76"/>
      <c r="E1678" s="76"/>
      <c r="F1678" s="76"/>
      <c r="G1678" s="79"/>
      <c r="H1678" s="80"/>
      <c r="I1678" s="79"/>
      <c r="J1678" s="80"/>
      <c r="K1678" s="79"/>
      <c r="L1678" s="142"/>
      <c r="M1678" s="1"/>
      <c r="N1678" s="142"/>
      <c r="O1678" s="1"/>
      <c r="P1678" s="142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79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R1678" s="1"/>
      <c r="CS1678" s="1"/>
      <c r="CT1678" s="1"/>
      <c r="CU1678" s="1"/>
      <c r="CV1678" s="1"/>
      <c r="CW1678" s="1"/>
      <c r="CX1678" s="1"/>
      <c r="CY1678" s="91" t="str">
        <f t="shared" si="831"/>
        <v/>
      </c>
      <c r="CZ1678" s="1"/>
      <c r="DC1678" s="307"/>
      <c r="DE1678" s="307"/>
    </row>
    <row r="1679">
      <c r="A1679" s="1"/>
      <c r="B1679" s="1"/>
      <c r="C1679" s="76"/>
      <c r="D1679" s="76"/>
      <c r="E1679" s="76"/>
      <c r="F1679" s="76"/>
      <c r="G1679" s="79"/>
      <c r="H1679" s="80"/>
      <c r="I1679" s="79"/>
      <c r="J1679" s="80"/>
      <c r="K1679" s="79"/>
      <c r="L1679" s="142"/>
      <c r="M1679" s="1"/>
      <c r="N1679" s="142"/>
      <c r="O1679" s="1"/>
      <c r="P1679" s="142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79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R1679" s="1"/>
      <c r="CS1679" s="1"/>
      <c r="CT1679" s="1"/>
      <c r="CU1679" s="1"/>
      <c r="CV1679" s="1"/>
      <c r="CW1679" s="1"/>
      <c r="CX1679" s="1"/>
      <c r="CY1679" s="91" t="str">
        <f t="shared" si="831"/>
        <v/>
      </c>
      <c r="CZ1679" s="1"/>
      <c r="DC1679" s="307"/>
      <c r="DE1679" s="307"/>
    </row>
    <row r="1680">
      <c r="A1680" s="1"/>
      <c r="B1680" s="1"/>
      <c r="C1680" s="76"/>
      <c r="D1680" s="76"/>
      <c r="E1680" s="76"/>
      <c r="F1680" s="76"/>
      <c r="G1680" s="79"/>
      <c r="H1680" s="80"/>
      <c r="I1680" s="79"/>
      <c r="J1680" s="80"/>
      <c r="K1680" s="79"/>
      <c r="L1680" s="142"/>
      <c r="M1680" s="1"/>
      <c r="N1680" s="142"/>
      <c r="O1680" s="1"/>
      <c r="P1680" s="142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79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R1680" s="1"/>
      <c r="CS1680" s="1"/>
      <c r="CT1680" s="1"/>
      <c r="CU1680" s="1"/>
      <c r="CV1680" s="1"/>
      <c r="CW1680" s="1"/>
      <c r="CX1680" s="1"/>
      <c r="CY1680" s="91" t="str">
        <f t="shared" si="831"/>
        <v/>
      </c>
      <c r="CZ1680" s="1"/>
      <c r="DC1680" s="307"/>
      <c r="DE1680" s="307"/>
    </row>
    <row r="1681">
      <c r="A1681" s="1"/>
      <c r="B1681" s="1"/>
      <c r="C1681" s="76"/>
      <c r="D1681" s="76"/>
      <c r="E1681" s="76"/>
      <c r="F1681" s="76"/>
      <c r="G1681" s="79"/>
      <c r="H1681" s="80"/>
      <c r="I1681" s="79"/>
      <c r="J1681" s="80"/>
      <c r="K1681" s="79"/>
      <c r="L1681" s="142"/>
      <c r="M1681" s="1"/>
      <c r="N1681" s="142"/>
      <c r="O1681" s="1"/>
      <c r="P1681" s="142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79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R1681" s="1"/>
      <c r="CS1681" s="1"/>
      <c r="CT1681" s="1"/>
      <c r="CU1681" s="1"/>
      <c r="CV1681" s="1"/>
      <c r="CW1681" s="1"/>
      <c r="CX1681" s="1"/>
      <c r="CY1681" s="91" t="str">
        <f t="shared" si="831"/>
        <v/>
      </c>
      <c r="CZ1681" s="1"/>
      <c r="DC1681" s="307"/>
      <c r="DE1681" s="307"/>
    </row>
    <row r="1682">
      <c r="A1682" s="1"/>
      <c r="B1682" s="1"/>
      <c r="C1682" s="76"/>
      <c r="D1682" s="76"/>
      <c r="E1682" s="76"/>
      <c r="F1682" s="76"/>
      <c r="G1682" s="79"/>
      <c r="H1682" s="80"/>
      <c r="I1682" s="79"/>
      <c r="J1682" s="80"/>
      <c r="K1682" s="79"/>
      <c r="L1682" s="142"/>
      <c r="M1682" s="1"/>
      <c r="N1682" s="142"/>
      <c r="O1682" s="1"/>
      <c r="P1682" s="142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79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R1682" s="1"/>
      <c r="CS1682" s="1"/>
      <c r="CT1682" s="1"/>
      <c r="CU1682" s="1"/>
      <c r="CV1682" s="1"/>
      <c r="CW1682" s="1"/>
      <c r="CX1682" s="1"/>
      <c r="CY1682" s="91" t="str">
        <f t="shared" si="831"/>
        <v/>
      </c>
      <c r="CZ1682" s="1"/>
      <c r="DC1682" s="307"/>
      <c r="DE1682" s="307"/>
    </row>
    <row r="1683">
      <c r="A1683" s="1"/>
      <c r="B1683" s="1"/>
      <c r="C1683" s="76"/>
      <c r="D1683" s="76"/>
      <c r="E1683" s="76"/>
      <c r="F1683" s="76"/>
      <c r="G1683" s="79"/>
      <c r="H1683" s="80"/>
      <c r="I1683" s="79"/>
      <c r="J1683" s="80"/>
      <c r="K1683" s="79"/>
      <c r="L1683" s="142"/>
      <c r="M1683" s="1"/>
      <c r="N1683" s="142"/>
      <c r="O1683" s="1"/>
      <c r="P1683" s="142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79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R1683" s="1"/>
      <c r="CS1683" s="1"/>
      <c r="CT1683" s="1"/>
      <c r="CU1683" s="1"/>
      <c r="CV1683" s="1"/>
      <c r="CW1683" s="1"/>
      <c r="CX1683" s="1"/>
      <c r="CY1683" s="91" t="str">
        <f t="shared" si="831"/>
        <v/>
      </c>
      <c r="CZ1683" s="1"/>
      <c r="DC1683" s="307"/>
      <c r="DE1683" s="307"/>
    </row>
    <row r="1684">
      <c r="A1684" s="1"/>
      <c r="B1684" s="1"/>
      <c r="C1684" s="76"/>
      <c r="D1684" s="76"/>
      <c r="E1684" s="76"/>
      <c r="F1684" s="76"/>
      <c r="G1684" s="79"/>
      <c r="H1684" s="80"/>
      <c r="I1684" s="79"/>
      <c r="J1684" s="80"/>
      <c r="K1684" s="79"/>
      <c r="L1684" s="142"/>
      <c r="M1684" s="1"/>
      <c r="N1684" s="142"/>
      <c r="O1684" s="1"/>
      <c r="P1684" s="142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79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R1684" s="1"/>
      <c r="CS1684" s="1"/>
      <c r="CT1684" s="1"/>
      <c r="CU1684" s="1"/>
      <c r="CV1684" s="1"/>
      <c r="CW1684" s="1"/>
      <c r="CX1684" s="1"/>
      <c r="CY1684" s="91" t="str">
        <f t="shared" si="831"/>
        <v/>
      </c>
      <c r="CZ1684" s="1"/>
      <c r="DC1684" s="307"/>
      <c r="DE1684" s="307"/>
    </row>
    <row r="1685">
      <c r="A1685" s="1"/>
      <c r="B1685" s="1"/>
      <c r="C1685" s="76"/>
      <c r="D1685" s="76"/>
      <c r="E1685" s="76"/>
      <c r="F1685" s="76"/>
      <c r="G1685" s="79"/>
      <c r="H1685" s="80"/>
      <c r="I1685" s="79"/>
      <c r="J1685" s="80"/>
      <c r="K1685" s="79"/>
      <c r="L1685" s="142"/>
      <c r="M1685" s="1"/>
      <c r="N1685" s="142"/>
      <c r="O1685" s="1"/>
      <c r="P1685" s="142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79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R1685" s="1"/>
      <c r="CS1685" s="1"/>
      <c r="CT1685" s="1"/>
      <c r="CU1685" s="1"/>
      <c r="CV1685" s="1"/>
      <c r="CW1685" s="1"/>
      <c r="CX1685" s="1"/>
      <c r="CY1685" s="91" t="str">
        <f t="shared" si="831"/>
        <v/>
      </c>
      <c r="CZ1685" s="1"/>
      <c r="DC1685" s="307"/>
      <c r="DE1685" s="307"/>
    </row>
    <row r="1686">
      <c r="A1686" s="1"/>
      <c r="B1686" s="1"/>
      <c r="C1686" s="76"/>
      <c r="D1686" s="76"/>
      <c r="E1686" s="76"/>
      <c r="F1686" s="76"/>
      <c r="G1686" s="79"/>
      <c r="H1686" s="80"/>
      <c r="I1686" s="79"/>
      <c r="J1686" s="80"/>
      <c r="K1686" s="79"/>
      <c r="L1686" s="142"/>
      <c r="M1686" s="1"/>
      <c r="N1686" s="142"/>
      <c r="O1686" s="1"/>
      <c r="P1686" s="142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79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R1686" s="1"/>
      <c r="CS1686" s="1"/>
      <c r="CT1686" s="1"/>
      <c r="CU1686" s="1"/>
      <c r="CV1686" s="1"/>
      <c r="CW1686" s="1"/>
      <c r="CX1686" s="1"/>
      <c r="CY1686" s="91" t="str">
        <f t="shared" si="831"/>
        <v/>
      </c>
      <c r="CZ1686" s="1"/>
      <c r="DC1686" s="307"/>
      <c r="DE1686" s="307"/>
    </row>
    <row r="1687">
      <c r="A1687" s="1"/>
      <c r="B1687" s="1"/>
      <c r="C1687" s="76"/>
      <c r="D1687" s="76"/>
      <c r="E1687" s="76"/>
      <c r="F1687" s="76"/>
      <c r="G1687" s="79"/>
      <c r="H1687" s="80"/>
      <c r="I1687" s="79"/>
      <c r="J1687" s="80"/>
      <c r="K1687" s="79"/>
      <c r="L1687" s="142"/>
      <c r="M1687" s="1"/>
      <c r="N1687" s="142"/>
      <c r="O1687" s="1"/>
      <c r="P1687" s="142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79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R1687" s="1"/>
      <c r="CS1687" s="1"/>
      <c r="CT1687" s="1"/>
      <c r="CU1687" s="1"/>
      <c r="CV1687" s="1"/>
      <c r="CW1687" s="1"/>
      <c r="CX1687" s="1"/>
      <c r="CY1687" s="91" t="str">
        <f t="shared" si="831"/>
        <v/>
      </c>
      <c r="CZ1687" s="1"/>
      <c r="DC1687" s="307"/>
      <c r="DE1687" s="307"/>
    </row>
    <row r="1688">
      <c r="A1688" s="1"/>
      <c r="B1688" s="1"/>
      <c r="C1688" s="76"/>
      <c r="D1688" s="76"/>
      <c r="E1688" s="76"/>
      <c r="F1688" s="76"/>
      <c r="G1688" s="79"/>
      <c r="H1688" s="80"/>
      <c r="I1688" s="79"/>
      <c r="J1688" s="80"/>
      <c r="K1688" s="79"/>
      <c r="L1688" s="142"/>
      <c r="M1688" s="1"/>
      <c r="N1688" s="142"/>
      <c r="O1688" s="1"/>
      <c r="P1688" s="142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79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R1688" s="1"/>
      <c r="CS1688" s="1"/>
      <c r="CT1688" s="1"/>
      <c r="CU1688" s="1"/>
      <c r="CV1688" s="1"/>
      <c r="CW1688" s="1"/>
      <c r="CX1688" s="1"/>
      <c r="CY1688" s="91" t="str">
        <f t="shared" si="831"/>
        <v/>
      </c>
      <c r="CZ1688" s="1"/>
      <c r="DC1688" s="307"/>
      <c r="DE1688" s="307"/>
    </row>
    <row r="1689">
      <c r="A1689" s="1"/>
      <c r="B1689" s="1"/>
      <c r="C1689" s="76"/>
      <c r="D1689" s="76"/>
      <c r="E1689" s="76"/>
      <c r="F1689" s="76"/>
      <c r="G1689" s="79"/>
      <c r="H1689" s="80"/>
      <c r="I1689" s="79"/>
      <c r="J1689" s="80"/>
      <c r="K1689" s="79"/>
      <c r="L1689" s="142"/>
      <c r="M1689" s="1"/>
      <c r="N1689" s="142"/>
      <c r="O1689" s="1"/>
      <c r="P1689" s="142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79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R1689" s="1"/>
      <c r="CS1689" s="1"/>
      <c r="CT1689" s="1"/>
      <c r="CU1689" s="1"/>
      <c r="CV1689" s="1"/>
      <c r="CW1689" s="1"/>
      <c r="CX1689" s="1"/>
      <c r="CY1689" s="91" t="str">
        <f t="shared" si="831"/>
        <v/>
      </c>
      <c r="CZ1689" s="1"/>
      <c r="DC1689" s="307"/>
      <c r="DE1689" s="307"/>
    </row>
    <row r="1690">
      <c r="A1690" s="1"/>
      <c r="B1690" s="1"/>
      <c r="C1690" s="76"/>
      <c r="D1690" s="76"/>
      <c r="E1690" s="76"/>
      <c r="F1690" s="76"/>
      <c r="G1690" s="79"/>
      <c r="H1690" s="80"/>
      <c r="I1690" s="79"/>
      <c r="J1690" s="80"/>
      <c r="K1690" s="79"/>
      <c r="L1690" s="142"/>
      <c r="M1690" s="1"/>
      <c r="N1690" s="142"/>
      <c r="O1690" s="1"/>
      <c r="P1690" s="142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79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R1690" s="1"/>
      <c r="CS1690" s="1"/>
      <c r="CT1690" s="1"/>
      <c r="CU1690" s="1"/>
      <c r="CV1690" s="1"/>
      <c r="CW1690" s="1"/>
      <c r="CX1690" s="1"/>
      <c r="CY1690" s="91" t="str">
        <f t="shared" si="831"/>
        <v/>
      </c>
      <c r="CZ1690" s="1"/>
      <c r="DC1690" s="307"/>
      <c r="DE1690" s="307"/>
    </row>
    <row r="1691">
      <c r="A1691" s="1"/>
      <c r="B1691" s="1"/>
      <c r="C1691" s="76"/>
      <c r="D1691" s="76"/>
      <c r="E1691" s="76"/>
      <c r="F1691" s="76"/>
      <c r="G1691" s="79"/>
      <c r="H1691" s="80"/>
      <c r="I1691" s="79"/>
      <c r="J1691" s="80"/>
      <c r="K1691" s="79"/>
      <c r="L1691" s="142"/>
      <c r="M1691" s="1"/>
      <c r="N1691" s="142"/>
      <c r="O1691" s="1"/>
      <c r="P1691" s="142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79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R1691" s="1"/>
      <c r="CS1691" s="1"/>
      <c r="CT1691" s="1"/>
      <c r="CU1691" s="1"/>
      <c r="CV1691" s="1"/>
      <c r="CW1691" s="1"/>
      <c r="CX1691" s="1"/>
      <c r="CY1691" s="91" t="str">
        <f t="shared" si="831"/>
        <v/>
      </c>
      <c r="CZ1691" s="1"/>
      <c r="DC1691" s="307"/>
      <c r="DE1691" s="307"/>
    </row>
    <row r="1692">
      <c r="A1692" s="1"/>
      <c r="B1692" s="1"/>
      <c r="C1692" s="76"/>
      <c r="D1692" s="76"/>
      <c r="E1692" s="76"/>
      <c r="F1692" s="76"/>
      <c r="G1692" s="79"/>
      <c r="H1692" s="80"/>
      <c r="I1692" s="79"/>
      <c r="J1692" s="80"/>
      <c r="K1692" s="79"/>
      <c r="L1692" s="142"/>
      <c r="M1692" s="1"/>
      <c r="N1692" s="142"/>
      <c r="O1692" s="1"/>
      <c r="P1692" s="142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79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R1692" s="1"/>
      <c r="CS1692" s="1"/>
      <c r="CT1692" s="1"/>
      <c r="CU1692" s="1"/>
      <c r="CV1692" s="1"/>
      <c r="CW1692" s="1"/>
      <c r="CX1692" s="1"/>
      <c r="CY1692" s="91" t="str">
        <f t="shared" si="831"/>
        <v/>
      </c>
      <c r="CZ1692" s="1"/>
      <c r="DC1692" s="307"/>
      <c r="DE1692" s="307"/>
    </row>
    <row r="1693">
      <c r="A1693" s="1"/>
      <c r="B1693" s="1"/>
      <c r="C1693" s="76"/>
      <c r="D1693" s="76"/>
      <c r="E1693" s="76"/>
      <c r="F1693" s="76"/>
      <c r="G1693" s="79"/>
      <c r="H1693" s="80"/>
      <c r="I1693" s="79"/>
      <c r="J1693" s="80"/>
      <c r="K1693" s="79"/>
      <c r="L1693" s="142"/>
      <c r="M1693" s="1"/>
      <c r="N1693" s="142"/>
      <c r="O1693" s="1"/>
      <c r="P1693" s="142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79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R1693" s="1"/>
      <c r="CS1693" s="1"/>
      <c r="CT1693" s="1"/>
      <c r="CU1693" s="1"/>
      <c r="CV1693" s="1"/>
      <c r="CW1693" s="1"/>
      <c r="CX1693" s="1"/>
      <c r="CY1693" s="91" t="str">
        <f t="shared" si="831"/>
        <v/>
      </c>
      <c r="CZ1693" s="1"/>
      <c r="DC1693" s="307"/>
      <c r="DE1693" s="307"/>
    </row>
    <row r="1694">
      <c r="A1694" s="1"/>
      <c r="B1694" s="1"/>
      <c r="C1694" s="76"/>
      <c r="D1694" s="76"/>
      <c r="E1694" s="76"/>
      <c r="F1694" s="76"/>
      <c r="G1694" s="79"/>
      <c r="H1694" s="80"/>
      <c r="I1694" s="79"/>
      <c r="J1694" s="80"/>
      <c r="K1694" s="79"/>
      <c r="L1694" s="142"/>
      <c r="M1694" s="1"/>
      <c r="N1694" s="142"/>
      <c r="O1694" s="1"/>
      <c r="P1694" s="142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79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R1694" s="1"/>
      <c r="CS1694" s="1"/>
      <c r="CT1694" s="1"/>
      <c r="CU1694" s="1"/>
      <c r="CV1694" s="1"/>
      <c r="CW1694" s="1"/>
      <c r="CX1694" s="1"/>
      <c r="CY1694" s="91" t="str">
        <f t="shared" si="831"/>
        <v/>
      </c>
      <c r="CZ1694" s="1"/>
      <c r="DC1694" s="307"/>
      <c r="DE1694" s="307"/>
    </row>
    <row r="1695">
      <c r="A1695" s="1"/>
      <c r="B1695" s="1"/>
      <c r="C1695" s="76"/>
      <c r="D1695" s="76"/>
      <c r="E1695" s="76"/>
      <c r="F1695" s="76"/>
      <c r="G1695" s="79"/>
      <c r="H1695" s="80"/>
      <c r="I1695" s="79"/>
      <c r="J1695" s="80"/>
      <c r="K1695" s="79"/>
      <c r="L1695" s="142"/>
      <c r="M1695" s="1"/>
      <c r="N1695" s="142"/>
      <c r="O1695" s="1"/>
      <c r="P1695" s="142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79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R1695" s="1"/>
      <c r="CS1695" s="1"/>
      <c r="CT1695" s="1"/>
      <c r="CU1695" s="1"/>
      <c r="CV1695" s="1"/>
      <c r="CW1695" s="1"/>
      <c r="CX1695" s="1"/>
      <c r="CY1695" s="91" t="str">
        <f t="shared" si="831"/>
        <v/>
      </c>
      <c r="CZ1695" s="1"/>
      <c r="DC1695" s="307"/>
      <c r="DE1695" s="307"/>
    </row>
    <row r="1696">
      <c r="A1696" s="1"/>
      <c r="B1696" s="1"/>
      <c r="C1696" s="76"/>
      <c r="D1696" s="76"/>
      <c r="E1696" s="76"/>
      <c r="F1696" s="76"/>
      <c r="G1696" s="79"/>
      <c r="H1696" s="80"/>
      <c r="I1696" s="79"/>
      <c r="J1696" s="80"/>
      <c r="K1696" s="79"/>
      <c r="L1696" s="142"/>
      <c r="M1696" s="1"/>
      <c r="N1696" s="142"/>
      <c r="O1696" s="1"/>
      <c r="P1696" s="142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79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R1696" s="1"/>
      <c r="CS1696" s="1"/>
      <c r="CT1696" s="1"/>
      <c r="CU1696" s="1"/>
      <c r="CV1696" s="1"/>
      <c r="CW1696" s="1"/>
      <c r="CX1696" s="1"/>
      <c r="CY1696" s="91" t="str">
        <f t="shared" si="831"/>
        <v/>
      </c>
      <c r="CZ1696" s="1"/>
      <c r="DC1696" s="307"/>
      <c r="DE1696" s="307"/>
    </row>
    <row r="1697">
      <c r="A1697" s="1"/>
      <c r="B1697" s="1"/>
      <c r="C1697" s="76"/>
      <c r="D1697" s="76"/>
      <c r="E1697" s="76"/>
      <c r="F1697" s="76"/>
      <c r="G1697" s="79"/>
      <c r="H1697" s="80"/>
      <c r="I1697" s="79"/>
      <c r="J1697" s="80"/>
      <c r="K1697" s="79"/>
      <c r="L1697" s="142"/>
      <c r="M1697" s="1"/>
      <c r="N1697" s="142"/>
      <c r="O1697" s="1"/>
      <c r="P1697" s="142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79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R1697" s="1"/>
      <c r="CS1697" s="1"/>
      <c r="CT1697" s="1"/>
      <c r="CU1697" s="1"/>
      <c r="CV1697" s="1"/>
      <c r="CW1697" s="1"/>
      <c r="CX1697" s="1"/>
      <c r="CY1697" s="91" t="str">
        <f t="shared" si="831"/>
        <v/>
      </c>
      <c r="CZ1697" s="1"/>
      <c r="DC1697" s="307"/>
      <c r="DE1697" s="307"/>
    </row>
    <row r="1698">
      <c r="A1698" s="1"/>
      <c r="B1698" s="1"/>
      <c r="C1698" s="76"/>
      <c r="D1698" s="76"/>
      <c r="E1698" s="76"/>
      <c r="F1698" s="76"/>
      <c r="G1698" s="79"/>
      <c r="H1698" s="80"/>
      <c r="I1698" s="79"/>
      <c r="J1698" s="80"/>
      <c r="K1698" s="79"/>
      <c r="L1698" s="142"/>
      <c r="M1698" s="1"/>
      <c r="N1698" s="142"/>
      <c r="O1698" s="1"/>
      <c r="P1698" s="142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79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R1698" s="1"/>
      <c r="CS1698" s="1"/>
      <c r="CT1698" s="1"/>
      <c r="CU1698" s="1"/>
      <c r="CV1698" s="1"/>
      <c r="CW1698" s="1"/>
      <c r="CX1698" s="1"/>
      <c r="CY1698" s="91" t="str">
        <f t="shared" si="831"/>
        <v/>
      </c>
      <c r="CZ1698" s="1"/>
      <c r="DC1698" s="307"/>
      <c r="DE1698" s="307"/>
    </row>
    <row r="1699">
      <c r="A1699" s="1"/>
      <c r="B1699" s="1"/>
      <c r="C1699" s="76"/>
      <c r="D1699" s="76"/>
      <c r="E1699" s="76"/>
      <c r="F1699" s="76"/>
      <c r="G1699" s="79"/>
      <c r="H1699" s="80"/>
      <c r="I1699" s="79"/>
      <c r="J1699" s="80"/>
      <c r="K1699" s="79"/>
      <c r="L1699" s="142"/>
      <c r="M1699" s="1"/>
      <c r="N1699" s="142"/>
      <c r="O1699" s="1"/>
      <c r="P1699" s="142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79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R1699" s="1"/>
      <c r="CS1699" s="1"/>
      <c r="CT1699" s="1"/>
      <c r="CU1699" s="1"/>
      <c r="CV1699" s="1"/>
      <c r="CW1699" s="1"/>
      <c r="CX1699" s="1"/>
      <c r="CY1699" s="91" t="str">
        <f t="shared" si="831"/>
        <v/>
      </c>
      <c r="CZ1699" s="1"/>
      <c r="DC1699" s="307"/>
      <c r="DE1699" s="307"/>
    </row>
    <row r="1700">
      <c r="A1700" s="1"/>
      <c r="B1700" s="1"/>
      <c r="C1700" s="76"/>
      <c r="D1700" s="76"/>
      <c r="E1700" s="76"/>
      <c r="F1700" s="76"/>
      <c r="G1700" s="79"/>
      <c r="H1700" s="80"/>
      <c r="I1700" s="79"/>
      <c r="J1700" s="80"/>
      <c r="K1700" s="79"/>
      <c r="L1700" s="142"/>
      <c r="M1700" s="1"/>
      <c r="N1700" s="142"/>
      <c r="O1700" s="1"/>
      <c r="P1700" s="142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79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R1700" s="1"/>
      <c r="CS1700" s="1"/>
      <c r="CT1700" s="1"/>
      <c r="CU1700" s="1"/>
      <c r="CV1700" s="1"/>
      <c r="CW1700" s="1"/>
      <c r="CX1700" s="1"/>
      <c r="CY1700" s="91" t="str">
        <f t="shared" si="831"/>
        <v/>
      </c>
      <c r="CZ1700" s="1"/>
      <c r="DC1700" s="307"/>
      <c r="DE1700" s="307"/>
    </row>
    <row r="1701">
      <c r="A1701" s="1"/>
      <c r="B1701" s="1"/>
      <c r="C1701" s="76"/>
      <c r="D1701" s="76"/>
      <c r="E1701" s="76"/>
      <c r="F1701" s="76"/>
      <c r="G1701" s="79"/>
      <c r="H1701" s="80"/>
      <c r="I1701" s="79"/>
      <c r="J1701" s="80"/>
      <c r="K1701" s="79"/>
      <c r="L1701" s="142"/>
      <c r="M1701" s="1"/>
      <c r="N1701" s="142"/>
      <c r="O1701" s="1"/>
      <c r="P1701" s="142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79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R1701" s="1"/>
      <c r="CS1701" s="1"/>
      <c r="CT1701" s="1"/>
      <c r="CU1701" s="1"/>
      <c r="CV1701" s="1"/>
      <c r="CW1701" s="1"/>
      <c r="CX1701" s="1"/>
      <c r="CY1701" s="91" t="str">
        <f t="shared" si="831"/>
        <v/>
      </c>
      <c r="CZ1701" s="1"/>
      <c r="DC1701" s="307"/>
      <c r="DE1701" s="307"/>
    </row>
    <row r="1702">
      <c r="A1702" s="1"/>
      <c r="B1702" s="1"/>
      <c r="C1702" s="76"/>
      <c r="D1702" s="76"/>
      <c r="E1702" s="76"/>
      <c r="F1702" s="76"/>
      <c r="G1702" s="79"/>
      <c r="H1702" s="80"/>
      <c r="I1702" s="79"/>
      <c r="J1702" s="80"/>
      <c r="K1702" s="79"/>
      <c r="L1702" s="142"/>
      <c r="M1702" s="1"/>
      <c r="N1702" s="142"/>
      <c r="O1702" s="1"/>
      <c r="P1702" s="142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79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R1702" s="1"/>
      <c r="CS1702" s="1"/>
      <c r="CT1702" s="1"/>
      <c r="CU1702" s="1"/>
      <c r="CV1702" s="1"/>
      <c r="CW1702" s="1"/>
      <c r="CX1702" s="1"/>
      <c r="CY1702" s="91" t="str">
        <f t="shared" si="831"/>
        <v/>
      </c>
      <c r="CZ1702" s="1"/>
      <c r="DC1702" s="307"/>
      <c r="DE1702" s="307"/>
    </row>
    <row r="1703">
      <c r="A1703" s="1"/>
      <c r="B1703" s="1"/>
      <c r="C1703" s="76"/>
      <c r="D1703" s="76"/>
      <c r="E1703" s="76"/>
      <c r="F1703" s="76"/>
      <c r="G1703" s="79"/>
      <c r="H1703" s="80"/>
      <c r="I1703" s="79"/>
      <c r="J1703" s="80"/>
      <c r="K1703" s="79"/>
      <c r="L1703" s="142"/>
      <c r="M1703" s="1"/>
      <c r="N1703" s="142"/>
      <c r="O1703" s="1"/>
      <c r="P1703" s="142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79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R1703" s="1"/>
      <c r="CS1703" s="1"/>
      <c r="CT1703" s="1"/>
      <c r="CU1703" s="1"/>
      <c r="CV1703" s="1"/>
      <c r="CW1703" s="1"/>
      <c r="CX1703" s="1"/>
      <c r="CY1703" s="91" t="str">
        <f t="shared" si="831"/>
        <v/>
      </c>
      <c r="CZ1703" s="1"/>
      <c r="DC1703" s="307"/>
      <c r="DE1703" s="307"/>
    </row>
    <row r="1704">
      <c r="A1704" s="1"/>
      <c r="B1704" s="1"/>
      <c r="C1704" s="76"/>
      <c r="D1704" s="76"/>
      <c r="E1704" s="76"/>
      <c r="F1704" s="76"/>
      <c r="G1704" s="79"/>
      <c r="H1704" s="80"/>
      <c r="I1704" s="79"/>
      <c r="J1704" s="80"/>
      <c r="K1704" s="79"/>
      <c r="L1704" s="142"/>
      <c r="M1704" s="1"/>
      <c r="N1704" s="142"/>
      <c r="O1704" s="1"/>
      <c r="P1704" s="142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79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R1704" s="1"/>
      <c r="CS1704" s="1"/>
      <c r="CT1704" s="1"/>
      <c r="CU1704" s="1"/>
      <c r="CV1704" s="1"/>
      <c r="CW1704" s="1"/>
      <c r="CX1704" s="1"/>
      <c r="CY1704" s="91" t="str">
        <f t="shared" si="831"/>
        <v/>
      </c>
      <c r="CZ1704" s="1"/>
      <c r="DC1704" s="307"/>
      <c r="DE1704" s="307"/>
    </row>
    <row r="1705">
      <c r="A1705" s="1"/>
      <c r="B1705" s="1"/>
      <c r="C1705" s="76"/>
      <c r="D1705" s="76"/>
      <c r="E1705" s="76"/>
      <c r="F1705" s="76"/>
      <c r="G1705" s="79"/>
      <c r="H1705" s="80"/>
      <c r="I1705" s="79"/>
      <c r="J1705" s="80"/>
      <c r="K1705" s="79"/>
      <c r="L1705" s="142"/>
      <c r="M1705" s="1"/>
      <c r="N1705" s="142"/>
      <c r="O1705" s="1"/>
      <c r="P1705" s="142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79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R1705" s="1"/>
      <c r="CS1705" s="1"/>
      <c r="CT1705" s="1"/>
      <c r="CU1705" s="1"/>
      <c r="CV1705" s="1"/>
      <c r="CW1705" s="1"/>
      <c r="CX1705" s="1"/>
      <c r="CY1705" s="91" t="str">
        <f t="shared" si="831"/>
        <v/>
      </c>
      <c r="CZ1705" s="1"/>
      <c r="DC1705" s="307"/>
      <c r="DE1705" s="307"/>
    </row>
    <row r="1706">
      <c r="A1706" s="1"/>
      <c r="B1706" s="1"/>
      <c r="C1706" s="76"/>
      <c r="D1706" s="76"/>
      <c r="E1706" s="76"/>
      <c r="F1706" s="76"/>
      <c r="G1706" s="79"/>
      <c r="H1706" s="80"/>
      <c r="I1706" s="79"/>
      <c r="J1706" s="80"/>
      <c r="K1706" s="79"/>
      <c r="L1706" s="142"/>
      <c r="M1706" s="1"/>
      <c r="N1706" s="142"/>
      <c r="O1706" s="1"/>
      <c r="P1706" s="142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79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R1706" s="1"/>
      <c r="CS1706" s="1"/>
      <c r="CT1706" s="1"/>
      <c r="CU1706" s="1"/>
      <c r="CV1706" s="1"/>
      <c r="CW1706" s="1"/>
      <c r="CX1706" s="1"/>
      <c r="CY1706" s="91" t="str">
        <f t="shared" si="831"/>
        <v/>
      </c>
      <c r="CZ1706" s="1"/>
      <c r="DC1706" s="307"/>
      <c r="DE1706" s="307"/>
    </row>
    <row r="1707">
      <c r="A1707" s="1"/>
      <c r="B1707" s="1"/>
      <c r="C1707" s="76"/>
      <c r="D1707" s="76"/>
      <c r="E1707" s="76"/>
      <c r="F1707" s="76"/>
      <c r="G1707" s="79"/>
      <c r="H1707" s="80"/>
      <c r="I1707" s="79"/>
      <c r="J1707" s="80"/>
      <c r="K1707" s="79"/>
      <c r="L1707" s="142"/>
      <c r="M1707" s="1"/>
      <c r="N1707" s="142"/>
      <c r="O1707" s="1"/>
      <c r="P1707" s="142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79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R1707" s="1"/>
      <c r="CS1707" s="1"/>
      <c r="CT1707" s="1"/>
      <c r="CU1707" s="1"/>
      <c r="CV1707" s="1"/>
      <c r="CW1707" s="1"/>
      <c r="CX1707" s="1"/>
      <c r="CY1707" s="91" t="str">
        <f t="shared" si="831"/>
        <v/>
      </c>
      <c r="CZ1707" s="1"/>
      <c r="DC1707" s="307"/>
      <c r="DE1707" s="307"/>
    </row>
    <row r="1708">
      <c r="A1708" s="1"/>
      <c r="B1708" s="1"/>
      <c r="C1708" s="76"/>
      <c r="D1708" s="76"/>
      <c r="E1708" s="76"/>
      <c r="F1708" s="76"/>
      <c r="G1708" s="79"/>
      <c r="H1708" s="80"/>
      <c r="I1708" s="79"/>
      <c r="J1708" s="80"/>
      <c r="K1708" s="79"/>
      <c r="L1708" s="142"/>
      <c r="M1708" s="1"/>
      <c r="N1708" s="142"/>
      <c r="O1708" s="1"/>
      <c r="P1708" s="142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79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R1708" s="1"/>
      <c r="CS1708" s="1"/>
      <c r="CT1708" s="1"/>
      <c r="CU1708" s="1"/>
      <c r="CV1708" s="1"/>
      <c r="CW1708" s="1"/>
      <c r="CX1708" s="1"/>
      <c r="CY1708" s="91" t="str">
        <f t="shared" si="831"/>
        <v/>
      </c>
      <c r="CZ1708" s="1"/>
      <c r="DC1708" s="307"/>
      <c r="DE1708" s="307"/>
    </row>
    <row r="1709">
      <c r="A1709" s="1"/>
      <c r="B1709" s="1"/>
      <c r="C1709" s="76"/>
      <c r="D1709" s="76"/>
      <c r="E1709" s="76"/>
      <c r="F1709" s="76"/>
      <c r="G1709" s="79"/>
      <c r="H1709" s="80"/>
      <c r="I1709" s="79"/>
      <c r="J1709" s="80"/>
      <c r="K1709" s="79"/>
      <c r="L1709" s="142"/>
      <c r="M1709" s="1"/>
      <c r="N1709" s="142"/>
      <c r="O1709" s="1"/>
      <c r="P1709" s="142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79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R1709" s="1"/>
      <c r="CS1709" s="1"/>
      <c r="CT1709" s="1"/>
      <c r="CU1709" s="1"/>
      <c r="CV1709" s="1"/>
      <c r="CW1709" s="1"/>
      <c r="CX1709" s="1"/>
      <c r="CY1709" s="91" t="str">
        <f t="shared" si="831"/>
        <v/>
      </c>
      <c r="CZ1709" s="1"/>
      <c r="DC1709" s="307"/>
      <c r="DE1709" s="307"/>
    </row>
    <row r="1710">
      <c r="A1710" s="1"/>
      <c r="B1710" s="1"/>
      <c r="C1710" s="76"/>
      <c r="D1710" s="76"/>
      <c r="E1710" s="76"/>
      <c r="F1710" s="76"/>
      <c r="G1710" s="79"/>
      <c r="H1710" s="80"/>
      <c r="I1710" s="79"/>
      <c r="J1710" s="80"/>
      <c r="K1710" s="79"/>
      <c r="L1710" s="142"/>
      <c r="M1710" s="1"/>
      <c r="N1710" s="142"/>
      <c r="O1710" s="1"/>
      <c r="P1710" s="142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79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R1710" s="1"/>
      <c r="CS1710" s="1"/>
      <c r="CT1710" s="1"/>
      <c r="CU1710" s="1"/>
      <c r="CV1710" s="1"/>
      <c r="CW1710" s="1"/>
      <c r="CX1710" s="1"/>
      <c r="CY1710" s="91" t="str">
        <f t="shared" si="831"/>
        <v/>
      </c>
      <c r="CZ1710" s="1"/>
      <c r="DC1710" s="307"/>
      <c r="DE1710" s="307"/>
    </row>
    <row r="1711">
      <c r="A1711" s="1"/>
      <c r="B1711" s="1"/>
      <c r="C1711" s="76"/>
      <c r="D1711" s="76"/>
      <c r="E1711" s="76"/>
      <c r="F1711" s="76"/>
      <c r="G1711" s="79"/>
      <c r="H1711" s="80"/>
      <c r="I1711" s="79"/>
      <c r="J1711" s="80"/>
      <c r="K1711" s="79"/>
      <c r="L1711" s="142"/>
      <c r="M1711" s="1"/>
      <c r="N1711" s="142"/>
      <c r="O1711" s="1"/>
      <c r="P1711" s="142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79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R1711" s="1"/>
      <c r="CS1711" s="1"/>
      <c r="CT1711" s="1"/>
      <c r="CU1711" s="1"/>
      <c r="CV1711" s="1"/>
      <c r="CW1711" s="1"/>
      <c r="CX1711" s="1"/>
      <c r="CY1711" s="91" t="str">
        <f t="shared" si="831"/>
        <v/>
      </c>
      <c r="CZ1711" s="1"/>
      <c r="DC1711" s="307"/>
      <c r="DE1711" s="307"/>
    </row>
    <row r="1712">
      <c r="A1712" s="1"/>
      <c r="B1712" s="1"/>
      <c r="C1712" s="76"/>
      <c r="D1712" s="76"/>
      <c r="E1712" s="76"/>
      <c r="F1712" s="76"/>
      <c r="G1712" s="79"/>
      <c r="H1712" s="80"/>
      <c r="I1712" s="79"/>
      <c r="J1712" s="80"/>
      <c r="K1712" s="79"/>
      <c r="L1712" s="142"/>
      <c r="M1712" s="1"/>
      <c r="N1712" s="142"/>
      <c r="O1712" s="1"/>
      <c r="P1712" s="142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79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R1712" s="1"/>
      <c r="CS1712" s="1"/>
      <c r="CT1712" s="1"/>
      <c r="CU1712" s="1"/>
      <c r="CV1712" s="1"/>
      <c r="CW1712" s="1"/>
      <c r="CX1712" s="1"/>
      <c r="CY1712" s="91" t="str">
        <f t="shared" si="831"/>
        <v/>
      </c>
      <c r="CZ1712" s="1"/>
      <c r="DC1712" s="307"/>
      <c r="DE1712" s="307"/>
    </row>
    <row r="1713">
      <c r="A1713" s="1"/>
      <c r="B1713" s="1"/>
      <c r="C1713" s="76"/>
      <c r="D1713" s="76"/>
      <c r="E1713" s="76"/>
      <c r="F1713" s="76"/>
      <c r="G1713" s="79"/>
      <c r="H1713" s="80"/>
      <c r="I1713" s="79"/>
      <c r="J1713" s="80"/>
      <c r="K1713" s="79"/>
      <c r="L1713" s="142"/>
      <c r="M1713" s="1"/>
      <c r="N1713" s="142"/>
      <c r="O1713" s="1"/>
      <c r="P1713" s="142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79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R1713" s="1"/>
      <c r="CS1713" s="1"/>
      <c r="CT1713" s="1"/>
      <c r="CU1713" s="1"/>
      <c r="CV1713" s="1"/>
      <c r="CW1713" s="1"/>
      <c r="CX1713" s="1"/>
      <c r="CY1713" s="91" t="str">
        <f t="shared" si="831"/>
        <v/>
      </c>
      <c r="CZ1713" s="1"/>
      <c r="DC1713" s="307"/>
      <c r="DE1713" s="307"/>
    </row>
    <row r="1714">
      <c r="A1714" s="1"/>
      <c r="B1714" s="1"/>
      <c r="C1714" s="76"/>
      <c r="D1714" s="76"/>
      <c r="E1714" s="76"/>
      <c r="F1714" s="76"/>
      <c r="G1714" s="79"/>
      <c r="H1714" s="80"/>
      <c r="I1714" s="79"/>
      <c r="J1714" s="80"/>
      <c r="K1714" s="79"/>
      <c r="L1714" s="142"/>
      <c r="M1714" s="1"/>
      <c r="N1714" s="142"/>
      <c r="O1714" s="1"/>
      <c r="P1714" s="142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79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R1714" s="1"/>
      <c r="CS1714" s="1"/>
      <c r="CT1714" s="1"/>
      <c r="CU1714" s="1"/>
      <c r="CV1714" s="1"/>
      <c r="CW1714" s="1"/>
      <c r="CX1714" s="1"/>
      <c r="CY1714" s="91" t="str">
        <f t="shared" si="831"/>
        <v/>
      </c>
      <c r="CZ1714" s="1"/>
      <c r="DC1714" s="307"/>
      <c r="DE1714" s="307"/>
    </row>
    <row r="1715">
      <c r="A1715" s="1"/>
      <c r="B1715" s="1"/>
      <c r="C1715" s="76"/>
      <c r="D1715" s="76"/>
      <c r="E1715" s="76"/>
      <c r="F1715" s="76"/>
      <c r="G1715" s="79"/>
      <c r="H1715" s="80"/>
      <c r="I1715" s="79"/>
      <c r="J1715" s="80"/>
      <c r="K1715" s="79"/>
      <c r="L1715" s="142"/>
      <c r="M1715" s="1"/>
      <c r="N1715" s="142"/>
      <c r="O1715" s="1"/>
      <c r="P1715" s="142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79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R1715" s="1"/>
      <c r="CS1715" s="1"/>
      <c r="CT1715" s="1"/>
      <c r="CU1715" s="1"/>
      <c r="CV1715" s="1"/>
      <c r="CW1715" s="1"/>
      <c r="CX1715" s="1"/>
      <c r="CY1715" s="91" t="str">
        <f t="shared" si="831"/>
        <v/>
      </c>
      <c r="CZ1715" s="1"/>
      <c r="DC1715" s="307"/>
      <c r="DE1715" s="307"/>
    </row>
    <row r="1716">
      <c r="A1716" s="1"/>
      <c r="B1716" s="1"/>
      <c r="C1716" s="76"/>
      <c r="D1716" s="76"/>
      <c r="E1716" s="76"/>
      <c r="F1716" s="76"/>
      <c r="G1716" s="79"/>
      <c r="H1716" s="80"/>
      <c r="I1716" s="79"/>
      <c r="J1716" s="80"/>
      <c r="K1716" s="79"/>
      <c r="L1716" s="142"/>
      <c r="M1716" s="1"/>
      <c r="N1716" s="142"/>
      <c r="O1716" s="1"/>
      <c r="P1716" s="142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79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R1716" s="1"/>
      <c r="CS1716" s="1"/>
      <c r="CT1716" s="1"/>
      <c r="CU1716" s="1"/>
      <c r="CV1716" s="1"/>
      <c r="CW1716" s="1"/>
      <c r="CX1716" s="1"/>
      <c r="CY1716" s="91" t="str">
        <f t="shared" si="831"/>
        <v/>
      </c>
      <c r="CZ1716" s="1"/>
      <c r="DC1716" s="307"/>
      <c r="DE1716" s="307"/>
    </row>
    <row r="1717">
      <c r="A1717" s="1"/>
      <c r="B1717" s="1"/>
      <c r="C1717" s="76"/>
      <c r="D1717" s="76"/>
      <c r="E1717" s="76"/>
      <c r="F1717" s="76"/>
      <c r="G1717" s="79"/>
      <c r="H1717" s="80"/>
      <c r="I1717" s="79"/>
      <c r="J1717" s="80"/>
      <c r="K1717" s="79"/>
      <c r="L1717" s="142"/>
      <c r="M1717" s="1"/>
      <c r="N1717" s="142"/>
      <c r="O1717" s="1"/>
      <c r="P1717" s="142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79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R1717" s="1"/>
      <c r="CS1717" s="1"/>
      <c r="CT1717" s="1"/>
      <c r="CU1717" s="1"/>
      <c r="CV1717" s="1"/>
      <c r="CW1717" s="1"/>
      <c r="CX1717" s="1"/>
      <c r="CY1717" s="91" t="str">
        <f t="shared" si="831"/>
        <v/>
      </c>
      <c r="CZ1717" s="1"/>
      <c r="DC1717" s="307"/>
      <c r="DE1717" s="307"/>
    </row>
    <row r="1718">
      <c r="A1718" s="1"/>
      <c r="B1718" s="1"/>
      <c r="C1718" s="76"/>
      <c r="D1718" s="76"/>
      <c r="E1718" s="76"/>
      <c r="F1718" s="76"/>
      <c r="G1718" s="79"/>
      <c r="H1718" s="80"/>
      <c r="I1718" s="79"/>
      <c r="J1718" s="80"/>
      <c r="K1718" s="79"/>
      <c r="L1718" s="142"/>
      <c r="M1718" s="1"/>
      <c r="N1718" s="142"/>
      <c r="O1718" s="1"/>
      <c r="P1718" s="142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79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R1718" s="1"/>
      <c r="CS1718" s="1"/>
      <c r="CT1718" s="1"/>
      <c r="CU1718" s="1"/>
      <c r="CV1718" s="1"/>
      <c r="CW1718" s="1"/>
      <c r="CX1718" s="1"/>
      <c r="CY1718" s="91" t="str">
        <f t="shared" si="831"/>
        <v/>
      </c>
      <c r="CZ1718" s="1"/>
      <c r="DC1718" s="307"/>
      <c r="DE1718" s="307"/>
    </row>
    <row r="1719">
      <c r="A1719" s="1"/>
      <c r="B1719" s="1"/>
      <c r="C1719" s="76"/>
      <c r="D1719" s="76"/>
      <c r="E1719" s="76"/>
      <c r="F1719" s="76"/>
      <c r="G1719" s="79"/>
      <c r="H1719" s="80"/>
      <c r="I1719" s="79"/>
      <c r="J1719" s="80"/>
      <c r="K1719" s="79"/>
      <c r="L1719" s="142"/>
      <c r="M1719" s="1"/>
      <c r="N1719" s="142"/>
      <c r="O1719" s="1"/>
      <c r="P1719" s="142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79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R1719" s="1"/>
      <c r="CS1719" s="1"/>
      <c r="CT1719" s="1"/>
      <c r="CU1719" s="1"/>
      <c r="CV1719" s="1"/>
      <c r="CW1719" s="1"/>
      <c r="CX1719" s="1"/>
      <c r="CY1719" s="91" t="str">
        <f t="shared" si="831"/>
        <v/>
      </c>
      <c r="CZ1719" s="1"/>
      <c r="DC1719" s="307"/>
      <c r="DE1719" s="307"/>
    </row>
    <row r="1720">
      <c r="A1720" s="1"/>
      <c r="B1720" s="1"/>
      <c r="C1720" s="76"/>
      <c r="D1720" s="76"/>
      <c r="E1720" s="76"/>
      <c r="F1720" s="76"/>
      <c r="G1720" s="79"/>
      <c r="H1720" s="80"/>
      <c r="I1720" s="79"/>
      <c r="J1720" s="80"/>
      <c r="K1720" s="79"/>
      <c r="L1720" s="142"/>
      <c r="M1720" s="1"/>
      <c r="N1720" s="142"/>
      <c r="O1720" s="1"/>
      <c r="P1720" s="142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79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R1720" s="1"/>
      <c r="CS1720" s="1"/>
      <c r="CT1720" s="1"/>
      <c r="CU1720" s="1"/>
      <c r="CV1720" s="1"/>
      <c r="CW1720" s="1"/>
      <c r="CX1720" s="1"/>
      <c r="CY1720" s="91" t="str">
        <f t="shared" si="831"/>
        <v/>
      </c>
      <c r="CZ1720" s="1"/>
      <c r="DC1720" s="307"/>
      <c r="DE1720" s="307"/>
    </row>
    <row r="1721">
      <c r="A1721" s="1"/>
      <c r="B1721" s="1"/>
      <c r="C1721" s="76"/>
      <c r="D1721" s="76"/>
      <c r="E1721" s="76"/>
      <c r="F1721" s="76"/>
      <c r="G1721" s="79"/>
      <c r="H1721" s="80"/>
      <c r="I1721" s="79"/>
      <c r="J1721" s="80"/>
      <c r="K1721" s="79"/>
      <c r="L1721" s="142"/>
      <c r="M1721" s="1"/>
      <c r="N1721" s="142"/>
      <c r="O1721" s="1"/>
      <c r="P1721" s="142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79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R1721" s="1"/>
      <c r="CS1721" s="1"/>
      <c r="CT1721" s="1"/>
      <c r="CU1721" s="1"/>
      <c r="CV1721" s="1"/>
      <c r="CW1721" s="1"/>
      <c r="CX1721" s="1"/>
      <c r="CY1721" s="91" t="str">
        <f t="shared" si="831"/>
        <v/>
      </c>
      <c r="CZ1721" s="1"/>
      <c r="DC1721" s="307"/>
      <c r="DE1721" s="307"/>
    </row>
    <row r="1722">
      <c r="A1722" s="1"/>
      <c r="B1722" s="1"/>
      <c r="C1722" s="76"/>
      <c r="D1722" s="76"/>
      <c r="E1722" s="76"/>
      <c r="F1722" s="76"/>
      <c r="G1722" s="79"/>
      <c r="H1722" s="80"/>
      <c r="I1722" s="79"/>
      <c r="J1722" s="80"/>
      <c r="K1722" s="79"/>
      <c r="L1722" s="142"/>
      <c r="M1722" s="1"/>
      <c r="N1722" s="142"/>
      <c r="O1722" s="1"/>
      <c r="P1722" s="142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79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R1722" s="1"/>
      <c r="CS1722" s="1"/>
      <c r="CT1722" s="1"/>
      <c r="CU1722" s="1"/>
      <c r="CV1722" s="1"/>
      <c r="CW1722" s="1"/>
      <c r="CX1722" s="1"/>
      <c r="CY1722" s="91" t="str">
        <f t="shared" si="831"/>
        <v/>
      </c>
      <c r="CZ1722" s="1"/>
      <c r="DC1722" s="307"/>
      <c r="DE1722" s="307"/>
    </row>
    <row r="1723">
      <c r="A1723" s="1"/>
      <c r="B1723" s="1"/>
      <c r="C1723" s="76"/>
      <c r="D1723" s="76"/>
      <c r="E1723" s="76"/>
      <c r="F1723" s="76"/>
      <c r="G1723" s="79"/>
      <c r="H1723" s="80"/>
      <c r="I1723" s="79"/>
      <c r="J1723" s="80"/>
      <c r="K1723" s="79"/>
      <c r="L1723" s="142"/>
      <c r="M1723" s="1"/>
      <c r="N1723" s="142"/>
      <c r="O1723" s="1"/>
      <c r="P1723" s="142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79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R1723" s="1"/>
      <c r="CS1723" s="1"/>
      <c r="CT1723" s="1"/>
      <c r="CU1723" s="1"/>
      <c r="CV1723" s="1"/>
      <c r="CW1723" s="1"/>
      <c r="CX1723" s="1"/>
      <c r="CY1723" s="91" t="str">
        <f t="shared" si="831"/>
        <v/>
      </c>
      <c r="CZ1723" s="1"/>
      <c r="DC1723" s="307"/>
      <c r="DE1723" s="307"/>
    </row>
    <row r="1724">
      <c r="A1724" s="1"/>
      <c r="B1724" s="1"/>
      <c r="C1724" s="76"/>
      <c r="D1724" s="76"/>
      <c r="E1724" s="76"/>
      <c r="F1724" s="76"/>
      <c r="G1724" s="79"/>
      <c r="H1724" s="80"/>
      <c r="I1724" s="79"/>
      <c r="J1724" s="80"/>
      <c r="K1724" s="79"/>
      <c r="L1724" s="142"/>
      <c r="M1724" s="1"/>
      <c r="N1724" s="142"/>
      <c r="O1724" s="1"/>
      <c r="P1724" s="142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79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R1724" s="1"/>
      <c r="CS1724" s="1"/>
      <c r="CT1724" s="1"/>
      <c r="CU1724" s="1"/>
      <c r="CV1724" s="1"/>
      <c r="CW1724" s="1"/>
      <c r="CX1724" s="1"/>
      <c r="CY1724" s="91" t="str">
        <f t="shared" si="831"/>
        <v/>
      </c>
      <c r="CZ1724" s="1"/>
      <c r="DC1724" s="307"/>
      <c r="DE1724" s="307"/>
    </row>
    <row r="1725">
      <c r="A1725" s="1"/>
      <c r="B1725" s="1"/>
      <c r="C1725" s="76"/>
      <c r="D1725" s="76"/>
      <c r="E1725" s="76"/>
      <c r="F1725" s="76"/>
      <c r="G1725" s="79"/>
      <c r="H1725" s="80"/>
      <c r="I1725" s="79"/>
      <c r="J1725" s="80"/>
      <c r="K1725" s="79"/>
      <c r="L1725" s="142"/>
      <c r="M1725" s="1"/>
      <c r="N1725" s="142"/>
      <c r="O1725" s="1"/>
      <c r="P1725" s="142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79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R1725" s="1"/>
      <c r="CS1725" s="1"/>
      <c r="CT1725" s="1"/>
      <c r="CU1725" s="1"/>
      <c r="CV1725" s="1"/>
      <c r="CW1725" s="1"/>
      <c r="CX1725" s="1"/>
      <c r="CY1725" s="91" t="str">
        <f t="shared" si="831"/>
        <v/>
      </c>
      <c r="CZ1725" s="1"/>
      <c r="DC1725" s="307"/>
      <c r="DE1725" s="307"/>
    </row>
    <row r="1726">
      <c r="A1726" s="1"/>
      <c r="B1726" s="1"/>
      <c r="C1726" s="76"/>
      <c r="D1726" s="76"/>
      <c r="E1726" s="76"/>
      <c r="F1726" s="76"/>
      <c r="G1726" s="79"/>
      <c r="H1726" s="80"/>
      <c r="I1726" s="79"/>
      <c r="J1726" s="80"/>
      <c r="K1726" s="79"/>
      <c r="L1726" s="142"/>
      <c r="M1726" s="1"/>
      <c r="N1726" s="142"/>
      <c r="O1726" s="1"/>
      <c r="P1726" s="142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79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R1726" s="1"/>
      <c r="CS1726" s="1"/>
      <c r="CT1726" s="1"/>
      <c r="CU1726" s="1"/>
      <c r="CV1726" s="1"/>
      <c r="CW1726" s="1"/>
      <c r="CX1726" s="1"/>
      <c r="CY1726" s="91" t="str">
        <f t="shared" si="831"/>
        <v/>
      </c>
      <c r="CZ1726" s="1"/>
      <c r="DC1726" s="307"/>
      <c r="DE1726" s="307"/>
    </row>
    <row r="1727">
      <c r="A1727" s="1"/>
      <c r="B1727" s="1"/>
      <c r="C1727" s="76"/>
      <c r="D1727" s="76"/>
      <c r="E1727" s="76"/>
      <c r="F1727" s="76"/>
      <c r="G1727" s="79"/>
      <c r="H1727" s="80"/>
      <c r="I1727" s="79"/>
      <c r="J1727" s="80"/>
      <c r="K1727" s="79"/>
      <c r="L1727" s="142"/>
      <c r="M1727" s="1"/>
      <c r="N1727" s="142"/>
      <c r="O1727" s="1"/>
      <c r="P1727" s="142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79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R1727" s="1"/>
      <c r="CS1727" s="1"/>
      <c r="CT1727" s="1"/>
      <c r="CU1727" s="1"/>
      <c r="CV1727" s="1"/>
      <c r="CW1727" s="1"/>
      <c r="CX1727" s="1"/>
      <c r="CY1727" s="91" t="str">
        <f t="shared" si="831"/>
        <v/>
      </c>
      <c r="CZ1727" s="1"/>
      <c r="DC1727" s="307"/>
      <c r="DE1727" s="307"/>
    </row>
    <row r="1728">
      <c r="A1728" s="1"/>
      <c r="B1728" s="1"/>
      <c r="C1728" s="76"/>
      <c r="D1728" s="76"/>
      <c r="E1728" s="76"/>
      <c r="F1728" s="76"/>
      <c r="G1728" s="79"/>
      <c r="H1728" s="80"/>
      <c r="I1728" s="79"/>
      <c r="J1728" s="80"/>
      <c r="K1728" s="79"/>
      <c r="L1728" s="142"/>
      <c r="M1728" s="1"/>
      <c r="N1728" s="142"/>
      <c r="O1728" s="1"/>
      <c r="P1728" s="142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79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R1728" s="1"/>
      <c r="CS1728" s="1"/>
      <c r="CT1728" s="1"/>
      <c r="CU1728" s="1"/>
      <c r="CV1728" s="1"/>
      <c r="CW1728" s="1"/>
      <c r="CX1728" s="1"/>
      <c r="CY1728" s="91" t="str">
        <f t="shared" si="831"/>
        <v/>
      </c>
      <c r="CZ1728" s="1"/>
      <c r="DC1728" s="307"/>
      <c r="DE1728" s="307"/>
    </row>
    <row r="1729">
      <c r="A1729" s="1"/>
      <c r="B1729" s="1"/>
      <c r="C1729" s="76"/>
      <c r="D1729" s="76"/>
      <c r="E1729" s="76"/>
      <c r="F1729" s="76"/>
      <c r="G1729" s="79"/>
      <c r="H1729" s="80"/>
      <c r="I1729" s="79"/>
      <c r="J1729" s="80"/>
      <c r="K1729" s="79"/>
      <c r="L1729" s="142"/>
      <c r="M1729" s="1"/>
      <c r="N1729" s="142"/>
      <c r="O1729" s="1"/>
      <c r="P1729" s="142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79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R1729" s="1"/>
      <c r="CS1729" s="1"/>
      <c r="CT1729" s="1"/>
      <c r="CU1729" s="1"/>
      <c r="CV1729" s="1"/>
      <c r="CW1729" s="1"/>
      <c r="CX1729" s="1"/>
      <c r="CY1729" s="91" t="str">
        <f t="shared" si="831"/>
        <v/>
      </c>
      <c r="CZ1729" s="1"/>
      <c r="DC1729" s="307"/>
      <c r="DE1729" s="307"/>
    </row>
    <row r="1730">
      <c r="A1730" s="1"/>
      <c r="B1730" s="1"/>
      <c r="C1730" s="76"/>
      <c r="D1730" s="76"/>
      <c r="E1730" s="76"/>
      <c r="F1730" s="76"/>
      <c r="G1730" s="79"/>
      <c r="H1730" s="80"/>
      <c r="I1730" s="79"/>
      <c r="J1730" s="80"/>
      <c r="K1730" s="79"/>
      <c r="L1730" s="142"/>
      <c r="M1730" s="1"/>
      <c r="N1730" s="142"/>
      <c r="O1730" s="1"/>
      <c r="P1730" s="142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79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R1730" s="1"/>
      <c r="CS1730" s="1"/>
      <c r="CT1730" s="1"/>
      <c r="CU1730" s="1"/>
      <c r="CV1730" s="1"/>
      <c r="CW1730" s="1"/>
      <c r="CX1730" s="1"/>
      <c r="CY1730" s="91" t="str">
        <f t="shared" si="831"/>
        <v/>
      </c>
      <c r="CZ1730" s="1"/>
      <c r="DC1730" s="307"/>
      <c r="DE1730" s="307"/>
    </row>
    <row r="1731">
      <c r="A1731" s="1"/>
      <c r="B1731" s="1"/>
      <c r="C1731" s="76"/>
      <c r="D1731" s="76"/>
      <c r="E1731" s="76"/>
      <c r="F1731" s="76"/>
      <c r="G1731" s="79"/>
      <c r="H1731" s="80"/>
      <c r="I1731" s="79"/>
      <c r="J1731" s="80"/>
      <c r="K1731" s="79"/>
      <c r="L1731" s="142"/>
      <c r="M1731" s="1"/>
      <c r="N1731" s="142"/>
      <c r="O1731" s="1"/>
      <c r="P1731" s="142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79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R1731" s="1"/>
      <c r="CS1731" s="1"/>
      <c r="CT1731" s="1"/>
      <c r="CU1731" s="1"/>
      <c r="CV1731" s="1"/>
      <c r="CW1731" s="1"/>
      <c r="CX1731" s="1"/>
      <c r="CY1731" s="91" t="str">
        <f t="shared" si="831"/>
        <v/>
      </c>
      <c r="CZ1731" s="1"/>
      <c r="DC1731" s="307"/>
      <c r="DE1731" s="307"/>
    </row>
    <row r="1732">
      <c r="A1732" s="1"/>
      <c r="B1732" s="1"/>
      <c r="C1732" s="76"/>
      <c r="D1732" s="76"/>
      <c r="E1732" s="76"/>
      <c r="F1732" s="76"/>
      <c r="G1732" s="79"/>
      <c r="H1732" s="80"/>
      <c r="I1732" s="79"/>
      <c r="J1732" s="80"/>
      <c r="K1732" s="79"/>
      <c r="L1732" s="142"/>
      <c r="M1732" s="1"/>
      <c r="N1732" s="142"/>
      <c r="O1732" s="1"/>
      <c r="P1732" s="142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79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R1732" s="1"/>
      <c r="CS1732" s="1"/>
      <c r="CT1732" s="1"/>
      <c r="CU1732" s="1"/>
      <c r="CV1732" s="1"/>
      <c r="CW1732" s="1"/>
      <c r="CX1732" s="1"/>
      <c r="CY1732" s="91" t="str">
        <f t="shared" si="831"/>
        <v/>
      </c>
      <c r="CZ1732" s="1"/>
      <c r="DC1732" s="307"/>
      <c r="DE1732" s="307"/>
    </row>
    <row r="1733">
      <c r="A1733" s="1"/>
      <c r="B1733" s="1"/>
      <c r="C1733" s="76"/>
      <c r="D1733" s="76"/>
      <c r="E1733" s="76"/>
      <c r="F1733" s="76"/>
      <c r="G1733" s="79"/>
      <c r="H1733" s="80"/>
      <c r="I1733" s="79"/>
      <c r="J1733" s="80"/>
      <c r="K1733" s="79"/>
      <c r="L1733" s="142"/>
      <c r="M1733" s="1"/>
      <c r="N1733" s="142"/>
      <c r="O1733" s="1"/>
      <c r="P1733" s="142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79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R1733" s="1"/>
      <c r="CS1733" s="1"/>
      <c r="CT1733" s="1"/>
      <c r="CU1733" s="1"/>
      <c r="CV1733" s="1"/>
      <c r="CW1733" s="1"/>
      <c r="CX1733" s="1"/>
      <c r="CY1733" s="91" t="str">
        <f t="shared" si="831"/>
        <v/>
      </c>
      <c r="CZ1733" s="1"/>
      <c r="DC1733" s="307"/>
      <c r="DE1733" s="307"/>
    </row>
    <row r="1734">
      <c r="A1734" s="1"/>
      <c r="B1734" s="1"/>
      <c r="C1734" s="76"/>
      <c r="D1734" s="76"/>
      <c r="E1734" s="76"/>
      <c r="F1734" s="76"/>
      <c r="G1734" s="79"/>
      <c r="H1734" s="80"/>
      <c r="I1734" s="79"/>
      <c r="J1734" s="80"/>
      <c r="K1734" s="79"/>
      <c r="L1734" s="142"/>
      <c r="M1734" s="1"/>
      <c r="N1734" s="142"/>
      <c r="O1734" s="1"/>
      <c r="P1734" s="142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79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R1734" s="1"/>
      <c r="CS1734" s="1"/>
      <c r="CT1734" s="1"/>
      <c r="CU1734" s="1"/>
      <c r="CV1734" s="1"/>
      <c r="CW1734" s="1"/>
      <c r="CX1734" s="1"/>
      <c r="CY1734" s="91" t="str">
        <f t="shared" si="831"/>
        <v/>
      </c>
      <c r="CZ1734" s="1"/>
      <c r="DC1734" s="307"/>
      <c r="DE1734" s="307"/>
    </row>
    <row r="1735">
      <c r="A1735" s="1"/>
      <c r="B1735" s="1"/>
      <c r="C1735" s="76"/>
      <c r="D1735" s="76"/>
      <c r="E1735" s="76"/>
      <c r="F1735" s="76"/>
      <c r="G1735" s="79"/>
      <c r="H1735" s="80"/>
      <c r="I1735" s="79"/>
      <c r="J1735" s="80"/>
      <c r="K1735" s="79"/>
      <c r="L1735" s="142"/>
      <c r="M1735" s="1"/>
      <c r="N1735" s="142"/>
      <c r="O1735" s="1"/>
      <c r="P1735" s="142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79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R1735" s="1"/>
      <c r="CS1735" s="1"/>
      <c r="CT1735" s="1"/>
      <c r="CU1735" s="1"/>
      <c r="CV1735" s="1"/>
      <c r="CW1735" s="1"/>
      <c r="CX1735" s="1"/>
      <c r="CY1735" s="91" t="str">
        <f t="shared" si="831"/>
        <v/>
      </c>
      <c r="CZ1735" s="1"/>
      <c r="DC1735" s="307"/>
      <c r="DE1735" s="307"/>
    </row>
    <row r="1736">
      <c r="A1736" s="1"/>
      <c r="B1736" s="1"/>
      <c r="C1736" s="76"/>
      <c r="D1736" s="76"/>
      <c r="E1736" s="76"/>
      <c r="F1736" s="76"/>
      <c r="G1736" s="79"/>
      <c r="H1736" s="80"/>
      <c r="I1736" s="79"/>
      <c r="J1736" s="80"/>
      <c r="K1736" s="79"/>
      <c r="L1736" s="142"/>
      <c r="M1736" s="1"/>
      <c r="N1736" s="142"/>
      <c r="O1736" s="1"/>
      <c r="P1736" s="142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79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R1736" s="1"/>
      <c r="CS1736" s="1"/>
      <c r="CT1736" s="1"/>
      <c r="CU1736" s="1"/>
      <c r="CV1736" s="1"/>
      <c r="CW1736" s="1"/>
      <c r="CX1736" s="1"/>
      <c r="CY1736" s="91" t="str">
        <f t="shared" si="831"/>
        <v/>
      </c>
      <c r="CZ1736" s="1"/>
      <c r="DC1736" s="307"/>
      <c r="DE1736" s="307"/>
    </row>
    <row r="1737">
      <c r="A1737" s="1"/>
      <c r="B1737" s="1"/>
      <c r="C1737" s="76"/>
      <c r="D1737" s="76"/>
      <c r="E1737" s="76"/>
      <c r="F1737" s="76"/>
      <c r="G1737" s="79"/>
      <c r="H1737" s="80"/>
      <c r="I1737" s="79"/>
      <c r="J1737" s="80"/>
      <c r="K1737" s="79"/>
      <c r="L1737" s="142"/>
      <c r="M1737" s="1"/>
      <c r="N1737" s="142"/>
      <c r="O1737" s="1"/>
      <c r="P1737" s="142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79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R1737" s="1"/>
      <c r="CS1737" s="1"/>
      <c r="CT1737" s="1"/>
      <c r="CU1737" s="1"/>
      <c r="CV1737" s="1"/>
      <c r="CW1737" s="1"/>
      <c r="CX1737" s="1"/>
      <c r="CY1737" s="91" t="str">
        <f t="shared" si="831"/>
        <v/>
      </c>
      <c r="CZ1737" s="1"/>
      <c r="DC1737" s="307"/>
      <c r="DE1737" s="307"/>
    </row>
    <row r="1738">
      <c r="A1738" s="1"/>
      <c r="B1738" s="1"/>
      <c r="C1738" s="76"/>
      <c r="D1738" s="76"/>
      <c r="E1738" s="76"/>
      <c r="F1738" s="76"/>
      <c r="G1738" s="79"/>
      <c r="H1738" s="80"/>
      <c r="I1738" s="79"/>
      <c r="J1738" s="80"/>
      <c r="K1738" s="79"/>
      <c r="L1738" s="142"/>
      <c r="M1738" s="1"/>
      <c r="N1738" s="142"/>
      <c r="O1738" s="1"/>
      <c r="P1738" s="142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79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R1738" s="1"/>
      <c r="CS1738" s="1"/>
      <c r="CT1738" s="1"/>
      <c r="CU1738" s="1"/>
      <c r="CV1738" s="1"/>
      <c r="CW1738" s="1"/>
      <c r="CX1738" s="1"/>
      <c r="CY1738" s="91" t="str">
        <f t="shared" si="831"/>
        <v/>
      </c>
      <c r="CZ1738" s="1"/>
      <c r="DC1738" s="307"/>
      <c r="DE1738" s="307"/>
    </row>
    <row r="1739">
      <c r="A1739" s="1"/>
      <c r="B1739" s="1"/>
      <c r="C1739" s="76"/>
      <c r="D1739" s="76"/>
      <c r="E1739" s="76"/>
      <c r="F1739" s="76"/>
      <c r="G1739" s="79"/>
      <c r="H1739" s="80"/>
      <c r="I1739" s="79"/>
      <c r="J1739" s="80"/>
      <c r="K1739" s="79"/>
      <c r="L1739" s="142"/>
      <c r="M1739" s="1"/>
      <c r="N1739" s="142"/>
      <c r="O1739" s="1"/>
      <c r="P1739" s="142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79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R1739" s="1"/>
      <c r="CS1739" s="1"/>
      <c r="CT1739" s="1"/>
      <c r="CU1739" s="1"/>
      <c r="CV1739" s="1"/>
      <c r="CW1739" s="1"/>
      <c r="CX1739" s="1"/>
      <c r="CY1739" s="91" t="str">
        <f t="shared" si="831"/>
        <v/>
      </c>
      <c r="CZ1739" s="1"/>
      <c r="DC1739" s="307"/>
      <c r="DE1739" s="307"/>
    </row>
    <row r="1740">
      <c r="A1740" s="1"/>
      <c r="B1740" s="1"/>
      <c r="C1740" s="76"/>
      <c r="D1740" s="76"/>
      <c r="E1740" s="76"/>
      <c r="F1740" s="76"/>
      <c r="G1740" s="79"/>
      <c r="H1740" s="80"/>
      <c r="I1740" s="79"/>
      <c r="J1740" s="80"/>
      <c r="K1740" s="79"/>
      <c r="L1740" s="142"/>
      <c r="M1740" s="1"/>
      <c r="N1740" s="142"/>
      <c r="O1740" s="1"/>
      <c r="P1740" s="142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79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R1740" s="1"/>
      <c r="CS1740" s="1"/>
      <c r="CT1740" s="1"/>
      <c r="CU1740" s="1"/>
      <c r="CV1740" s="1"/>
      <c r="CW1740" s="1"/>
      <c r="CX1740" s="1"/>
      <c r="CY1740" s="91" t="str">
        <f t="shared" si="831"/>
        <v/>
      </c>
      <c r="CZ1740" s="1"/>
      <c r="DC1740" s="307"/>
      <c r="DE1740" s="307"/>
    </row>
    <row r="1741">
      <c r="A1741" s="1"/>
      <c r="B1741" s="1"/>
      <c r="C1741" s="76"/>
      <c r="D1741" s="76"/>
      <c r="E1741" s="76"/>
      <c r="F1741" s="76"/>
      <c r="G1741" s="79"/>
      <c r="H1741" s="80"/>
      <c r="I1741" s="79"/>
      <c r="J1741" s="80"/>
      <c r="K1741" s="79"/>
      <c r="L1741" s="142"/>
      <c r="M1741" s="1"/>
      <c r="N1741" s="142"/>
      <c r="O1741" s="1"/>
      <c r="P1741" s="142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79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R1741" s="1"/>
      <c r="CS1741" s="1"/>
      <c r="CT1741" s="1"/>
      <c r="CU1741" s="1"/>
      <c r="CV1741" s="1"/>
      <c r="CW1741" s="1"/>
      <c r="CX1741" s="1"/>
      <c r="CY1741" s="91" t="str">
        <f t="shared" si="831"/>
        <v/>
      </c>
      <c r="CZ1741" s="1"/>
      <c r="DC1741" s="307"/>
      <c r="DE1741" s="307"/>
    </row>
    <row r="1742">
      <c r="A1742" s="1"/>
      <c r="B1742" s="1"/>
      <c r="C1742" s="76"/>
      <c r="D1742" s="76"/>
      <c r="E1742" s="76"/>
      <c r="F1742" s="76"/>
      <c r="G1742" s="79"/>
      <c r="H1742" s="80"/>
      <c r="I1742" s="79"/>
      <c r="J1742" s="80"/>
      <c r="K1742" s="79"/>
      <c r="L1742" s="142"/>
      <c r="M1742" s="1"/>
      <c r="N1742" s="142"/>
      <c r="O1742" s="1"/>
      <c r="P1742" s="142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79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R1742" s="1"/>
      <c r="CS1742" s="1"/>
      <c r="CT1742" s="1"/>
      <c r="CU1742" s="1"/>
      <c r="CV1742" s="1"/>
      <c r="CW1742" s="1"/>
      <c r="CX1742" s="1"/>
      <c r="CY1742" s="91" t="str">
        <f t="shared" si="831"/>
        <v/>
      </c>
      <c r="CZ1742" s="1"/>
      <c r="DC1742" s="307"/>
      <c r="DE1742" s="307"/>
    </row>
    <row r="1743">
      <c r="A1743" s="1"/>
      <c r="B1743" s="1"/>
      <c r="C1743" s="76"/>
      <c r="D1743" s="76"/>
      <c r="E1743" s="76"/>
      <c r="F1743" s="76"/>
      <c r="G1743" s="79"/>
      <c r="H1743" s="80"/>
      <c r="I1743" s="79"/>
      <c r="J1743" s="80"/>
      <c r="K1743" s="79"/>
      <c r="L1743" s="142"/>
      <c r="M1743" s="1"/>
      <c r="N1743" s="142"/>
      <c r="O1743" s="1"/>
      <c r="P1743" s="142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79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R1743" s="1"/>
      <c r="CS1743" s="1"/>
      <c r="CT1743" s="1"/>
      <c r="CU1743" s="1"/>
      <c r="CV1743" s="1"/>
      <c r="CW1743" s="1"/>
      <c r="CX1743" s="1"/>
      <c r="CY1743" s="91" t="str">
        <f t="shared" si="831"/>
        <v/>
      </c>
      <c r="CZ1743" s="1"/>
      <c r="DC1743" s="307"/>
      <c r="DE1743" s="307"/>
    </row>
    <row r="1744">
      <c r="A1744" s="1"/>
      <c r="B1744" s="1"/>
      <c r="C1744" s="76"/>
      <c r="D1744" s="76"/>
      <c r="E1744" s="76"/>
      <c r="F1744" s="76"/>
      <c r="G1744" s="79"/>
      <c r="H1744" s="80"/>
      <c r="I1744" s="79"/>
      <c r="J1744" s="80"/>
      <c r="K1744" s="79"/>
      <c r="L1744" s="142"/>
      <c r="M1744" s="1"/>
      <c r="N1744" s="142"/>
      <c r="O1744" s="1"/>
      <c r="P1744" s="142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79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R1744" s="1"/>
      <c r="CS1744" s="1"/>
      <c r="CT1744" s="1"/>
      <c r="CU1744" s="1"/>
      <c r="CV1744" s="1"/>
      <c r="CW1744" s="1"/>
      <c r="CX1744" s="1"/>
      <c r="CY1744" s="91" t="str">
        <f t="shared" si="831"/>
        <v/>
      </c>
      <c r="CZ1744" s="1"/>
      <c r="DC1744" s="307"/>
      <c r="DE1744" s="307"/>
    </row>
    <row r="1745">
      <c r="A1745" s="1"/>
      <c r="B1745" s="1"/>
      <c r="C1745" s="76"/>
      <c r="D1745" s="76"/>
      <c r="E1745" s="76"/>
      <c r="F1745" s="76"/>
      <c r="G1745" s="79"/>
      <c r="H1745" s="80"/>
      <c r="I1745" s="79"/>
      <c r="J1745" s="80"/>
      <c r="K1745" s="79"/>
      <c r="L1745" s="142"/>
      <c r="M1745" s="1"/>
      <c r="N1745" s="142"/>
      <c r="O1745" s="1"/>
      <c r="P1745" s="142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79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R1745" s="1"/>
      <c r="CS1745" s="1"/>
      <c r="CT1745" s="1"/>
      <c r="CU1745" s="1"/>
      <c r="CV1745" s="1"/>
      <c r="CW1745" s="1"/>
      <c r="CX1745" s="1"/>
      <c r="CY1745" s="91" t="str">
        <f t="shared" si="831"/>
        <v/>
      </c>
      <c r="CZ1745" s="1"/>
      <c r="DC1745" s="307"/>
      <c r="DE1745" s="307"/>
    </row>
    <row r="1746">
      <c r="A1746" s="1"/>
      <c r="B1746" s="1"/>
      <c r="C1746" s="76"/>
      <c r="D1746" s="76"/>
      <c r="E1746" s="76"/>
      <c r="F1746" s="76"/>
      <c r="G1746" s="79"/>
      <c r="H1746" s="80"/>
      <c r="I1746" s="79"/>
      <c r="J1746" s="80"/>
      <c r="K1746" s="79"/>
      <c r="L1746" s="142"/>
      <c r="M1746" s="1"/>
      <c r="N1746" s="142"/>
      <c r="O1746" s="1"/>
      <c r="P1746" s="142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79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R1746" s="1"/>
      <c r="CS1746" s="1"/>
      <c r="CT1746" s="1"/>
      <c r="CU1746" s="1"/>
      <c r="CV1746" s="1"/>
      <c r="CW1746" s="1"/>
      <c r="CX1746" s="1"/>
      <c r="CY1746" s="91" t="str">
        <f t="shared" si="831"/>
        <v/>
      </c>
      <c r="CZ1746" s="1"/>
      <c r="DC1746" s="307"/>
      <c r="DE1746" s="307"/>
    </row>
    <row r="1747">
      <c r="A1747" s="1"/>
      <c r="B1747" s="1"/>
      <c r="C1747" s="76"/>
      <c r="D1747" s="76"/>
      <c r="E1747" s="76"/>
      <c r="F1747" s="76"/>
      <c r="G1747" s="79"/>
      <c r="H1747" s="80"/>
      <c r="I1747" s="79"/>
      <c r="J1747" s="80"/>
      <c r="K1747" s="79"/>
      <c r="L1747" s="142"/>
      <c r="M1747" s="1"/>
      <c r="N1747" s="142"/>
      <c r="O1747" s="1"/>
      <c r="P1747" s="142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79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R1747" s="1"/>
      <c r="CS1747" s="1"/>
      <c r="CT1747" s="1"/>
      <c r="CU1747" s="1"/>
      <c r="CV1747" s="1"/>
      <c r="CW1747" s="1"/>
      <c r="CX1747" s="1"/>
      <c r="CY1747" s="91" t="str">
        <f t="shared" si="831"/>
        <v/>
      </c>
      <c r="CZ1747" s="1"/>
      <c r="DC1747" s="307"/>
      <c r="DE1747" s="307"/>
    </row>
    <row r="1748">
      <c r="A1748" s="1"/>
      <c r="B1748" s="1"/>
      <c r="C1748" s="76"/>
      <c r="D1748" s="76"/>
      <c r="E1748" s="76"/>
      <c r="F1748" s="76"/>
      <c r="G1748" s="79"/>
      <c r="H1748" s="80"/>
      <c r="I1748" s="79"/>
      <c r="J1748" s="80"/>
      <c r="K1748" s="79"/>
      <c r="L1748" s="142"/>
      <c r="M1748" s="1"/>
      <c r="N1748" s="142"/>
      <c r="O1748" s="1"/>
      <c r="P1748" s="142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79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R1748" s="1"/>
      <c r="CS1748" s="1"/>
      <c r="CT1748" s="1"/>
      <c r="CU1748" s="1"/>
      <c r="CV1748" s="1"/>
      <c r="CW1748" s="1"/>
      <c r="CX1748" s="1"/>
      <c r="CY1748" s="91" t="str">
        <f t="shared" si="831"/>
        <v/>
      </c>
      <c r="CZ1748" s="1"/>
      <c r="DC1748" s="307"/>
      <c r="DE1748" s="307"/>
    </row>
    <row r="1749">
      <c r="A1749" s="1"/>
      <c r="B1749" s="1"/>
      <c r="C1749" s="76"/>
      <c r="D1749" s="76"/>
      <c r="E1749" s="76"/>
      <c r="F1749" s="76"/>
      <c r="G1749" s="79"/>
      <c r="H1749" s="80"/>
      <c r="I1749" s="79"/>
      <c r="J1749" s="80"/>
      <c r="K1749" s="79"/>
      <c r="L1749" s="142"/>
      <c r="M1749" s="1"/>
      <c r="N1749" s="142"/>
      <c r="O1749" s="1"/>
      <c r="P1749" s="142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79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R1749" s="1"/>
      <c r="CS1749" s="1"/>
      <c r="CT1749" s="1"/>
      <c r="CU1749" s="1"/>
      <c r="CV1749" s="1"/>
      <c r="CW1749" s="1"/>
      <c r="CX1749" s="1"/>
      <c r="CY1749" s="91" t="str">
        <f t="shared" si="831"/>
        <v/>
      </c>
      <c r="CZ1749" s="1"/>
      <c r="DC1749" s="307"/>
      <c r="DE1749" s="307"/>
    </row>
    <row r="1750">
      <c r="A1750" s="1"/>
      <c r="B1750" s="1"/>
      <c r="C1750" s="76"/>
      <c r="D1750" s="76"/>
      <c r="E1750" s="76"/>
      <c r="F1750" s="76"/>
      <c r="G1750" s="79"/>
      <c r="H1750" s="80"/>
      <c r="I1750" s="79"/>
      <c r="J1750" s="80"/>
      <c r="K1750" s="79"/>
      <c r="L1750" s="142"/>
      <c r="M1750" s="1"/>
      <c r="N1750" s="142"/>
      <c r="O1750" s="1"/>
      <c r="P1750" s="142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79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R1750" s="1"/>
      <c r="CS1750" s="1"/>
      <c r="CT1750" s="1"/>
      <c r="CU1750" s="1"/>
      <c r="CV1750" s="1"/>
      <c r="CW1750" s="1"/>
      <c r="CX1750" s="1"/>
      <c r="CY1750" s="91" t="str">
        <f t="shared" si="831"/>
        <v/>
      </c>
      <c r="CZ1750" s="1"/>
      <c r="DC1750" s="307"/>
      <c r="DE1750" s="307"/>
    </row>
    <row r="1751">
      <c r="A1751" s="1"/>
      <c r="B1751" s="1"/>
      <c r="C1751" s="76"/>
      <c r="D1751" s="76"/>
      <c r="E1751" s="76"/>
      <c r="F1751" s="76"/>
      <c r="G1751" s="79"/>
      <c r="H1751" s="80"/>
      <c r="I1751" s="79"/>
      <c r="J1751" s="80"/>
      <c r="K1751" s="79"/>
      <c r="L1751" s="142"/>
      <c r="M1751" s="1"/>
      <c r="N1751" s="142"/>
      <c r="O1751" s="1"/>
      <c r="P1751" s="142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79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R1751" s="1"/>
      <c r="CS1751" s="1"/>
      <c r="CT1751" s="1"/>
      <c r="CU1751" s="1"/>
      <c r="CV1751" s="1"/>
      <c r="CW1751" s="1"/>
      <c r="CX1751" s="1"/>
      <c r="CY1751" s="91" t="str">
        <f t="shared" si="831"/>
        <v/>
      </c>
      <c r="CZ1751" s="1"/>
      <c r="DC1751" s="307"/>
      <c r="DE1751" s="307"/>
    </row>
    <row r="1752">
      <c r="A1752" s="1"/>
      <c r="B1752" s="1"/>
      <c r="C1752" s="76"/>
      <c r="D1752" s="76"/>
      <c r="E1752" s="76"/>
      <c r="F1752" s="76"/>
      <c r="G1752" s="79"/>
      <c r="H1752" s="80"/>
      <c r="I1752" s="79"/>
      <c r="J1752" s="80"/>
      <c r="K1752" s="79"/>
      <c r="L1752" s="142"/>
      <c r="M1752" s="1"/>
      <c r="N1752" s="142"/>
      <c r="O1752" s="1"/>
      <c r="P1752" s="142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79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R1752" s="1"/>
      <c r="CS1752" s="1"/>
      <c r="CT1752" s="1"/>
      <c r="CU1752" s="1"/>
      <c r="CV1752" s="1"/>
      <c r="CW1752" s="1"/>
      <c r="CX1752" s="1"/>
      <c r="CY1752" s="91" t="str">
        <f t="shared" si="831"/>
        <v/>
      </c>
      <c r="CZ1752" s="1"/>
      <c r="DC1752" s="307"/>
      <c r="DE1752" s="307"/>
    </row>
    <row r="1753">
      <c r="A1753" s="1"/>
      <c r="B1753" s="1"/>
      <c r="C1753" s="76"/>
      <c r="D1753" s="76"/>
      <c r="E1753" s="76"/>
      <c r="F1753" s="76"/>
      <c r="G1753" s="79"/>
      <c r="H1753" s="80"/>
      <c r="I1753" s="79"/>
      <c r="J1753" s="80"/>
      <c r="K1753" s="79"/>
      <c r="L1753" s="142"/>
      <c r="M1753" s="1"/>
      <c r="N1753" s="142"/>
      <c r="O1753" s="1"/>
      <c r="P1753" s="142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79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R1753" s="1"/>
      <c r="CS1753" s="1"/>
      <c r="CT1753" s="1"/>
      <c r="CU1753" s="1"/>
      <c r="CV1753" s="1"/>
      <c r="CW1753" s="1"/>
      <c r="CX1753" s="1"/>
      <c r="CY1753" s="91" t="str">
        <f t="shared" si="831"/>
        <v/>
      </c>
      <c r="CZ1753" s="1"/>
      <c r="DC1753" s="307"/>
      <c r="DE1753" s="307"/>
    </row>
    <row r="1754">
      <c r="A1754" s="1"/>
      <c r="B1754" s="1"/>
      <c r="C1754" s="76"/>
      <c r="D1754" s="76"/>
      <c r="E1754" s="76"/>
      <c r="F1754" s="76"/>
      <c r="G1754" s="79"/>
      <c r="H1754" s="80"/>
      <c r="I1754" s="79"/>
      <c r="J1754" s="80"/>
      <c r="K1754" s="79"/>
      <c r="L1754" s="142"/>
      <c r="M1754" s="1"/>
      <c r="N1754" s="142"/>
      <c r="O1754" s="1"/>
      <c r="P1754" s="142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79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R1754" s="1"/>
      <c r="CS1754" s="1"/>
      <c r="CT1754" s="1"/>
      <c r="CU1754" s="1"/>
      <c r="CV1754" s="1"/>
      <c r="CW1754" s="1"/>
      <c r="CX1754" s="1"/>
      <c r="CY1754" s="91" t="str">
        <f t="shared" si="831"/>
        <v/>
      </c>
      <c r="CZ1754" s="1"/>
      <c r="DC1754" s="307"/>
      <c r="DE1754" s="307"/>
    </row>
    <row r="1755">
      <c r="A1755" s="1"/>
      <c r="B1755" s="1"/>
      <c r="C1755" s="76"/>
      <c r="D1755" s="76"/>
      <c r="E1755" s="76"/>
      <c r="F1755" s="76"/>
      <c r="G1755" s="79"/>
      <c r="H1755" s="80"/>
      <c r="I1755" s="79"/>
      <c r="J1755" s="80"/>
      <c r="K1755" s="79"/>
      <c r="L1755" s="142"/>
      <c r="M1755" s="1"/>
      <c r="N1755" s="142"/>
      <c r="O1755" s="1"/>
      <c r="P1755" s="142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79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R1755" s="1"/>
      <c r="CS1755" s="1"/>
      <c r="CT1755" s="1"/>
      <c r="CU1755" s="1"/>
      <c r="CV1755" s="1"/>
      <c r="CW1755" s="1"/>
      <c r="CX1755" s="1"/>
      <c r="CY1755" s="91" t="str">
        <f t="shared" si="831"/>
        <v/>
      </c>
      <c r="CZ1755" s="1"/>
      <c r="DC1755" s="307"/>
      <c r="DE1755" s="307"/>
    </row>
    <row r="1756">
      <c r="A1756" s="1"/>
      <c r="B1756" s="1"/>
      <c r="C1756" s="76"/>
      <c r="D1756" s="76"/>
      <c r="E1756" s="76"/>
      <c r="F1756" s="76"/>
      <c r="G1756" s="79"/>
      <c r="H1756" s="80"/>
      <c r="I1756" s="79"/>
      <c r="J1756" s="80"/>
      <c r="K1756" s="79"/>
      <c r="L1756" s="142"/>
      <c r="M1756" s="1"/>
      <c r="N1756" s="142"/>
      <c r="O1756" s="1"/>
      <c r="P1756" s="142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79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R1756" s="1"/>
      <c r="CS1756" s="1"/>
      <c r="CT1756" s="1"/>
      <c r="CU1756" s="1"/>
      <c r="CV1756" s="1"/>
      <c r="CW1756" s="1"/>
      <c r="CX1756" s="1"/>
      <c r="CY1756" s="91" t="str">
        <f t="shared" si="831"/>
        <v/>
      </c>
      <c r="CZ1756" s="1"/>
      <c r="DC1756" s="307"/>
      <c r="DE1756" s="307"/>
    </row>
    <row r="1757">
      <c r="A1757" s="1"/>
      <c r="B1757" s="1"/>
      <c r="C1757" s="76"/>
      <c r="D1757" s="76"/>
      <c r="E1757" s="76"/>
      <c r="F1757" s="76"/>
      <c r="G1757" s="79"/>
      <c r="H1757" s="80"/>
      <c r="I1757" s="79"/>
      <c r="J1757" s="80"/>
      <c r="K1757" s="79"/>
      <c r="L1757" s="142"/>
      <c r="M1757" s="1"/>
      <c r="N1757" s="142"/>
      <c r="O1757" s="1"/>
      <c r="P1757" s="142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79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R1757" s="1"/>
      <c r="CS1757" s="1"/>
      <c r="CT1757" s="1"/>
      <c r="CU1757" s="1"/>
      <c r="CV1757" s="1"/>
      <c r="CW1757" s="1"/>
      <c r="CX1757" s="1"/>
      <c r="CY1757" s="91" t="str">
        <f t="shared" si="831"/>
        <v/>
      </c>
      <c r="CZ1757" s="1"/>
      <c r="DC1757" s="307"/>
      <c r="DE1757" s="307"/>
    </row>
    <row r="1758">
      <c r="A1758" s="1"/>
      <c r="B1758" s="1"/>
      <c r="C1758" s="76"/>
      <c r="D1758" s="76"/>
      <c r="E1758" s="76"/>
      <c r="F1758" s="76"/>
      <c r="G1758" s="79"/>
      <c r="H1758" s="80"/>
      <c r="I1758" s="79"/>
      <c r="J1758" s="80"/>
      <c r="K1758" s="79"/>
      <c r="L1758" s="142"/>
      <c r="M1758" s="1"/>
      <c r="N1758" s="142"/>
      <c r="O1758" s="1"/>
      <c r="P1758" s="142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79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R1758" s="1"/>
      <c r="CS1758" s="1"/>
      <c r="CT1758" s="1"/>
      <c r="CU1758" s="1"/>
      <c r="CV1758" s="1"/>
      <c r="CW1758" s="1"/>
      <c r="CX1758" s="1"/>
      <c r="CY1758" s="91" t="str">
        <f t="shared" si="831"/>
        <v/>
      </c>
      <c r="CZ1758" s="1"/>
      <c r="DC1758" s="307"/>
      <c r="DE1758" s="307"/>
    </row>
    <row r="1759">
      <c r="A1759" s="1"/>
      <c r="B1759" s="1"/>
      <c r="C1759" s="76"/>
      <c r="D1759" s="76"/>
      <c r="E1759" s="76"/>
      <c r="F1759" s="76"/>
      <c r="G1759" s="79"/>
      <c r="H1759" s="80"/>
      <c r="I1759" s="79"/>
      <c r="J1759" s="80"/>
      <c r="K1759" s="79"/>
      <c r="L1759" s="142"/>
      <c r="M1759" s="1"/>
      <c r="N1759" s="142"/>
      <c r="O1759" s="1"/>
      <c r="P1759" s="142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79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R1759" s="1"/>
      <c r="CS1759" s="1"/>
      <c r="CT1759" s="1"/>
      <c r="CU1759" s="1"/>
      <c r="CV1759" s="1"/>
      <c r="CW1759" s="1"/>
      <c r="CX1759" s="1"/>
      <c r="CY1759" s="91" t="str">
        <f t="shared" si="831"/>
        <v/>
      </c>
      <c r="CZ1759" s="1"/>
      <c r="DC1759" s="307"/>
      <c r="DE1759" s="307"/>
    </row>
    <row r="1760">
      <c r="A1760" s="1"/>
      <c r="B1760" s="1"/>
      <c r="C1760" s="76"/>
      <c r="D1760" s="76"/>
      <c r="E1760" s="76"/>
      <c r="F1760" s="76"/>
      <c r="G1760" s="79"/>
      <c r="H1760" s="80"/>
      <c r="I1760" s="79"/>
      <c r="J1760" s="80"/>
      <c r="K1760" s="79"/>
      <c r="L1760" s="142"/>
      <c r="M1760" s="1"/>
      <c r="N1760" s="142"/>
      <c r="O1760" s="1"/>
      <c r="P1760" s="142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79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R1760" s="1"/>
      <c r="CS1760" s="1"/>
      <c r="CT1760" s="1"/>
      <c r="CU1760" s="1"/>
      <c r="CV1760" s="1"/>
      <c r="CW1760" s="1"/>
      <c r="CX1760" s="1"/>
      <c r="CY1760" s="91" t="str">
        <f t="shared" si="831"/>
        <v/>
      </c>
      <c r="CZ1760" s="1"/>
      <c r="DC1760" s="307"/>
      <c r="DE1760" s="307"/>
    </row>
    <row r="1761">
      <c r="A1761" s="1"/>
      <c r="B1761" s="1"/>
      <c r="C1761" s="76"/>
      <c r="D1761" s="76"/>
      <c r="E1761" s="76"/>
      <c r="F1761" s="76"/>
      <c r="G1761" s="79"/>
      <c r="H1761" s="80"/>
      <c r="I1761" s="79"/>
      <c r="J1761" s="80"/>
      <c r="K1761" s="79"/>
      <c r="L1761" s="142"/>
      <c r="M1761" s="1"/>
      <c r="N1761" s="142"/>
      <c r="O1761" s="1"/>
      <c r="P1761" s="142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79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R1761" s="1"/>
      <c r="CS1761" s="1"/>
      <c r="CT1761" s="1"/>
      <c r="CU1761" s="1"/>
      <c r="CV1761" s="1"/>
      <c r="CW1761" s="1"/>
      <c r="CX1761" s="1"/>
      <c r="CY1761" s="91" t="str">
        <f t="shared" si="831"/>
        <v/>
      </c>
      <c r="CZ1761" s="1"/>
      <c r="DC1761" s="307"/>
      <c r="DE1761" s="307"/>
    </row>
    <row r="1762">
      <c r="A1762" s="1"/>
      <c r="B1762" s="1"/>
      <c r="C1762" s="76"/>
      <c r="D1762" s="76"/>
      <c r="E1762" s="76"/>
      <c r="F1762" s="76"/>
      <c r="G1762" s="79"/>
      <c r="H1762" s="80"/>
      <c r="I1762" s="79"/>
      <c r="J1762" s="80"/>
      <c r="K1762" s="79"/>
      <c r="L1762" s="142"/>
      <c r="M1762" s="1"/>
      <c r="N1762" s="142"/>
      <c r="O1762" s="1"/>
      <c r="P1762" s="142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79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R1762" s="1"/>
      <c r="CS1762" s="1"/>
      <c r="CT1762" s="1"/>
      <c r="CU1762" s="1"/>
      <c r="CV1762" s="1"/>
      <c r="CW1762" s="1"/>
      <c r="CX1762" s="1"/>
      <c r="CY1762" s="91" t="str">
        <f t="shared" si="831"/>
        <v/>
      </c>
      <c r="CZ1762" s="1"/>
      <c r="DC1762" s="307"/>
      <c r="DE1762" s="307"/>
    </row>
    <row r="1763">
      <c r="A1763" s="1"/>
      <c r="B1763" s="1"/>
      <c r="C1763" s="76"/>
      <c r="D1763" s="76"/>
      <c r="E1763" s="76"/>
      <c r="F1763" s="76"/>
      <c r="G1763" s="79"/>
      <c r="H1763" s="80"/>
      <c r="I1763" s="79"/>
      <c r="J1763" s="80"/>
      <c r="K1763" s="79"/>
      <c r="L1763" s="142"/>
      <c r="M1763" s="1"/>
      <c r="N1763" s="142"/>
      <c r="O1763" s="1"/>
      <c r="P1763" s="142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79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R1763" s="1"/>
      <c r="CS1763" s="1"/>
      <c r="CT1763" s="1"/>
      <c r="CU1763" s="1"/>
      <c r="CV1763" s="1"/>
      <c r="CW1763" s="1"/>
      <c r="CX1763" s="1"/>
      <c r="CY1763" s="91" t="str">
        <f t="shared" si="831"/>
        <v/>
      </c>
      <c r="CZ1763" s="1"/>
      <c r="DC1763" s="307"/>
      <c r="DE1763" s="307"/>
    </row>
    <row r="1764">
      <c r="A1764" s="1"/>
      <c r="B1764" s="1"/>
      <c r="C1764" s="76"/>
      <c r="D1764" s="76"/>
      <c r="E1764" s="76"/>
      <c r="F1764" s="76"/>
      <c r="G1764" s="79"/>
      <c r="H1764" s="80"/>
      <c r="I1764" s="79"/>
      <c r="J1764" s="80"/>
      <c r="K1764" s="79"/>
      <c r="L1764" s="142"/>
      <c r="M1764" s="1"/>
      <c r="N1764" s="142"/>
      <c r="O1764" s="1"/>
      <c r="P1764" s="142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79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R1764" s="1"/>
      <c r="CS1764" s="1"/>
      <c r="CT1764" s="1"/>
      <c r="CU1764" s="1"/>
      <c r="CV1764" s="1"/>
      <c r="CW1764" s="1"/>
      <c r="CX1764" s="1"/>
      <c r="CY1764" s="91" t="str">
        <f t="shared" si="831"/>
        <v/>
      </c>
      <c r="CZ1764" s="1"/>
      <c r="DC1764" s="307"/>
      <c r="DE1764" s="307"/>
    </row>
    <row r="1765">
      <c r="A1765" s="1"/>
      <c r="B1765" s="1"/>
      <c r="C1765" s="76"/>
      <c r="D1765" s="76"/>
      <c r="E1765" s="76"/>
      <c r="F1765" s="76"/>
      <c r="G1765" s="79"/>
      <c r="H1765" s="80"/>
      <c r="I1765" s="79"/>
      <c r="J1765" s="80"/>
      <c r="K1765" s="79"/>
      <c r="L1765" s="142"/>
      <c r="M1765" s="1"/>
      <c r="N1765" s="142"/>
      <c r="O1765" s="1"/>
      <c r="P1765" s="142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79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R1765" s="1"/>
      <c r="CS1765" s="1"/>
      <c r="CT1765" s="1"/>
      <c r="CU1765" s="1"/>
      <c r="CV1765" s="1"/>
      <c r="CW1765" s="1"/>
      <c r="CX1765" s="1"/>
      <c r="CY1765" s="91" t="str">
        <f t="shared" si="831"/>
        <v/>
      </c>
      <c r="CZ1765" s="1"/>
      <c r="DC1765" s="307"/>
      <c r="DE1765" s="307"/>
    </row>
    <row r="1766">
      <c r="A1766" s="1"/>
      <c r="B1766" s="1"/>
      <c r="C1766" s="76"/>
      <c r="D1766" s="76"/>
      <c r="E1766" s="76"/>
      <c r="F1766" s="76"/>
      <c r="G1766" s="79"/>
      <c r="H1766" s="80"/>
      <c r="I1766" s="79"/>
      <c r="J1766" s="80"/>
      <c r="K1766" s="79"/>
      <c r="L1766" s="142"/>
      <c r="M1766" s="1"/>
      <c r="N1766" s="142"/>
      <c r="O1766" s="1"/>
      <c r="P1766" s="142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79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R1766" s="1"/>
      <c r="CS1766" s="1"/>
      <c r="CT1766" s="1"/>
      <c r="CU1766" s="1"/>
      <c r="CV1766" s="1"/>
      <c r="CW1766" s="1"/>
      <c r="CX1766" s="1"/>
      <c r="CY1766" s="91" t="str">
        <f t="shared" si="831"/>
        <v/>
      </c>
      <c r="CZ1766" s="1"/>
      <c r="DC1766" s="307"/>
      <c r="DE1766" s="307"/>
    </row>
    <row r="1767">
      <c r="A1767" s="1"/>
      <c r="B1767" s="1"/>
      <c r="C1767" s="76"/>
      <c r="D1767" s="76"/>
      <c r="E1767" s="76"/>
      <c r="F1767" s="76"/>
      <c r="G1767" s="79"/>
      <c r="H1767" s="80"/>
      <c r="I1767" s="79"/>
      <c r="J1767" s="80"/>
      <c r="K1767" s="79"/>
      <c r="L1767" s="142"/>
      <c r="M1767" s="1"/>
      <c r="N1767" s="142"/>
      <c r="O1767" s="1"/>
      <c r="P1767" s="142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79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R1767" s="1"/>
      <c r="CS1767" s="1"/>
      <c r="CT1767" s="1"/>
      <c r="CU1767" s="1"/>
      <c r="CV1767" s="1"/>
      <c r="CW1767" s="1"/>
      <c r="CX1767" s="1"/>
      <c r="CY1767" s="91" t="str">
        <f t="shared" si="831"/>
        <v/>
      </c>
      <c r="CZ1767" s="1"/>
      <c r="DC1767" s="307"/>
      <c r="DE1767" s="307"/>
    </row>
    <row r="1768">
      <c r="A1768" s="1"/>
      <c r="B1768" s="1"/>
      <c r="C1768" s="76"/>
      <c r="D1768" s="76"/>
      <c r="E1768" s="76"/>
      <c r="F1768" s="76"/>
      <c r="G1768" s="79"/>
      <c r="H1768" s="80"/>
      <c r="I1768" s="79"/>
      <c r="J1768" s="80"/>
      <c r="K1768" s="79"/>
      <c r="L1768" s="142"/>
      <c r="M1768" s="1"/>
      <c r="N1768" s="142"/>
      <c r="O1768" s="1"/>
      <c r="P1768" s="142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79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R1768" s="1"/>
      <c r="CS1768" s="1"/>
      <c r="CT1768" s="1"/>
      <c r="CU1768" s="1"/>
      <c r="CV1768" s="1"/>
      <c r="CW1768" s="1"/>
      <c r="CX1768" s="1"/>
      <c r="CY1768" s="91" t="str">
        <f t="shared" si="831"/>
        <v/>
      </c>
      <c r="CZ1768" s="1"/>
      <c r="DC1768" s="307"/>
      <c r="DE1768" s="307"/>
    </row>
    <row r="1769">
      <c r="A1769" s="1"/>
      <c r="B1769" s="1"/>
      <c r="C1769" s="76"/>
      <c r="D1769" s="76"/>
      <c r="E1769" s="76"/>
      <c r="F1769" s="76"/>
      <c r="G1769" s="79"/>
      <c r="H1769" s="80"/>
      <c r="I1769" s="79"/>
      <c r="J1769" s="80"/>
      <c r="K1769" s="79"/>
      <c r="L1769" s="142"/>
      <c r="M1769" s="1"/>
      <c r="N1769" s="142"/>
      <c r="O1769" s="1"/>
      <c r="P1769" s="142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79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R1769" s="1"/>
      <c r="CS1769" s="1"/>
      <c r="CT1769" s="1"/>
      <c r="CU1769" s="1"/>
      <c r="CV1769" s="1"/>
      <c r="CW1769" s="1"/>
      <c r="CX1769" s="1"/>
      <c r="CY1769" s="91" t="str">
        <f t="shared" si="831"/>
        <v/>
      </c>
      <c r="CZ1769" s="1"/>
      <c r="DC1769" s="307"/>
      <c r="DE1769" s="307"/>
    </row>
    <row r="1770">
      <c r="A1770" s="1"/>
      <c r="B1770" s="1"/>
      <c r="C1770" s="76"/>
      <c r="D1770" s="76"/>
      <c r="E1770" s="76"/>
      <c r="F1770" s="76"/>
      <c r="G1770" s="79"/>
      <c r="H1770" s="80"/>
      <c r="I1770" s="79"/>
      <c r="J1770" s="80"/>
      <c r="K1770" s="79"/>
      <c r="L1770" s="142"/>
      <c r="M1770" s="1"/>
      <c r="N1770" s="142"/>
      <c r="O1770" s="1"/>
      <c r="P1770" s="142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79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R1770" s="1"/>
      <c r="CS1770" s="1"/>
      <c r="CT1770" s="1"/>
      <c r="CU1770" s="1"/>
      <c r="CV1770" s="1"/>
      <c r="CW1770" s="1"/>
      <c r="CX1770" s="1"/>
      <c r="CY1770" s="91" t="str">
        <f t="shared" si="831"/>
        <v/>
      </c>
      <c r="CZ1770" s="1"/>
      <c r="DC1770" s="307"/>
      <c r="DE1770" s="307"/>
    </row>
    <row r="1771">
      <c r="A1771" s="1"/>
      <c r="B1771" s="1"/>
      <c r="C1771" s="76"/>
      <c r="D1771" s="76"/>
      <c r="E1771" s="76"/>
      <c r="F1771" s="76"/>
      <c r="G1771" s="79"/>
      <c r="H1771" s="80"/>
      <c r="I1771" s="79"/>
      <c r="J1771" s="80"/>
      <c r="K1771" s="79"/>
      <c r="L1771" s="142"/>
      <c r="M1771" s="1"/>
      <c r="N1771" s="142"/>
      <c r="O1771" s="1"/>
      <c r="P1771" s="142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79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R1771" s="1"/>
      <c r="CS1771" s="1"/>
      <c r="CT1771" s="1"/>
      <c r="CU1771" s="1"/>
      <c r="CV1771" s="1"/>
      <c r="CW1771" s="1"/>
      <c r="CX1771" s="1"/>
      <c r="CY1771" s="91" t="str">
        <f t="shared" si="831"/>
        <v/>
      </c>
      <c r="CZ1771" s="1"/>
      <c r="DC1771" s="307"/>
      <c r="DE1771" s="307"/>
    </row>
    <row r="1772">
      <c r="A1772" s="1"/>
      <c r="B1772" s="1"/>
      <c r="C1772" s="76"/>
      <c r="D1772" s="76"/>
      <c r="E1772" s="76"/>
      <c r="F1772" s="76"/>
      <c r="G1772" s="79"/>
      <c r="H1772" s="80"/>
      <c r="I1772" s="79"/>
      <c r="J1772" s="80"/>
      <c r="K1772" s="79"/>
      <c r="L1772" s="142"/>
      <c r="M1772" s="1"/>
      <c r="N1772" s="142"/>
      <c r="O1772" s="1"/>
      <c r="P1772" s="142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79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R1772" s="1"/>
      <c r="CS1772" s="1"/>
      <c r="CT1772" s="1"/>
      <c r="CU1772" s="1"/>
      <c r="CV1772" s="1"/>
      <c r="CW1772" s="1"/>
      <c r="CX1772" s="1"/>
      <c r="CY1772" s="91" t="str">
        <f t="shared" si="831"/>
        <v/>
      </c>
      <c r="CZ1772" s="1"/>
      <c r="DC1772" s="307"/>
      <c r="DE1772" s="307"/>
    </row>
    <row r="1773">
      <c r="A1773" s="1"/>
      <c r="B1773" s="1"/>
      <c r="C1773" s="76"/>
      <c r="D1773" s="76"/>
      <c r="E1773" s="76"/>
      <c r="F1773" s="76"/>
      <c r="G1773" s="79"/>
      <c r="H1773" s="80"/>
      <c r="I1773" s="79"/>
      <c r="J1773" s="80"/>
      <c r="K1773" s="79"/>
      <c r="L1773" s="142"/>
      <c r="M1773" s="1"/>
      <c r="N1773" s="142"/>
      <c r="O1773" s="1"/>
      <c r="P1773" s="142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79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R1773" s="1"/>
      <c r="CS1773" s="1"/>
      <c r="CT1773" s="1"/>
      <c r="CU1773" s="1"/>
      <c r="CV1773" s="1"/>
      <c r="CW1773" s="1"/>
      <c r="CX1773" s="1"/>
      <c r="CY1773" s="91" t="str">
        <f t="shared" si="831"/>
        <v/>
      </c>
      <c r="CZ1773" s="1"/>
      <c r="DC1773" s="307"/>
      <c r="DE1773" s="307"/>
    </row>
    <row r="1774">
      <c r="A1774" s="1"/>
      <c r="B1774" s="1"/>
      <c r="C1774" s="76"/>
      <c r="D1774" s="76"/>
      <c r="E1774" s="76"/>
      <c r="F1774" s="76"/>
      <c r="G1774" s="79"/>
      <c r="H1774" s="80"/>
      <c r="I1774" s="79"/>
      <c r="J1774" s="80"/>
      <c r="K1774" s="79"/>
      <c r="L1774" s="142"/>
      <c r="M1774" s="1"/>
      <c r="N1774" s="142"/>
      <c r="O1774" s="1"/>
      <c r="P1774" s="142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79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R1774" s="1"/>
      <c r="CS1774" s="1"/>
      <c r="CT1774" s="1"/>
      <c r="CU1774" s="1"/>
      <c r="CV1774" s="1"/>
      <c r="CW1774" s="1"/>
      <c r="CX1774" s="1"/>
      <c r="CY1774" s="91" t="str">
        <f t="shared" si="831"/>
        <v/>
      </c>
      <c r="CZ1774" s="1"/>
      <c r="DC1774" s="307"/>
      <c r="DE1774" s="307"/>
    </row>
    <row r="1775">
      <c r="A1775" s="1"/>
      <c r="B1775" s="1"/>
      <c r="C1775" s="76"/>
      <c r="D1775" s="76"/>
      <c r="E1775" s="76"/>
      <c r="F1775" s="76"/>
      <c r="G1775" s="79"/>
      <c r="H1775" s="80"/>
      <c r="I1775" s="79"/>
      <c r="J1775" s="80"/>
      <c r="K1775" s="79"/>
      <c r="L1775" s="142"/>
      <c r="M1775" s="1"/>
      <c r="N1775" s="142"/>
      <c r="O1775" s="1"/>
      <c r="P1775" s="142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79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R1775" s="1"/>
      <c r="CS1775" s="1"/>
      <c r="CT1775" s="1"/>
      <c r="CU1775" s="1"/>
      <c r="CV1775" s="1"/>
      <c r="CW1775" s="1"/>
      <c r="CX1775" s="1"/>
      <c r="CY1775" s="91" t="str">
        <f t="shared" si="831"/>
        <v/>
      </c>
      <c r="CZ1775" s="1"/>
      <c r="DC1775" s="307"/>
      <c r="DE1775" s="307"/>
    </row>
    <row r="1776">
      <c r="A1776" s="1"/>
      <c r="B1776" s="1"/>
      <c r="C1776" s="76"/>
      <c r="D1776" s="76"/>
      <c r="E1776" s="76"/>
      <c r="F1776" s="76"/>
      <c r="G1776" s="79"/>
      <c r="H1776" s="80"/>
      <c r="I1776" s="79"/>
      <c r="J1776" s="80"/>
      <c r="K1776" s="79"/>
      <c r="L1776" s="142"/>
      <c r="M1776" s="1"/>
      <c r="N1776" s="142"/>
      <c r="O1776" s="1"/>
      <c r="P1776" s="142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79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R1776" s="1"/>
      <c r="CS1776" s="1"/>
      <c r="CT1776" s="1"/>
      <c r="CU1776" s="1"/>
      <c r="CV1776" s="1"/>
      <c r="CW1776" s="1"/>
      <c r="CX1776" s="1"/>
      <c r="CY1776" s="91" t="str">
        <f t="shared" si="831"/>
        <v/>
      </c>
      <c r="CZ1776" s="1"/>
      <c r="DC1776" s="307"/>
      <c r="DE1776" s="307"/>
    </row>
    <row r="1777">
      <c r="A1777" s="1"/>
      <c r="B1777" s="1"/>
      <c r="C1777" s="76"/>
      <c r="D1777" s="76"/>
      <c r="E1777" s="76"/>
      <c r="F1777" s="76"/>
      <c r="G1777" s="79"/>
      <c r="H1777" s="80"/>
      <c r="I1777" s="79"/>
      <c r="J1777" s="80"/>
      <c r="K1777" s="79"/>
      <c r="L1777" s="142"/>
      <c r="M1777" s="1"/>
      <c r="N1777" s="142"/>
      <c r="O1777" s="1"/>
      <c r="P1777" s="142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79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R1777" s="1"/>
      <c r="CS1777" s="1"/>
      <c r="CT1777" s="1"/>
      <c r="CU1777" s="1"/>
      <c r="CV1777" s="1"/>
      <c r="CW1777" s="1"/>
      <c r="CX1777" s="1"/>
      <c r="CY1777" s="91" t="str">
        <f t="shared" si="831"/>
        <v/>
      </c>
      <c r="CZ1777" s="1"/>
      <c r="DC1777" s="307"/>
      <c r="DE1777" s="307"/>
    </row>
    <row r="1778">
      <c r="A1778" s="1"/>
      <c r="B1778" s="1"/>
      <c r="C1778" s="76"/>
      <c r="D1778" s="76"/>
      <c r="E1778" s="76"/>
      <c r="F1778" s="76"/>
      <c r="G1778" s="79"/>
      <c r="H1778" s="80"/>
      <c r="I1778" s="79"/>
      <c r="J1778" s="80"/>
      <c r="K1778" s="79"/>
      <c r="L1778" s="142"/>
      <c r="M1778" s="1"/>
      <c r="N1778" s="142"/>
      <c r="O1778" s="1"/>
      <c r="P1778" s="142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79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R1778" s="1"/>
      <c r="CS1778" s="1"/>
      <c r="CT1778" s="1"/>
      <c r="CU1778" s="1"/>
      <c r="CV1778" s="1"/>
      <c r="CW1778" s="1"/>
      <c r="CX1778" s="1"/>
      <c r="CY1778" s="91" t="str">
        <f t="shared" si="831"/>
        <v/>
      </c>
      <c r="CZ1778" s="1"/>
      <c r="DC1778" s="307"/>
      <c r="DE1778" s="307"/>
    </row>
    <row r="1779">
      <c r="A1779" s="1"/>
      <c r="B1779" s="1"/>
      <c r="C1779" s="76"/>
      <c r="D1779" s="76"/>
      <c r="E1779" s="76"/>
      <c r="F1779" s="76"/>
      <c r="G1779" s="79"/>
      <c r="H1779" s="80"/>
      <c r="I1779" s="79"/>
      <c r="J1779" s="80"/>
      <c r="K1779" s="79"/>
      <c r="L1779" s="142"/>
      <c r="M1779" s="1"/>
      <c r="N1779" s="142"/>
      <c r="O1779" s="1"/>
      <c r="P1779" s="142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79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R1779" s="1"/>
      <c r="CS1779" s="1"/>
      <c r="CT1779" s="1"/>
      <c r="CU1779" s="1"/>
      <c r="CV1779" s="1"/>
      <c r="CW1779" s="1"/>
      <c r="CX1779" s="1"/>
      <c r="CY1779" s="91" t="str">
        <f t="shared" si="831"/>
        <v/>
      </c>
      <c r="CZ1779" s="1"/>
      <c r="DC1779" s="307"/>
      <c r="DE1779" s="307"/>
    </row>
    <row r="1780">
      <c r="A1780" s="1"/>
      <c r="B1780" s="1"/>
      <c r="C1780" s="76"/>
      <c r="D1780" s="76"/>
      <c r="E1780" s="76"/>
      <c r="F1780" s="76"/>
      <c r="G1780" s="79"/>
      <c r="H1780" s="80"/>
      <c r="I1780" s="79"/>
      <c r="J1780" s="80"/>
      <c r="K1780" s="79"/>
      <c r="L1780" s="142"/>
      <c r="M1780" s="1"/>
      <c r="N1780" s="142"/>
      <c r="O1780" s="1"/>
      <c r="P1780" s="142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79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R1780" s="1"/>
      <c r="CS1780" s="1"/>
      <c r="CT1780" s="1"/>
      <c r="CU1780" s="1"/>
      <c r="CV1780" s="1"/>
      <c r="CW1780" s="1"/>
      <c r="CX1780" s="1"/>
      <c r="CY1780" s="91" t="str">
        <f t="shared" si="831"/>
        <v/>
      </c>
      <c r="CZ1780" s="1"/>
      <c r="DC1780" s="307"/>
      <c r="DE1780" s="307"/>
    </row>
    <row r="1781">
      <c r="A1781" s="1"/>
      <c r="B1781" s="1"/>
      <c r="C1781" s="76"/>
      <c r="D1781" s="76"/>
      <c r="E1781" s="76"/>
      <c r="F1781" s="76"/>
      <c r="G1781" s="79"/>
      <c r="H1781" s="80"/>
      <c r="I1781" s="79"/>
      <c r="J1781" s="80"/>
      <c r="K1781" s="79"/>
      <c r="L1781" s="142"/>
      <c r="M1781" s="1"/>
      <c r="N1781" s="142"/>
      <c r="O1781" s="1"/>
      <c r="P1781" s="142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79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R1781" s="1"/>
      <c r="CS1781" s="1"/>
      <c r="CT1781" s="1"/>
      <c r="CU1781" s="1"/>
      <c r="CV1781" s="1"/>
      <c r="CW1781" s="1"/>
      <c r="CX1781" s="1"/>
      <c r="CY1781" s="91" t="str">
        <f t="shared" si="831"/>
        <v/>
      </c>
      <c r="CZ1781" s="1"/>
      <c r="DC1781" s="307"/>
      <c r="DE1781" s="307"/>
    </row>
    <row r="1782">
      <c r="A1782" s="1"/>
      <c r="B1782" s="1"/>
      <c r="C1782" s="76"/>
      <c r="D1782" s="76"/>
      <c r="E1782" s="76"/>
      <c r="F1782" s="76"/>
      <c r="G1782" s="79"/>
      <c r="H1782" s="80"/>
      <c r="I1782" s="79"/>
      <c r="J1782" s="80"/>
      <c r="K1782" s="79"/>
      <c r="L1782" s="142"/>
      <c r="M1782" s="1"/>
      <c r="N1782" s="142"/>
      <c r="O1782" s="1"/>
      <c r="P1782" s="142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79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R1782" s="1"/>
      <c r="CS1782" s="1"/>
      <c r="CT1782" s="1"/>
      <c r="CU1782" s="1"/>
      <c r="CV1782" s="1"/>
      <c r="CW1782" s="1"/>
      <c r="CX1782" s="1"/>
      <c r="CY1782" s="91" t="str">
        <f t="shared" si="831"/>
        <v/>
      </c>
      <c r="CZ1782" s="1"/>
      <c r="DC1782" s="307"/>
      <c r="DE1782" s="307"/>
    </row>
    <row r="1783">
      <c r="A1783" s="1"/>
      <c r="B1783" s="1"/>
      <c r="C1783" s="76"/>
      <c r="D1783" s="76"/>
      <c r="E1783" s="76"/>
      <c r="F1783" s="76"/>
      <c r="G1783" s="79"/>
      <c r="H1783" s="80"/>
      <c r="I1783" s="79"/>
      <c r="J1783" s="80"/>
      <c r="K1783" s="79"/>
      <c r="L1783" s="142"/>
      <c r="M1783" s="1"/>
      <c r="N1783" s="142"/>
      <c r="O1783" s="1"/>
      <c r="P1783" s="142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79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R1783" s="1"/>
      <c r="CS1783" s="1"/>
      <c r="CT1783" s="1"/>
      <c r="CU1783" s="1"/>
      <c r="CV1783" s="1"/>
      <c r="CW1783" s="1"/>
      <c r="CX1783" s="1"/>
      <c r="CY1783" s="91" t="str">
        <f t="shared" si="831"/>
        <v/>
      </c>
      <c r="CZ1783" s="1"/>
      <c r="DC1783" s="307"/>
      <c r="DE1783" s="307"/>
    </row>
    <row r="1784">
      <c r="A1784" s="1"/>
      <c r="B1784" s="1"/>
      <c r="C1784" s="76"/>
      <c r="D1784" s="76"/>
      <c r="E1784" s="76"/>
      <c r="F1784" s="76"/>
      <c r="G1784" s="79"/>
      <c r="H1784" s="80"/>
      <c r="I1784" s="79"/>
      <c r="J1784" s="80"/>
      <c r="K1784" s="79"/>
      <c r="L1784" s="142"/>
      <c r="M1784" s="1"/>
      <c r="N1784" s="142"/>
      <c r="O1784" s="1"/>
      <c r="P1784" s="142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79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R1784" s="1"/>
      <c r="CS1784" s="1"/>
      <c r="CT1784" s="1"/>
      <c r="CU1784" s="1"/>
      <c r="CV1784" s="1"/>
      <c r="CW1784" s="1"/>
      <c r="CX1784" s="1"/>
      <c r="CY1784" s="91" t="str">
        <f t="shared" si="831"/>
        <v/>
      </c>
      <c r="CZ1784" s="1"/>
      <c r="DC1784" s="307"/>
      <c r="DE1784" s="307"/>
    </row>
    <row r="1785">
      <c r="A1785" s="1"/>
      <c r="B1785" s="1"/>
      <c r="C1785" s="76"/>
      <c r="D1785" s="76"/>
      <c r="E1785" s="76"/>
      <c r="F1785" s="76"/>
      <c r="G1785" s="79"/>
      <c r="H1785" s="80"/>
      <c r="I1785" s="79"/>
      <c r="J1785" s="80"/>
      <c r="K1785" s="79"/>
      <c r="L1785" s="142"/>
      <c r="M1785" s="1"/>
      <c r="N1785" s="142"/>
      <c r="O1785" s="1"/>
      <c r="P1785" s="142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79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R1785" s="1"/>
      <c r="CS1785" s="1"/>
      <c r="CT1785" s="1"/>
      <c r="CU1785" s="1"/>
      <c r="CV1785" s="1"/>
      <c r="CW1785" s="1"/>
      <c r="CX1785" s="1"/>
      <c r="CY1785" s="91" t="str">
        <f t="shared" si="831"/>
        <v/>
      </c>
      <c r="CZ1785" s="1"/>
      <c r="DC1785" s="307"/>
      <c r="DE1785" s="307"/>
    </row>
    <row r="1786">
      <c r="A1786" s="1"/>
      <c r="B1786" s="1"/>
      <c r="C1786" s="76"/>
      <c r="D1786" s="76"/>
      <c r="E1786" s="76"/>
      <c r="F1786" s="76"/>
      <c r="G1786" s="79"/>
      <c r="H1786" s="80"/>
      <c r="I1786" s="79"/>
      <c r="J1786" s="80"/>
      <c r="K1786" s="79"/>
      <c r="L1786" s="142"/>
      <c r="M1786" s="1"/>
      <c r="N1786" s="142"/>
      <c r="O1786" s="1"/>
      <c r="P1786" s="142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79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R1786" s="1"/>
      <c r="CS1786" s="1"/>
      <c r="CT1786" s="1"/>
      <c r="CU1786" s="1"/>
      <c r="CV1786" s="1"/>
      <c r="CW1786" s="1"/>
      <c r="CX1786" s="1"/>
      <c r="CY1786" s="91" t="str">
        <f t="shared" si="831"/>
        <v/>
      </c>
      <c r="CZ1786" s="1"/>
      <c r="DC1786" s="307"/>
      <c r="DE1786" s="307"/>
    </row>
    <row r="1787">
      <c r="A1787" s="1"/>
      <c r="B1787" s="1"/>
      <c r="C1787" s="76"/>
      <c r="D1787" s="76"/>
      <c r="E1787" s="76"/>
      <c r="F1787" s="76"/>
      <c r="G1787" s="79"/>
      <c r="H1787" s="80"/>
      <c r="I1787" s="79"/>
      <c r="J1787" s="80"/>
      <c r="K1787" s="79"/>
      <c r="L1787" s="142"/>
      <c r="M1787" s="1"/>
      <c r="N1787" s="142"/>
      <c r="O1787" s="1"/>
      <c r="P1787" s="142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79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R1787" s="1"/>
      <c r="CS1787" s="1"/>
      <c r="CT1787" s="1"/>
      <c r="CU1787" s="1"/>
      <c r="CV1787" s="1"/>
      <c r="CW1787" s="1"/>
      <c r="CX1787" s="1"/>
      <c r="CY1787" s="91" t="str">
        <f t="shared" si="831"/>
        <v/>
      </c>
      <c r="CZ1787" s="1"/>
      <c r="DC1787" s="307"/>
      <c r="DE1787" s="307"/>
    </row>
    <row r="1788">
      <c r="A1788" s="1"/>
      <c r="B1788" s="1"/>
      <c r="C1788" s="76"/>
      <c r="D1788" s="76"/>
      <c r="E1788" s="76"/>
      <c r="F1788" s="76"/>
      <c r="G1788" s="79"/>
      <c r="H1788" s="80"/>
      <c r="I1788" s="79"/>
      <c r="J1788" s="80"/>
      <c r="K1788" s="79"/>
      <c r="L1788" s="142"/>
      <c r="M1788" s="1"/>
      <c r="N1788" s="142"/>
      <c r="O1788" s="1"/>
      <c r="P1788" s="142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79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R1788" s="1"/>
      <c r="CS1788" s="1"/>
      <c r="CT1788" s="1"/>
      <c r="CU1788" s="1"/>
      <c r="CV1788" s="1"/>
      <c r="CW1788" s="1"/>
      <c r="CX1788" s="1"/>
      <c r="CY1788" s="91" t="str">
        <f t="shared" si="831"/>
        <v/>
      </c>
      <c r="CZ1788" s="1"/>
      <c r="DC1788" s="307"/>
      <c r="DE1788" s="307"/>
    </row>
    <row r="1789">
      <c r="A1789" s="1"/>
      <c r="B1789" s="1"/>
      <c r="C1789" s="76"/>
      <c r="D1789" s="76"/>
      <c r="E1789" s="76"/>
      <c r="F1789" s="76"/>
      <c r="G1789" s="79"/>
      <c r="H1789" s="80"/>
      <c r="I1789" s="79"/>
      <c r="J1789" s="80"/>
      <c r="K1789" s="79"/>
      <c r="L1789" s="142"/>
      <c r="M1789" s="1"/>
      <c r="N1789" s="142"/>
      <c r="O1789" s="1"/>
      <c r="P1789" s="142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79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R1789" s="1"/>
      <c r="CS1789" s="1"/>
      <c r="CT1789" s="1"/>
      <c r="CU1789" s="1"/>
      <c r="CV1789" s="1"/>
      <c r="CW1789" s="1"/>
      <c r="CX1789" s="1"/>
      <c r="CY1789" s="91" t="str">
        <f t="shared" si="831"/>
        <v/>
      </c>
      <c r="CZ1789" s="1"/>
      <c r="DC1789" s="307"/>
      <c r="DE1789" s="307"/>
    </row>
    <row r="1790">
      <c r="A1790" s="1"/>
      <c r="B1790" s="1"/>
      <c r="C1790" s="76"/>
      <c r="D1790" s="76"/>
      <c r="E1790" s="76"/>
      <c r="F1790" s="76"/>
      <c r="G1790" s="79"/>
      <c r="H1790" s="80"/>
      <c r="I1790" s="79"/>
      <c r="J1790" s="80"/>
      <c r="K1790" s="79"/>
      <c r="L1790" s="142"/>
      <c r="M1790" s="1"/>
      <c r="N1790" s="142"/>
      <c r="O1790" s="1"/>
      <c r="P1790" s="142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79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R1790" s="1"/>
      <c r="CS1790" s="1"/>
      <c r="CT1790" s="1"/>
      <c r="CU1790" s="1"/>
      <c r="CV1790" s="1"/>
      <c r="CW1790" s="1"/>
      <c r="CX1790" s="1"/>
      <c r="CY1790" s="91" t="str">
        <f t="shared" si="831"/>
        <v/>
      </c>
      <c r="CZ1790" s="1"/>
      <c r="DC1790" s="307"/>
      <c r="DE1790" s="307"/>
    </row>
    <row r="1791">
      <c r="A1791" s="1"/>
      <c r="B1791" s="1"/>
      <c r="C1791" s="76"/>
      <c r="D1791" s="76"/>
      <c r="E1791" s="76"/>
      <c r="F1791" s="76"/>
      <c r="G1791" s="79"/>
      <c r="H1791" s="80"/>
      <c r="I1791" s="79"/>
      <c r="J1791" s="80"/>
      <c r="K1791" s="79"/>
      <c r="L1791" s="142"/>
      <c r="M1791" s="1"/>
      <c r="N1791" s="142"/>
      <c r="O1791" s="1"/>
      <c r="P1791" s="142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79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R1791" s="1"/>
      <c r="CS1791" s="1"/>
      <c r="CT1791" s="1"/>
      <c r="CU1791" s="1"/>
      <c r="CV1791" s="1"/>
      <c r="CW1791" s="1"/>
      <c r="CX1791" s="1"/>
      <c r="CY1791" s="91" t="str">
        <f t="shared" si="831"/>
        <v/>
      </c>
      <c r="CZ1791" s="1"/>
      <c r="DC1791" s="307"/>
      <c r="DE1791" s="307"/>
    </row>
    <row r="1792">
      <c r="A1792" s="1"/>
      <c r="B1792" s="1"/>
      <c r="C1792" s="76"/>
      <c r="D1792" s="76"/>
      <c r="E1792" s="76"/>
      <c r="F1792" s="76"/>
      <c r="G1792" s="79"/>
      <c r="H1792" s="80"/>
      <c r="I1792" s="79"/>
      <c r="J1792" s="80"/>
      <c r="K1792" s="79"/>
      <c r="L1792" s="142"/>
      <c r="M1792" s="1"/>
      <c r="N1792" s="142"/>
      <c r="O1792" s="1"/>
      <c r="P1792" s="142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79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R1792" s="1"/>
      <c r="CS1792" s="1"/>
      <c r="CT1792" s="1"/>
      <c r="CU1792" s="1"/>
      <c r="CV1792" s="1"/>
      <c r="CW1792" s="1"/>
      <c r="CX1792" s="1"/>
      <c r="CY1792" s="91" t="str">
        <f t="shared" si="831"/>
        <v/>
      </c>
      <c r="CZ1792" s="1"/>
      <c r="DC1792" s="307"/>
      <c r="DE1792" s="307"/>
    </row>
    <row r="1793">
      <c r="A1793" s="1"/>
      <c r="B1793" s="1"/>
      <c r="C1793" s="76"/>
      <c r="D1793" s="76"/>
      <c r="E1793" s="76"/>
      <c r="F1793" s="76"/>
      <c r="G1793" s="79"/>
      <c r="H1793" s="80"/>
      <c r="I1793" s="79"/>
      <c r="J1793" s="80"/>
      <c r="K1793" s="79"/>
      <c r="L1793" s="142"/>
      <c r="M1793" s="1"/>
      <c r="N1793" s="142"/>
      <c r="O1793" s="1"/>
      <c r="P1793" s="142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79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R1793" s="1"/>
      <c r="CS1793" s="1"/>
      <c r="CT1793" s="1"/>
      <c r="CU1793" s="1"/>
      <c r="CV1793" s="1"/>
      <c r="CW1793" s="1"/>
      <c r="CX1793" s="1"/>
      <c r="CY1793" s="91" t="str">
        <f t="shared" si="831"/>
        <v/>
      </c>
      <c r="CZ1793" s="1"/>
      <c r="DC1793" s="307"/>
      <c r="DE1793" s="307"/>
    </row>
    <row r="1794">
      <c r="A1794" s="1"/>
      <c r="B1794" s="1"/>
      <c r="C1794" s="76"/>
      <c r="D1794" s="76"/>
      <c r="E1794" s="76"/>
      <c r="F1794" s="76"/>
      <c r="G1794" s="79"/>
      <c r="H1794" s="80"/>
      <c r="I1794" s="79"/>
      <c r="J1794" s="80"/>
      <c r="K1794" s="79"/>
      <c r="L1794" s="142"/>
      <c r="M1794" s="1"/>
      <c r="N1794" s="142"/>
      <c r="O1794" s="1"/>
      <c r="P1794" s="142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79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R1794" s="1"/>
      <c r="CS1794" s="1"/>
      <c r="CT1794" s="1"/>
      <c r="CU1794" s="1"/>
      <c r="CV1794" s="1"/>
      <c r="CW1794" s="1"/>
      <c r="CX1794" s="1"/>
      <c r="CY1794" s="91" t="str">
        <f t="shared" si="831"/>
        <v/>
      </c>
      <c r="CZ1794" s="1"/>
      <c r="DC1794" s="307"/>
      <c r="DE1794" s="307"/>
    </row>
    <row r="1795">
      <c r="A1795" s="1"/>
      <c r="B1795" s="1"/>
      <c r="C1795" s="76"/>
      <c r="D1795" s="76"/>
      <c r="E1795" s="76"/>
      <c r="F1795" s="76"/>
      <c r="G1795" s="79"/>
      <c r="H1795" s="80"/>
      <c r="I1795" s="79"/>
      <c r="J1795" s="80"/>
      <c r="K1795" s="79"/>
      <c r="L1795" s="142"/>
      <c r="M1795" s="1"/>
      <c r="N1795" s="142"/>
      <c r="O1795" s="1"/>
      <c r="P1795" s="142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79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R1795" s="1"/>
      <c r="CS1795" s="1"/>
      <c r="CT1795" s="1"/>
      <c r="CU1795" s="1"/>
      <c r="CV1795" s="1"/>
      <c r="CW1795" s="1"/>
      <c r="CX1795" s="1"/>
      <c r="CY1795" s="91" t="str">
        <f t="shared" si="831"/>
        <v/>
      </c>
      <c r="CZ1795" s="1"/>
      <c r="DC1795" s="307"/>
      <c r="DE1795" s="307"/>
    </row>
    <row r="1796">
      <c r="A1796" s="1"/>
      <c r="B1796" s="1"/>
      <c r="C1796" s="76"/>
      <c r="D1796" s="76"/>
      <c r="E1796" s="76"/>
      <c r="F1796" s="76"/>
      <c r="G1796" s="79"/>
      <c r="H1796" s="80"/>
      <c r="I1796" s="79"/>
      <c r="J1796" s="80"/>
      <c r="K1796" s="79"/>
      <c r="L1796" s="142"/>
      <c r="M1796" s="1"/>
      <c r="N1796" s="142"/>
      <c r="O1796" s="1"/>
      <c r="P1796" s="142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79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R1796" s="1"/>
      <c r="CS1796" s="1"/>
      <c r="CT1796" s="1"/>
      <c r="CU1796" s="1"/>
      <c r="CV1796" s="1"/>
      <c r="CW1796" s="1"/>
      <c r="CX1796" s="1"/>
      <c r="CY1796" s="91" t="str">
        <f t="shared" si="831"/>
        <v/>
      </c>
      <c r="CZ1796" s="1"/>
      <c r="DC1796" s="307"/>
      <c r="DE1796" s="307"/>
    </row>
    <row r="1797">
      <c r="A1797" s="1"/>
      <c r="B1797" s="1"/>
      <c r="C1797" s="76"/>
      <c r="D1797" s="76"/>
      <c r="E1797" s="76"/>
      <c r="F1797" s="76"/>
      <c r="G1797" s="79"/>
      <c r="H1797" s="80"/>
      <c r="I1797" s="79"/>
      <c r="J1797" s="80"/>
      <c r="K1797" s="79"/>
      <c r="L1797" s="142"/>
      <c r="M1797" s="1"/>
      <c r="N1797" s="142"/>
      <c r="O1797" s="1"/>
      <c r="P1797" s="142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79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R1797" s="1"/>
      <c r="CS1797" s="1"/>
      <c r="CT1797" s="1"/>
      <c r="CU1797" s="1"/>
      <c r="CV1797" s="1"/>
      <c r="CW1797" s="1"/>
      <c r="CX1797" s="1"/>
      <c r="CY1797" s="91" t="str">
        <f t="shared" si="831"/>
        <v/>
      </c>
      <c r="CZ1797" s="1"/>
      <c r="DC1797" s="307"/>
      <c r="DE1797" s="307"/>
    </row>
    <row r="1798">
      <c r="A1798" s="1"/>
      <c r="B1798" s="1"/>
      <c r="C1798" s="76"/>
      <c r="D1798" s="76"/>
      <c r="E1798" s="76"/>
      <c r="F1798" s="76"/>
      <c r="G1798" s="79"/>
      <c r="H1798" s="80"/>
      <c r="I1798" s="79"/>
      <c r="J1798" s="80"/>
      <c r="K1798" s="79"/>
      <c r="L1798" s="142"/>
      <c r="M1798" s="1"/>
      <c r="N1798" s="142"/>
      <c r="O1798" s="1"/>
      <c r="P1798" s="142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79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R1798" s="1"/>
      <c r="CS1798" s="1"/>
      <c r="CT1798" s="1"/>
      <c r="CU1798" s="1"/>
      <c r="CV1798" s="1"/>
      <c r="CW1798" s="1"/>
      <c r="CX1798" s="1"/>
      <c r="CY1798" s="91" t="str">
        <f t="shared" si="831"/>
        <v/>
      </c>
      <c r="CZ1798" s="1"/>
      <c r="DC1798" s="307"/>
      <c r="DE1798" s="307"/>
    </row>
    <row r="1799">
      <c r="A1799" s="1"/>
      <c r="B1799" s="1"/>
      <c r="C1799" s="76"/>
      <c r="D1799" s="76"/>
      <c r="E1799" s="76"/>
      <c r="F1799" s="76"/>
      <c r="G1799" s="79"/>
      <c r="H1799" s="80"/>
      <c r="I1799" s="79"/>
      <c r="J1799" s="80"/>
      <c r="K1799" s="79"/>
      <c r="L1799" s="142"/>
      <c r="M1799" s="1"/>
      <c r="N1799" s="142"/>
      <c r="O1799" s="1"/>
      <c r="P1799" s="142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79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R1799" s="1"/>
      <c r="CS1799" s="1"/>
      <c r="CT1799" s="1"/>
      <c r="CU1799" s="1"/>
      <c r="CV1799" s="1"/>
      <c r="CW1799" s="1"/>
      <c r="CX1799" s="1"/>
      <c r="CY1799" s="91" t="str">
        <f t="shared" si="831"/>
        <v/>
      </c>
      <c r="CZ1799" s="1"/>
      <c r="DC1799" s="307"/>
      <c r="DE1799" s="307"/>
    </row>
    <row r="1800">
      <c r="A1800" s="1"/>
      <c r="B1800" s="1"/>
      <c r="C1800" s="76"/>
      <c r="D1800" s="76"/>
      <c r="E1800" s="76"/>
      <c r="F1800" s="76"/>
      <c r="G1800" s="79"/>
      <c r="H1800" s="80"/>
      <c r="I1800" s="79"/>
      <c r="J1800" s="80"/>
      <c r="K1800" s="79"/>
      <c r="L1800" s="142"/>
      <c r="M1800" s="1"/>
      <c r="N1800" s="142"/>
      <c r="O1800" s="1"/>
      <c r="P1800" s="142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79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R1800" s="1"/>
      <c r="CS1800" s="1"/>
      <c r="CT1800" s="1"/>
      <c r="CU1800" s="1"/>
      <c r="CV1800" s="1"/>
      <c r="CW1800" s="1"/>
      <c r="CX1800" s="1"/>
      <c r="CY1800" s="91" t="str">
        <f t="shared" si="831"/>
        <v/>
      </c>
      <c r="CZ1800" s="1"/>
      <c r="DC1800" s="307"/>
      <c r="DE1800" s="307"/>
    </row>
    <row r="1801">
      <c r="A1801" s="1"/>
      <c r="B1801" s="1"/>
      <c r="C1801" s="76"/>
      <c r="D1801" s="76"/>
      <c r="E1801" s="76"/>
      <c r="F1801" s="76"/>
      <c r="G1801" s="79"/>
      <c r="H1801" s="80"/>
      <c r="I1801" s="79"/>
      <c r="J1801" s="80"/>
      <c r="K1801" s="79"/>
      <c r="L1801" s="142"/>
      <c r="M1801" s="1"/>
      <c r="N1801" s="142"/>
      <c r="O1801" s="1"/>
      <c r="P1801" s="142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79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R1801" s="1"/>
      <c r="CS1801" s="1"/>
      <c r="CT1801" s="1"/>
      <c r="CU1801" s="1"/>
      <c r="CV1801" s="1"/>
      <c r="CW1801" s="1"/>
      <c r="CX1801" s="1"/>
      <c r="CY1801" s="91" t="str">
        <f t="shared" si="831"/>
        <v/>
      </c>
      <c r="CZ1801" s="1"/>
      <c r="DC1801" s="307"/>
      <c r="DE1801" s="307"/>
    </row>
    <row r="1802">
      <c r="A1802" s="1"/>
      <c r="B1802" s="1"/>
      <c r="C1802" s="76"/>
      <c r="D1802" s="76"/>
      <c r="E1802" s="76"/>
      <c r="F1802" s="76"/>
      <c r="G1802" s="79"/>
      <c r="H1802" s="80"/>
      <c r="I1802" s="79"/>
      <c r="J1802" s="80"/>
      <c r="K1802" s="79"/>
      <c r="L1802" s="142"/>
      <c r="M1802" s="1"/>
      <c r="N1802" s="142"/>
      <c r="O1802" s="1"/>
      <c r="P1802" s="142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79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R1802" s="1"/>
      <c r="CS1802" s="1"/>
      <c r="CT1802" s="1"/>
      <c r="CU1802" s="1"/>
      <c r="CV1802" s="1"/>
      <c r="CW1802" s="1"/>
      <c r="CX1802" s="1"/>
      <c r="CY1802" s="91" t="str">
        <f t="shared" si="831"/>
        <v/>
      </c>
      <c r="CZ1802" s="1"/>
      <c r="DC1802" s="307"/>
      <c r="DE1802" s="307"/>
    </row>
    <row r="1803">
      <c r="A1803" s="1"/>
      <c r="B1803" s="1"/>
      <c r="C1803" s="76"/>
      <c r="D1803" s="76"/>
      <c r="E1803" s="76"/>
      <c r="F1803" s="76"/>
      <c r="G1803" s="79"/>
      <c r="H1803" s="80"/>
      <c r="I1803" s="79"/>
      <c r="J1803" s="80"/>
      <c r="K1803" s="79"/>
      <c r="L1803" s="142"/>
      <c r="M1803" s="1"/>
      <c r="N1803" s="142"/>
      <c r="O1803" s="1"/>
      <c r="P1803" s="142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79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R1803" s="1"/>
      <c r="CS1803" s="1"/>
      <c r="CT1803" s="1"/>
      <c r="CU1803" s="1"/>
      <c r="CV1803" s="1"/>
      <c r="CW1803" s="1"/>
      <c r="CX1803" s="1"/>
      <c r="CY1803" s="91" t="str">
        <f t="shared" si="831"/>
        <v/>
      </c>
      <c r="CZ1803" s="1"/>
      <c r="DC1803" s="307"/>
      <c r="DE1803" s="307"/>
    </row>
    <row r="1804">
      <c r="A1804" s="1"/>
      <c r="B1804" s="1"/>
      <c r="C1804" s="76"/>
      <c r="D1804" s="76"/>
      <c r="E1804" s="76"/>
      <c r="F1804" s="76"/>
      <c r="G1804" s="79"/>
      <c r="H1804" s="80"/>
      <c r="I1804" s="79"/>
      <c r="J1804" s="80"/>
      <c r="K1804" s="79"/>
      <c r="L1804" s="142"/>
      <c r="M1804" s="1"/>
      <c r="N1804" s="142"/>
      <c r="O1804" s="1"/>
      <c r="P1804" s="142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79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R1804" s="1"/>
      <c r="CS1804" s="1"/>
      <c r="CT1804" s="1"/>
      <c r="CU1804" s="1"/>
      <c r="CV1804" s="1"/>
      <c r="CW1804" s="1"/>
      <c r="CX1804" s="1"/>
      <c r="CY1804" s="91" t="str">
        <f t="shared" si="831"/>
        <v/>
      </c>
      <c r="CZ1804" s="1"/>
      <c r="DC1804" s="307"/>
      <c r="DE1804" s="307"/>
    </row>
    <row r="1805">
      <c r="A1805" s="1"/>
      <c r="B1805" s="1"/>
      <c r="C1805" s="76"/>
      <c r="D1805" s="76"/>
      <c r="E1805" s="76"/>
      <c r="F1805" s="76"/>
      <c r="G1805" s="79"/>
      <c r="H1805" s="80"/>
      <c r="I1805" s="79"/>
      <c r="J1805" s="80"/>
      <c r="K1805" s="79"/>
      <c r="L1805" s="142"/>
      <c r="M1805" s="1"/>
      <c r="N1805" s="142"/>
      <c r="O1805" s="1"/>
      <c r="P1805" s="142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79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R1805" s="1"/>
      <c r="CS1805" s="1"/>
      <c r="CT1805" s="1"/>
      <c r="CU1805" s="1"/>
      <c r="CV1805" s="1"/>
      <c r="CW1805" s="1"/>
      <c r="CX1805" s="1"/>
      <c r="CY1805" s="91" t="str">
        <f t="shared" si="831"/>
        <v/>
      </c>
      <c r="CZ1805" s="1"/>
      <c r="DC1805" s="307"/>
      <c r="DE1805" s="307"/>
    </row>
    <row r="1806">
      <c r="A1806" s="1"/>
      <c r="B1806" s="1"/>
      <c r="C1806" s="76"/>
      <c r="D1806" s="76"/>
      <c r="E1806" s="76"/>
      <c r="F1806" s="76"/>
      <c r="G1806" s="79"/>
      <c r="H1806" s="80"/>
      <c r="I1806" s="79"/>
      <c r="J1806" s="80"/>
      <c r="K1806" s="79"/>
      <c r="L1806" s="142"/>
      <c r="M1806" s="1"/>
      <c r="N1806" s="142"/>
      <c r="O1806" s="1"/>
      <c r="P1806" s="142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79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R1806" s="1"/>
      <c r="CS1806" s="1"/>
      <c r="CT1806" s="1"/>
      <c r="CU1806" s="1"/>
      <c r="CV1806" s="1"/>
      <c r="CW1806" s="1"/>
      <c r="CX1806" s="1"/>
      <c r="CY1806" s="91" t="str">
        <f t="shared" si="831"/>
        <v/>
      </c>
      <c r="CZ1806" s="1"/>
      <c r="DC1806" s="307"/>
      <c r="DE1806" s="307"/>
    </row>
    <row r="1807">
      <c r="A1807" s="1"/>
      <c r="B1807" s="1"/>
      <c r="C1807" s="76"/>
      <c r="D1807" s="76"/>
      <c r="E1807" s="76"/>
      <c r="F1807" s="76"/>
      <c r="G1807" s="79"/>
      <c r="H1807" s="80"/>
      <c r="I1807" s="79"/>
      <c r="J1807" s="80"/>
      <c r="K1807" s="79"/>
      <c r="L1807" s="142"/>
      <c r="M1807" s="1"/>
      <c r="N1807" s="142"/>
      <c r="O1807" s="1"/>
      <c r="P1807" s="142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79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R1807" s="1"/>
      <c r="CS1807" s="1"/>
      <c r="CT1807" s="1"/>
      <c r="CU1807" s="1"/>
      <c r="CV1807" s="1"/>
      <c r="CW1807" s="1"/>
      <c r="CX1807" s="1"/>
      <c r="CY1807" s="91" t="str">
        <f t="shared" si="831"/>
        <v/>
      </c>
      <c r="CZ1807" s="1"/>
      <c r="DC1807" s="307"/>
      <c r="DE1807" s="307"/>
    </row>
    <row r="1808">
      <c r="A1808" s="1"/>
      <c r="B1808" s="1"/>
      <c r="C1808" s="76"/>
      <c r="D1808" s="76"/>
      <c r="E1808" s="76"/>
      <c r="F1808" s="76"/>
      <c r="G1808" s="79"/>
      <c r="H1808" s="80"/>
      <c r="I1808" s="79"/>
      <c r="J1808" s="80"/>
      <c r="K1808" s="79"/>
      <c r="L1808" s="142"/>
      <c r="M1808" s="1"/>
      <c r="N1808" s="142"/>
      <c r="O1808" s="1"/>
      <c r="P1808" s="142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79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R1808" s="1"/>
      <c r="CS1808" s="1"/>
      <c r="CT1808" s="1"/>
      <c r="CU1808" s="1"/>
      <c r="CV1808" s="1"/>
      <c r="CW1808" s="1"/>
      <c r="CX1808" s="1"/>
      <c r="CY1808" s="91" t="str">
        <f t="shared" si="831"/>
        <v/>
      </c>
      <c r="CZ1808" s="1"/>
      <c r="DC1808" s="307"/>
      <c r="DE1808" s="307"/>
    </row>
    <row r="1809">
      <c r="A1809" s="1"/>
      <c r="B1809" s="1"/>
      <c r="C1809" s="76"/>
      <c r="D1809" s="76"/>
      <c r="E1809" s="76"/>
      <c r="F1809" s="76"/>
      <c r="G1809" s="79"/>
      <c r="H1809" s="80"/>
      <c r="I1809" s="79"/>
      <c r="J1809" s="80"/>
      <c r="K1809" s="79"/>
      <c r="L1809" s="142"/>
      <c r="M1809" s="1"/>
      <c r="N1809" s="142"/>
      <c r="O1809" s="1"/>
      <c r="P1809" s="142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79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R1809" s="1"/>
      <c r="CS1809" s="1"/>
      <c r="CT1809" s="1"/>
      <c r="CU1809" s="1"/>
      <c r="CV1809" s="1"/>
      <c r="CW1809" s="1"/>
      <c r="CX1809" s="1"/>
      <c r="CY1809" s="91" t="str">
        <f t="shared" si="831"/>
        <v/>
      </c>
      <c r="CZ1809" s="1"/>
      <c r="DC1809" s="307"/>
      <c r="DE1809" s="307"/>
    </row>
    <row r="1810">
      <c r="A1810" s="1"/>
      <c r="B1810" s="1"/>
      <c r="C1810" s="76"/>
      <c r="D1810" s="76"/>
      <c r="E1810" s="76"/>
      <c r="F1810" s="76"/>
      <c r="G1810" s="79"/>
      <c r="H1810" s="80"/>
      <c r="I1810" s="79"/>
      <c r="J1810" s="80"/>
      <c r="K1810" s="79"/>
      <c r="L1810" s="142"/>
      <c r="M1810" s="1"/>
      <c r="N1810" s="142"/>
      <c r="O1810" s="1"/>
      <c r="P1810" s="142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79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R1810" s="1"/>
      <c r="CS1810" s="1"/>
      <c r="CT1810" s="1"/>
      <c r="CU1810" s="1"/>
      <c r="CV1810" s="1"/>
      <c r="CW1810" s="1"/>
      <c r="CX1810" s="1"/>
      <c r="CY1810" s="91" t="str">
        <f t="shared" si="831"/>
        <v/>
      </c>
      <c r="CZ1810" s="1"/>
      <c r="DC1810" s="307"/>
      <c r="DE1810" s="307"/>
    </row>
    <row r="1811">
      <c r="A1811" s="1"/>
      <c r="B1811" s="1"/>
      <c r="C1811" s="76"/>
      <c r="D1811" s="76"/>
      <c r="E1811" s="76"/>
      <c r="F1811" s="76"/>
      <c r="G1811" s="79"/>
      <c r="H1811" s="80"/>
      <c r="I1811" s="79"/>
      <c r="J1811" s="80"/>
      <c r="K1811" s="79"/>
      <c r="L1811" s="142"/>
      <c r="M1811" s="1"/>
      <c r="N1811" s="142"/>
      <c r="O1811" s="1"/>
      <c r="P1811" s="142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79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R1811" s="1"/>
      <c r="CS1811" s="1"/>
      <c r="CT1811" s="1"/>
      <c r="CU1811" s="1"/>
      <c r="CV1811" s="1"/>
      <c r="CW1811" s="1"/>
      <c r="CX1811" s="1"/>
      <c r="CY1811" s="91" t="str">
        <f t="shared" si="831"/>
        <v/>
      </c>
      <c r="CZ1811" s="1"/>
      <c r="DC1811" s="307"/>
      <c r="DE1811" s="307"/>
    </row>
    <row r="1812">
      <c r="A1812" s="1"/>
      <c r="B1812" s="1"/>
      <c r="C1812" s="76"/>
      <c r="D1812" s="76"/>
      <c r="E1812" s="76"/>
      <c r="F1812" s="76"/>
      <c r="G1812" s="79"/>
      <c r="H1812" s="80"/>
      <c r="I1812" s="79"/>
      <c r="J1812" s="80"/>
      <c r="K1812" s="79"/>
      <c r="L1812" s="142"/>
      <c r="M1812" s="1"/>
      <c r="N1812" s="142"/>
      <c r="O1812" s="1"/>
      <c r="P1812" s="142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79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R1812" s="1"/>
      <c r="CS1812" s="1"/>
      <c r="CT1812" s="1"/>
      <c r="CU1812" s="1"/>
      <c r="CV1812" s="1"/>
      <c r="CW1812" s="1"/>
      <c r="CX1812" s="1"/>
      <c r="CY1812" s="91" t="str">
        <f t="shared" si="831"/>
        <v/>
      </c>
      <c r="CZ1812" s="1"/>
      <c r="DC1812" s="307"/>
      <c r="DE1812" s="307"/>
    </row>
    <row r="1813">
      <c r="A1813" s="1"/>
      <c r="B1813" s="1"/>
      <c r="C1813" s="76"/>
      <c r="D1813" s="76"/>
      <c r="E1813" s="76"/>
      <c r="F1813" s="76"/>
      <c r="G1813" s="79"/>
      <c r="H1813" s="80"/>
      <c r="I1813" s="79"/>
      <c r="J1813" s="80"/>
      <c r="K1813" s="79"/>
      <c r="L1813" s="142"/>
      <c r="M1813" s="1"/>
      <c r="N1813" s="142"/>
      <c r="O1813" s="1"/>
      <c r="P1813" s="142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79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R1813" s="1"/>
      <c r="CS1813" s="1"/>
      <c r="CT1813" s="1"/>
      <c r="CU1813" s="1"/>
      <c r="CV1813" s="1"/>
      <c r="CW1813" s="1"/>
      <c r="CX1813" s="1"/>
      <c r="CY1813" s="91" t="str">
        <f t="shared" si="831"/>
        <v/>
      </c>
      <c r="CZ1813" s="1"/>
      <c r="DC1813" s="307"/>
      <c r="DE1813" s="307"/>
    </row>
    <row r="1814">
      <c r="A1814" s="1"/>
      <c r="B1814" s="1"/>
      <c r="C1814" s="76"/>
      <c r="D1814" s="76"/>
      <c r="E1814" s="76"/>
      <c r="F1814" s="76"/>
      <c r="G1814" s="79"/>
      <c r="H1814" s="80"/>
      <c r="I1814" s="79"/>
      <c r="J1814" s="80"/>
      <c r="K1814" s="79"/>
      <c r="L1814" s="142"/>
      <c r="M1814" s="1"/>
      <c r="N1814" s="142"/>
      <c r="O1814" s="1"/>
      <c r="P1814" s="142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79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R1814" s="1"/>
      <c r="CS1814" s="1"/>
      <c r="CT1814" s="1"/>
      <c r="CU1814" s="1"/>
      <c r="CV1814" s="1"/>
      <c r="CW1814" s="1"/>
      <c r="CX1814" s="1"/>
      <c r="CY1814" s="91" t="str">
        <f t="shared" si="831"/>
        <v/>
      </c>
      <c r="CZ1814" s="1"/>
      <c r="DC1814" s="307"/>
      <c r="DE1814" s="307"/>
    </row>
    <row r="1815">
      <c r="A1815" s="1"/>
      <c r="B1815" s="1"/>
      <c r="C1815" s="76"/>
      <c r="D1815" s="76"/>
      <c r="E1815" s="76"/>
      <c r="F1815" s="76"/>
      <c r="G1815" s="79"/>
      <c r="H1815" s="80"/>
      <c r="I1815" s="79"/>
      <c r="J1815" s="80"/>
      <c r="K1815" s="79"/>
      <c r="L1815" s="142"/>
      <c r="M1815" s="1"/>
      <c r="N1815" s="142"/>
      <c r="O1815" s="1"/>
      <c r="P1815" s="142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79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R1815" s="1"/>
      <c r="CS1815" s="1"/>
      <c r="CT1815" s="1"/>
      <c r="CU1815" s="1"/>
      <c r="CV1815" s="1"/>
      <c r="CW1815" s="1"/>
      <c r="CX1815" s="1"/>
      <c r="CY1815" s="91" t="str">
        <f t="shared" si="831"/>
        <v/>
      </c>
      <c r="CZ1815" s="1"/>
      <c r="DC1815" s="307"/>
      <c r="DE1815" s="307"/>
    </row>
    <row r="1816">
      <c r="A1816" s="1"/>
      <c r="B1816" s="1"/>
      <c r="C1816" s="76"/>
      <c r="D1816" s="76"/>
      <c r="E1816" s="76"/>
      <c r="F1816" s="76"/>
      <c r="G1816" s="79"/>
      <c r="H1816" s="80"/>
      <c r="I1816" s="79"/>
      <c r="J1816" s="80"/>
      <c r="K1816" s="79"/>
      <c r="L1816" s="142"/>
      <c r="M1816" s="1"/>
      <c r="N1816" s="142"/>
      <c r="O1816" s="1"/>
      <c r="P1816" s="142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79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R1816" s="1"/>
      <c r="CS1816" s="1"/>
      <c r="CT1816" s="1"/>
      <c r="CU1816" s="1"/>
      <c r="CV1816" s="1"/>
      <c r="CW1816" s="1"/>
      <c r="CX1816" s="1"/>
      <c r="CY1816" s="91" t="str">
        <f t="shared" si="831"/>
        <v/>
      </c>
      <c r="CZ1816" s="1"/>
      <c r="DC1816" s="307"/>
      <c r="DE1816" s="307"/>
    </row>
    <row r="1817">
      <c r="A1817" s="1"/>
      <c r="B1817" s="1"/>
      <c r="C1817" s="76"/>
      <c r="D1817" s="76"/>
      <c r="E1817" s="76"/>
      <c r="F1817" s="76"/>
      <c r="G1817" s="79"/>
      <c r="H1817" s="80"/>
      <c r="I1817" s="79"/>
      <c r="J1817" s="80"/>
      <c r="K1817" s="79"/>
      <c r="L1817" s="142"/>
      <c r="M1817" s="1"/>
      <c r="N1817" s="142"/>
      <c r="O1817" s="1"/>
      <c r="P1817" s="142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79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R1817" s="1"/>
      <c r="CS1817" s="1"/>
      <c r="CT1817" s="1"/>
      <c r="CU1817" s="1"/>
      <c r="CV1817" s="1"/>
      <c r="CW1817" s="1"/>
      <c r="CX1817" s="1"/>
      <c r="CY1817" s="91" t="str">
        <f t="shared" si="831"/>
        <v/>
      </c>
      <c r="CZ1817" s="1"/>
      <c r="DC1817" s="307"/>
      <c r="DE1817" s="307"/>
    </row>
    <row r="1818">
      <c r="A1818" s="1"/>
      <c r="B1818" s="1"/>
      <c r="C1818" s="76"/>
      <c r="D1818" s="76"/>
      <c r="E1818" s="76"/>
      <c r="F1818" s="76"/>
      <c r="G1818" s="79"/>
      <c r="H1818" s="80"/>
      <c r="I1818" s="79"/>
      <c r="J1818" s="80"/>
      <c r="K1818" s="79"/>
      <c r="L1818" s="142"/>
      <c r="M1818" s="1"/>
      <c r="N1818" s="142"/>
      <c r="O1818" s="1"/>
      <c r="P1818" s="142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79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R1818" s="1"/>
      <c r="CS1818" s="1"/>
      <c r="CT1818" s="1"/>
      <c r="CU1818" s="1"/>
      <c r="CV1818" s="1"/>
      <c r="CW1818" s="1"/>
      <c r="CX1818" s="1"/>
      <c r="CY1818" s="91" t="str">
        <f t="shared" si="831"/>
        <v/>
      </c>
      <c r="CZ1818" s="1"/>
      <c r="DC1818" s="307"/>
      <c r="DE1818" s="307"/>
    </row>
    <row r="1819">
      <c r="A1819" s="1"/>
      <c r="B1819" s="1"/>
      <c r="C1819" s="76"/>
      <c r="D1819" s="76"/>
      <c r="E1819" s="76"/>
      <c r="F1819" s="76"/>
      <c r="G1819" s="79"/>
      <c r="H1819" s="80"/>
      <c r="I1819" s="79"/>
      <c r="J1819" s="80"/>
      <c r="K1819" s="79"/>
      <c r="L1819" s="142"/>
      <c r="M1819" s="1"/>
      <c r="N1819" s="142"/>
      <c r="O1819" s="1"/>
      <c r="P1819" s="142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79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R1819" s="1"/>
      <c r="CS1819" s="1"/>
      <c r="CT1819" s="1"/>
      <c r="CU1819" s="1"/>
      <c r="CV1819" s="1"/>
      <c r="CW1819" s="1"/>
      <c r="CX1819" s="1"/>
      <c r="CY1819" s="91" t="str">
        <f t="shared" si="831"/>
        <v/>
      </c>
      <c r="CZ1819" s="1"/>
      <c r="DC1819" s="307"/>
      <c r="DE1819" s="307"/>
    </row>
    <row r="1820">
      <c r="A1820" s="1"/>
      <c r="B1820" s="1"/>
      <c r="C1820" s="76"/>
      <c r="D1820" s="76"/>
      <c r="E1820" s="76"/>
      <c r="F1820" s="76"/>
      <c r="G1820" s="79"/>
      <c r="H1820" s="80"/>
      <c r="I1820" s="79"/>
      <c r="J1820" s="80"/>
      <c r="K1820" s="79"/>
      <c r="L1820" s="142"/>
      <c r="M1820" s="1"/>
      <c r="N1820" s="142"/>
      <c r="O1820" s="1"/>
      <c r="P1820" s="142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79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R1820" s="1"/>
      <c r="CS1820" s="1"/>
      <c r="CT1820" s="1"/>
      <c r="CU1820" s="1"/>
      <c r="CV1820" s="1"/>
      <c r="CW1820" s="1"/>
      <c r="CX1820" s="1"/>
      <c r="CY1820" s="91" t="str">
        <f t="shared" si="831"/>
        <v/>
      </c>
      <c r="CZ1820" s="1"/>
      <c r="DC1820" s="307"/>
      <c r="DE1820" s="307"/>
    </row>
    <row r="1821">
      <c r="A1821" s="1"/>
      <c r="B1821" s="1"/>
      <c r="C1821" s="76"/>
      <c r="D1821" s="76"/>
      <c r="E1821" s="76"/>
      <c r="F1821" s="76"/>
      <c r="G1821" s="79"/>
      <c r="H1821" s="80"/>
      <c r="I1821" s="79"/>
      <c r="J1821" s="80"/>
      <c r="K1821" s="79"/>
      <c r="L1821" s="142"/>
      <c r="M1821" s="1"/>
      <c r="N1821" s="142"/>
      <c r="O1821" s="1"/>
      <c r="P1821" s="142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79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R1821" s="1"/>
      <c r="CS1821" s="1"/>
      <c r="CT1821" s="1"/>
      <c r="CU1821" s="1"/>
      <c r="CV1821" s="1"/>
      <c r="CW1821" s="1"/>
      <c r="CX1821" s="1"/>
      <c r="CY1821" s="91" t="str">
        <f t="shared" si="831"/>
        <v/>
      </c>
      <c r="CZ1821" s="1"/>
      <c r="DC1821" s="307"/>
      <c r="DE1821" s="307"/>
    </row>
    <row r="1822">
      <c r="A1822" s="1"/>
      <c r="B1822" s="1"/>
      <c r="C1822" s="76"/>
      <c r="D1822" s="76"/>
      <c r="E1822" s="76"/>
      <c r="F1822" s="76"/>
      <c r="G1822" s="79"/>
      <c r="H1822" s="80"/>
      <c r="I1822" s="79"/>
      <c r="J1822" s="80"/>
      <c r="K1822" s="79"/>
      <c r="L1822" s="142"/>
      <c r="M1822" s="1"/>
      <c r="N1822" s="142"/>
      <c r="O1822" s="1"/>
      <c r="P1822" s="142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79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R1822" s="1"/>
      <c r="CS1822" s="1"/>
      <c r="CT1822" s="1"/>
      <c r="CU1822" s="1"/>
      <c r="CV1822" s="1"/>
      <c r="CW1822" s="1"/>
      <c r="CX1822" s="1"/>
      <c r="CY1822" s="91" t="str">
        <f t="shared" si="831"/>
        <v/>
      </c>
      <c r="CZ1822" s="1"/>
      <c r="DC1822" s="307"/>
      <c r="DE1822" s="307"/>
    </row>
    <row r="1823">
      <c r="A1823" s="1"/>
      <c r="B1823" s="1"/>
      <c r="C1823" s="76"/>
      <c r="D1823" s="76"/>
      <c r="E1823" s="76"/>
      <c r="F1823" s="76"/>
      <c r="G1823" s="79"/>
      <c r="H1823" s="80"/>
      <c r="I1823" s="79"/>
      <c r="J1823" s="80"/>
      <c r="K1823" s="79"/>
      <c r="L1823" s="142"/>
      <c r="M1823" s="1"/>
      <c r="N1823" s="142"/>
      <c r="O1823" s="1"/>
      <c r="P1823" s="142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79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R1823" s="1"/>
      <c r="CS1823" s="1"/>
      <c r="CT1823" s="1"/>
      <c r="CU1823" s="1"/>
      <c r="CV1823" s="1"/>
      <c r="CW1823" s="1"/>
      <c r="CX1823" s="1"/>
      <c r="CY1823" s="91" t="str">
        <f t="shared" si="831"/>
        <v/>
      </c>
      <c r="CZ1823" s="1"/>
      <c r="DC1823" s="307"/>
      <c r="DE1823" s="307"/>
    </row>
    <row r="1824">
      <c r="A1824" s="1"/>
      <c r="B1824" s="1"/>
      <c r="C1824" s="76"/>
      <c r="D1824" s="76"/>
      <c r="E1824" s="76"/>
      <c r="F1824" s="76"/>
      <c r="G1824" s="79"/>
      <c r="H1824" s="80"/>
      <c r="I1824" s="79"/>
      <c r="J1824" s="80"/>
      <c r="K1824" s="79"/>
      <c r="L1824" s="142"/>
      <c r="M1824" s="1"/>
      <c r="N1824" s="142"/>
      <c r="O1824" s="1"/>
      <c r="P1824" s="142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79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R1824" s="1"/>
      <c r="CS1824" s="1"/>
      <c r="CT1824" s="1"/>
      <c r="CU1824" s="1"/>
      <c r="CV1824" s="1"/>
      <c r="CW1824" s="1"/>
      <c r="CX1824" s="1"/>
      <c r="CY1824" s="91" t="str">
        <f t="shared" si="831"/>
        <v/>
      </c>
      <c r="CZ1824" s="1"/>
      <c r="DC1824" s="307"/>
      <c r="DE1824" s="307"/>
    </row>
    <row r="1825">
      <c r="A1825" s="1"/>
      <c r="B1825" s="1"/>
      <c r="C1825" s="76"/>
      <c r="D1825" s="76"/>
      <c r="E1825" s="76"/>
      <c r="F1825" s="76"/>
      <c r="G1825" s="79"/>
      <c r="H1825" s="80"/>
      <c r="I1825" s="79"/>
      <c r="J1825" s="80"/>
      <c r="K1825" s="79"/>
      <c r="L1825" s="142"/>
      <c r="M1825" s="1"/>
      <c r="N1825" s="142"/>
      <c r="O1825" s="1"/>
      <c r="P1825" s="142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79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R1825" s="1"/>
      <c r="CS1825" s="1"/>
      <c r="CT1825" s="1"/>
      <c r="CU1825" s="1"/>
      <c r="CV1825" s="1"/>
      <c r="CW1825" s="1"/>
      <c r="CX1825" s="1"/>
      <c r="CY1825" s="91" t="str">
        <f t="shared" si="831"/>
        <v/>
      </c>
      <c r="CZ1825" s="1"/>
      <c r="DC1825" s="307"/>
      <c r="DE1825" s="307"/>
    </row>
    <row r="1826">
      <c r="A1826" s="1"/>
      <c r="B1826" s="1"/>
      <c r="C1826" s="76"/>
      <c r="D1826" s="76"/>
      <c r="E1826" s="76"/>
      <c r="F1826" s="76"/>
      <c r="G1826" s="79"/>
      <c r="H1826" s="80"/>
      <c r="I1826" s="79"/>
      <c r="J1826" s="80"/>
      <c r="K1826" s="79"/>
      <c r="L1826" s="142"/>
      <c r="M1826" s="1"/>
      <c r="N1826" s="142"/>
      <c r="O1826" s="1"/>
      <c r="P1826" s="142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79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R1826" s="1"/>
      <c r="CS1826" s="1"/>
      <c r="CT1826" s="1"/>
      <c r="CU1826" s="1"/>
      <c r="CV1826" s="1"/>
      <c r="CW1826" s="1"/>
      <c r="CX1826" s="1"/>
      <c r="CY1826" s="91" t="str">
        <f t="shared" si="831"/>
        <v/>
      </c>
      <c r="CZ1826" s="1"/>
      <c r="DC1826" s="307"/>
      <c r="DE1826" s="307"/>
    </row>
    <row r="1827">
      <c r="A1827" s="1"/>
      <c r="B1827" s="1"/>
      <c r="C1827" s="76"/>
      <c r="D1827" s="76"/>
      <c r="E1827" s="76"/>
      <c r="F1827" s="76"/>
      <c r="G1827" s="79"/>
      <c r="H1827" s="80"/>
      <c r="I1827" s="79"/>
      <c r="J1827" s="80"/>
      <c r="K1827" s="79"/>
      <c r="L1827" s="142"/>
      <c r="M1827" s="1"/>
      <c r="N1827" s="142"/>
      <c r="O1827" s="1"/>
      <c r="P1827" s="142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79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R1827" s="1"/>
      <c r="CS1827" s="1"/>
      <c r="CT1827" s="1"/>
      <c r="CU1827" s="1"/>
      <c r="CV1827" s="1"/>
      <c r="CW1827" s="1"/>
      <c r="CX1827" s="1"/>
      <c r="CY1827" s="91" t="str">
        <f t="shared" si="831"/>
        <v/>
      </c>
      <c r="CZ1827" s="1"/>
      <c r="DC1827" s="307"/>
      <c r="DE1827" s="307"/>
    </row>
    <row r="1828">
      <c r="A1828" s="1"/>
      <c r="B1828" s="1"/>
      <c r="C1828" s="76"/>
      <c r="D1828" s="76"/>
      <c r="E1828" s="76"/>
      <c r="F1828" s="76"/>
      <c r="G1828" s="79"/>
      <c r="H1828" s="80"/>
      <c r="I1828" s="79"/>
      <c r="J1828" s="80"/>
      <c r="K1828" s="79"/>
      <c r="L1828" s="142"/>
      <c r="M1828" s="1"/>
      <c r="N1828" s="142"/>
      <c r="O1828" s="1"/>
      <c r="P1828" s="142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79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R1828" s="1"/>
      <c r="CS1828" s="1"/>
      <c r="CT1828" s="1"/>
      <c r="CU1828" s="1"/>
      <c r="CV1828" s="1"/>
      <c r="CW1828" s="1"/>
      <c r="CX1828" s="1"/>
      <c r="CY1828" s="91" t="str">
        <f t="shared" si="831"/>
        <v/>
      </c>
      <c r="CZ1828" s="1"/>
      <c r="DC1828" s="307"/>
      <c r="DE1828" s="307"/>
    </row>
    <row r="1829">
      <c r="A1829" s="1"/>
      <c r="B1829" s="1"/>
      <c r="C1829" s="76"/>
      <c r="D1829" s="76"/>
      <c r="E1829" s="76"/>
      <c r="F1829" s="76"/>
      <c r="G1829" s="79"/>
      <c r="H1829" s="80"/>
      <c r="I1829" s="79"/>
      <c r="J1829" s="80"/>
      <c r="K1829" s="79"/>
      <c r="L1829" s="142"/>
      <c r="M1829" s="1"/>
      <c r="N1829" s="142"/>
      <c r="O1829" s="1"/>
      <c r="P1829" s="142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79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R1829" s="1"/>
      <c r="CS1829" s="1"/>
      <c r="CT1829" s="1"/>
      <c r="CU1829" s="1"/>
      <c r="CV1829" s="1"/>
      <c r="CW1829" s="1"/>
      <c r="CX1829" s="1"/>
      <c r="CY1829" s="91" t="str">
        <f t="shared" si="831"/>
        <v/>
      </c>
      <c r="CZ1829" s="1"/>
      <c r="DC1829" s="307"/>
      <c r="DE1829" s="307"/>
    </row>
    <row r="1830">
      <c r="A1830" s="1"/>
      <c r="B1830" s="1"/>
      <c r="C1830" s="76"/>
      <c r="D1830" s="76"/>
      <c r="E1830" s="76"/>
      <c r="F1830" s="76"/>
      <c r="G1830" s="79"/>
      <c r="H1830" s="80"/>
      <c r="I1830" s="79"/>
      <c r="J1830" s="80"/>
      <c r="K1830" s="79"/>
      <c r="L1830" s="142"/>
      <c r="M1830" s="1"/>
      <c r="N1830" s="142"/>
      <c r="O1830" s="1"/>
      <c r="P1830" s="142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79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R1830" s="1"/>
      <c r="CS1830" s="1"/>
      <c r="CT1830" s="1"/>
      <c r="CU1830" s="1"/>
      <c r="CV1830" s="1"/>
      <c r="CW1830" s="1"/>
      <c r="CX1830" s="1"/>
      <c r="CY1830" s="91" t="str">
        <f t="shared" si="831"/>
        <v/>
      </c>
      <c r="CZ1830" s="1"/>
      <c r="DC1830" s="307"/>
      <c r="DE1830" s="307"/>
    </row>
    <row r="1831">
      <c r="A1831" s="1"/>
      <c r="B1831" s="1"/>
      <c r="C1831" s="76"/>
      <c r="D1831" s="76"/>
      <c r="E1831" s="76"/>
      <c r="F1831" s="76"/>
      <c r="G1831" s="79"/>
      <c r="H1831" s="80"/>
      <c r="I1831" s="79"/>
      <c r="J1831" s="80"/>
      <c r="K1831" s="79"/>
      <c r="L1831" s="142"/>
      <c r="M1831" s="1"/>
      <c r="N1831" s="142"/>
      <c r="O1831" s="1"/>
      <c r="P1831" s="142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79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R1831" s="1"/>
      <c r="CS1831" s="1"/>
      <c r="CT1831" s="1"/>
      <c r="CU1831" s="1"/>
      <c r="CV1831" s="1"/>
      <c r="CW1831" s="1"/>
      <c r="CX1831" s="1"/>
      <c r="CY1831" s="91" t="str">
        <f t="shared" si="831"/>
        <v/>
      </c>
      <c r="CZ1831" s="1"/>
      <c r="DC1831" s="307"/>
      <c r="DE1831" s="307"/>
    </row>
    <row r="1832">
      <c r="A1832" s="1"/>
      <c r="B1832" s="1"/>
      <c r="C1832" s="76"/>
      <c r="D1832" s="76"/>
      <c r="E1832" s="76"/>
      <c r="F1832" s="76"/>
      <c r="G1832" s="79"/>
      <c r="H1832" s="80"/>
      <c r="I1832" s="79"/>
      <c r="J1832" s="80"/>
      <c r="K1832" s="79"/>
      <c r="L1832" s="142"/>
      <c r="M1832" s="1"/>
      <c r="N1832" s="142"/>
      <c r="O1832" s="1"/>
      <c r="P1832" s="142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79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R1832" s="1"/>
      <c r="CS1832" s="1"/>
      <c r="CT1832" s="1"/>
      <c r="CU1832" s="1"/>
      <c r="CV1832" s="1"/>
      <c r="CW1832" s="1"/>
      <c r="CX1832" s="1"/>
      <c r="CY1832" s="91" t="str">
        <f t="shared" si="831"/>
        <v/>
      </c>
      <c r="CZ1832" s="1"/>
      <c r="DC1832" s="307"/>
      <c r="DE1832" s="307"/>
    </row>
    <row r="1833">
      <c r="A1833" s="1"/>
      <c r="B1833" s="1"/>
      <c r="C1833" s="76"/>
      <c r="D1833" s="76"/>
      <c r="E1833" s="76"/>
      <c r="F1833" s="76"/>
      <c r="G1833" s="79"/>
      <c r="H1833" s="80"/>
      <c r="I1833" s="79"/>
      <c r="J1833" s="80"/>
      <c r="K1833" s="79"/>
      <c r="L1833" s="142"/>
      <c r="M1833" s="1"/>
      <c r="N1833" s="142"/>
      <c r="O1833" s="1"/>
      <c r="P1833" s="142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79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R1833" s="1"/>
      <c r="CS1833" s="1"/>
      <c r="CT1833" s="1"/>
      <c r="CU1833" s="1"/>
      <c r="CV1833" s="1"/>
      <c r="CW1833" s="1"/>
      <c r="CX1833" s="1"/>
      <c r="CY1833" s="91" t="str">
        <f t="shared" si="831"/>
        <v/>
      </c>
      <c r="CZ1833" s="1"/>
      <c r="DC1833" s="307"/>
      <c r="DE1833" s="307"/>
    </row>
    <row r="1834">
      <c r="A1834" s="1"/>
      <c r="B1834" s="1"/>
      <c r="C1834" s="76"/>
      <c r="D1834" s="76"/>
      <c r="E1834" s="76"/>
      <c r="F1834" s="76"/>
      <c r="G1834" s="79"/>
      <c r="H1834" s="80"/>
      <c r="I1834" s="79"/>
      <c r="J1834" s="80"/>
      <c r="K1834" s="79"/>
      <c r="L1834" s="142"/>
      <c r="M1834" s="1"/>
      <c r="N1834" s="142"/>
      <c r="O1834" s="1"/>
      <c r="P1834" s="142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79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R1834" s="1"/>
      <c r="CS1834" s="1"/>
      <c r="CT1834" s="1"/>
      <c r="CU1834" s="1"/>
      <c r="CV1834" s="1"/>
      <c r="CW1834" s="1"/>
      <c r="CX1834" s="1"/>
      <c r="CY1834" s="91" t="str">
        <f t="shared" si="831"/>
        <v/>
      </c>
      <c r="CZ1834" s="1"/>
      <c r="DC1834" s="307"/>
      <c r="DE1834" s="307"/>
    </row>
    <row r="1835">
      <c r="A1835" s="1"/>
      <c r="B1835" s="1"/>
      <c r="C1835" s="76"/>
      <c r="D1835" s="76"/>
      <c r="E1835" s="76"/>
      <c r="F1835" s="76"/>
      <c r="G1835" s="79"/>
      <c r="H1835" s="80"/>
      <c r="I1835" s="79"/>
      <c r="J1835" s="80"/>
      <c r="K1835" s="79"/>
      <c r="L1835" s="142"/>
      <c r="M1835" s="1"/>
      <c r="N1835" s="142"/>
      <c r="O1835" s="1"/>
      <c r="P1835" s="142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79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R1835" s="1"/>
      <c r="CS1835" s="1"/>
      <c r="CT1835" s="1"/>
      <c r="CU1835" s="1"/>
      <c r="CV1835" s="1"/>
      <c r="CW1835" s="1"/>
      <c r="CX1835" s="1"/>
      <c r="CY1835" s="91" t="str">
        <f t="shared" si="831"/>
        <v/>
      </c>
      <c r="CZ1835" s="1"/>
      <c r="DC1835" s="307"/>
      <c r="DE1835" s="307"/>
    </row>
    <row r="1836">
      <c r="A1836" s="1"/>
      <c r="B1836" s="1"/>
      <c r="C1836" s="76"/>
      <c r="D1836" s="76"/>
      <c r="E1836" s="76"/>
      <c r="F1836" s="76"/>
      <c r="G1836" s="79"/>
      <c r="H1836" s="80"/>
      <c r="I1836" s="79"/>
      <c r="J1836" s="80"/>
      <c r="K1836" s="79"/>
      <c r="L1836" s="142"/>
      <c r="M1836" s="1"/>
      <c r="N1836" s="142"/>
      <c r="O1836" s="1"/>
      <c r="P1836" s="142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79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R1836" s="1"/>
      <c r="CS1836" s="1"/>
      <c r="CT1836" s="1"/>
      <c r="CU1836" s="1"/>
      <c r="CV1836" s="1"/>
      <c r="CW1836" s="1"/>
      <c r="CX1836" s="1"/>
      <c r="CY1836" s="91" t="str">
        <f t="shared" si="831"/>
        <v/>
      </c>
      <c r="CZ1836" s="1"/>
      <c r="DC1836" s="307"/>
      <c r="DE1836" s="307"/>
    </row>
    <row r="1837">
      <c r="A1837" s="1"/>
      <c r="B1837" s="1"/>
      <c r="C1837" s="76"/>
      <c r="D1837" s="76"/>
      <c r="E1837" s="76"/>
      <c r="F1837" s="76"/>
      <c r="G1837" s="79"/>
      <c r="H1837" s="80"/>
      <c r="I1837" s="79"/>
      <c r="J1837" s="80"/>
      <c r="K1837" s="79"/>
      <c r="L1837" s="142"/>
      <c r="M1837" s="1"/>
      <c r="N1837" s="142"/>
      <c r="O1837" s="1"/>
      <c r="P1837" s="142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79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R1837" s="1"/>
      <c r="CS1837" s="1"/>
      <c r="CT1837" s="1"/>
      <c r="CU1837" s="1"/>
      <c r="CV1837" s="1"/>
      <c r="CW1837" s="1"/>
      <c r="CX1837" s="1"/>
      <c r="CY1837" s="91" t="str">
        <f t="shared" si="831"/>
        <v/>
      </c>
      <c r="CZ1837" s="1"/>
      <c r="DC1837" s="307"/>
      <c r="DE1837" s="307"/>
    </row>
    <row r="1838">
      <c r="A1838" s="1"/>
      <c r="B1838" s="1"/>
      <c r="C1838" s="76"/>
      <c r="D1838" s="76"/>
      <c r="E1838" s="76"/>
      <c r="F1838" s="76"/>
      <c r="G1838" s="79"/>
      <c r="H1838" s="80"/>
      <c r="I1838" s="79"/>
      <c r="J1838" s="80"/>
      <c r="K1838" s="79"/>
      <c r="L1838" s="142"/>
      <c r="M1838" s="1"/>
      <c r="N1838" s="142"/>
      <c r="O1838" s="1"/>
      <c r="P1838" s="142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79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R1838" s="1"/>
      <c r="CS1838" s="1"/>
      <c r="CT1838" s="1"/>
      <c r="CU1838" s="1"/>
      <c r="CV1838" s="1"/>
      <c r="CW1838" s="1"/>
      <c r="CX1838" s="1"/>
      <c r="CY1838" s="91" t="str">
        <f t="shared" si="831"/>
        <v/>
      </c>
      <c r="CZ1838" s="1"/>
      <c r="DC1838" s="307"/>
      <c r="DE1838" s="307"/>
    </row>
    <row r="1839">
      <c r="A1839" s="1"/>
      <c r="B1839" s="1"/>
      <c r="C1839" s="76"/>
      <c r="D1839" s="76"/>
      <c r="E1839" s="76"/>
      <c r="F1839" s="76"/>
      <c r="G1839" s="79"/>
      <c r="H1839" s="80"/>
      <c r="I1839" s="79"/>
      <c r="J1839" s="80"/>
      <c r="K1839" s="79"/>
      <c r="L1839" s="142"/>
      <c r="M1839" s="1"/>
      <c r="N1839" s="142"/>
      <c r="O1839" s="1"/>
      <c r="P1839" s="142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79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R1839" s="1"/>
      <c r="CS1839" s="1"/>
      <c r="CT1839" s="1"/>
      <c r="CU1839" s="1"/>
      <c r="CV1839" s="1"/>
      <c r="CW1839" s="1"/>
      <c r="CX1839" s="1"/>
      <c r="CY1839" s="91" t="str">
        <f t="shared" si="831"/>
        <v/>
      </c>
      <c r="CZ1839" s="1"/>
      <c r="DC1839" s="307"/>
      <c r="DE1839" s="307"/>
    </row>
    <row r="1840">
      <c r="A1840" s="1"/>
      <c r="B1840" s="1"/>
      <c r="C1840" s="76"/>
      <c r="D1840" s="76"/>
      <c r="E1840" s="76"/>
      <c r="F1840" s="76"/>
      <c r="G1840" s="79"/>
      <c r="H1840" s="80"/>
      <c r="I1840" s="79"/>
      <c r="J1840" s="80"/>
      <c r="K1840" s="79"/>
      <c r="L1840" s="142"/>
      <c r="M1840" s="1"/>
      <c r="N1840" s="142"/>
      <c r="O1840" s="1"/>
      <c r="P1840" s="142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79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R1840" s="1"/>
      <c r="CS1840" s="1"/>
      <c r="CT1840" s="1"/>
      <c r="CU1840" s="1"/>
      <c r="CV1840" s="1"/>
      <c r="CW1840" s="1"/>
      <c r="CX1840" s="1"/>
      <c r="CY1840" s="91" t="str">
        <f t="shared" si="831"/>
        <v/>
      </c>
      <c r="CZ1840" s="1"/>
      <c r="DC1840" s="307"/>
      <c r="DE1840" s="307"/>
    </row>
    <row r="1841">
      <c r="A1841" s="1"/>
      <c r="B1841" s="1"/>
      <c r="C1841" s="76"/>
      <c r="D1841" s="76"/>
      <c r="E1841" s="76"/>
      <c r="F1841" s="76"/>
      <c r="G1841" s="79"/>
      <c r="H1841" s="80"/>
      <c r="I1841" s="79"/>
      <c r="J1841" s="80"/>
      <c r="K1841" s="79"/>
      <c r="L1841" s="142"/>
      <c r="M1841" s="1"/>
      <c r="N1841" s="142"/>
      <c r="O1841" s="1"/>
      <c r="P1841" s="142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79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R1841" s="1"/>
      <c r="CS1841" s="1"/>
      <c r="CT1841" s="1"/>
      <c r="CU1841" s="1"/>
      <c r="CV1841" s="1"/>
      <c r="CW1841" s="1"/>
      <c r="CX1841" s="1"/>
      <c r="CY1841" s="91" t="str">
        <f t="shared" si="831"/>
        <v/>
      </c>
      <c r="CZ1841" s="1"/>
      <c r="DC1841" s="307"/>
      <c r="DE1841" s="307"/>
    </row>
    <row r="1842">
      <c r="A1842" s="1"/>
      <c r="B1842" s="1"/>
      <c r="C1842" s="76"/>
      <c r="D1842" s="76"/>
      <c r="E1842" s="76"/>
      <c r="F1842" s="76"/>
      <c r="G1842" s="79"/>
      <c r="H1842" s="80"/>
      <c r="I1842" s="79"/>
      <c r="J1842" s="80"/>
      <c r="K1842" s="79"/>
      <c r="L1842" s="142"/>
      <c r="M1842" s="1"/>
      <c r="N1842" s="142"/>
      <c r="O1842" s="1"/>
      <c r="P1842" s="142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79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R1842" s="1"/>
      <c r="CS1842" s="1"/>
      <c r="CT1842" s="1"/>
      <c r="CU1842" s="1"/>
      <c r="CV1842" s="1"/>
      <c r="CW1842" s="1"/>
      <c r="CX1842" s="1"/>
      <c r="CY1842" s="91" t="str">
        <f t="shared" si="831"/>
        <v/>
      </c>
      <c r="CZ1842" s="1"/>
      <c r="DC1842" s="307"/>
      <c r="DE1842" s="307"/>
    </row>
    <row r="1843">
      <c r="A1843" s="1"/>
      <c r="B1843" s="1"/>
      <c r="C1843" s="76"/>
      <c r="D1843" s="76"/>
      <c r="E1843" s="76"/>
      <c r="F1843" s="76"/>
      <c r="G1843" s="79"/>
      <c r="H1843" s="80"/>
      <c r="I1843" s="79"/>
      <c r="J1843" s="80"/>
      <c r="K1843" s="79"/>
      <c r="L1843" s="142"/>
      <c r="M1843" s="1"/>
      <c r="N1843" s="142"/>
      <c r="O1843" s="1"/>
      <c r="P1843" s="142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79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R1843" s="1"/>
      <c r="CS1843" s="1"/>
      <c r="CT1843" s="1"/>
      <c r="CU1843" s="1"/>
      <c r="CV1843" s="1"/>
      <c r="CW1843" s="1"/>
      <c r="CX1843" s="1"/>
      <c r="CY1843" s="91" t="str">
        <f t="shared" si="831"/>
        <v/>
      </c>
      <c r="CZ1843" s="1"/>
      <c r="DC1843" s="307"/>
      <c r="DE1843" s="307"/>
    </row>
    <row r="1844">
      <c r="A1844" s="1"/>
      <c r="B1844" s="1"/>
      <c r="C1844" s="76"/>
      <c r="D1844" s="76"/>
      <c r="E1844" s="76"/>
      <c r="F1844" s="76"/>
      <c r="G1844" s="79"/>
      <c r="H1844" s="80"/>
      <c r="I1844" s="79"/>
      <c r="J1844" s="80"/>
      <c r="K1844" s="79"/>
      <c r="L1844" s="142"/>
      <c r="M1844" s="1"/>
      <c r="N1844" s="142"/>
      <c r="O1844" s="1"/>
      <c r="P1844" s="142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79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R1844" s="1"/>
      <c r="CS1844" s="1"/>
      <c r="CT1844" s="1"/>
      <c r="CU1844" s="1"/>
      <c r="CV1844" s="1"/>
      <c r="CW1844" s="1"/>
      <c r="CX1844" s="1"/>
      <c r="CY1844" s="91" t="str">
        <f t="shared" si="831"/>
        <v/>
      </c>
      <c r="CZ1844" s="1"/>
      <c r="DC1844" s="307"/>
      <c r="DE1844" s="307"/>
    </row>
    <row r="1845">
      <c r="A1845" s="1"/>
      <c r="B1845" s="1"/>
      <c r="C1845" s="76"/>
      <c r="D1845" s="76"/>
      <c r="E1845" s="76"/>
      <c r="F1845" s="76"/>
      <c r="G1845" s="79"/>
      <c r="H1845" s="80"/>
      <c r="I1845" s="79"/>
      <c r="J1845" s="80"/>
      <c r="K1845" s="79"/>
      <c r="L1845" s="142"/>
      <c r="M1845" s="1"/>
      <c r="N1845" s="142"/>
      <c r="O1845" s="1"/>
      <c r="P1845" s="142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79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R1845" s="1"/>
      <c r="CS1845" s="1"/>
      <c r="CT1845" s="1"/>
      <c r="CU1845" s="1"/>
      <c r="CV1845" s="1"/>
      <c r="CW1845" s="1"/>
      <c r="CX1845" s="1"/>
      <c r="CY1845" s="91" t="str">
        <f t="shared" si="831"/>
        <v/>
      </c>
      <c r="CZ1845" s="1"/>
      <c r="DC1845" s="307"/>
      <c r="DE1845" s="307"/>
    </row>
    <row r="1846">
      <c r="A1846" s="1"/>
      <c r="B1846" s="1"/>
      <c r="C1846" s="76"/>
      <c r="D1846" s="76"/>
      <c r="E1846" s="76"/>
      <c r="F1846" s="76"/>
      <c r="G1846" s="79"/>
      <c r="H1846" s="80"/>
      <c r="I1846" s="79"/>
      <c r="J1846" s="80"/>
      <c r="K1846" s="79"/>
      <c r="L1846" s="142"/>
      <c r="M1846" s="1"/>
      <c r="N1846" s="142"/>
      <c r="O1846" s="1"/>
      <c r="P1846" s="142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79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R1846" s="1"/>
      <c r="CS1846" s="1"/>
      <c r="CT1846" s="1"/>
      <c r="CU1846" s="1"/>
      <c r="CV1846" s="1"/>
      <c r="CW1846" s="1"/>
      <c r="CX1846" s="1"/>
      <c r="CY1846" s="91" t="str">
        <f t="shared" si="831"/>
        <v/>
      </c>
      <c r="CZ1846" s="1"/>
      <c r="DC1846" s="307"/>
      <c r="DE1846" s="307"/>
    </row>
    <row r="1847">
      <c r="A1847" s="1"/>
      <c r="B1847" s="1"/>
      <c r="C1847" s="76"/>
      <c r="D1847" s="76"/>
      <c r="E1847" s="76"/>
      <c r="F1847" s="76"/>
      <c r="G1847" s="79"/>
      <c r="H1847" s="80"/>
      <c r="I1847" s="79"/>
      <c r="J1847" s="80"/>
      <c r="K1847" s="79"/>
      <c r="L1847" s="142"/>
      <c r="M1847" s="1"/>
      <c r="N1847" s="142"/>
      <c r="O1847" s="1"/>
      <c r="P1847" s="142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79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R1847" s="1"/>
      <c r="CS1847" s="1"/>
      <c r="CT1847" s="1"/>
      <c r="CU1847" s="1"/>
      <c r="CV1847" s="1"/>
      <c r="CW1847" s="1"/>
      <c r="CX1847" s="1"/>
      <c r="CY1847" s="91" t="str">
        <f t="shared" si="831"/>
        <v/>
      </c>
      <c r="CZ1847" s="1"/>
      <c r="DC1847" s="307"/>
      <c r="DE1847" s="307"/>
    </row>
    <row r="1848">
      <c r="A1848" s="1"/>
      <c r="B1848" s="1"/>
      <c r="C1848" s="76"/>
      <c r="D1848" s="76"/>
      <c r="E1848" s="76"/>
      <c r="F1848" s="76"/>
      <c r="G1848" s="79"/>
      <c r="H1848" s="80"/>
      <c r="I1848" s="79"/>
      <c r="J1848" s="80"/>
      <c r="K1848" s="79"/>
      <c r="L1848" s="142"/>
      <c r="M1848" s="1"/>
      <c r="N1848" s="142"/>
      <c r="O1848" s="1"/>
      <c r="P1848" s="142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79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R1848" s="1"/>
      <c r="CS1848" s="1"/>
      <c r="CT1848" s="1"/>
      <c r="CU1848" s="1"/>
      <c r="CV1848" s="1"/>
      <c r="CW1848" s="1"/>
      <c r="CX1848" s="1"/>
      <c r="CY1848" s="91" t="str">
        <f t="shared" si="831"/>
        <v/>
      </c>
      <c r="CZ1848" s="1"/>
      <c r="DC1848" s="307"/>
      <c r="DE1848" s="307"/>
    </row>
    <row r="1849">
      <c r="A1849" s="1"/>
      <c r="B1849" s="1"/>
      <c r="C1849" s="76"/>
      <c r="D1849" s="76"/>
      <c r="E1849" s="76"/>
      <c r="F1849" s="76"/>
      <c r="G1849" s="79"/>
      <c r="H1849" s="80"/>
      <c r="I1849" s="79"/>
      <c r="J1849" s="80"/>
      <c r="K1849" s="79"/>
      <c r="L1849" s="142"/>
      <c r="M1849" s="1"/>
      <c r="N1849" s="142"/>
      <c r="O1849" s="1"/>
      <c r="P1849" s="142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79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R1849" s="1"/>
      <c r="CS1849" s="1"/>
      <c r="CT1849" s="1"/>
      <c r="CU1849" s="1"/>
      <c r="CV1849" s="1"/>
      <c r="CW1849" s="1"/>
      <c r="CX1849" s="1"/>
      <c r="CY1849" s="91" t="str">
        <f t="shared" si="831"/>
        <v/>
      </c>
      <c r="CZ1849" s="1"/>
      <c r="DC1849" s="307"/>
      <c r="DE1849" s="307"/>
    </row>
    <row r="1850">
      <c r="A1850" s="1"/>
      <c r="B1850" s="1"/>
      <c r="C1850" s="76"/>
      <c r="D1850" s="76"/>
      <c r="E1850" s="76"/>
      <c r="F1850" s="76"/>
      <c r="G1850" s="79"/>
      <c r="H1850" s="80"/>
      <c r="I1850" s="79"/>
      <c r="J1850" s="80"/>
      <c r="K1850" s="79"/>
      <c r="L1850" s="142"/>
      <c r="M1850" s="1"/>
      <c r="N1850" s="142"/>
      <c r="O1850" s="1"/>
      <c r="P1850" s="142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79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R1850" s="1"/>
      <c r="CS1850" s="1"/>
      <c r="CT1850" s="1"/>
      <c r="CU1850" s="1"/>
      <c r="CV1850" s="1"/>
      <c r="CW1850" s="1"/>
      <c r="CX1850" s="1"/>
      <c r="CY1850" s="91" t="str">
        <f t="shared" si="831"/>
        <v/>
      </c>
      <c r="CZ1850" s="1"/>
      <c r="DC1850" s="307"/>
      <c r="DE1850" s="307"/>
    </row>
    <row r="1851">
      <c r="A1851" s="1"/>
      <c r="B1851" s="1"/>
      <c r="C1851" s="76"/>
      <c r="D1851" s="76"/>
      <c r="E1851" s="76"/>
      <c r="F1851" s="76"/>
      <c r="G1851" s="79"/>
      <c r="H1851" s="80"/>
      <c r="I1851" s="79"/>
      <c r="J1851" s="80"/>
      <c r="K1851" s="79"/>
      <c r="L1851" s="142"/>
      <c r="M1851" s="1"/>
      <c r="N1851" s="142"/>
      <c r="O1851" s="1"/>
      <c r="P1851" s="142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79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R1851" s="1"/>
      <c r="CS1851" s="1"/>
      <c r="CT1851" s="1"/>
      <c r="CU1851" s="1"/>
      <c r="CV1851" s="1"/>
      <c r="CW1851" s="1"/>
      <c r="CX1851" s="1"/>
      <c r="CY1851" s="91" t="str">
        <f t="shared" si="831"/>
        <v/>
      </c>
      <c r="CZ1851" s="1"/>
      <c r="DC1851" s="307"/>
      <c r="DE1851" s="307"/>
    </row>
    <row r="1852">
      <c r="A1852" s="1"/>
      <c r="B1852" s="1"/>
      <c r="C1852" s="76"/>
      <c r="D1852" s="76"/>
      <c r="E1852" s="76"/>
      <c r="F1852" s="76"/>
      <c r="G1852" s="79"/>
      <c r="H1852" s="80"/>
      <c r="I1852" s="79"/>
      <c r="J1852" s="80"/>
      <c r="K1852" s="79"/>
      <c r="L1852" s="142"/>
      <c r="M1852" s="1"/>
      <c r="N1852" s="142"/>
      <c r="O1852" s="1"/>
      <c r="P1852" s="142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79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R1852" s="1"/>
      <c r="CS1852" s="1"/>
      <c r="CT1852" s="1"/>
      <c r="CU1852" s="1"/>
      <c r="CV1852" s="1"/>
      <c r="CW1852" s="1"/>
      <c r="CX1852" s="1"/>
      <c r="CY1852" s="91" t="str">
        <f t="shared" si="831"/>
        <v/>
      </c>
      <c r="CZ1852" s="1"/>
      <c r="DC1852" s="307"/>
      <c r="DE1852" s="307"/>
    </row>
    <row r="1853">
      <c r="A1853" s="1"/>
      <c r="B1853" s="1"/>
      <c r="C1853" s="76"/>
      <c r="D1853" s="76"/>
      <c r="E1853" s="76"/>
      <c r="F1853" s="76"/>
      <c r="G1853" s="79"/>
      <c r="H1853" s="80"/>
      <c r="I1853" s="79"/>
      <c r="J1853" s="80"/>
      <c r="K1853" s="79"/>
      <c r="L1853" s="142"/>
      <c r="M1853" s="1"/>
      <c r="N1853" s="142"/>
      <c r="O1853" s="1"/>
      <c r="P1853" s="142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79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R1853" s="1"/>
      <c r="CS1853" s="1"/>
      <c r="CT1853" s="1"/>
      <c r="CU1853" s="1"/>
      <c r="CV1853" s="1"/>
      <c r="CW1853" s="1"/>
      <c r="CX1853" s="1"/>
      <c r="CY1853" s="91" t="str">
        <f t="shared" si="831"/>
        <v/>
      </c>
      <c r="CZ1853" s="1"/>
      <c r="DC1853" s="307"/>
      <c r="DE1853" s="307"/>
    </row>
    <row r="1854">
      <c r="A1854" s="1"/>
      <c r="B1854" s="1"/>
      <c r="C1854" s="76"/>
      <c r="D1854" s="76"/>
      <c r="E1854" s="76"/>
      <c r="F1854" s="76"/>
      <c r="G1854" s="79"/>
      <c r="H1854" s="80"/>
      <c r="I1854" s="79"/>
      <c r="J1854" s="80"/>
      <c r="K1854" s="79"/>
      <c r="L1854" s="142"/>
      <c r="M1854" s="1"/>
      <c r="N1854" s="142"/>
      <c r="O1854" s="1"/>
      <c r="P1854" s="142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79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R1854" s="1"/>
      <c r="CS1854" s="1"/>
      <c r="CT1854" s="1"/>
      <c r="CU1854" s="1"/>
      <c r="CV1854" s="1"/>
      <c r="CW1854" s="1"/>
      <c r="CX1854" s="1"/>
      <c r="CY1854" s="91" t="str">
        <f t="shared" si="831"/>
        <v/>
      </c>
      <c r="CZ1854" s="1"/>
      <c r="DC1854" s="307"/>
      <c r="DE1854" s="307"/>
    </row>
    <row r="1855">
      <c r="A1855" s="1"/>
      <c r="B1855" s="1"/>
      <c r="C1855" s="76"/>
      <c r="D1855" s="76"/>
      <c r="E1855" s="76"/>
      <c r="F1855" s="76"/>
      <c r="G1855" s="79"/>
      <c r="H1855" s="80"/>
      <c r="I1855" s="79"/>
      <c r="J1855" s="80"/>
      <c r="K1855" s="79"/>
      <c r="L1855" s="142"/>
      <c r="M1855" s="1"/>
      <c r="N1855" s="142"/>
      <c r="O1855" s="1"/>
      <c r="P1855" s="142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79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R1855" s="1"/>
      <c r="CS1855" s="1"/>
      <c r="CT1855" s="1"/>
      <c r="CU1855" s="1"/>
      <c r="CV1855" s="1"/>
      <c r="CW1855" s="1"/>
      <c r="CX1855" s="1"/>
      <c r="CY1855" s="91" t="str">
        <f t="shared" si="831"/>
        <v/>
      </c>
      <c r="CZ1855" s="1"/>
      <c r="DC1855" s="307"/>
      <c r="DE1855" s="307"/>
    </row>
    <row r="1856">
      <c r="A1856" s="1"/>
      <c r="B1856" s="1"/>
      <c r="C1856" s="76"/>
      <c r="D1856" s="76"/>
      <c r="E1856" s="76"/>
      <c r="F1856" s="76"/>
      <c r="G1856" s="79"/>
      <c r="H1856" s="80"/>
      <c r="I1856" s="79"/>
      <c r="J1856" s="80"/>
      <c r="K1856" s="79"/>
      <c r="L1856" s="142"/>
      <c r="M1856" s="1"/>
      <c r="N1856" s="142"/>
      <c r="O1856" s="1"/>
      <c r="P1856" s="142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79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R1856" s="1"/>
      <c r="CS1856" s="1"/>
      <c r="CT1856" s="1"/>
      <c r="CU1856" s="1"/>
      <c r="CV1856" s="1"/>
      <c r="CW1856" s="1"/>
      <c r="CX1856" s="1"/>
      <c r="CY1856" s="91" t="str">
        <f t="shared" si="831"/>
        <v/>
      </c>
      <c r="CZ1856" s="1"/>
      <c r="DC1856" s="307"/>
      <c r="DE1856" s="307"/>
    </row>
    <row r="1857">
      <c r="A1857" s="1"/>
      <c r="B1857" s="1"/>
      <c r="C1857" s="76"/>
      <c r="D1857" s="76"/>
      <c r="E1857" s="76"/>
      <c r="F1857" s="76"/>
      <c r="G1857" s="79"/>
      <c r="H1857" s="80"/>
      <c r="I1857" s="79"/>
      <c r="J1857" s="80"/>
      <c r="K1857" s="79"/>
      <c r="L1857" s="142"/>
      <c r="M1857" s="1"/>
      <c r="N1857" s="142"/>
      <c r="O1857" s="1"/>
      <c r="P1857" s="142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79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R1857" s="1"/>
      <c r="CS1857" s="1"/>
      <c r="CT1857" s="1"/>
      <c r="CU1857" s="1"/>
      <c r="CV1857" s="1"/>
      <c r="CW1857" s="1"/>
      <c r="CX1857" s="1"/>
      <c r="CY1857" s="91" t="str">
        <f t="shared" si="831"/>
        <v/>
      </c>
      <c r="CZ1857" s="1"/>
      <c r="DC1857" s="307"/>
      <c r="DE1857" s="307"/>
    </row>
    <row r="1858">
      <c r="A1858" s="1"/>
      <c r="B1858" s="1"/>
      <c r="C1858" s="76"/>
      <c r="D1858" s="76"/>
      <c r="E1858" s="76"/>
      <c r="F1858" s="76"/>
      <c r="G1858" s="79"/>
      <c r="H1858" s="80"/>
      <c r="I1858" s="79"/>
      <c r="J1858" s="80"/>
      <c r="K1858" s="79"/>
      <c r="L1858" s="142"/>
      <c r="M1858" s="1"/>
      <c r="N1858" s="142"/>
      <c r="O1858" s="1"/>
      <c r="P1858" s="142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79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R1858" s="1"/>
      <c r="CS1858" s="1"/>
      <c r="CT1858" s="1"/>
      <c r="CU1858" s="1"/>
      <c r="CV1858" s="1"/>
      <c r="CW1858" s="1"/>
      <c r="CX1858" s="1"/>
      <c r="CY1858" s="91" t="str">
        <f t="shared" si="831"/>
        <v/>
      </c>
      <c r="CZ1858" s="1"/>
      <c r="DC1858" s="307"/>
      <c r="DE1858" s="307"/>
    </row>
    <row r="1859">
      <c r="A1859" s="1"/>
      <c r="B1859" s="1"/>
      <c r="C1859" s="76"/>
      <c r="D1859" s="76"/>
      <c r="E1859" s="76"/>
      <c r="F1859" s="76"/>
      <c r="G1859" s="79"/>
      <c r="H1859" s="80"/>
      <c r="I1859" s="79"/>
      <c r="J1859" s="80"/>
      <c r="K1859" s="79"/>
      <c r="L1859" s="142"/>
      <c r="M1859" s="1"/>
      <c r="N1859" s="142"/>
      <c r="O1859" s="1"/>
      <c r="P1859" s="142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79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R1859" s="1"/>
      <c r="CS1859" s="1"/>
      <c r="CT1859" s="1"/>
      <c r="CU1859" s="1"/>
      <c r="CV1859" s="1"/>
      <c r="CW1859" s="1"/>
      <c r="CX1859" s="1"/>
      <c r="CY1859" s="91" t="str">
        <f t="shared" si="831"/>
        <v/>
      </c>
      <c r="CZ1859" s="1"/>
      <c r="DC1859" s="307"/>
      <c r="DE1859" s="307"/>
    </row>
    <row r="1860">
      <c r="A1860" s="1"/>
      <c r="B1860" s="1"/>
      <c r="C1860" s="76"/>
      <c r="D1860" s="76"/>
      <c r="E1860" s="76"/>
      <c r="F1860" s="76"/>
      <c r="G1860" s="79"/>
      <c r="H1860" s="80"/>
      <c r="I1860" s="79"/>
      <c r="J1860" s="80"/>
      <c r="K1860" s="79"/>
      <c r="L1860" s="142"/>
      <c r="M1860" s="1"/>
      <c r="N1860" s="142"/>
      <c r="O1860" s="1"/>
      <c r="P1860" s="142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79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R1860" s="1"/>
      <c r="CS1860" s="1"/>
      <c r="CT1860" s="1"/>
      <c r="CU1860" s="1"/>
      <c r="CV1860" s="1"/>
      <c r="CW1860" s="1"/>
      <c r="CX1860" s="1"/>
      <c r="CY1860" s="91" t="str">
        <f t="shared" si="831"/>
        <v/>
      </c>
      <c r="CZ1860" s="1"/>
      <c r="DC1860" s="307"/>
      <c r="DE1860" s="307"/>
    </row>
    <row r="1861">
      <c r="A1861" s="1"/>
      <c r="B1861" s="1"/>
      <c r="C1861" s="76"/>
      <c r="D1861" s="76"/>
      <c r="E1861" s="76"/>
      <c r="F1861" s="76"/>
      <c r="G1861" s="79"/>
      <c r="H1861" s="80"/>
      <c r="I1861" s="79"/>
      <c r="J1861" s="80"/>
      <c r="K1861" s="79"/>
      <c r="L1861" s="142"/>
      <c r="M1861" s="1"/>
      <c r="N1861" s="142"/>
      <c r="O1861" s="1"/>
      <c r="P1861" s="142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79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R1861" s="1"/>
      <c r="CS1861" s="1"/>
      <c r="CT1861" s="1"/>
      <c r="CU1861" s="1"/>
      <c r="CV1861" s="1"/>
      <c r="CW1861" s="1"/>
      <c r="CX1861" s="1"/>
      <c r="CY1861" s="91" t="str">
        <f t="shared" si="831"/>
        <v/>
      </c>
      <c r="CZ1861" s="1"/>
      <c r="DC1861" s="307"/>
      <c r="DE1861" s="307"/>
    </row>
    <row r="1862">
      <c r="A1862" s="1"/>
      <c r="B1862" s="1"/>
      <c r="C1862" s="76"/>
      <c r="D1862" s="76"/>
      <c r="E1862" s="76"/>
      <c r="F1862" s="76"/>
      <c r="G1862" s="79"/>
      <c r="H1862" s="80"/>
      <c r="I1862" s="79"/>
      <c r="J1862" s="80"/>
      <c r="K1862" s="79"/>
      <c r="L1862" s="142"/>
      <c r="M1862" s="1"/>
      <c r="N1862" s="142"/>
      <c r="O1862" s="1"/>
      <c r="P1862" s="142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79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R1862" s="1"/>
      <c r="CS1862" s="1"/>
      <c r="CT1862" s="1"/>
      <c r="CU1862" s="1"/>
      <c r="CV1862" s="1"/>
      <c r="CW1862" s="1"/>
      <c r="CX1862" s="1"/>
      <c r="CY1862" s="91" t="str">
        <f t="shared" si="831"/>
        <v/>
      </c>
      <c r="CZ1862" s="1"/>
      <c r="DC1862" s="307"/>
      <c r="DE1862" s="307"/>
    </row>
    <row r="1863">
      <c r="A1863" s="1"/>
      <c r="B1863" s="1"/>
      <c r="C1863" s="76"/>
      <c r="D1863" s="76"/>
      <c r="E1863" s="76"/>
      <c r="F1863" s="76"/>
      <c r="G1863" s="79"/>
      <c r="H1863" s="80"/>
      <c r="I1863" s="79"/>
      <c r="J1863" s="80"/>
      <c r="K1863" s="79"/>
      <c r="L1863" s="142"/>
      <c r="M1863" s="1"/>
      <c r="N1863" s="142"/>
      <c r="O1863" s="1"/>
      <c r="P1863" s="142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79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R1863" s="1"/>
      <c r="CS1863" s="1"/>
      <c r="CT1863" s="1"/>
      <c r="CU1863" s="1"/>
      <c r="CV1863" s="1"/>
      <c r="CW1863" s="1"/>
      <c r="CX1863" s="1"/>
      <c r="CY1863" s="91" t="str">
        <f t="shared" si="831"/>
        <v/>
      </c>
      <c r="CZ1863" s="1"/>
      <c r="DC1863" s="307"/>
      <c r="DE1863" s="307"/>
    </row>
    <row r="1864">
      <c r="A1864" s="1"/>
      <c r="B1864" s="1"/>
      <c r="C1864" s="76"/>
      <c r="D1864" s="76"/>
      <c r="E1864" s="76"/>
      <c r="F1864" s="76"/>
      <c r="G1864" s="79"/>
      <c r="H1864" s="80"/>
      <c r="I1864" s="79"/>
      <c r="J1864" s="80"/>
      <c r="K1864" s="79"/>
      <c r="L1864" s="142"/>
      <c r="M1864" s="1"/>
      <c r="N1864" s="142"/>
      <c r="O1864" s="1"/>
      <c r="P1864" s="142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79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R1864" s="1"/>
      <c r="CS1864" s="1"/>
      <c r="CT1864" s="1"/>
      <c r="CU1864" s="1"/>
      <c r="CV1864" s="1"/>
      <c r="CW1864" s="1"/>
      <c r="CX1864" s="1"/>
      <c r="CY1864" s="91" t="str">
        <f t="shared" si="831"/>
        <v/>
      </c>
      <c r="CZ1864" s="1"/>
      <c r="DC1864" s="307"/>
      <c r="DE1864" s="307"/>
    </row>
    <row r="1865">
      <c r="A1865" s="1"/>
      <c r="B1865" s="1"/>
      <c r="C1865" s="76"/>
      <c r="D1865" s="76"/>
      <c r="E1865" s="76"/>
      <c r="F1865" s="76"/>
      <c r="G1865" s="79"/>
      <c r="H1865" s="80"/>
      <c r="I1865" s="79"/>
      <c r="J1865" s="80"/>
      <c r="K1865" s="79"/>
      <c r="L1865" s="142"/>
      <c r="M1865" s="1"/>
      <c r="N1865" s="142"/>
      <c r="O1865" s="1"/>
      <c r="P1865" s="142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79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R1865" s="1"/>
      <c r="CS1865" s="1"/>
      <c r="CT1865" s="1"/>
      <c r="CU1865" s="1"/>
      <c r="CV1865" s="1"/>
      <c r="CW1865" s="1"/>
      <c r="CX1865" s="1"/>
      <c r="CY1865" s="91" t="str">
        <f t="shared" si="831"/>
        <v/>
      </c>
      <c r="CZ1865" s="1"/>
      <c r="DC1865" s="307"/>
      <c r="DE1865" s="307"/>
    </row>
    <row r="1866">
      <c r="A1866" s="1"/>
      <c r="B1866" s="1"/>
      <c r="C1866" s="76"/>
      <c r="D1866" s="76"/>
      <c r="E1866" s="76"/>
      <c r="F1866" s="76"/>
      <c r="G1866" s="79"/>
      <c r="H1866" s="80"/>
      <c r="I1866" s="79"/>
      <c r="J1866" s="80"/>
      <c r="K1866" s="79"/>
      <c r="L1866" s="142"/>
      <c r="M1866" s="1"/>
      <c r="N1866" s="142"/>
      <c r="O1866" s="1"/>
      <c r="P1866" s="142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79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R1866" s="1"/>
      <c r="CS1866" s="1"/>
      <c r="CT1866" s="1"/>
      <c r="CU1866" s="1"/>
      <c r="CV1866" s="1"/>
      <c r="CW1866" s="1"/>
      <c r="CX1866" s="1"/>
      <c r="CY1866" s="91" t="str">
        <f t="shared" si="831"/>
        <v/>
      </c>
      <c r="CZ1866" s="1"/>
      <c r="DC1866" s="307"/>
      <c r="DE1866" s="307"/>
    </row>
    <row r="1867">
      <c r="A1867" s="1"/>
      <c r="B1867" s="1"/>
      <c r="C1867" s="76"/>
      <c r="D1867" s="76"/>
      <c r="E1867" s="76"/>
      <c r="F1867" s="76"/>
      <c r="G1867" s="79"/>
      <c r="H1867" s="80"/>
      <c r="I1867" s="79"/>
      <c r="J1867" s="80"/>
      <c r="K1867" s="79"/>
      <c r="L1867" s="142"/>
      <c r="M1867" s="1"/>
      <c r="N1867" s="142"/>
      <c r="O1867" s="1"/>
      <c r="P1867" s="142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79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R1867" s="1"/>
      <c r="CS1867" s="1"/>
      <c r="CT1867" s="1"/>
      <c r="CU1867" s="1"/>
      <c r="CV1867" s="1"/>
      <c r="CW1867" s="1"/>
      <c r="CX1867" s="1"/>
      <c r="CY1867" s="91" t="str">
        <f t="shared" si="831"/>
        <v/>
      </c>
      <c r="CZ1867" s="1"/>
      <c r="DC1867" s="307"/>
      <c r="DE1867" s="307"/>
    </row>
    <row r="1868">
      <c r="A1868" s="1"/>
      <c r="B1868" s="1"/>
      <c r="C1868" s="76"/>
      <c r="D1868" s="76"/>
      <c r="E1868" s="76"/>
      <c r="F1868" s="76"/>
      <c r="G1868" s="79"/>
      <c r="H1868" s="80"/>
      <c r="I1868" s="79"/>
      <c r="J1868" s="80"/>
      <c r="K1868" s="79"/>
      <c r="L1868" s="142"/>
      <c r="M1868" s="1"/>
      <c r="N1868" s="142"/>
      <c r="O1868" s="1"/>
      <c r="P1868" s="142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79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R1868" s="1"/>
      <c r="CS1868" s="1"/>
      <c r="CT1868" s="1"/>
      <c r="CU1868" s="1"/>
      <c r="CV1868" s="1"/>
      <c r="CW1868" s="1"/>
      <c r="CX1868" s="1"/>
      <c r="CY1868" s="91" t="str">
        <f t="shared" si="831"/>
        <v/>
      </c>
      <c r="CZ1868" s="1"/>
      <c r="DC1868" s="307"/>
      <c r="DE1868" s="307"/>
    </row>
    <row r="1869">
      <c r="A1869" s="1"/>
      <c r="B1869" s="1"/>
      <c r="C1869" s="76"/>
      <c r="D1869" s="76"/>
      <c r="E1869" s="76"/>
      <c r="F1869" s="76"/>
      <c r="G1869" s="79"/>
      <c r="H1869" s="80"/>
      <c r="I1869" s="79"/>
      <c r="J1869" s="80"/>
      <c r="K1869" s="79"/>
      <c r="L1869" s="142"/>
      <c r="M1869" s="1"/>
      <c r="N1869" s="142"/>
      <c r="O1869" s="1"/>
      <c r="P1869" s="142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79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R1869" s="1"/>
      <c r="CS1869" s="1"/>
      <c r="CT1869" s="1"/>
      <c r="CU1869" s="1"/>
      <c r="CV1869" s="1"/>
      <c r="CW1869" s="1"/>
      <c r="CX1869" s="1"/>
      <c r="CY1869" s="91" t="str">
        <f t="shared" si="831"/>
        <v/>
      </c>
      <c r="CZ1869" s="1"/>
      <c r="DC1869" s="307"/>
      <c r="DE1869" s="307"/>
    </row>
    <row r="1870">
      <c r="A1870" s="1"/>
      <c r="B1870" s="1"/>
      <c r="C1870" s="76"/>
      <c r="D1870" s="76"/>
      <c r="E1870" s="76"/>
      <c r="F1870" s="76"/>
      <c r="G1870" s="79"/>
      <c r="H1870" s="80"/>
      <c r="I1870" s="79"/>
      <c r="J1870" s="80"/>
      <c r="K1870" s="79"/>
      <c r="L1870" s="142"/>
      <c r="M1870" s="1"/>
      <c r="N1870" s="142"/>
      <c r="O1870" s="1"/>
      <c r="P1870" s="142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79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R1870" s="1"/>
      <c r="CS1870" s="1"/>
      <c r="CT1870" s="1"/>
      <c r="CU1870" s="1"/>
      <c r="CV1870" s="1"/>
      <c r="CW1870" s="1"/>
      <c r="CX1870" s="1"/>
      <c r="CY1870" s="91" t="str">
        <f t="shared" si="831"/>
        <v/>
      </c>
      <c r="CZ1870" s="1"/>
      <c r="DC1870" s="307"/>
      <c r="DE1870" s="307"/>
    </row>
    <row r="1871">
      <c r="A1871" s="1"/>
      <c r="B1871" s="1"/>
      <c r="C1871" s="76"/>
      <c r="D1871" s="76"/>
      <c r="E1871" s="76"/>
      <c r="F1871" s="76"/>
      <c r="G1871" s="79"/>
      <c r="H1871" s="80"/>
      <c r="I1871" s="79"/>
      <c r="J1871" s="80"/>
      <c r="K1871" s="79"/>
      <c r="L1871" s="142"/>
      <c r="M1871" s="1"/>
      <c r="N1871" s="142"/>
      <c r="O1871" s="1"/>
      <c r="P1871" s="142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79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R1871" s="1"/>
      <c r="CS1871" s="1"/>
      <c r="CT1871" s="1"/>
      <c r="CU1871" s="1"/>
      <c r="CV1871" s="1"/>
      <c r="CW1871" s="1"/>
      <c r="CX1871" s="1"/>
      <c r="CY1871" s="91" t="str">
        <f t="shared" si="831"/>
        <v/>
      </c>
      <c r="CZ1871" s="1"/>
      <c r="DC1871" s="307"/>
      <c r="DE1871" s="307"/>
    </row>
    <row r="1872">
      <c r="A1872" s="1"/>
      <c r="B1872" s="1"/>
      <c r="C1872" s="76"/>
      <c r="D1872" s="76"/>
      <c r="E1872" s="76"/>
      <c r="F1872" s="76"/>
      <c r="G1872" s="79"/>
      <c r="H1872" s="80"/>
      <c r="I1872" s="79"/>
      <c r="J1872" s="80"/>
      <c r="K1872" s="79"/>
      <c r="L1872" s="142"/>
      <c r="M1872" s="1"/>
      <c r="N1872" s="142"/>
      <c r="O1872" s="1"/>
      <c r="P1872" s="142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79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R1872" s="1"/>
      <c r="CS1872" s="1"/>
      <c r="CT1872" s="1"/>
      <c r="CU1872" s="1"/>
      <c r="CV1872" s="1"/>
      <c r="CW1872" s="1"/>
      <c r="CX1872" s="1"/>
      <c r="CY1872" s="91" t="str">
        <f t="shared" si="831"/>
        <v/>
      </c>
      <c r="CZ1872" s="1"/>
      <c r="DC1872" s="307"/>
      <c r="DE1872" s="307"/>
    </row>
    <row r="1873">
      <c r="A1873" s="1"/>
      <c r="B1873" s="1"/>
      <c r="C1873" s="76"/>
      <c r="D1873" s="76"/>
      <c r="E1873" s="76"/>
      <c r="F1873" s="76"/>
      <c r="G1873" s="79"/>
      <c r="H1873" s="80"/>
      <c r="I1873" s="79"/>
      <c r="J1873" s="80"/>
      <c r="K1873" s="79"/>
      <c r="L1873" s="142"/>
      <c r="M1873" s="1"/>
      <c r="N1873" s="142"/>
      <c r="O1873" s="1"/>
      <c r="P1873" s="142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79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R1873" s="1"/>
      <c r="CS1873" s="1"/>
      <c r="CT1873" s="1"/>
      <c r="CU1873" s="1"/>
      <c r="CV1873" s="1"/>
      <c r="CW1873" s="1"/>
      <c r="CX1873" s="1"/>
      <c r="CY1873" s="91" t="str">
        <f t="shared" si="831"/>
        <v/>
      </c>
      <c r="CZ1873" s="1"/>
      <c r="DC1873" s="307"/>
      <c r="DE1873" s="307"/>
    </row>
    <row r="1874">
      <c r="A1874" s="1"/>
      <c r="B1874" s="1"/>
      <c r="C1874" s="76"/>
      <c r="D1874" s="76"/>
      <c r="E1874" s="76"/>
      <c r="F1874" s="76"/>
      <c r="G1874" s="79"/>
      <c r="H1874" s="80"/>
      <c r="I1874" s="79"/>
      <c r="J1874" s="80"/>
      <c r="K1874" s="79"/>
      <c r="L1874" s="142"/>
      <c r="M1874" s="1"/>
      <c r="N1874" s="142"/>
      <c r="O1874" s="1"/>
      <c r="P1874" s="142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79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R1874" s="1"/>
      <c r="CS1874" s="1"/>
      <c r="CT1874" s="1"/>
      <c r="CU1874" s="1"/>
      <c r="CV1874" s="1"/>
      <c r="CW1874" s="1"/>
      <c r="CX1874" s="1"/>
      <c r="CY1874" s="91" t="str">
        <f t="shared" si="831"/>
        <v/>
      </c>
      <c r="CZ1874" s="1"/>
      <c r="DC1874" s="307"/>
      <c r="DE1874" s="307"/>
    </row>
    <row r="1875">
      <c r="A1875" s="1"/>
      <c r="B1875" s="1"/>
      <c r="C1875" s="76"/>
      <c r="D1875" s="76"/>
      <c r="E1875" s="76"/>
      <c r="F1875" s="76"/>
      <c r="G1875" s="79"/>
      <c r="H1875" s="80"/>
      <c r="I1875" s="79"/>
      <c r="J1875" s="80"/>
      <c r="K1875" s="79"/>
      <c r="L1875" s="142"/>
      <c r="M1875" s="1"/>
      <c r="N1875" s="142"/>
      <c r="O1875" s="1"/>
      <c r="P1875" s="142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79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R1875" s="1"/>
      <c r="CS1875" s="1"/>
      <c r="CT1875" s="1"/>
      <c r="CU1875" s="1"/>
      <c r="CV1875" s="1"/>
      <c r="CW1875" s="1"/>
      <c r="CX1875" s="1"/>
      <c r="CY1875" s="91" t="str">
        <f t="shared" si="831"/>
        <v/>
      </c>
      <c r="CZ1875" s="1"/>
      <c r="DC1875" s="307"/>
      <c r="DE1875" s="307"/>
    </row>
    <row r="1876">
      <c r="A1876" s="1"/>
      <c r="B1876" s="1"/>
      <c r="C1876" s="76"/>
      <c r="D1876" s="76"/>
      <c r="E1876" s="76"/>
      <c r="F1876" s="76"/>
      <c r="G1876" s="79"/>
      <c r="H1876" s="80"/>
      <c r="I1876" s="79"/>
      <c r="J1876" s="80"/>
      <c r="K1876" s="79"/>
      <c r="L1876" s="142"/>
      <c r="M1876" s="1"/>
      <c r="N1876" s="142"/>
      <c r="O1876" s="1"/>
      <c r="P1876" s="142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79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R1876" s="1"/>
      <c r="CS1876" s="1"/>
      <c r="CT1876" s="1"/>
      <c r="CU1876" s="1"/>
      <c r="CV1876" s="1"/>
      <c r="CW1876" s="1"/>
      <c r="CX1876" s="1"/>
      <c r="CY1876" s="91" t="str">
        <f t="shared" si="831"/>
        <v/>
      </c>
      <c r="CZ1876" s="1"/>
      <c r="DC1876" s="307"/>
      <c r="DE1876" s="307"/>
    </row>
    <row r="1877">
      <c r="A1877" s="1"/>
      <c r="B1877" s="1"/>
      <c r="C1877" s="76"/>
      <c r="D1877" s="76"/>
      <c r="E1877" s="76"/>
      <c r="F1877" s="76"/>
      <c r="G1877" s="79"/>
      <c r="H1877" s="80"/>
      <c r="I1877" s="79"/>
      <c r="J1877" s="80"/>
      <c r="K1877" s="79"/>
      <c r="L1877" s="142"/>
      <c r="M1877" s="1"/>
      <c r="N1877" s="142"/>
      <c r="O1877" s="1"/>
      <c r="P1877" s="142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79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R1877" s="1"/>
      <c r="CS1877" s="1"/>
      <c r="CT1877" s="1"/>
      <c r="CU1877" s="1"/>
      <c r="CV1877" s="1"/>
      <c r="CW1877" s="1"/>
      <c r="CX1877" s="1"/>
      <c r="CY1877" s="91" t="str">
        <f t="shared" si="831"/>
        <v/>
      </c>
      <c r="CZ1877" s="1"/>
      <c r="DC1877" s="307"/>
      <c r="DE1877" s="307"/>
    </row>
    <row r="1878">
      <c r="A1878" s="1"/>
      <c r="B1878" s="1"/>
      <c r="C1878" s="76"/>
      <c r="D1878" s="76"/>
      <c r="E1878" s="76"/>
      <c r="F1878" s="76"/>
      <c r="G1878" s="79"/>
      <c r="H1878" s="80"/>
      <c r="I1878" s="79"/>
      <c r="J1878" s="80"/>
      <c r="K1878" s="79"/>
      <c r="L1878" s="142"/>
      <c r="M1878" s="1"/>
      <c r="N1878" s="142"/>
      <c r="O1878" s="1"/>
      <c r="P1878" s="142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79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R1878" s="1"/>
      <c r="CS1878" s="1"/>
      <c r="CT1878" s="1"/>
      <c r="CU1878" s="1"/>
      <c r="CV1878" s="1"/>
      <c r="CW1878" s="1"/>
      <c r="CX1878" s="1"/>
      <c r="CY1878" s="91" t="str">
        <f t="shared" si="831"/>
        <v/>
      </c>
      <c r="CZ1878" s="1"/>
      <c r="DC1878" s="307"/>
      <c r="DE1878" s="307"/>
    </row>
    <row r="1879">
      <c r="A1879" s="1"/>
      <c r="B1879" s="1"/>
      <c r="C1879" s="76"/>
      <c r="D1879" s="76"/>
      <c r="E1879" s="76"/>
      <c r="F1879" s="76"/>
      <c r="G1879" s="79"/>
      <c r="H1879" s="80"/>
      <c r="I1879" s="79"/>
      <c r="J1879" s="80"/>
      <c r="K1879" s="79"/>
      <c r="L1879" s="142"/>
      <c r="M1879" s="1"/>
      <c r="N1879" s="142"/>
      <c r="O1879" s="1"/>
      <c r="P1879" s="142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79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R1879" s="1"/>
      <c r="CS1879" s="1"/>
      <c r="CT1879" s="1"/>
      <c r="CU1879" s="1"/>
      <c r="CV1879" s="1"/>
      <c r="CW1879" s="1"/>
      <c r="CX1879" s="1"/>
      <c r="CY1879" s="91" t="str">
        <f t="shared" si="831"/>
        <v/>
      </c>
      <c r="CZ1879" s="1"/>
      <c r="DC1879" s="307"/>
      <c r="DE1879" s="307"/>
    </row>
    <row r="1880">
      <c r="A1880" s="1"/>
      <c r="B1880" s="1"/>
      <c r="C1880" s="76"/>
      <c r="D1880" s="76"/>
      <c r="E1880" s="76"/>
      <c r="F1880" s="76"/>
      <c r="G1880" s="79"/>
      <c r="H1880" s="80"/>
      <c r="I1880" s="79"/>
      <c r="J1880" s="80"/>
      <c r="K1880" s="79"/>
      <c r="L1880" s="142"/>
      <c r="M1880" s="1"/>
      <c r="N1880" s="142"/>
      <c r="O1880" s="1"/>
      <c r="P1880" s="142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79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R1880" s="1"/>
      <c r="CS1880" s="1"/>
      <c r="CT1880" s="1"/>
      <c r="CU1880" s="1"/>
      <c r="CV1880" s="1"/>
      <c r="CW1880" s="1"/>
      <c r="CX1880" s="1"/>
      <c r="CY1880" s="91" t="str">
        <f t="shared" si="831"/>
        <v/>
      </c>
      <c r="CZ1880" s="1"/>
      <c r="DC1880" s="307"/>
      <c r="DE1880" s="307"/>
    </row>
    <row r="1881">
      <c r="A1881" s="1"/>
      <c r="B1881" s="1"/>
      <c r="C1881" s="76"/>
      <c r="D1881" s="76"/>
      <c r="E1881" s="76"/>
      <c r="F1881" s="76"/>
      <c r="G1881" s="79"/>
      <c r="H1881" s="80"/>
      <c r="I1881" s="79"/>
      <c r="J1881" s="80"/>
      <c r="K1881" s="79"/>
      <c r="L1881" s="142"/>
      <c r="M1881" s="1"/>
      <c r="N1881" s="142"/>
      <c r="O1881" s="1"/>
      <c r="P1881" s="142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79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R1881" s="1"/>
      <c r="CS1881" s="1"/>
      <c r="CT1881" s="1"/>
      <c r="CU1881" s="1"/>
      <c r="CV1881" s="1"/>
      <c r="CW1881" s="1"/>
      <c r="CX1881" s="1"/>
      <c r="CY1881" s="91" t="str">
        <f t="shared" si="831"/>
        <v/>
      </c>
      <c r="CZ1881" s="1"/>
      <c r="DC1881" s="307"/>
      <c r="DE1881" s="307"/>
    </row>
    <row r="1882">
      <c r="A1882" s="1"/>
      <c r="B1882" s="1"/>
      <c r="C1882" s="76"/>
      <c r="D1882" s="76"/>
      <c r="E1882" s="76"/>
      <c r="F1882" s="76"/>
      <c r="G1882" s="79"/>
      <c r="H1882" s="80"/>
      <c r="I1882" s="79"/>
      <c r="J1882" s="80"/>
      <c r="K1882" s="79"/>
      <c r="L1882" s="142"/>
      <c r="M1882" s="1"/>
      <c r="N1882" s="142"/>
      <c r="O1882" s="1"/>
      <c r="P1882" s="142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79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R1882" s="1"/>
      <c r="CS1882" s="1"/>
      <c r="CT1882" s="1"/>
      <c r="CU1882" s="1"/>
      <c r="CV1882" s="1"/>
      <c r="CW1882" s="1"/>
      <c r="CX1882" s="1"/>
      <c r="CY1882" s="91" t="str">
        <f t="shared" si="831"/>
        <v/>
      </c>
      <c r="CZ1882" s="1"/>
      <c r="DC1882" s="307"/>
      <c r="DE1882" s="307"/>
    </row>
    <row r="1883">
      <c r="A1883" s="1"/>
      <c r="B1883" s="1"/>
      <c r="C1883" s="76"/>
      <c r="D1883" s="76"/>
      <c r="E1883" s="76"/>
      <c r="F1883" s="76"/>
      <c r="G1883" s="79"/>
      <c r="H1883" s="80"/>
      <c r="I1883" s="79"/>
      <c r="J1883" s="80"/>
      <c r="K1883" s="79"/>
      <c r="L1883" s="142"/>
      <c r="M1883" s="1"/>
      <c r="N1883" s="142"/>
      <c r="O1883" s="1"/>
      <c r="P1883" s="142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79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R1883" s="1"/>
      <c r="CS1883" s="1"/>
      <c r="CT1883" s="1"/>
      <c r="CU1883" s="1"/>
      <c r="CV1883" s="1"/>
      <c r="CW1883" s="1"/>
      <c r="CX1883" s="1"/>
      <c r="CY1883" s="91" t="str">
        <f t="shared" si="831"/>
        <v/>
      </c>
      <c r="CZ1883" s="1"/>
      <c r="DC1883" s="307"/>
      <c r="DE1883" s="307"/>
    </row>
    <row r="1884">
      <c r="A1884" s="1"/>
      <c r="B1884" s="1"/>
      <c r="C1884" s="76"/>
      <c r="D1884" s="76"/>
      <c r="E1884" s="76"/>
      <c r="F1884" s="76"/>
      <c r="G1884" s="79"/>
      <c r="H1884" s="80"/>
      <c r="I1884" s="79"/>
      <c r="J1884" s="80"/>
      <c r="K1884" s="79"/>
      <c r="L1884" s="142"/>
      <c r="M1884" s="1"/>
      <c r="N1884" s="142"/>
      <c r="O1884" s="1"/>
      <c r="P1884" s="142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79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R1884" s="1"/>
      <c r="CS1884" s="1"/>
      <c r="CT1884" s="1"/>
      <c r="CU1884" s="1"/>
      <c r="CV1884" s="1"/>
      <c r="CW1884" s="1"/>
      <c r="CX1884" s="1"/>
      <c r="CY1884" s="91" t="str">
        <f t="shared" si="831"/>
        <v/>
      </c>
      <c r="CZ1884" s="1"/>
      <c r="DC1884" s="307"/>
      <c r="DE1884" s="307"/>
    </row>
    <row r="1885">
      <c r="A1885" s="1"/>
      <c r="B1885" s="1"/>
      <c r="C1885" s="76"/>
      <c r="D1885" s="76"/>
      <c r="E1885" s="76"/>
      <c r="F1885" s="76"/>
      <c r="G1885" s="79"/>
      <c r="H1885" s="80"/>
      <c r="I1885" s="79"/>
      <c r="J1885" s="80"/>
      <c r="K1885" s="79"/>
      <c r="L1885" s="142"/>
      <c r="M1885" s="1"/>
      <c r="N1885" s="142"/>
      <c r="O1885" s="1"/>
      <c r="P1885" s="142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79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R1885" s="1"/>
      <c r="CS1885" s="1"/>
      <c r="CT1885" s="1"/>
      <c r="CU1885" s="1"/>
      <c r="CV1885" s="1"/>
      <c r="CW1885" s="1"/>
      <c r="CX1885" s="1"/>
      <c r="CY1885" s="91" t="str">
        <f t="shared" si="831"/>
        <v/>
      </c>
      <c r="CZ1885" s="1"/>
      <c r="DC1885" s="307"/>
      <c r="DE1885" s="307"/>
    </row>
    <row r="1886">
      <c r="A1886" s="1"/>
      <c r="B1886" s="1"/>
      <c r="C1886" s="76"/>
      <c r="D1886" s="76"/>
      <c r="E1886" s="76"/>
      <c r="F1886" s="76"/>
      <c r="G1886" s="79"/>
      <c r="H1886" s="80"/>
      <c r="I1886" s="79"/>
      <c r="J1886" s="80"/>
      <c r="K1886" s="79"/>
      <c r="L1886" s="142"/>
      <c r="M1886" s="1"/>
      <c r="N1886" s="142"/>
      <c r="O1886" s="1"/>
      <c r="P1886" s="142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79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R1886" s="1"/>
      <c r="CS1886" s="1"/>
      <c r="CT1886" s="1"/>
      <c r="CU1886" s="1"/>
      <c r="CV1886" s="1"/>
      <c r="CW1886" s="1"/>
      <c r="CX1886" s="1"/>
      <c r="CY1886" s="91" t="str">
        <f t="shared" si="831"/>
        <v/>
      </c>
      <c r="CZ1886" s="1"/>
      <c r="DC1886" s="307"/>
      <c r="DE1886" s="307"/>
    </row>
    <row r="1887">
      <c r="A1887" s="1"/>
      <c r="B1887" s="1"/>
      <c r="C1887" s="76"/>
      <c r="D1887" s="76"/>
      <c r="E1887" s="76"/>
      <c r="F1887" s="76"/>
      <c r="G1887" s="79"/>
      <c r="H1887" s="80"/>
      <c r="I1887" s="79"/>
      <c r="J1887" s="80"/>
      <c r="K1887" s="79"/>
      <c r="L1887" s="142"/>
      <c r="M1887" s="1"/>
      <c r="N1887" s="142"/>
      <c r="O1887" s="1"/>
      <c r="P1887" s="142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79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R1887" s="1"/>
      <c r="CS1887" s="1"/>
      <c r="CT1887" s="1"/>
      <c r="CU1887" s="1"/>
      <c r="CV1887" s="1"/>
      <c r="CW1887" s="1"/>
      <c r="CX1887" s="1"/>
      <c r="CY1887" s="91" t="str">
        <f t="shared" si="831"/>
        <v/>
      </c>
      <c r="CZ1887" s="1"/>
      <c r="DC1887" s="307"/>
      <c r="DE1887" s="307"/>
    </row>
    <row r="1888">
      <c r="A1888" s="1"/>
      <c r="B1888" s="1"/>
      <c r="C1888" s="76"/>
      <c r="D1888" s="76"/>
      <c r="E1888" s="76"/>
      <c r="F1888" s="76"/>
      <c r="G1888" s="79"/>
      <c r="H1888" s="80"/>
      <c r="I1888" s="79"/>
      <c r="J1888" s="80"/>
      <c r="K1888" s="79"/>
      <c r="L1888" s="142"/>
      <c r="M1888" s="1"/>
      <c r="N1888" s="142"/>
      <c r="O1888" s="1"/>
      <c r="P1888" s="142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79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R1888" s="1"/>
      <c r="CS1888" s="1"/>
      <c r="CT1888" s="1"/>
      <c r="CU1888" s="1"/>
      <c r="CV1888" s="1"/>
      <c r="CW1888" s="1"/>
      <c r="CX1888" s="1"/>
      <c r="CY1888" s="91" t="str">
        <f t="shared" si="831"/>
        <v/>
      </c>
      <c r="CZ1888" s="1"/>
      <c r="DC1888" s="307"/>
      <c r="DE1888" s="307"/>
    </row>
    <row r="1889">
      <c r="A1889" s="1"/>
      <c r="B1889" s="1"/>
      <c r="C1889" s="76"/>
      <c r="D1889" s="76"/>
      <c r="E1889" s="76"/>
      <c r="F1889" s="76"/>
      <c r="G1889" s="79"/>
      <c r="H1889" s="80"/>
      <c r="I1889" s="79"/>
      <c r="J1889" s="80"/>
      <c r="K1889" s="79"/>
      <c r="L1889" s="142"/>
      <c r="M1889" s="1"/>
      <c r="N1889" s="142"/>
      <c r="O1889" s="1"/>
      <c r="P1889" s="142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79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R1889" s="1"/>
      <c r="CS1889" s="1"/>
      <c r="CT1889" s="1"/>
      <c r="CU1889" s="1"/>
      <c r="CV1889" s="1"/>
      <c r="CW1889" s="1"/>
      <c r="CX1889" s="1"/>
      <c r="CY1889" s="91" t="str">
        <f t="shared" si="831"/>
        <v/>
      </c>
      <c r="CZ1889" s="1"/>
      <c r="DC1889" s="307"/>
      <c r="DE1889" s="307"/>
    </row>
    <row r="1890">
      <c r="A1890" s="1"/>
      <c r="B1890" s="1"/>
      <c r="C1890" s="76"/>
      <c r="D1890" s="76"/>
      <c r="E1890" s="76"/>
      <c r="F1890" s="76"/>
      <c r="G1890" s="79"/>
      <c r="H1890" s="80"/>
      <c r="I1890" s="79"/>
      <c r="J1890" s="80"/>
      <c r="K1890" s="79"/>
      <c r="L1890" s="142"/>
      <c r="M1890" s="1"/>
      <c r="N1890" s="142"/>
      <c r="O1890" s="1"/>
      <c r="P1890" s="142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79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R1890" s="1"/>
      <c r="CS1890" s="1"/>
      <c r="CT1890" s="1"/>
      <c r="CU1890" s="1"/>
      <c r="CV1890" s="1"/>
      <c r="CW1890" s="1"/>
      <c r="CX1890" s="1"/>
      <c r="CY1890" s="91" t="str">
        <f t="shared" si="831"/>
        <v/>
      </c>
      <c r="CZ1890" s="1"/>
      <c r="DC1890" s="307"/>
      <c r="DE1890" s="307"/>
    </row>
    <row r="1891">
      <c r="A1891" s="1"/>
      <c r="B1891" s="1"/>
      <c r="C1891" s="76"/>
      <c r="D1891" s="76"/>
      <c r="E1891" s="76"/>
      <c r="F1891" s="76"/>
      <c r="G1891" s="79"/>
      <c r="H1891" s="80"/>
      <c r="I1891" s="79"/>
      <c r="J1891" s="80"/>
      <c r="K1891" s="79"/>
      <c r="L1891" s="142"/>
      <c r="M1891" s="1"/>
      <c r="N1891" s="142"/>
      <c r="O1891" s="1"/>
      <c r="P1891" s="142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79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R1891" s="1"/>
      <c r="CS1891" s="1"/>
      <c r="CT1891" s="1"/>
      <c r="CU1891" s="1"/>
      <c r="CV1891" s="1"/>
      <c r="CW1891" s="1"/>
      <c r="CX1891" s="1"/>
      <c r="CY1891" s="91" t="str">
        <f t="shared" si="831"/>
        <v/>
      </c>
      <c r="CZ1891" s="1"/>
      <c r="DC1891" s="307"/>
      <c r="DE1891" s="307"/>
    </row>
    <row r="1892">
      <c r="A1892" s="1"/>
      <c r="B1892" s="1"/>
      <c r="C1892" s="76"/>
      <c r="D1892" s="76"/>
      <c r="E1892" s="76"/>
      <c r="F1892" s="76"/>
      <c r="G1892" s="79"/>
      <c r="H1892" s="80"/>
      <c r="I1892" s="79"/>
      <c r="J1892" s="80"/>
      <c r="K1892" s="79"/>
      <c r="L1892" s="142"/>
      <c r="M1892" s="1"/>
      <c r="N1892" s="142"/>
      <c r="O1892" s="1"/>
      <c r="P1892" s="142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79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R1892" s="1"/>
      <c r="CS1892" s="1"/>
      <c r="CT1892" s="1"/>
      <c r="CU1892" s="1"/>
      <c r="CV1892" s="1"/>
      <c r="CW1892" s="1"/>
      <c r="CX1892" s="1"/>
      <c r="CY1892" s="91" t="str">
        <f t="shared" si="831"/>
        <v/>
      </c>
      <c r="CZ1892" s="1"/>
      <c r="DC1892" s="307"/>
      <c r="DE1892" s="307"/>
    </row>
    <row r="1893">
      <c r="A1893" s="1"/>
      <c r="B1893" s="1"/>
      <c r="C1893" s="76"/>
      <c r="D1893" s="76"/>
      <c r="E1893" s="76"/>
      <c r="F1893" s="76"/>
      <c r="G1893" s="79"/>
      <c r="H1893" s="80"/>
      <c r="I1893" s="79"/>
      <c r="J1893" s="80"/>
      <c r="K1893" s="79"/>
      <c r="L1893" s="142"/>
      <c r="M1893" s="1"/>
      <c r="N1893" s="142"/>
      <c r="O1893" s="1"/>
      <c r="P1893" s="142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79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R1893" s="1"/>
      <c r="CS1893" s="1"/>
      <c r="CT1893" s="1"/>
      <c r="CU1893" s="1"/>
      <c r="CV1893" s="1"/>
      <c r="CW1893" s="1"/>
      <c r="CX1893" s="1"/>
      <c r="CY1893" s="91" t="str">
        <f t="shared" si="831"/>
        <v/>
      </c>
      <c r="CZ1893" s="1"/>
      <c r="DC1893" s="307"/>
      <c r="DE1893" s="307"/>
    </row>
    <row r="1894">
      <c r="A1894" s="1"/>
      <c r="B1894" s="1"/>
      <c r="C1894" s="76"/>
      <c r="D1894" s="76"/>
      <c r="E1894" s="76"/>
      <c r="F1894" s="76"/>
      <c r="G1894" s="79"/>
      <c r="H1894" s="80"/>
      <c r="I1894" s="79"/>
      <c r="J1894" s="80"/>
      <c r="K1894" s="79"/>
      <c r="L1894" s="142"/>
      <c r="M1894" s="1"/>
      <c r="N1894" s="142"/>
      <c r="O1894" s="1"/>
      <c r="P1894" s="142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79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R1894" s="1"/>
      <c r="CS1894" s="1"/>
      <c r="CT1894" s="1"/>
      <c r="CU1894" s="1"/>
      <c r="CV1894" s="1"/>
      <c r="CW1894" s="1"/>
      <c r="CX1894" s="1"/>
      <c r="CY1894" s="91" t="str">
        <f t="shared" si="831"/>
        <v/>
      </c>
      <c r="CZ1894" s="1"/>
      <c r="DC1894" s="307"/>
      <c r="DE1894" s="307"/>
    </row>
    <row r="1895">
      <c r="A1895" s="1"/>
      <c r="B1895" s="1"/>
      <c r="C1895" s="76"/>
      <c r="D1895" s="76"/>
      <c r="E1895" s="76"/>
      <c r="F1895" s="76"/>
      <c r="G1895" s="79"/>
      <c r="H1895" s="80"/>
      <c r="I1895" s="79"/>
      <c r="J1895" s="80"/>
      <c r="K1895" s="79"/>
      <c r="L1895" s="142"/>
      <c r="M1895" s="1"/>
      <c r="N1895" s="142"/>
      <c r="O1895" s="1"/>
      <c r="P1895" s="142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79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R1895" s="1"/>
      <c r="CS1895" s="1"/>
      <c r="CT1895" s="1"/>
      <c r="CU1895" s="1"/>
      <c r="CV1895" s="1"/>
      <c r="CW1895" s="1"/>
      <c r="CX1895" s="1"/>
      <c r="CY1895" s="91" t="str">
        <f t="shared" si="831"/>
        <v/>
      </c>
      <c r="CZ1895" s="1"/>
      <c r="DC1895" s="307"/>
      <c r="DE1895" s="307"/>
    </row>
    <row r="1896">
      <c r="A1896" s="1"/>
      <c r="B1896" s="1"/>
      <c r="C1896" s="76"/>
      <c r="D1896" s="76"/>
      <c r="E1896" s="76"/>
      <c r="F1896" s="76"/>
      <c r="G1896" s="79"/>
      <c r="H1896" s="80"/>
      <c r="I1896" s="79"/>
      <c r="J1896" s="80"/>
      <c r="K1896" s="79"/>
      <c r="L1896" s="142"/>
      <c r="M1896" s="1"/>
      <c r="N1896" s="142"/>
      <c r="O1896" s="1"/>
      <c r="P1896" s="142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79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R1896" s="1"/>
      <c r="CS1896" s="1"/>
      <c r="CT1896" s="1"/>
      <c r="CU1896" s="1"/>
      <c r="CV1896" s="1"/>
      <c r="CW1896" s="1"/>
      <c r="CX1896" s="1"/>
      <c r="CY1896" s="91" t="str">
        <f t="shared" si="831"/>
        <v/>
      </c>
      <c r="CZ1896" s="1"/>
      <c r="DC1896" s="307"/>
      <c r="DE1896" s="307"/>
    </row>
    <row r="1897">
      <c r="A1897" s="1"/>
      <c r="B1897" s="1"/>
      <c r="C1897" s="76"/>
      <c r="D1897" s="76"/>
      <c r="E1897" s="76"/>
      <c r="F1897" s="76"/>
      <c r="G1897" s="79"/>
      <c r="H1897" s="80"/>
      <c r="I1897" s="79"/>
      <c r="J1897" s="80"/>
      <c r="K1897" s="79"/>
      <c r="L1897" s="142"/>
      <c r="M1897" s="1"/>
      <c r="N1897" s="142"/>
      <c r="O1897" s="1"/>
      <c r="P1897" s="142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79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R1897" s="1"/>
      <c r="CS1897" s="1"/>
      <c r="CT1897" s="1"/>
      <c r="CU1897" s="1"/>
      <c r="CV1897" s="1"/>
      <c r="CW1897" s="1"/>
      <c r="CX1897" s="1"/>
      <c r="CY1897" s="91" t="str">
        <f t="shared" si="831"/>
        <v/>
      </c>
      <c r="CZ1897" s="1"/>
      <c r="DC1897" s="307"/>
      <c r="DE1897" s="307"/>
    </row>
    <row r="1898">
      <c r="A1898" s="1"/>
      <c r="B1898" s="1"/>
      <c r="C1898" s="76"/>
      <c r="D1898" s="76"/>
      <c r="E1898" s="76"/>
      <c r="F1898" s="76"/>
      <c r="G1898" s="79"/>
      <c r="H1898" s="80"/>
      <c r="I1898" s="79"/>
      <c r="J1898" s="80"/>
      <c r="K1898" s="79"/>
      <c r="L1898" s="142"/>
      <c r="M1898" s="1"/>
      <c r="N1898" s="142"/>
      <c r="O1898" s="1"/>
      <c r="P1898" s="142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79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R1898" s="1"/>
      <c r="CS1898" s="1"/>
      <c r="CT1898" s="1"/>
      <c r="CU1898" s="1"/>
      <c r="CV1898" s="1"/>
      <c r="CW1898" s="1"/>
      <c r="CX1898" s="1"/>
      <c r="CY1898" s="91" t="str">
        <f t="shared" si="831"/>
        <v/>
      </c>
      <c r="CZ1898" s="1"/>
      <c r="DC1898" s="307"/>
      <c r="DE1898" s="307"/>
    </row>
    <row r="1899">
      <c r="A1899" s="1"/>
      <c r="B1899" s="1"/>
      <c r="C1899" s="76"/>
      <c r="D1899" s="76"/>
      <c r="E1899" s="76"/>
      <c r="F1899" s="76"/>
      <c r="G1899" s="79"/>
      <c r="H1899" s="80"/>
      <c r="I1899" s="79"/>
      <c r="J1899" s="80"/>
      <c r="K1899" s="79"/>
      <c r="L1899" s="142"/>
      <c r="M1899" s="1"/>
      <c r="N1899" s="142"/>
      <c r="O1899" s="1"/>
      <c r="P1899" s="142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79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R1899" s="1"/>
      <c r="CS1899" s="1"/>
      <c r="CT1899" s="1"/>
      <c r="CU1899" s="1"/>
      <c r="CV1899" s="1"/>
      <c r="CW1899" s="1"/>
      <c r="CX1899" s="1"/>
      <c r="CY1899" s="91" t="str">
        <f t="shared" si="831"/>
        <v/>
      </c>
      <c r="CZ1899" s="1"/>
      <c r="DC1899" s="307"/>
      <c r="DE1899" s="307"/>
    </row>
    <row r="1900">
      <c r="A1900" s="1"/>
      <c r="B1900" s="1"/>
      <c r="C1900" s="76"/>
      <c r="D1900" s="76"/>
      <c r="E1900" s="76"/>
      <c r="F1900" s="76"/>
      <c r="G1900" s="79"/>
      <c r="H1900" s="80"/>
      <c r="I1900" s="79"/>
      <c r="J1900" s="80"/>
      <c r="K1900" s="79"/>
      <c r="L1900" s="142"/>
      <c r="M1900" s="1"/>
      <c r="N1900" s="142"/>
      <c r="O1900" s="1"/>
      <c r="P1900" s="142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79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R1900" s="1"/>
      <c r="CS1900" s="1"/>
      <c r="CT1900" s="1"/>
      <c r="CU1900" s="1"/>
      <c r="CV1900" s="1"/>
      <c r="CW1900" s="1"/>
      <c r="CX1900" s="1"/>
      <c r="CY1900" s="91" t="str">
        <f t="shared" si="831"/>
        <v/>
      </c>
      <c r="CZ1900" s="1"/>
      <c r="DC1900" s="307"/>
      <c r="DE1900" s="307"/>
    </row>
    <row r="1901">
      <c r="A1901" s="1"/>
      <c r="B1901" s="1"/>
      <c r="C1901" s="76"/>
      <c r="D1901" s="76"/>
      <c r="E1901" s="76"/>
      <c r="F1901" s="76"/>
      <c r="G1901" s="79"/>
      <c r="H1901" s="80"/>
      <c r="I1901" s="79"/>
      <c r="J1901" s="80"/>
      <c r="K1901" s="79"/>
      <c r="L1901" s="142"/>
      <c r="M1901" s="1"/>
      <c r="N1901" s="142"/>
      <c r="O1901" s="1"/>
      <c r="P1901" s="142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79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R1901" s="1"/>
      <c r="CS1901" s="1"/>
      <c r="CT1901" s="1"/>
      <c r="CU1901" s="1"/>
      <c r="CV1901" s="1"/>
      <c r="CW1901" s="1"/>
      <c r="CX1901" s="1"/>
      <c r="CY1901" s="91" t="str">
        <f t="shared" si="831"/>
        <v/>
      </c>
      <c r="CZ1901" s="1"/>
      <c r="DC1901" s="307"/>
      <c r="DE1901" s="307"/>
    </row>
    <row r="1902">
      <c r="A1902" s="1"/>
      <c r="B1902" s="1"/>
      <c r="C1902" s="76"/>
      <c r="D1902" s="76"/>
      <c r="E1902" s="76"/>
      <c r="F1902" s="76"/>
      <c r="G1902" s="79"/>
      <c r="H1902" s="80"/>
      <c r="I1902" s="79"/>
      <c r="J1902" s="80"/>
      <c r="K1902" s="79"/>
      <c r="L1902" s="142"/>
      <c r="M1902" s="1"/>
      <c r="N1902" s="142"/>
      <c r="O1902" s="1"/>
      <c r="P1902" s="142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79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R1902" s="1"/>
      <c r="CS1902" s="1"/>
      <c r="CT1902" s="1"/>
      <c r="CU1902" s="1"/>
      <c r="CV1902" s="1"/>
      <c r="CW1902" s="1"/>
      <c r="CX1902" s="1"/>
      <c r="CY1902" s="91" t="str">
        <f t="shared" si="831"/>
        <v/>
      </c>
      <c r="CZ1902" s="1"/>
      <c r="DC1902" s="307"/>
      <c r="DE1902" s="307"/>
    </row>
    <row r="1903">
      <c r="A1903" s="1"/>
      <c r="B1903" s="1"/>
      <c r="C1903" s="76"/>
      <c r="D1903" s="76"/>
      <c r="E1903" s="76"/>
      <c r="F1903" s="76"/>
      <c r="G1903" s="79"/>
      <c r="H1903" s="80"/>
      <c r="I1903" s="79"/>
      <c r="J1903" s="80"/>
      <c r="K1903" s="79"/>
      <c r="L1903" s="142"/>
      <c r="M1903" s="1"/>
      <c r="N1903" s="142"/>
      <c r="O1903" s="1"/>
      <c r="P1903" s="142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79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R1903" s="1"/>
      <c r="CS1903" s="1"/>
      <c r="CT1903" s="1"/>
      <c r="CU1903" s="1"/>
      <c r="CV1903" s="1"/>
      <c r="CW1903" s="1"/>
      <c r="CX1903" s="1"/>
      <c r="CY1903" s="91" t="str">
        <f t="shared" si="831"/>
        <v/>
      </c>
      <c r="CZ1903" s="1"/>
      <c r="DC1903" s="307"/>
      <c r="DE1903" s="307"/>
    </row>
    <row r="1904">
      <c r="A1904" s="1"/>
      <c r="B1904" s="1"/>
      <c r="C1904" s="76"/>
      <c r="D1904" s="76"/>
      <c r="E1904" s="76"/>
      <c r="F1904" s="76"/>
      <c r="G1904" s="79"/>
      <c r="H1904" s="80"/>
      <c r="I1904" s="79"/>
      <c r="J1904" s="80"/>
      <c r="K1904" s="79"/>
      <c r="L1904" s="142"/>
      <c r="M1904" s="1"/>
      <c r="N1904" s="142"/>
      <c r="O1904" s="1"/>
      <c r="P1904" s="142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79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R1904" s="1"/>
      <c r="CS1904" s="1"/>
      <c r="CT1904" s="1"/>
      <c r="CU1904" s="1"/>
      <c r="CV1904" s="1"/>
      <c r="CW1904" s="1"/>
      <c r="CX1904" s="1"/>
      <c r="CY1904" s="91" t="str">
        <f t="shared" si="831"/>
        <v/>
      </c>
      <c r="CZ1904" s="1"/>
      <c r="DC1904" s="307"/>
      <c r="DE1904" s="307"/>
    </row>
    <row r="1905">
      <c r="A1905" s="1"/>
      <c r="B1905" s="1"/>
      <c r="C1905" s="76"/>
      <c r="D1905" s="76"/>
      <c r="E1905" s="76"/>
      <c r="F1905" s="76"/>
      <c r="G1905" s="79"/>
      <c r="H1905" s="80"/>
      <c r="I1905" s="79"/>
      <c r="J1905" s="80"/>
      <c r="K1905" s="79"/>
      <c r="L1905" s="142"/>
      <c r="M1905" s="1"/>
      <c r="N1905" s="142"/>
      <c r="O1905" s="1"/>
      <c r="P1905" s="142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79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R1905" s="1"/>
      <c r="CS1905" s="1"/>
      <c r="CT1905" s="1"/>
      <c r="CU1905" s="1"/>
      <c r="CV1905" s="1"/>
      <c r="CW1905" s="1"/>
      <c r="CX1905" s="1"/>
      <c r="CY1905" s="91" t="str">
        <f t="shared" si="831"/>
        <v/>
      </c>
      <c r="CZ1905" s="1"/>
      <c r="DC1905" s="307"/>
      <c r="DE1905" s="307"/>
    </row>
    <row r="1906">
      <c r="A1906" s="1"/>
      <c r="B1906" s="1"/>
      <c r="C1906" s="76"/>
      <c r="D1906" s="76"/>
      <c r="E1906" s="76"/>
      <c r="F1906" s="76"/>
      <c r="G1906" s="79"/>
      <c r="H1906" s="80"/>
      <c r="I1906" s="79"/>
      <c r="J1906" s="80"/>
      <c r="K1906" s="79"/>
      <c r="L1906" s="142"/>
      <c r="M1906" s="1"/>
      <c r="N1906" s="142"/>
      <c r="O1906" s="1"/>
      <c r="P1906" s="142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79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R1906" s="1"/>
      <c r="CS1906" s="1"/>
      <c r="CT1906" s="1"/>
      <c r="CU1906" s="1"/>
      <c r="CV1906" s="1"/>
      <c r="CW1906" s="1"/>
      <c r="CX1906" s="1"/>
      <c r="CY1906" s="91" t="str">
        <f t="shared" si="831"/>
        <v/>
      </c>
      <c r="CZ1906" s="1"/>
      <c r="DC1906" s="307"/>
      <c r="DE1906" s="307"/>
    </row>
    <row r="1907">
      <c r="A1907" s="1"/>
      <c r="B1907" s="1"/>
      <c r="C1907" s="76"/>
      <c r="D1907" s="76"/>
      <c r="E1907" s="76"/>
      <c r="F1907" s="76"/>
      <c r="G1907" s="79"/>
      <c r="H1907" s="80"/>
      <c r="I1907" s="79"/>
      <c r="J1907" s="80"/>
      <c r="K1907" s="79"/>
      <c r="L1907" s="142"/>
      <c r="M1907" s="1"/>
      <c r="N1907" s="142"/>
      <c r="O1907" s="1"/>
      <c r="P1907" s="142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79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R1907" s="1"/>
      <c r="CS1907" s="1"/>
      <c r="CT1907" s="1"/>
      <c r="CU1907" s="1"/>
      <c r="CV1907" s="1"/>
      <c r="CW1907" s="1"/>
      <c r="CX1907" s="1"/>
      <c r="CY1907" s="91" t="str">
        <f t="shared" si="831"/>
        <v/>
      </c>
      <c r="CZ1907" s="1"/>
      <c r="DC1907" s="307"/>
      <c r="DE1907" s="307"/>
    </row>
    <row r="1908">
      <c r="A1908" s="1"/>
      <c r="B1908" s="1"/>
      <c r="C1908" s="76"/>
      <c r="D1908" s="76"/>
      <c r="E1908" s="76"/>
      <c r="F1908" s="76"/>
      <c r="G1908" s="79"/>
      <c r="H1908" s="80"/>
      <c r="I1908" s="79"/>
      <c r="J1908" s="80"/>
      <c r="K1908" s="79"/>
      <c r="L1908" s="142"/>
      <c r="M1908" s="1"/>
      <c r="N1908" s="142"/>
      <c r="O1908" s="1"/>
      <c r="P1908" s="142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79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R1908" s="1"/>
      <c r="CS1908" s="1"/>
      <c r="CT1908" s="1"/>
      <c r="CU1908" s="1"/>
      <c r="CV1908" s="1"/>
      <c r="CW1908" s="1"/>
      <c r="CX1908" s="1"/>
      <c r="CY1908" s="91" t="str">
        <f t="shared" si="831"/>
        <v/>
      </c>
      <c r="CZ1908" s="1"/>
      <c r="DC1908" s="307"/>
      <c r="DE1908" s="307"/>
    </row>
    <row r="1909">
      <c r="A1909" s="1"/>
      <c r="B1909" s="1"/>
      <c r="C1909" s="76"/>
      <c r="D1909" s="76"/>
      <c r="E1909" s="76"/>
      <c r="F1909" s="76"/>
      <c r="G1909" s="79"/>
      <c r="H1909" s="80"/>
      <c r="I1909" s="79"/>
      <c r="J1909" s="80"/>
      <c r="K1909" s="79"/>
      <c r="L1909" s="142"/>
      <c r="M1909" s="1"/>
      <c r="N1909" s="142"/>
      <c r="O1909" s="1"/>
      <c r="P1909" s="142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79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R1909" s="1"/>
      <c r="CS1909" s="1"/>
      <c r="CT1909" s="1"/>
      <c r="CU1909" s="1"/>
      <c r="CV1909" s="1"/>
      <c r="CW1909" s="1"/>
      <c r="CX1909" s="1"/>
      <c r="CY1909" s="91" t="str">
        <f t="shared" si="831"/>
        <v/>
      </c>
      <c r="CZ1909" s="1"/>
      <c r="DC1909" s="307"/>
      <c r="DE1909" s="307"/>
    </row>
    <row r="1910">
      <c r="A1910" s="1"/>
      <c r="B1910" s="1"/>
      <c r="C1910" s="76"/>
      <c r="D1910" s="76"/>
      <c r="E1910" s="76"/>
      <c r="F1910" s="76"/>
      <c r="G1910" s="79"/>
      <c r="H1910" s="80"/>
      <c r="I1910" s="79"/>
      <c r="J1910" s="80"/>
      <c r="K1910" s="79"/>
      <c r="L1910" s="142"/>
      <c r="M1910" s="1"/>
      <c r="N1910" s="142"/>
      <c r="O1910" s="1"/>
      <c r="P1910" s="142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79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R1910" s="1"/>
      <c r="CS1910" s="1"/>
      <c r="CT1910" s="1"/>
      <c r="CU1910" s="1"/>
      <c r="CV1910" s="1"/>
      <c r="CW1910" s="1"/>
      <c r="CX1910" s="1"/>
      <c r="CY1910" s="91" t="str">
        <f t="shared" si="831"/>
        <v/>
      </c>
      <c r="CZ1910" s="1"/>
      <c r="DC1910" s="307"/>
      <c r="DE1910" s="307"/>
    </row>
    <row r="1911">
      <c r="A1911" s="1"/>
      <c r="B1911" s="1"/>
      <c r="C1911" s="76"/>
      <c r="D1911" s="76"/>
      <c r="E1911" s="76"/>
      <c r="F1911" s="76"/>
      <c r="G1911" s="79"/>
      <c r="H1911" s="80"/>
      <c r="I1911" s="79"/>
      <c r="J1911" s="80"/>
      <c r="K1911" s="79"/>
      <c r="L1911" s="142"/>
      <c r="M1911" s="1"/>
      <c r="N1911" s="142"/>
      <c r="O1911" s="1"/>
      <c r="P1911" s="142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79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R1911" s="1"/>
      <c r="CS1911" s="1"/>
      <c r="CT1911" s="1"/>
      <c r="CU1911" s="1"/>
      <c r="CV1911" s="1"/>
      <c r="CW1911" s="1"/>
      <c r="CX1911" s="1"/>
      <c r="CY1911" s="91" t="str">
        <f t="shared" si="831"/>
        <v/>
      </c>
      <c r="CZ1911" s="1"/>
      <c r="DC1911" s="307"/>
      <c r="DE1911" s="307"/>
    </row>
    <row r="1912">
      <c r="A1912" s="1"/>
      <c r="B1912" s="1"/>
      <c r="C1912" s="76"/>
      <c r="D1912" s="76"/>
      <c r="E1912" s="76"/>
      <c r="F1912" s="76"/>
      <c r="G1912" s="79"/>
      <c r="H1912" s="80"/>
      <c r="I1912" s="79"/>
      <c r="J1912" s="80"/>
      <c r="K1912" s="79"/>
      <c r="L1912" s="142"/>
      <c r="M1912" s="1"/>
      <c r="N1912" s="142"/>
      <c r="O1912" s="1"/>
      <c r="P1912" s="142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79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R1912" s="1"/>
      <c r="CS1912" s="1"/>
      <c r="CT1912" s="1"/>
      <c r="CU1912" s="1"/>
      <c r="CV1912" s="1"/>
      <c r="CW1912" s="1"/>
      <c r="CX1912" s="1"/>
      <c r="CY1912" s="91" t="str">
        <f t="shared" si="831"/>
        <v/>
      </c>
      <c r="CZ1912" s="1"/>
      <c r="DC1912" s="307"/>
      <c r="DE1912" s="307"/>
    </row>
    <row r="1913">
      <c r="A1913" s="1"/>
      <c r="B1913" s="1"/>
      <c r="C1913" s="76"/>
      <c r="D1913" s="76"/>
      <c r="E1913" s="76"/>
      <c r="F1913" s="76"/>
      <c r="G1913" s="79"/>
      <c r="H1913" s="80"/>
      <c r="I1913" s="79"/>
      <c r="J1913" s="80"/>
      <c r="K1913" s="79"/>
      <c r="L1913" s="142"/>
      <c r="M1913" s="1"/>
      <c r="N1913" s="142"/>
      <c r="O1913" s="1"/>
      <c r="P1913" s="142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79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R1913" s="1"/>
      <c r="CS1913" s="1"/>
      <c r="CT1913" s="1"/>
      <c r="CU1913" s="1"/>
      <c r="CV1913" s="1"/>
      <c r="CW1913" s="1"/>
      <c r="CX1913" s="1"/>
      <c r="CY1913" s="91" t="str">
        <f t="shared" si="831"/>
        <v/>
      </c>
      <c r="CZ1913" s="1"/>
      <c r="DC1913" s="307"/>
      <c r="DE1913" s="307"/>
    </row>
    <row r="1914">
      <c r="A1914" s="1"/>
      <c r="B1914" s="1"/>
      <c r="C1914" s="76"/>
      <c r="D1914" s="76"/>
      <c r="E1914" s="76"/>
      <c r="F1914" s="76"/>
      <c r="G1914" s="79"/>
      <c r="H1914" s="80"/>
      <c r="I1914" s="79"/>
      <c r="J1914" s="80"/>
      <c r="K1914" s="79"/>
      <c r="L1914" s="142"/>
      <c r="M1914" s="1"/>
      <c r="N1914" s="142"/>
      <c r="O1914" s="1"/>
      <c r="P1914" s="142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79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R1914" s="1"/>
      <c r="CS1914" s="1"/>
      <c r="CT1914" s="1"/>
      <c r="CU1914" s="1"/>
      <c r="CV1914" s="1"/>
      <c r="CW1914" s="1"/>
      <c r="CX1914" s="1"/>
      <c r="CY1914" s="91" t="str">
        <f t="shared" si="831"/>
        <v/>
      </c>
      <c r="CZ1914" s="1"/>
      <c r="DC1914" s="307"/>
      <c r="DE1914" s="307"/>
    </row>
    <row r="1915">
      <c r="A1915" s="1"/>
      <c r="B1915" s="1"/>
      <c r="C1915" s="76"/>
      <c r="D1915" s="76"/>
      <c r="E1915" s="76"/>
      <c r="F1915" s="76"/>
      <c r="G1915" s="79"/>
      <c r="H1915" s="80"/>
      <c r="I1915" s="79"/>
      <c r="J1915" s="80"/>
      <c r="K1915" s="79"/>
      <c r="L1915" s="142"/>
      <c r="M1915" s="1"/>
      <c r="N1915" s="142"/>
      <c r="O1915" s="1"/>
      <c r="P1915" s="142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79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R1915" s="1"/>
      <c r="CS1915" s="1"/>
      <c r="CT1915" s="1"/>
      <c r="CU1915" s="1"/>
      <c r="CV1915" s="1"/>
      <c r="CW1915" s="1"/>
      <c r="CX1915" s="1"/>
      <c r="CY1915" s="91" t="str">
        <f t="shared" si="831"/>
        <v/>
      </c>
      <c r="CZ1915" s="1"/>
      <c r="DC1915" s="307"/>
      <c r="DE1915" s="307"/>
    </row>
    <row r="1916">
      <c r="A1916" s="1"/>
      <c r="B1916" s="1"/>
      <c r="C1916" s="76"/>
      <c r="D1916" s="76"/>
      <c r="E1916" s="76"/>
      <c r="F1916" s="76"/>
      <c r="G1916" s="79"/>
      <c r="H1916" s="80"/>
      <c r="I1916" s="79"/>
      <c r="J1916" s="80"/>
      <c r="K1916" s="79"/>
      <c r="L1916" s="142"/>
      <c r="M1916" s="1"/>
      <c r="N1916" s="142"/>
      <c r="O1916" s="1"/>
      <c r="P1916" s="142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79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R1916" s="1"/>
      <c r="CS1916" s="1"/>
      <c r="CT1916" s="1"/>
      <c r="CU1916" s="1"/>
      <c r="CV1916" s="1"/>
      <c r="CW1916" s="1"/>
      <c r="CX1916" s="1"/>
      <c r="CY1916" s="91" t="str">
        <f t="shared" si="831"/>
        <v/>
      </c>
      <c r="CZ1916" s="1"/>
      <c r="DC1916" s="307"/>
      <c r="DE1916" s="307"/>
    </row>
    <row r="1917">
      <c r="A1917" s="1"/>
      <c r="B1917" s="1"/>
      <c r="C1917" s="76"/>
      <c r="D1917" s="76"/>
      <c r="E1917" s="76"/>
      <c r="F1917" s="76"/>
      <c r="G1917" s="79"/>
      <c r="H1917" s="80"/>
      <c r="I1917" s="79"/>
      <c r="J1917" s="80"/>
      <c r="K1917" s="79"/>
      <c r="L1917" s="142"/>
      <c r="M1917" s="1"/>
      <c r="N1917" s="142"/>
      <c r="O1917" s="1"/>
      <c r="P1917" s="142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79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R1917" s="1"/>
      <c r="CS1917" s="1"/>
      <c r="CT1917" s="1"/>
      <c r="CU1917" s="1"/>
      <c r="CV1917" s="1"/>
      <c r="CW1917" s="1"/>
      <c r="CX1917" s="1"/>
      <c r="CY1917" s="91" t="str">
        <f t="shared" si="831"/>
        <v/>
      </c>
      <c r="CZ1917" s="1"/>
      <c r="DC1917" s="307"/>
      <c r="DE1917" s="307"/>
    </row>
    <row r="1918">
      <c r="A1918" s="1"/>
      <c r="B1918" s="1"/>
      <c r="C1918" s="76"/>
      <c r="D1918" s="76"/>
      <c r="E1918" s="76"/>
      <c r="F1918" s="76"/>
      <c r="G1918" s="79"/>
      <c r="H1918" s="80"/>
      <c r="I1918" s="79"/>
      <c r="J1918" s="80"/>
      <c r="K1918" s="79"/>
      <c r="L1918" s="142"/>
      <c r="M1918" s="1"/>
      <c r="N1918" s="142"/>
      <c r="O1918" s="1"/>
      <c r="P1918" s="142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79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R1918" s="1"/>
      <c r="CS1918" s="1"/>
      <c r="CT1918" s="1"/>
      <c r="CU1918" s="1"/>
      <c r="CV1918" s="1"/>
      <c r="CW1918" s="1"/>
      <c r="CX1918" s="1"/>
      <c r="CY1918" s="91" t="str">
        <f t="shared" si="831"/>
        <v/>
      </c>
      <c r="CZ1918" s="1"/>
      <c r="DC1918" s="307"/>
      <c r="DE1918" s="307"/>
    </row>
    <row r="1919">
      <c r="A1919" s="1"/>
      <c r="B1919" s="1"/>
      <c r="C1919" s="76"/>
      <c r="D1919" s="76"/>
      <c r="E1919" s="76"/>
      <c r="F1919" s="76"/>
      <c r="G1919" s="79"/>
      <c r="H1919" s="80"/>
      <c r="I1919" s="79"/>
      <c r="J1919" s="80"/>
      <c r="K1919" s="79"/>
      <c r="L1919" s="142"/>
      <c r="M1919" s="1"/>
      <c r="N1919" s="142"/>
      <c r="O1919" s="1"/>
      <c r="P1919" s="142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79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R1919" s="1"/>
      <c r="CS1919" s="1"/>
      <c r="CT1919" s="1"/>
      <c r="CU1919" s="1"/>
      <c r="CV1919" s="1"/>
      <c r="CW1919" s="1"/>
      <c r="CX1919" s="1"/>
      <c r="CY1919" s="91" t="str">
        <f t="shared" si="831"/>
        <v/>
      </c>
      <c r="CZ1919" s="1"/>
      <c r="DC1919" s="307"/>
      <c r="DE1919" s="307"/>
    </row>
    <row r="1920">
      <c r="A1920" s="1"/>
      <c r="B1920" s="1"/>
      <c r="C1920" s="76"/>
      <c r="D1920" s="76"/>
      <c r="E1920" s="76"/>
      <c r="F1920" s="76"/>
      <c r="G1920" s="79"/>
      <c r="H1920" s="80"/>
      <c r="I1920" s="79"/>
      <c r="J1920" s="80"/>
      <c r="K1920" s="79"/>
      <c r="L1920" s="142"/>
      <c r="M1920" s="1"/>
      <c r="N1920" s="142"/>
      <c r="O1920" s="1"/>
      <c r="P1920" s="142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79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R1920" s="1"/>
      <c r="CS1920" s="1"/>
      <c r="CT1920" s="1"/>
      <c r="CU1920" s="1"/>
      <c r="CV1920" s="1"/>
      <c r="CW1920" s="1"/>
      <c r="CX1920" s="1"/>
      <c r="CY1920" s="91" t="str">
        <f t="shared" si="831"/>
        <v/>
      </c>
      <c r="CZ1920" s="1"/>
      <c r="DC1920" s="307"/>
      <c r="DE1920" s="307"/>
    </row>
    <row r="1921">
      <c r="A1921" s="1"/>
      <c r="B1921" s="1"/>
      <c r="C1921" s="76"/>
      <c r="D1921" s="76"/>
      <c r="E1921" s="76"/>
      <c r="F1921" s="76"/>
      <c r="G1921" s="79"/>
      <c r="H1921" s="80"/>
      <c r="I1921" s="79"/>
      <c r="J1921" s="80"/>
      <c r="K1921" s="79"/>
      <c r="L1921" s="142"/>
      <c r="M1921" s="1"/>
      <c r="N1921" s="142"/>
      <c r="O1921" s="1"/>
      <c r="P1921" s="142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79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R1921" s="1"/>
      <c r="CS1921" s="1"/>
      <c r="CT1921" s="1"/>
      <c r="CU1921" s="1"/>
      <c r="CV1921" s="1"/>
      <c r="CW1921" s="1"/>
      <c r="CX1921" s="1"/>
      <c r="CY1921" s="91" t="str">
        <f t="shared" si="831"/>
        <v/>
      </c>
      <c r="CZ1921" s="1"/>
      <c r="DC1921" s="307"/>
      <c r="DE1921" s="307"/>
    </row>
    <row r="1922">
      <c r="A1922" s="1"/>
      <c r="B1922" s="1"/>
      <c r="C1922" s="76"/>
      <c r="D1922" s="76"/>
      <c r="E1922" s="76"/>
      <c r="F1922" s="76"/>
      <c r="G1922" s="79"/>
      <c r="H1922" s="80"/>
      <c r="I1922" s="79"/>
      <c r="J1922" s="80"/>
      <c r="K1922" s="79"/>
      <c r="L1922" s="142"/>
      <c r="M1922" s="1"/>
      <c r="N1922" s="142"/>
      <c r="O1922" s="1"/>
      <c r="P1922" s="142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79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R1922" s="1"/>
      <c r="CS1922" s="1"/>
      <c r="CT1922" s="1"/>
      <c r="CU1922" s="1"/>
      <c r="CV1922" s="1"/>
      <c r="CW1922" s="1"/>
      <c r="CX1922" s="1"/>
      <c r="CY1922" s="91" t="str">
        <f t="shared" si="831"/>
        <v/>
      </c>
      <c r="CZ1922" s="1"/>
      <c r="DC1922" s="307"/>
      <c r="DE1922" s="307"/>
    </row>
    <row r="1923">
      <c r="A1923" s="1"/>
      <c r="B1923" s="1"/>
      <c r="C1923" s="76"/>
      <c r="D1923" s="76"/>
      <c r="E1923" s="76"/>
      <c r="F1923" s="76"/>
      <c r="G1923" s="79"/>
      <c r="H1923" s="80"/>
      <c r="I1923" s="79"/>
      <c r="J1923" s="80"/>
      <c r="K1923" s="79"/>
      <c r="L1923" s="142"/>
      <c r="M1923" s="1"/>
      <c r="N1923" s="142"/>
      <c r="O1923" s="1"/>
      <c r="P1923" s="142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79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R1923" s="1"/>
      <c r="CS1923" s="1"/>
      <c r="CT1923" s="1"/>
      <c r="CU1923" s="1"/>
      <c r="CV1923" s="1"/>
      <c r="CW1923" s="1"/>
      <c r="CX1923" s="1"/>
      <c r="CY1923" s="91" t="str">
        <f t="shared" si="831"/>
        <v/>
      </c>
      <c r="CZ1923" s="1"/>
      <c r="DC1923" s="307"/>
      <c r="DE1923" s="307"/>
    </row>
    <row r="1924">
      <c r="A1924" s="1"/>
      <c r="B1924" s="1"/>
      <c r="C1924" s="76"/>
      <c r="D1924" s="76"/>
      <c r="E1924" s="76"/>
      <c r="F1924" s="76"/>
      <c r="G1924" s="79"/>
      <c r="H1924" s="80"/>
      <c r="I1924" s="79"/>
      <c r="J1924" s="80"/>
      <c r="K1924" s="79"/>
      <c r="L1924" s="142"/>
      <c r="M1924" s="1"/>
      <c r="N1924" s="142"/>
      <c r="O1924" s="1"/>
      <c r="P1924" s="142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79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R1924" s="1"/>
      <c r="CS1924" s="1"/>
      <c r="CT1924" s="1"/>
      <c r="CU1924" s="1"/>
      <c r="CV1924" s="1"/>
      <c r="CW1924" s="1"/>
      <c r="CX1924" s="1"/>
      <c r="CY1924" s="91" t="str">
        <f t="shared" si="831"/>
        <v/>
      </c>
      <c r="CZ1924" s="1"/>
      <c r="DC1924" s="307"/>
      <c r="DE1924" s="307"/>
    </row>
    <row r="1925">
      <c r="A1925" s="1"/>
      <c r="B1925" s="1"/>
      <c r="C1925" s="76"/>
      <c r="D1925" s="76"/>
      <c r="E1925" s="76"/>
      <c r="F1925" s="76"/>
      <c r="G1925" s="79"/>
      <c r="H1925" s="80"/>
      <c r="I1925" s="79"/>
      <c r="J1925" s="80"/>
      <c r="K1925" s="79"/>
      <c r="L1925" s="142"/>
      <c r="M1925" s="1"/>
      <c r="N1925" s="142"/>
      <c r="O1925" s="1"/>
      <c r="P1925" s="142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79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R1925" s="1"/>
      <c r="CS1925" s="1"/>
      <c r="CT1925" s="1"/>
      <c r="CU1925" s="1"/>
      <c r="CV1925" s="1"/>
      <c r="CW1925" s="1"/>
      <c r="CX1925" s="1"/>
      <c r="CY1925" s="91" t="str">
        <f t="shared" si="831"/>
        <v/>
      </c>
      <c r="CZ1925" s="1"/>
      <c r="DC1925" s="307"/>
      <c r="DE1925" s="307"/>
    </row>
    <row r="1926">
      <c r="A1926" s="1"/>
      <c r="B1926" s="1"/>
      <c r="C1926" s="76"/>
      <c r="D1926" s="76"/>
      <c r="E1926" s="76"/>
      <c r="F1926" s="76"/>
      <c r="G1926" s="79"/>
      <c r="H1926" s="80"/>
      <c r="I1926" s="79"/>
      <c r="J1926" s="80"/>
      <c r="K1926" s="79"/>
      <c r="L1926" s="142"/>
      <c r="M1926" s="1"/>
      <c r="N1926" s="142"/>
      <c r="O1926" s="1"/>
      <c r="P1926" s="142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79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R1926" s="1"/>
      <c r="CS1926" s="1"/>
      <c r="CT1926" s="1"/>
      <c r="CU1926" s="1"/>
      <c r="CV1926" s="1"/>
      <c r="CW1926" s="1"/>
      <c r="CX1926" s="1"/>
      <c r="CY1926" s="91" t="str">
        <f t="shared" si="831"/>
        <v/>
      </c>
      <c r="CZ1926" s="1"/>
      <c r="DC1926" s="307"/>
      <c r="DE1926" s="307"/>
    </row>
    <row r="1927">
      <c r="A1927" s="1"/>
      <c r="B1927" s="1"/>
      <c r="C1927" s="76"/>
      <c r="D1927" s="76"/>
      <c r="E1927" s="76"/>
      <c r="F1927" s="76"/>
      <c r="G1927" s="79"/>
      <c r="H1927" s="80"/>
      <c r="I1927" s="79"/>
      <c r="J1927" s="80"/>
      <c r="K1927" s="79"/>
      <c r="L1927" s="142"/>
      <c r="M1927" s="1"/>
      <c r="N1927" s="142"/>
      <c r="O1927" s="1"/>
      <c r="P1927" s="142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79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R1927" s="1"/>
      <c r="CS1927" s="1"/>
      <c r="CT1927" s="1"/>
      <c r="CU1927" s="1"/>
      <c r="CV1927" s="1"/>
      <c r="CW1927" s="1"/>
      <c r="CX1927" s="1"/>
      <c r="CY1927" s="91" t="str">
        <f t="shared" si="831"/>
        <v/>
      </c>
      <c r="CZ1927" s="1"/>
      <c r="DC1927" s="307"/>
      <c r="DE1927" s="307"/>
    </row>
    <row r="1928">
      <c r="A1928" s="1"/>
      <c r="B1928" s="1"/>
      <c r="C1928" s="76"/>
      <c r="D1928" s="76"/>
      <c r="E1928" s="76"/>
      <c r="F1928" s="76"/>
      <c r="G1928" s="79"/>
      <c r="H1928" s="80"/>
      <c r="I1928" s="79"/>
      <c r="J1928" s="80"/>
      <c r="K1928" s="79"/>
      <c r="L1928" s="142"/>
      <c r="M1928" s="1"/>
      <c r="N1928" s="142"/>
      <c r="O1928" s="1"/>
      <c r="P1928" s="142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79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R1928" s="1"/>
      <c r="CS1928" s="1"/>
      <c r="CT1928" s="1"/>
      <c r="CU1928" s="1"/>
      <c r="CV1928" s="1"/>
      <c r="CW1928" s="1"/>
      <c r="CX1928" s="1"/>
      <c r="CY1928" s="91" t="str">
        <f t="shared" si="831"/>
        <v/>
      </c>
      <c r="CZ1928" s="1"/>
      <c r="DC1928" s="307"/>
      <c r="DE1928" s="307"/>
    </row>
    <row r="1929">
      <c r="A1929" s="1"/>
      <c r="B1929" s="1"/>
      <c r="C1929" s="76"/>
      <c r="D1929" s="76"/>
      <c r="E1929" s="76"/>
      <c r="F1929" s="76"/>
      <c r="G1929" s="79"/>
      <c r="H1929" s="80"/>
      <c r="I1929" s="79"/>
      <c r="J1929" s="80"/>
      <c r="K1929" s="79"/>
      <c r="L1929" s="142"/>
      <c r="M1929" s="1"/>
      <c r="N1929" s="142"/>
      <c r="O1929" s="1"/>
      <c r="P1929" s="142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79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R1929" s="1"/>
      <c r="CS1929" s="1"/>
      <c r="CT1929" s="1"/>
      <c r="CU1929" s="1"/>
      <c r="CV1929" s="1"/>
      <c r="CW1929" s="1"/>
      <c r="CX1929" s="1"/>
      <c r="CY1929" s="91" t="str">
        <f t="shared" si="831"/>
        <v/>
      </c>
      <c r="CZ1929" s="1"/>
      <c r="DC1929" s="307"/>
      <c r="DE1929" s="307"/>
    </row>
    <row r="1930">
      <c r="A1930" s="1"/>
      <c r="B1930" s="1"/>
      <c r="C1930" s="76"/>
      <c r="D1930" s="76"/>
      <c r="E1930" s="76"/>
      <c r="F1930" s="76"/>
      <c r="G1930" s="79"/>
      <c r="H1930" s="80"/>
      <c r="I1930" s="79"/>
      <c r="J1930" s="80"/>
      <c r="K1930" s="79"/>
      <c r="L1930" s="142"/>
      <c r="M1930" s="1"/>
      <c r="N1930" s="142"/>
      <c r="O1930" s="1"/>
      <c r="P1930" s="142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79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R1930" s="1"/>
      <c r="CS1930" s="1"/>
      <c r="CT1930" s="1"/>
      <c r="CU1930" s="1"/>
      <c r="CV1930" s="1"/>
      <c r="CW1930" s="1"/>
      <c r="CX1930" s="1"/>
      <c r="CY1930" s="91" t="str">
        <f t="shared" si="831"/>
        <v/>
      </c>
      <c r="CZ1930" s="1"/>
      <c r="DC1930" s="307"/>
      <c r="DE1930" s="307"/>
    </row>
    <row r="1931">
      <c r="A1931" s="1"/>
      <c r="B1931" s="1"/>
      <c r="C1931" s="76"/>
      <c r="D1931" s="76"/>
      <c r="E1931" s="76"/>
      <c r="F1931" s="76"/>
      <c r="G1931" s="79"/>
      <c r="H1931" s="80"/>
      <c r="I1931" s="79"/>
      <c r="J1931" s="80"/>
      <c r="K1931" s="79"/>
      <c r="L1931" s="142"/>
      <c r="M1931" s="1"/>
      <c r="N1931" s="142"/>
      <c r="O1931" s="1"/>
      <c r="P1931" s="142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79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R1931" s="1"/>
      <c r="CS1931" s="1"/>
      <c r="CT1931" s="1"/>
      <c r="CU1931" s="1"/>
      <c r="CV1931" s="1"/>
      <c r="CW1931" s="1"/>
      <c r="CX1931" s="1"/>
      <c r="CY1931" s="91" t="str">
        <f t="shared" si="831"/>
        <v/>
      </c>
      <c r="CZ1931" s="1"/>
      <c r="DC1931" s="307"/>
      <c r="DE1931" s="307"/>
    </row>
    <row r="1932">
      <c r="A1932" s="1"/>
      <c r="B1932" s="1"/>
      <c r="C1932" s="76"/>
      <c r="D1932" s="76"/>
      <c r="E1932" s="76"/>
      <c r="F1932" s="76"/>
      <c r="G1932" s="79"/>
      <c r="H1932" s="80"/>
      <c r="I1932" s="79"/>
      <c r="J1932" s="80"/>
      <c r="K1932" s="79"/>
      <c r="L1932" s="142"/>
      <c r="M1932" s="1"/>
      <c r="N1932" s="142"/>
      <c r="O1932" s="1"/>
      <c r="P1932" s="142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79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R1932" s="1"/>
      <c r="CS1932" s="1"/>
      <c r="CT1932" s="1"/>
      <c r="CU1932" s="1"/>
      <c r="CV1932" s="1"/>
      <c r="CW1932" s="1"/>
      <c r="CX1932" s="1"/>
      <c r="CY1932" s="91" t="str">
        <f t="shared" si="831"/>
        <v/>
      </c>
      <c r="CZ1932" s="1"/>
      <c r="DC1932" s="307"/>
      <c r="DE1932" s="307"/>
    </row>
    <row r="1933">
      <c r="A1933" s="1"/>
      <c r="B1933" s="1"/>
      <c r="C1933" s="76"/>
      <c r="D1933" s="76"/>
      <c r="E1933" s="76"/>
      <c r="F1933" s="76"/>
      <c r="G1933" s="79"/>
      <c r="H1933" s="80"/>
      <c r="I1933" s="79"/>
      <c r="J1933" s="80"/>
      <c r="K1933" s="79"/>
      <c r="L1933" s="142"/>
      <c r="M1933" s="1"/>
      <c r="N1933" s="142"/>
      <c r="O1933" s="1"/>
      <c r="P1933" s="142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79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R1933" s="1"/>
      <c r="CS1933" s="1"/>
      <c r="CT1933" s="1"/>
      <c r="CU1933" s="1"/>
      <c r="CV1933" s="1"/>
      <c r="CW1933" s="1"/>
      <c r="CX1933" s="1"/>
      <c r="CY1933" s="91" t="str">
        <f t="shared" si="831"/>
        <v/>
      </c>
      <c r="CZ1933" s="1"/>
      <c r="DC1933" s="307"/>
      <c r="DE1933" s="307"/>
    </row>
    <row r="1934">
      <c r="A1934" s="1"/>
      <c r="B1934" s="1"/>
      <c r="C1934" s="76"/>
      <c r="D1934" s="76"/>
      <c r="E1934" s="76"/>
      <c r="F1934" s="76"/>
      <c r="G1934" s="79"/>
      <c r="H1934" s="80"/>
      <c r="I1934" s="79"/>
      <c r="J1934" s="80"/>
      <c r="K1934" s="79"/>
      <c r="L1934" s="142"/>
      <c r="M1934" s="1"/>
      <c r="N1934" s="142"/>
      <c r="O1934" s="1"/>
      <c r="P1934" s="142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79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R1934" s="1"/>
      <c r="CS1934" s="1"/>
      <c r="CT1934" s="1"/>
      <c r="CU1934" s="1"/>
      <c r="CV1934" s="1"/>
      <c r="CW1934" s="1"/>
      <c r="CX1934" s="1"/>
      <c r="CY1934" s="91" t="str">
        <f t="shared" si="831"/>
        <v/>
      </c>
      <c r="CZ1934" s="1"/>
      <c r="DC1934" s="307"/>
      <c r="DE1934" s="307"/>
    </row>
    <row r="1935">
      <c r="A1935" s="1"/>
      <c r="B1935" s="1"/>
      <c r="C1935" s="76"/>
      <c r="D1935" s="76"/>
      <c r="E1935" s="76"/>
      <c r="F1935" s="76"/>
      <c r="G1935" s="79"/>
      <c r="H1935" s="80"/>
      <c r="I1935" s="79"/>
      <c r="J1935" s="80"/>
      <c r="K1935" s="79"/>
      <c r="L1935" s="142"/>
      <c r="M1935" s="1"/>
      <c r="N1935" s="142"/>
      <c r="O1935" s="1"/>
      <c r="P1935" s="142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79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R1935" s="1"/>
      <c r="CS1935" s="1"/>
      <c r="CT1935" s="1"/>
      <c r="CU1935" s="1"/>
      <c r="CV1935" s="1"/>
      <c r="CW1935" s="1"/>
      <c r="CX1935" s="1"/>
      <c r="CY1935" s="91" t="str">
        <f t="shared" si="831"/>
        <v/>
      </c>
      <c r="CZ1935" s="1"/>
      <c r="DC1935" s="307"/>
      <c r="DE1935" s="307"/>
    </row>
    <row r="1936">
      <c r="A1936" s="1"/>
      <c r="B1936" s="1"/>
      <c r="C1936" s="76"/>
      <c r="D1936" s="76"/>
      <c r="E1936" s="76"/>
      <c r="F1936" s="76"/>
      <c r="G1936" s="79"/>
      <c r="H1936" s="80"/>
      <c r="I1936" s="79"/>
      <c r="J1936" s="80"/>
      <c r="K1936" s="79"/>
      <c r="L1936" s="142"/>
      <c r="M1936" s="1"/>
      <c r="N1936" s="142"/>
      <c r="O1936" s="1"/>
      <c r="P1936" s="142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79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R1936" s="1"/>
      <c r="CS1936" s="1"/>
      <c r="CT1936" s="1"/>
      <c r="CU1936" s="1"/>
      <c r="CV1936" s="1"/>
      <c r="CW1936" s="1"/>
      <c r="CX1936" s="1"/>
      <c r="CY1936" s="91" t="str">
        <f t="shared" si="831"/>
        <v/>
      </c>
      <c r="CZ1936" s="1"/>
      <c r="DC1936" s="307"/>
      <c r="DE1936" s="307"/>
    </row>
    <row r="1937">
      <c r="A1937" s="1"/>
      <c r="B1937" s="1"/>
      <c r="C1937" s="76"/>
      <c r="D1937" s="76"/>
      <c r="E1937" s="76"/>
      <c r="F1937" s="76"/>
      <c r="G1937" s="79"/>
      <c r="H1937" s="80"/>
      <c r="I1937" s="79"/>
      <c r="J1937" s="80"/>
      <c r="K1937" s="79"/>
      <c r="L1937" s="142"/>
      <c r="M1937" s="1"/>
      <c r="N1937" s="142"/>
      <c r="O1937" s="1"/>
      <c r="P1937" s="142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79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R1937" s="1"/>
      <c r="CS1937" s="1"/>
      <c r="CT1937" s="1"/>
      <c r="CU1937" s="1"/>
      <c r="CV1937" s="1"/>
      <c r="CW1937" s="1"/>
      <c r="CX1937" s="1"/>
      <c r="CY1937" s="91" t="str">
        <f t="shared" si="831"/>
        <v/>
      </c>
      <c r="CZ1937" s="1"/>
      <c r="DC1937" s="307"/>
      <c r="DE1937" s="307"/>
    </row>
    <row r="1938">
      <c r="A1938" s="1"/>
      <c r="B1938" s="1"/>
      <c r="C1938" s="76"/>
      <c r="D1938" s="76"/>
      <c r="E1938" s="76"/>
      <c r="F1938" s="76"/>
      <c r="G1938" s="79"/>
      <c r="H1938" s="80"/>
      <c r="I1938" s="79"/>
      <c r="J1938" s="80"/>
      <c r="K1938" s="79"/>
      <c r="L1938" s="142"/>
      <c r="M1938" s="1"/>
      <c r="N1938" s="142"/>
      <c r="O1938" s="1"/>
      <c r="P1938" s="142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79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R1938" s="1"/>
      <c r="CS1938" s="1"/>
      <c r="CT1938" s="1"/>
      <c r="CU1938" s="1"/>
      <c r="CV1938" s="1"/>
      <c r="CW1938" s="1"/>
      <c r="CX1938" s="1"/>
      <c r="CY1938" s="91" t="str">
        <f t="shared" si="831"/>
        <v/>
      </c>
      <c r="CZ1938" s="1"/>
      <c r="DC1938" s="307"/>
      <c r="DE1938" s="307"/>
    </row>
    <row r="1939">
      <c r="A1939" s="1"/>
      <c r="B1939" s="1"/>
      <c r="C1939" s="76"/>
      <c r="D1939" s="76"/>
      <c r="E1939" s="76"/>
      <c r="F1939" s="76"/>
      <c r="G1939" s="79"/>
      <c r="H1939" s="80"/>
      <c r="I1939" s="79"/>
      <c r="J1939" s="80"/>
      <c r="K1939" s="79"/>
      <c r="L1939" s="142"/>
      <c r="M1939" s="1"/>
      <c r="N1939" s="142"/>
      <c r="O1939" s="1"/>
      <c r="P1939" s="142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79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R1939" s="1"/>
      <c r="CS1939" s="1"/>
      <c r="CT1939" s="1"/>
      <c r="CU1939" s="1"/>
      <c r="CV1939" s="1"/>
      <c r="CW1939" s="1"/>
      <c r="CX1939" s="1"/>
      <c r="CY1939" s="91" t="str">
        <f t="shared" si="831"/>
        <v/>
      </c>
      <c r="CZ1939" s="1"/>
      <c r="DC1939" s="307"/>
      <c r="DE1939" s="307"/>
    </row>
    <row r="1940">
      <c r="A1940" s="1"/>
      <c r="B1940" s="1"/>
      <c r="C1940" s="76"/>
      <c r="D1940" s="76"/>
      <c r="E1940" s="76"/>
      <c r="F1940" s="76"/>
      <c r="G1940" s="79"/>
      <c r="H1940" s="80"/>
      <c r="I1940" s="79"/>
      <c r="J1940" s="80"/>
      <c r="K1940" s="79"/>
      <c r="L1940" s="142"/>
      <c r="M1940" s="1"/>
      <c r="N1940" s="142"/>
      <c r="O1940" s="1"/>
      <c r="P1940" s="142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79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R1940" s="1"/>
      <c r="CS1940" s="1"/>
      <c r="CT1940" s="1"/>
      <c r="CU1940" s="1"/>
      <c r="CV1940" s="1"/>
      <c r="CW1940" s="1"/>
      <c r="CX1940" s="1"/>
      <c r="CY1940" s="91" t="str">
        <f t="shared" si="831"/>
        <v/>
      </c>
      <c r="CZ1940" s="1"/>
      <c r="DC1940" s="307"/>
      <c r="DE1940" s="307"/>
    </row>
    <row r="1941">
      <c r="A1941" s="1"/>
      <c r="B1941" s="1"/>
      <c r="C1941" s="76"/>
      <c r="D1941" s="76"/>
      <c r="E1941" s="76"/>
      <c r="F1941" s="76"/>
      <c r="G1941" s="79"/>
      <c r="H1941" s="80"/>
      <c r="I1941" s="79"/>
      <c r="J1941" s="80"/>
      <c r="K1941" s="79"/>
      <c r="L1941" s="142"/>
      <c r="M1941" s="1"/>
      <c r="N1941" s="142"/>
      <c r="O1941" s="1"/>
      <c r="P1941" s="142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79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R1941" s="1"/>
      <c r="CS1941" s="1"/>
      <c r="CT1941" s="1"/>
      <c r="CU1941" s="1"/>
      <c r="CV1941" s="1"/>
      <c r="CW1941" s="1"/>
      <c r="CX1941" s="1"/>
      <c r="CY1941" s="91" t="str">
        <f t="shared" si="831"/>
        <v/>
      </c>
      <c r="CZ1941" s="1"/>
      <c r="DC1941" s="307"/>
      <c r="DE1941" s="307"/>
    </row>
    <row r="1942">
      <c r="A1942" s="1"/>
      <c r="B1942" s="1"/>
      <c r="C1942" s="76"/>
      <c r="D1942" s="76"/>
      <c r="E1942" s="76"/>
      <c r="F1942" s="76"/>
      <c r="G1942" s="79"/>
      <c r="H1942" s="80"/>
      <c r="I1942" s="79"/>
      <c r="J1942" s="80"/>
      <c r="K1942" s="79"/>
      <c r="L1942" s="142"/>
      <c r="M1942" s="1"/>
      <c r="N1942" s="142"/>
      <c r="O1942" s="1"/>
      <c r="P1942" s="142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79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R1942" s="1"/>
      <c r="CS1942" s="1"/>
      <c r="CT1942" s="1"/>
      <c r="CU1942" s="1"/>
      <c r="CV1942" s="1"/>
      <c r="CW1942" s="1"/>
      <c r="CX1942" s="1"/>
      <c r="CY1942" s="91" t="str">
        <f t="shared" si="831"/>
        <v/>
      </c>
      <c r="CZ1942" s="1"/>
      <c r="DC1942" s="307"/>
      <c r="DE1942" s="307"/>
    </row>
    <row r="1943">
      <c r="A1943" s="1"/>
      <c r="B1943" s="1"/>
      <c r="C1943" s="76"/>
      <c r="D1943" s="76"/>
      <c r="E1943" s="76"/>
      <c r="F1943" s="76"/>
      <c r="G1943" s="79"/>
      <c r="H1943" s="80"/>
      <c r="I1943" s="79"/>
      <c r="J1943" s="80"/>
      <c r="K1943" s="79"/>
      <c r="L1943" s="142"/>
      <c r="M1943" s="1"/>
      <c r="N1943" s="142"/>
      <c r="O1943" s="1"/>
      <c r="P1943" s="142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79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R1943" s="1"/>
      <c r="CS1943" s="1"/>
      <c r="CT1943" s="1"/>
      <c r="CU1943" s="1"/>
      <c r="CV1943" s="1"/>
      <c r="CW1943" s="1"/>
      <c r="CX1943" s="1"/>
      <c r="CY1943" s="91" t="str">
        <f t="shared" si="831"/>
        <v/>
      </c>
      <c r="CZ1943" s="1"/>
      <c r="DC1943" s="307"/>
      <c r="DE1943" s="307"/>
    </row>
    <row r="1944">
      <c r="A1944" s="1"/>
      <c r="B1944" s="1"/>
      <c r="C1944" s="76"/>
      <c r="D1944" s="76"/>
      <c r="E1944" s="76"/>
      <c r="F1944" s="76"/>
      <c r="G1944" s="79"/>
      <c r="H1944" s="80"/>
      <c r="I1944" s="79"/>
      <c r="J1944" s="80"/>
      <c r="K1944" s="79"/>
      <c r="L1944" s="142"/>
      <c r="M1944" s="1"/>
      <c r="N1944" s="142"/>
      <c r="O1944" s="1"/>
      <c r="P1944" s="142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79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R1944" s="1"/>
      <c r="CS1944" s="1"/>
      <c r="CT1944" s="1"/>
      <c r="CU1944" s="1"/>
      <c r="CV1944" s="1"/>
      <c r="CW1944" s="1"/>
      <c r="CX1944" s="1"/>
      <c r="CY1944" s="91" t="str">
        <f t="shared" si="831"/>
        <v/>
      </c>
      <c r="CZ1944" s="1"/>
      <c r="DC1944" s="307"/>
      <c r="DE1944" s="307"/>
    </row>
    <row r="1945">
      <c r="A1945" s="1"/>
      <c r="B1945" s="1"/>
      <c r="C1945" s="76"/>
      <c r="D1945" s="76"/>
      <c r="E1945" s="76"/>
      <c r="F1945" s="76"/>
      <c r="G1945" s="79"/>
      <c r="H1945" s="80"/>
      <c r="I1945" s="79"/>
      <c r="J1945" s="80"/>
      <c r="K1945" s="79"/>
      <c r="L1945" s="142"/>
      <c r="M1945" s="1"/>
      <c r="N1945" s="142"/>
      <c r="O1945" s="1"/>
      <c r="P1945" s="142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79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R1945" s="1"/>
      <c r="CS1945" s="1"/>
      <c r="CT1945" s="1"/>
      <c r="CU1945" s="1"/>
      <c r="CV1945" s="1"/>
      <c r="CW1945" s="1"/>
      <c r="CX1945" s="1"/>
      <c r="CY1945" s="91" t="str">
        <f t="shared" si="831"/>
        <v/>
      </c>
      <c r="CZ1945" s="1"/>
      <c r="DC1945" s="307"/>
      <c r="DE1945" s="307"/>
    </row>
    <row r="1946">
      <c r="A1946" s="1"/>
      <c r="B1946" s="1"/>
      <c r="C1946" s="76"/>
      <c r="D1946" s="76"/>
      <c r="E1946" s="76"/>
      <c r="F1946" s="76"/>
      <c r="G1946" s="79"/>
      <c r="H1946" s="80"/>
      <c r="I1946" s="79"/>
      <c r="J1946" s="80"/>
      <c r="K1946" s="79"/>
      <c r="L1946" s="142"/>
      <c r="M1946" s="1"/>
      <c r="N1946" s="142"/>
      <c r="O1946" s="1"/>
      <c r="P1946" s="142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79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R1946" s="1"/>
      <c r="CS1946" s="1"/>
      <c r="CT1946" s="1"/>
      <c r="CU1946" s="1"/>
      <c r="CV1946" s="1"/>
      <c r="CW1946" s="1"/>
      <c r="CX1946" s="1"/>
      <c r="CY1946" s="91" t="str">
        <f t="shared" si="831"/>
        <v/>
      </c>
      <c r="CZ1946" s="1"/>
      <c r="DC1946" s="307"/>
      <c r="DE1946" s="307"/>
    </row>
    <row r="1947">
      <c r="A1947" s="1"/>
      <c r="B1947" s="1"/>
      <c r="C1947" s="76"/>
      <c r="D1947" s="76"/>
      <c r="E1947" s="76"/>
      <c r="F1947" s="76"/>
      <c r="G1947" s="79"/>
      <c r="H1947" s="80"/>
      <c r="I1947" s="79"/>
      <c r="J1947" s="80"/>
      <c r="K1947" s="79"/>
      <c r="L1947" s="142"/>
      <c r="M1947" s="1"/>
      <c r="N1947" s="142"/>
      <c r="O1947" s="1"/>
      <c r="P1947" s="142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79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R1947" s="1"/>
      <c r="CS1947" s="1"/>
      <c r="CT1947" s="1"/>
      <c r="CU1947" s="1"/>
      <c r="CV1947" s="1"/>
      <c r="CW1947" s="1"/>
      <c r="CX1947" s="1"/>
      <c r="CY1947" s="91" t="str">
        <f t="shared" si="831"/>
        <v/>
      </c>
      <c r="CZ1947" s="1"/>
      <c r="DC1947" s="307"/>
      <c r="DE1947" s="307"/>
    </row>
    <row r="1948">
      <c r="A1948" s="1"/>
      <c r="B1948" s="1"/>
      <c r="C1948" s="76"/>
      <c r="D1948" s="76"/>
      <c r="E1948" s="76"/>
      <c r="F1948" s="76"/>
      <c r="G1948" s="79"/>
      <c r="H1948" s="80"/>
      <c r="I1948" s="79"/>
      <c r="J1948" s="80"/>
      <c r="K1948" s="79"/>
      <c r="L1948" s="142"/>
      <c r="M1948" s="1"/>
      <c r="N1948" s="142"/>
      <c r="O1948" s="1"/>
      <c r="P1948" s="142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79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R1948" s="1"/>
      <c r="CS1948" s="1"/>
      <c r="CT1948" s="1"/>
      <c r="CU1948" s="1"/>
      <c r="CV1948" s="1"/>
      <c r="CW1948" s="1"/>
      <c r="CX1948" s="1"/>
      <c r="CY1948" s="91" t="str">
        <f t="shared" si="831"/>
        <v/>
      </c>
      <c r="CZ1948" s="1"/>
      <c r="DC1948" s="307"/>
      <c r="DE1948" s="307"/>
    </row>
    <row r="1949">
      <c r="A1949" s="1"/>
      <c r="B1949" s="1"/>
      <c r="C1949" s="76"/>
      <c r="D1949" s="76"/>
      <c r="E1949" s="76"/>
      <c r="F1949" s="76"/>
      <c r="G1949" s="79"/>
      <c r="H1949" s="80"/>
      <c r="I1949" s="79"/>
      <c r="J1949" s="80"/>
      <c r="K1949" s="79"/>
      <c r="L1949" s="142"/>
      <c r="M1949" s="1"/>
      <c r="N1949" s="142"/>
      <c r="O1949" s="1"/>
      <c r="P1949" s="142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79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R1949" s="1"/>
      <c r="CS1949" s="1"/>
      <c r="CT1949" s="1"/>
      <c r="CU1949" s="1"/>
      <c r="CV1949" s="1"/>
      <c r="CW1949" s="1"/>
      <c r="CX1949" s="1"/>
      <c r="CY1949" s="91" t="str">
        <f t="shared" si="831"/>
        <v/>
      </c>
      <c r="CZ1949" s="1"/>
      <c r="DC1949" s="307"/>
      <c r="DE1949" s="307"/>
    </row>
    <row r="1950">
      <c r="A1950" s="1"/>
      <c r="B1950" s="1"/>
      <c r="C1950" s="76"/>
      <c r="D1950" s="76"/>
      <c r="E1950" s="76"/>
      <c r="F1950" s="76"/>
      <c r="G1950" s="79"/>
      <c r="H1950" s="80"/>
      <c r="I1950" s="79"/>
      <c r="J1950" s="80"/>
      <c r="K1950" s="79"/>
      <c r="L1950" s="142"/>
      <c r="M1950" s="1"/>
      <c r="N1950" s="142"/>
      <c r="O1950" s="1"/>
      <c r="P1950" s="142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79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R1950" s="1"/>
      <c r="CS1950" s="1"/>
      <c r="CT1950" s="1"/>
      <c r="CU1950" s="1"/>
      <c r="CV1950" s="1"/>
      <c r="CW1950" s="1"/>
      <c r="CX1950" s="1"/>
      <c r="CY1950" s="91" t="str">
        <f t="shared" si="831"/>
        <v/>
      </c>
      <c r="CZ1950" s="1"/>
      <c r="DC1950" s="307"/>
      <c r="DE1950" s="307"/>
    </row>
    <row r="1951">
      <c r="A1951" s="1"/>
      <c r="B1951" s="1"/>
      <c r="C1951" s="76"/>
      <c r="D1951" s="76"/>
      <c r="E1951" s="76"/>
      <c r="F1951" s="76"/>
      <c r="G1951" s="79"/>
      <c r="H1951" s="80"/>
      <c r="I1951" s="79"/>
      <c r="J1951" s="80"/>
      <c r="K1951" s="79"/>
      <c r="L1951" s="142"/>
      <c r="M1951" s="1"/>
      <c r="N1951" s="142"/>
      <c r="O1951" s="1"/>
      <c r="P1951" s="142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79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R1951" s="1"/>
      <c r="CS1951" s="1"/>
      <c r="CT1951" s="1"/>
      <c r="CU1951" s="1"/>
      <c r="CV1951" s="1"/>
      <c r="CW1951" s="1"/>
      <c r="CX1951" s="1"/>
      <c r="CY1951" s="91" t="str">
        <f t="shared" si="831"/>
        <v/>
      </c>
      <c r="CZ1951" s="1"/>
      <c r="DC1951" s="307"/>
      <c r="DE1951" s="307"/>
    </row>
    <row r="1952">
      <c r="A1952" s="1"/>
      <c r="B1952" s="1"/>
      <c r="C1952" s="76"/>
      <c r="D1952" s="76"/>
      <c r="E1952" s="76"/>
      <c r="F1952" s="76"/>
      <c r="G1952" s="79"/>
      <c r="H1952" s="80"/>
      <c r="I1952" s="79"/>
      <c r="J1952" s="80"/>
      <c r="K1952" s="79"/>
      <c r="L1952" s="142"/>
      <c r="M1952" s="1"/>
      <c r="N1952" s="142"/>
      <c r="O1952" s="1"/>
      <c r="P1952" s="142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79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R1952" s="1"/>
      <c r="CS1952" s="1"/>
      <c r="CT1952" s="1"/>
      <c r="CU1952" s="1"/>
      <c r="CV1952" s="1"/>
      <c r="CW1952" s="1"/>
      <c r="CX1952" s="1"/>
      <c r="CY1952" s="91" t="str">
        <f t="shared" si="831"/>
        <v/>
      </c>
      <c r="CZ1952" s="1"/>
      <c r="DC1952" s="307"/>
      <c r="DE1952" s="307"/>
    </row>
    <row r="1953">
      <c r="A1953" s="1"/>
      <c r="B1953" s="1"/>
      <c r="C1953" s="76"/>
      <c r="D1953" s="76"/>
      <c r="E1953" s="76"/>
      <c r="F1953" s="76"/>
      <c r="G1953" s="79"/>
      <c r="H1953" s="80"/>
      <c r="I1953" s="79"/>
      <c r="J1953" s="80"/>
      <c r="K1953" s="79"/>
      <c r="L1953" s="142"/>
      <c r="M1953" s="1"/>
      <c r="N1953" s="142"/>
      <c r="O1953" s="1"/>
      <c r="P1953" s="142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79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R1953" s="1"/>
      <c r="CS1953" s="1"/>
      <c r="CT1953" s="1"/>
      <c r="CU1953" s="1"/>
      <c r="CV1953" s="1"/>
      <c r="CW1953" s="1"/>
      <c r="CX1953" s="1"/>
      <c r="CY1953" s="91" t="str">
        <f t="shared" si="831"/>
        <v/>
      </c>
      <c r="CZ1953" s="1"/>
      <c r="DC1953" s="307"/>
      <c r="DE1953" s="307"/>
    </row>
    <row r="1954">
      <c r="A1954" s="1"/>
      <c r="B1954" s="1"/>
      <c r="C1954" s="76"/>
      <c r="D1954" s="76"/>
      <c r="E1954" s="76"/>
      <c r="F1954" s="76"/>
      <c r="G1954" s="79"/>
      <c r="H1954" s="80"/>
      <c r="I1954" s="79"/>
      <c r="J1954" s="80"/>
      <c r="K1954" s="79"/>
      <c r="L1954" s="142"/>
      <c r="M1954" s="1"/>
      <c r="N1954" s="142"/>
      <c r="O1954" s="1"/>
      <c r="P1954" s="142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79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R1954" s="1"/>
      <c r="CS1954" s="1"/>
      <c r="CT1954" s="1"/>
      <c r="CU1954" s="1"/>
      <c r="CV1954" s="1"/>
      <c r="CW1954" s="1"/>
      <c r="CX1954" s="1"/>
      <c r="CY1954" s="91" t="str">
        <f t="shared" si="831"/>
        <v/>
      </c>
      <c r="CZ1954" s="1"/>
      <c r="DC1954" s="307"/>
      <c r="DE1954" s="307"/>
    </row>
    <row r="1955">
      <c r="A1955" s="1"/>
      <c r="B1955" s="1"/>
      <c r="C1955" s="76"/>
      <c r="D1955" s="76"/>
      <c r="E1955" s="76"/>
      <c r="F1955" s="76"/>
      <c r="G1955" s="79"/>
      <c r="H1955" s="80"/>
      <c r="I1955" s="79"/>
      <c r="J1955" s="80"/>
      <c r="K1955" s="79"/>
      <c r="L1955" s="142"/>
      <c r="M1955" s="1"/>
      <c r="N1955" s="142"/>
      <c r="O1955" s="1"/>
      <c r="P1955" s="142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79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R1955" s="1"/>
      <c r="CS1955" s="1"/>
      <c r="CT1955" s="1"/>
      <c r="CU1955" s="1"/>
      <c r="CV1955" s="1"/>
      <c r="CW1955" s="1"/>
      <c r="CX1955" s="1"/>
      <c r="CY1955" s="91" t="str">
        <f t="shared" si="831"/>
        <v/>
      </c>
      <c r="CZ1955" s="1"/>
      <c r="DC1955" s="307"/>
      <c r="DE1955" s="307"/>
    </row>
    <row r="1956">
      <c r="A1956" s="1"/>
      <c r="B1956" s="1"/>
      <c r="C1956" s="76"/>
      <c r="D1956" s="76"/>
      <c r="E1956" s="76"/>
      <c r="F1956" s="76"/>
      <c r="G1956" s="79"/>
      <c r="H1956" s="80"/>
      <c r="I1956" s="79"/>
      <c r="J1956" s="80"/>
      <c r="K1956" s="79"/>
      <c r="L1956" s="142"/>
      <c r="M1956" s="1"/>
      <c r="N1956" s="142"/>
      <c r="O1956" s="1"/>
      <c r="P1956" s="142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79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R1956" s="1"/>
      <c r="CS1956" s="1"/>
      <c r="CT1956" s="1"/>
      <c r="CU1956" s="1"/>
      <c r="CV1956" s="1"/>
      <c r="CW1956" s="1"/>
      <c r="CX1956" s="1"/>
      <c r="CY1956" s="91" t="str">
        <f t="shared" si="831"/>
        <v/>
      </c>
      <c r="CZ1956" s="1"/>
      <c r="DC1956" s="307"/>
      <c r="DE1956" s="307"/>
    </row>
    <row r="1957">
      <c r="A1957" s="1"/>
      <c r="B1957" s="1"/>
      <c r="C1957" s="76"/>
      <c r="D1957" s="76"/>
      <c r="E1957" s="76"/>
      <c r="F1957" s="76"/>
      <c r="G1957" s="79"/>
      <c r="H1957" s="80"/>
      <c r="I1957" s="79"/>
      <c r="J1957" s="80"/>
      <c r="K1957" s="79"/>
      <c r="L1957" s="142"/>
      <c r="M1957" s="1"/>
      <c r="N1957" s="142"/>
      <c r="O1957" s="1"/>
      <c r="P1957" s="142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79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R1957" s="1"/>
      <c r="CS1957" s="1"/>
      <c r="CT1957" s="1"/>
      <c r="CU1957" s="1"/>
      <c r="CV1957" s="1"/>
      <c r="CW1957" s="1"/>
      <c r="CX1957" s="1"/>
      <c r="CY1957" s="91" t="str">
        <f t="shared" si="831"/>
        <v/>
      </c>
      <c r="CZ1957" s="1"/>
      <c r="DC1957" s="307"/>
      <c r="DE1957" s="307"/>
    </row>
    <row r="1958">
      <c r="A1958" s="1"/>
      <c r="B1958" s="1"/>
      <c r="C1958" s="76"/>
      <c r="D1958" s="76"/>
      <c r="E1958" s="76"/>
      <c r="F1958" s="76"/>
      <c r="G1958" s="79"/>
      <c r="H1958" s="80"/>
      <c r="I1958" s="79"/>
      <c r="J1958" s="80"/>
      <c r="K1958" s="79"/>
      <c r="L1958" s="142"/>
      <c r="M1958" s="1"/>
      <c r="N1958" s="142"/>
      <c r="O1958" s="1"/>
      <c r="P1958" s="142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79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R1958" s="1"/>
      <c r="CS1958" s="1"/>
      <c r="CT1958" s="1"/>
      <c r="CU1958" s="1"/>
      <c r="CV1958" s="1"/>
      <c r="CW1958" s="1"/>
      <c r="CX1958" s="1"/>
      <c r="CY1958" s="91" t="str">
        <f t="shared" si="831"/>
        <v/>
      </c>
      <c r="CZ1958" s="1"/>
      <c r="DC1958" s="307"/>
      <c r="DE1958" s="307"/>
    </row>
    <row r="1959">
      <c r="A1959" s="1"/>
      <c r="B1959" s="1"/>
      <c r="C1959" s="76"/>
      <c r="D1959" s="76"/>
      <c r="E1959" s="76"/>
      <c r="F1959" s="76"/>
      <c r="G1959" s="79"/>
      <c r="H1959" s="80"/>
      <c r="I1959" s="79"/>
      <c r="J1959" s="80"/>
      <c r="K1959" s="79"/>
      <c r="L1959" s="142"/>
      <c r="M1959" s="1"/>
      <c r="N1959" s="142"/>
      <c r="O1959" s="1"/>
      <c r="P1959" s="142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79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R1959" s="1"/>
      <c r="CS1959" s="1"/>
      <c r="CT1959" s="1"/>
      <c r="CU1959" s="1"/>
      <c r="CV1959" s="1"/>
      <c r="CW1959" s="1"/>
      <c r="CX1959" s="1"/>
      <c r="CY1959" s="91" t="str">
        <f t="shared" si="831"/>
        <v/>
      </c>
      <c r="CZ1959" s="1"/>
      <c r="DC1959" s="307"/>
      <c r="DE1959" s="307"/>
    </row>
    <row r="1960">
      <c r="A1960" s="1"/>
      <c r="B1960" s="1"/>
      <c r="C1960" s="76"/>
      <c r="D1960" s="76"/>
      <c r="E1960" s="76"/>
      <c r="F1960" s="76"/>
      <c r="G1960" s="79"/>
      <c r="H1960" s="80"/>
      <c r="I1960" s="79"/>
      <c r="J1960" s="80"/>
      <c r="K1960" s="79"/>
      <c r="L1960" s="142"/>
      <c r="M1960" s="1"/>
      <c r="N1960" s="142"/>
      <c r="O1960" s="1"/>
      <c r="P1960" s="142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79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R1960" s="1"/>
      <c r="CS1960" s="1"/>
      <c r="CT1960" s="1"/>
      <c r="CU1960" s="1"/>
      <c r="CV1960" s="1"/>
      <c r="CW1960" s="1"/>
      <c r="CX1960" s="1"/>
      <c r="CY1960" s="91" t="str">
        <f t="shared" si="831"/>
        <v/>
      </c>
      <c r="CZ1960" s="1"/>
      <c r="DC1960" s="307"/>
      <c r="DE1960" s="307"/>
    </row>
    <row r="1961">
      <c r="A1961" s="1"/>
      <c r="B1961" s="1"/>
      <c r="C1961" s="76"/>
      <c r="D1961" s="76"/>
      <c r="E1961" s="76"/>
      <c r="F1961" s="76"/>
      <c r="G1961" s="79"/>
      <c r="H1961" s="80"/>
      <c r="I1961" s="79"/>
      <c r="J1961" s="80"/>
      <c r="K1961" s="79"/>
      <c r="L1961" s="142"/>
      <c r="M1961" s="1"/>
      <c r="N1961" s="142"/>
      <c r="O1961" s="1"/>
      <c r="P1961" s="142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79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R1961" s="1"/>
      <c r="CS1961" s="1"/>
      <c r="CT1961" s="1"/>
      <c r="CU1961" s="1"/>
      <c r="CV1961" s="1"/>
      <c r="CW1961" s="1"/>
      <c r="CX1961" s="1"/>
      <c r="CY1961" s="91" t="str">
        <f t="shared" si="831"/>
        <v/>
      </c>
      <c r="CZ1961" s="1"/>
      <c r="DC1961" s="307"/>
      <c r="DE1961" s="307"/>
    </row>
    <row r="1962">
      <c r="A1962" s="1"/>
      <c r="B1962" s="1"/>
      <c r="C1962" s="76"/>
      <c r="D1962" s="76"/>
      <c r="E1962" s="76"/>
      <c r="F1962" s="76"/>
      <c r="G1962" s="79"/>
      <c r="H1962" s="80"/>
      <c r="I1962" s="79"/>
      <c r="J1962" s="80"/>
      <c r="K1962" s="79"/>
      <c r="L1962" s="142"/>
      <c r="M1962" s="1"/>
      <c r="N1962" s="142"/>
      <c r="O1962" s="1"/>
      <c r="P1962" s="142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79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R1962" s="1"/>
      <c r="CS1962" s="1"/>
      <c r="CT1962" s="1"/>
      <c r="CU1962" s="1"/>
      <c r="CV1962" s="1"/>
      <c r="CW1962" s="1"/>
      <c r="CX1962" s="1"/>
      <c r="CY1962" s="91" t="str">
        <f t="shared" si="831"/>
        <v/>
      </c>
      <c r="CZ1962" s="1"/>
      <c r="DC1962" s="307"/>
      <c r="DE1962" s="307"/>
    </row>
    <row r="1963">
      <c r="A1963" s="1"/>
      <c r="B1963" s="1"/>
      <c r="C1963" s="76"/>
      <c r="D1963" s="76"/>
      <c r="E1963" s="76"/>
      <c r="F1963" s="76"/>
      <c r="G1963" s="79"/>
      <c r="H1963" s="80"/>
      <c r="I1963" s="79"/>
      <c r="J1963" s="80"/>
      <c r="K1963" s="79"/>
      <c r="L1963" s="142"/>
      <c r="M1963" s="1"/>
      <c r="N1963" s="142"/>
      <c r="O1963" s="1"/>
      <c r="P1963" s="142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79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R1963" s="1"/>
      <c r="CS1963" s="1"/>
      <c r="CT1963" s="1"/>
      <c r="CU1963" s="1"/>
      <c r="CV1963" s="1"/>
      <c r="CW1963" s="1"/>
      <c r="CX1963" s="1"/>
      <c r="CY1963" s="91" t="str">
        <f t="shared" si="831"/>
        <v/>
      </c>
      <c r="CZ1963" s="1"/>
      <c r="DC1963" s="307"/>
      <c r="DE1963" s="307"/>
    </row>
    <row r="1964">
      <c r="A1964" s="1"/>
      <c r="B1964" s="1"/>
      <c r="C1964" s="76"/>
      <c r="D1964" s="76"/>
      <c r="E1964" s="76"/>
      <c r="F1964" s="76"/>
      <c r="G1964" s="79"/>
      <c r="H1964" s="80"/>
      <c r="I1964" s="79"/>
      <c r="J1964" s="80"/>
      <c r="K1964" s="79"/>
      <c r="L1964" s="142"/>
      <c r="M1964" s="1"/>
      <c r="N1964" s="142"/>
      <c r="O1964" s="1"/>
      <c r="P1964" s="142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79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R1964" s="1"/>
      <c r="CS1964" s="1"/>
      <c r="CT1964" s="1"/>
      <c r="CU1964" s="1"/>
      <c r="CV1964" s="1"/>
      <c r="CW1964" s="1"/>
      <c r="CX1964" s="1"/>
      <c r="CY1964" s="91" t="str">
        <f t="shared" si="831"/>
        <v/>
      </c>
      <c r="CZ1964" s="1"/>
      <c r="DC1964" s="307"/>
      <c r="DE1964" s="307"/>
    </row>
    <row r="1965">
      <c r="A1965" s="1"/>
      <c r="B1965" s="1"/>
      <c r="C1965" s="76"/>
      <c r="D1965" s="76"/>
      <c r="E1965" s="76"/>
      <c r="F1965" s="76"/>
      <c r="G1965" s="79"/>
      <c r="H1965" s="80"/>
      <c r="I1965" s="79"/>
      <c r="J1965" s="80"/>
      <c r="K1965" s="79"/>
      <c r="L1965" s="142"/>
      <c r="M1965" s="1"/>
      <c r="N1965" s="142"/>
      <c r="O1965" s="1"/>
      <c r="P1965" s="142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79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R1965" s="1"/>
      <c r="CS1965" s="1"/>
      <c r="CT1965" s="1"/>
      <c r="CU1965" s="1"/>
      <c r="CV1965" s="1"/>
      <c r="CW1965" s="1"/>
      <c r="CX1965" s="1"/>
      <c r="CY1965" s="91" t="str">
        <f t="shared" si="831"/>
        <v/>
      </c>
      <c r="CZ1965" s="1"/>
      <c r="DC1965" s="307"/>
      <c r="DE1965" s="307"/>
    </row>
    <row r="1966">
      <c r="A1966" s="1"/>
      <c r="B1966" s="1"/>
      <c r="C1966" s="76"/>
      <c r="D1966" s="76"/>
      <c r="E1966" s="76"/>
      <c r="F1966" s="76"/>
      <c r="G1966" s="79"/>
      <c r="H1966" s="80"/>
      <c r="I1966" s="79"/>
      <c r="J1966" s="80"/>
      <c r="K1966" s="79"/>
      <c r="L1966" s="142"/>
      <c r="M1966" s="1"/>
      <c r="N1966" s="142"/>
      <c r="O1966" s="1"/>
      <c r="P1966" s="142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79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R1966" s="1"/>
      <c r="CS1966" s="1"/>
      <c r="CT1966" s="1"/>
      <c r="CU1966" s="1"/>
      <c r="CV1966" s="1"/>
      <c r="CW1966" s="1"/>
      <c r="CX1966" s="1"/>
      <c r="CY1966" s="91" t="str">
        <f t="shared" si="831"/>
        <v/>
      </c>
      <c r="CZ1966" s="1"/>
      <c r="DC1966" s="307"/>
      <c r="DE1966" s="307"/>
    </row>
    <row r="1967">
      <c r="A1967" s="1"/>
      <c r="B1967" s="1"/>
      <c r="C1967" s="76"/>
      <c r="D1967" s="76"/>
      <c r="E1967" s="76"/>
      <c r="F1967" s="76"/>
      <c r="G1967" s="79"/>
      <c r="H1967" s="80"/>
      <c r="I1967" s="79"/>
      <c r="J1967" s="80"/>
      <c r="K1967" s="79"/>
      <c r="L1967" s="142"/>
      <c r="M1967" s="1"/>
      <c r="N1967" s="142"/>
      <c r="O1967" s="1"/>
      <c r="P1967" s="142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79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R1967" s="1"/>
      <c r="CS1967" s="1"/>
      <c r="CT1967" s="1"/>
      <c r="CU1967" s="1"/>
      <c r="CV1967" s="1"/>
      <c r="CW1967" s="1"/>
      <c r="CX1967" s="1"/>
      <c r="CY1967" s="91" t="str">
        <f t="shared" si="831"/>
        <v/>
      </c>
      <c r="CZ1967" s="1"/>
      <c r="DC1967" s="307"/>
      <c r="DE1967" s="307"/>
    </row>
    <row r="1968">
      <c r="A1968" s="1"/>
      <c r="B1968" s="1"/>
      <c r="C1968" s="76"/>
      <c r="D1968" s="76"/>
      <c r="E1968" s="76"/>
      <c r="F1968" s="76"/>
      <c r="G1968" s="79"/>
      <c r="H1968" s="80"/>
      <c r="I1968" s="79"/>
      <c r="J1968" s="80"/>
      <c r="K1968" s="79"/>
      <c r="L1968" s="142"/>
      <c r="M1968" s="1"/>
      <c r="N1968" s="142"/>
      <c r="O1968" s="1"/>
      <c r="P1968" s="142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79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R1968" s="1"/>
      <c r="CS1968" s="1"/>
      <c r="CT1968" s="1"/>
      <c r="CU1968" s="1"/>
      <c r="CV1968" s="1"/>
      <c r="CW1968" s="1"/>
      <c r="CX1968" s="1"/>
      <c r="CY1968" s="91" t="str">
        <f t="shared" si="831"/>
        <v/>
      </c>
      <c r="CZ1968" s="1"/>
      <c r="DC1968" s="307"/>
      <c r="DE1968" s="307"/>
    </row>
    <row r="1969">
      <c r="A1969" s="1"/>
      <c r="B1969" s="1"/>
      <c r="C1969" s="76"/>
      <c r="D1969" s="76"/>
      <c r="E1969" s="76"/>
      <c r="F1969" s="76"/>
      <c r="G1969" s="79"/>
      <c r="H1969" s="80"/>
      <c r="I1969" s="79"/>
      <c r="J1969" s="80"/>
      <c r="K1969" s="79"/>
      <c r="L1969" s="142"/>
      <c r="M1969" s="1"/>
      <c r="N1969" s="142"/>
      <c r="O1969" s="1"/>
      <c r="P1969" s="142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79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R1969" s="1"/>
      <c r="CS1969" s="1"/>
      <c r="CT1969" s="1"/>
      <c r="CU1969" s="1"/>
      <c r="CV1969" s="1"/>
      <c r="CW1969" s="1"/>
      <c r="CX1969" s="1"/>
      <c r="CY1969" s="91" t="str">
        <f t="shared" si="831"/>
        <v/>
      </c>
      <c r="CZ1969" s="1"/>
      <c r="DC1969" s="307"/>
      <c r="DE1969" s="307"/>
    </row>
    <row r="1970">
      <c r="A1970" s="1"/>
      <c r="B1970" s="1"/>
      <c r="C1970" s="76"/>
      <c r="D1970" s="76"/>
      <c r="E1970" s="76"/>
      <c r="F1970" s="76"/>
      <c r="G1970" s="79"/>
      <c r="H1970" s="80"/>
      <c r="I1970" s="79"/>
      <c r="J1970" s="80"/>
      <c r="K1970" s="79"/>
      <c r="L1970" s="142"/>
      <c r="M1970" s="1"/>
      <c r="N1970" s="142"/>
      <c r="O1970" s="1"/>
      <c r="P1970" s="142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79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R1970" s="1"/>
      <c r="CS1970" s="1"/>
      <c r="CT1970" s="1"/>
      <c r="CU1970" s="1"/>
      <c r="CV1970" s="1"/>
      <c r="CW1970" s="1"/>
      <c r="CX1970" s="1"/>
      <c r="CY1970" s="91" t="str">
        <f t="shared" si="831"/>
        <v/>
      </c>
      <c r="CZ1970" s="1"/>
      <c r="DC1970" s="307"/>
      <c r="DE1970" s="307"/>
    </row>
    <row r="1971">
      <c r="A1971" s="1"/>
      <c r="B1971" s="1"/>
      <c r="C1971" s="76"/>
      <c r="D1971" s="76"/>
      <c r="E1971" s="76"/>
      <c r="F1971" s="76"/>
      <c r="G1971" s="79"/>
      <c r="H1971" s="80"/>
      <c r="I1971" s="79"/>
      <c r="J1971" s="80"/>
      <c r="K1971" s="79"/>
      <c r="L1971" s="142"/>
      <c r="M1971" s="1"/>
      <c r="N1971" s="142"/>
      <c r="O1971" s="1"/>
      <c r="P1971" s="142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79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R1971" s="1"/>
      <c r="CS1971" s="1"/>
      <c r="CT1971" s="1"/>
      <c r="CU1971" s="1"/>
      <c r="CV1971" s="1"/>
      <c r="CW1971" s="1"/>
      <c r="CX1971" s="1"/>
      <c r="CY1971" s="91" t="str">
        <f t="shared" si="831"/>
        <v/>
      </c>
      <c r="CZ1971" s="1"/>
      <c r="DC1971" s="307"/>
      <c r="DE1971" s="307"/>
    </row>
    <row r="1972">
      <c r="A1972" s="1"/>
      <c r="B1972" s="1"/>
      <c r="C1972" s="76"/>
      <c r="D1972" s="76"/>
      <c r="E1972" s="76"/>
      <c r="F1972" s="76"/>
      <c r="G1972" s="79"/>
      <c r="H1972" s="80"/>
      <c r="I1972" s="79"/>
      <c r="J1972" s="80"/>
      <c r="K1972" s="79"/>
      <c r="L1972" s="142"/>
      <c r="M1972" s="1"/>
      <c r="N1972" s="142"/>
      <c r="O1972" s="1"/>
      <c r="P1972" s="142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79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R1972" s="1"/>
      <c r="CS1972" s="1"/>
      <c r="CT1972" s="1"/>
      <c r="CU1972" s="1"/>
      <c r="CV1972" s="1"/>
      <c r="CW1972" s="1"/>
      <c r="CX1972" s="1"/>
      <c r="CY1972" s="91" t="str">
        <f t="shared" si="831"/>
        <v/>
      </c>
      <c r="CZ1972" s="1"/>
      <c r="DC1972" s="307"/>
      <c r="DE1972" s="307"/>
    </row>
    <row r="1973">
      <c r="A1973" s="1"/>
      <c r="B1973" s="1"/>
      <c r="C1973" s="76"/>
      <c r="D1973" s="76"/>
      <c r="E1973" s="76"/>
      <c r="F1973" s="76"/>
      <c r="G1973" s="79"/>
      <c r="H1973" s="80"/>
      <c r="I1973" s="79"/>
      <c r="J1973" s="80"/>
      <c r="K1973" s="79"/>
      <c r="L1973" s="142"/>
      <c r="M1973" s="1"/>
      <c r="N1973" s="142"/>
      <c r="O1973" s="1"/>
      <c r="P1973" s="142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79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R1973" s="1"/>
      <c r="CS1973" s="1"/>
      <c r="CT1973" s="1"/>
      <c r="CU1973" s="1"/>
      <c r="CV1973" s="1"/>
      <c r="CW1973" s="1"/>
      <c r="CX1973" s="1"/>
      <c r="CY1973" s="91" t="str">
        <f t="shared" si="831"/>
        <v/>
      </c>
      <c r="CZ1973" s="1"/>
      <c r="DC1973" s="307"/>
      <c r="DE1973" s="307"/>
    </row>
    <row r="1974">
      <c r="A1974" s="1"/>
      <c r="B1974" s="1"/>
      <c r="C1974" s="76"/>
      <c r="D1974" s="76"/>
      <c r="E1974" s="76"/>
      <c r="F1974" s="76"/>
      <c r="G1974" s="79"/>
      <c r="H1974" s="80"/>
      <c r="I1974" s="79"/>
      <c r="J1974" s="80"/>
      <c r="K1974" s="79"/>
      <c r="L1974" s="142"/>
      <c r="M1974" s="1"/>
      <c r="N1974" s="142"/>
      <c r="O1974" s="1"/>
      <c r="P1974" s="142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79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R1974" s="1"/>
      <c r="CS1974" s="1"/>
      <c r="CT1974" s="1"/>
      <c r="CU1974" s="1"/>
      <c r="CV1974" s="1"/>
      <c r="CW1974" s="1"/>
      <c r="CX1974" s="1"/>
      <c r="CY1974" s="91" t="str">
        <f t="shared" si="831"/>
        <v/>
      </c>
      <c r="CZ1974" s="1"/>
      <c r="DC1974" s="307"/>
      <c r="DE1974" s="307"/>
    </row>
    <row r="1975">
      <c r="A1975" s="1"/>
      <c r="B1975" s="1"/>
      <c r="C1975" s="76"/>
      <c r="D1975" s="76"/>
      <c r="E1975" s="76"/>
      <c r="F1975" s="76"/>
      <c r="G1975" s="79"/>
      <c r="H1975" s="80"/>
      <c r="I1975" s="79"/>
      <c r="J1975" s="80"/>
      <c r="K1975" s="79"/>
      <c r="L1975" s="142"/>
      <c r="M1975" s="1"/>
      <c r="N1975" s="142"/>
      <c r="O1975" s="1"/>
      <c r="P1975" s="142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79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R1975" s="1"/>
      <c r="CS1975" s="1"/>
      <c r="CT1975" s="1"/>
      <c r="CU1975" s="1"/>
      <c r="CV1975" s="1"/>
      <c r="CW1975" s="1"/>
      <c r="CX1975" s="1"/>
      <c r="CY1975" s="91" t="str">
        <f t="shared" si="831"/>
        <v/>
      </c>
      <c r="CZ1975" s="1"/>
      <c r="DC1975" s="307"/>
      <c r="DE1975" s="307"/>
    </row>
    <row r="1976">
      <c r="A1976" s="1"/>
      <c r="B1976" s="1"/>
      <c r="C1976" s="76"/>
      <c r="D1976" s="76"/>
      <c r="E1976" s="76"/>
      <c r="F1976" s="76"/>
      <c r="G1976" s="79"/>
      <c r="H1976" s="80"/>
      <c r="I1976" s="79"/>
      <c r="J1976" s="80"/>
      <c r="K1976" s="79"/>
      <c r="L1976" s="142"/>
      <c r="M1976" s="1"/>
      <c r="N1976" s="142"/>
      <c r="O1976" s="1"/>
      <c r="P1976" s="142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79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R1976" s="1"/>
      <c r="CS1976" s="1"/>
      <c r="CT1976" s="1"/>
      <c r="CU1976" s="1"/>
      <c r="CV1976" s="1"/>
      <c r="CW1976" s="1"/>
      <c r="CX1976" s="1"/>
      <c r="CY1976" s="91" t="str">
        <f t="shared" si="831"/>
        <v/>
      </c>
      <c r="CZ1976" s="1"/>
      <c r="DC1976" s="307"/>
      <c r="DE1976" s="307"/>
    </row>
    <row r="1977">
      <c r="A1977" s="1"/>
      <c r="B1977" s="1"/>
      <c r="C1977" s="76"/>
      <c r="D1977" s="76"/>
      <c r="E1977" s="76"/>
      <c r="F1977" s="76"/>
      <c r="G1977" s="79"/>
      <c r="H1977" s="80"/>
      <c r="I1977" s="79"/>
      <c r="J1977" s="80"/>
      <c r="K1977" s="79"/>
      <c r="L1977" s="142"/>
      <c r="M1977" s="1"/>
      <c r="N1977" s="142"/>
      <c r="O1977" s="1"/>
      <c r="P1977" s="142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79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R1977" s="1"/>
      <c r="CS1977" s="1"/>
      <c r="CT1977" s="1"/>
      <c r="CU1977" s="1"/>
      <c r="CV1977" s="1"/>
      <c r="CW1977" s="1"/>
      <c r="CX1977" s="1"/>
      <c r="CY1977" s="91" t="str">
        <f t="shared" si="831"/>
        <v/>
      </c>
      <c r="CZ1977" s="1"/>
      <c r="DC1977" s="307"/>
      <c r="DE1977" s="307"/>
    </row>
    <row r="1978">
      <c r="A1978" s="1"/>
      <c r="B1978" s="1"/>
      <c r="C1978" s="76"/>
      <c r="D1978" s="76"/>
      <c r="E1978" s="76"/>
      <c r="F1978" s="76"/>
      <c r="G1978" s="79"/>
      <c r="H1978" s="80"/>
      <c r="I1978" s="79"/>
      <c r="J1978" s="80"/>
      <c r="K1978" s="79"/>
      <c r="L1978" s="142"/>
      <c r="M1978" s="1"/>
      <c r="N1978" s="142"/>
      <c r="O1978" s="1"/>
      <c r="P1978" s="142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79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R1978" s="1"/>
      <c r="CS1978" s="1"/>
      <c r="CT1978" s="1"/>
      <c r="CU1978" s="1"/>
      <c r="CV1978" s="1"/>
      <c r="CW1978" s="1"/>
      <c r="CX1978" s="1"/>
      <c r="CY1978" s="91" t="str">
        <f t="shared" si="831"/>
        <v/>
      </c>
      <c r="CZ1978" s="1"/>
      <c r="DC1978" s="307"/>
      <c r="DE1978" s="307"/>
    </row>
    <row r="1979">
      <c r="A1979" s="1"/>
      <c r="B1979" s="1"/>
      <c r="C1979" s="76"/>
      <c r="D1979" s="76"/>
      <c r="E1979" s="76"/>
      <c r="F1979" s="76"/>
      <c r="G1979" s="79"/>
      <c r="H1979" s="80"/>
      <c r="I1979" s="79"/>
      <c r="J1979" s="80"/>
      <c r="K1979" s="79"/>
      <c r="L1979" s="142"/>
      <c r="M1979" s="1"/>
      <c r="N1979" s="142"/>
      <c r="O1979" s="1"/>
      <c r="P1979" s="142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79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R1979" s="1"/>
      <c r="CS1979" s="1"/>
      <c r="CT1979" s="1"/>
      <c r="CU1979" s="1"/>
      <c r="CV1979" s="1"/>
      <c r="CW1979" s="1"/>
      <c r="CX1979" s="1"/>
      <c r="CY1979" s="91" t="str">
        <f t="shared" si="831"/>
        <v/>
      </c>
      <c r="CZ1979" s="1"/>
      <c r="DC1979" s="307"/>
      <c r="DE1979" s="307"/>
    </row>
    <row r="1980">
      <c r="A1980" s="1"/>
      <c r="B1980" s="1"/>
      <c r="C1980" s="76"/>
      <c r="D1980" s="76"/>
      <c r="E1980" s="76"/>
      <c r="F1980" s="76"/>
      <c r="G1980" s="79"/>
      <c r="H1980" s="80"/>
      <c r="I1980" s="79"/>
      <c r="J1980" s="80"/>
      <c r="K1980" s="79"/>
      <c r="L1980" s="142"/>
      <c r="M1980" s="1"/>
      <c r="N1980" s="142"/>
      <c r="O1980" s="1"/>
      <c r="P1980" s="142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79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R1980" s="1"/>
      <c r="CS1980" s="1"/>
      <c r="CT1980" s="1"/>
      <c r="CU1980" s="1"/>
      <c r="CV1980" s="1"/>
      <c r="CW1980" s="1"/>
      <c r="CX1980" s="1"/>
      <c r="CY1980" s="91" t="str">
        <f t="shared" si="831"/>
        <v/>
      </c>
      <c r="CZ1980" s="1"/>
      <c r="DC1980" s="307"/>
      <c r="DE1980" s="307"/>
    </row>
    <row r="1981">
      <c r="A1981" s="1"/>
      <c r="B1981" s="1"/>
      <c r="C1981" s="76"/>
      <c r="D1981" s="76"/>
      <c r="E1981" s="76"/>
      <c r="F1981" s="76"/>
      <c r="G1981" s="79"/>
      <c r="H1981" s="80"/>
      <c r="I1981" s="79"/>
      <c r="J1981" s="80"/>
      <c r="K1981" s="79"/>
      <c r="L1981" s="142"/>
      <c r="M1981" s="1"/>
      <c r="N1981" s="142"/>
      <c r="O1981" s="1"/>
      <c r="P1981" s="142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79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R1981" s="1"/>
      <c r="CS1981" s="1"/>
      <c r="CT1981" s="1"/>
      <c r="CU1981" s="1"/>
      <c r="CV1981" s="1"/>
      <c r="CW1981" s="1"/>
      <c r="CX1981" s="1"/>
      <c r="CY1981" s="91" t="str">
        <f t="shared" si="831"/>
        <v/>
      </c>
      <c r="CZ1981" s="1"/>
      <c r="DC1981" s="307"/>
      <c r="DE1981" s="307"/>
    </row>
    <row r="1982">
      <c r="A1982" s="1"/>
      <c r="B1982" s="1"/>
      <c r="C1982" s="76"/>
      <c r="D1982" s="76"/>
      <c r="E1982" s="76"/>
      <c r="F1982" s="76"/>
      <c r="G1982" s="79"/>
      <c r="H1982" s="80"/>
      <c r="I1982" s="79"/>
      <c r="J1982" s="80"/>
      <c r="K1982" s="79"/>
      <c r="L1982" s="142"/>
      <c r="M1982" s="1"/>
      <c r="N1982" s="142"/>
      <c r="O1982" s="1"/>
      <c r="P1982" s="142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79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R1982" s="1"/>
      <c r="CS1982" s="1"/>
      <c r="CT1982" s="1"/>
      <c r="CU1982" s="1"/>
      <c r="CV1982" s="1"/>
      <c r="CW1982" s="1"/>
      <c r="CX1982" s="1"/>
      <c r="CY1982" s="91" t="str">
        <f t="shared" si="831"/>
        <v/>
      </c>
      <c r="CZ1982" s="1"/>
      <c r="DC1982" s="307"/>
      <c r="DE1982" s="307"/>
    </row>
    <row r="1983">
      <c r="A1983" s="1"/>
      <c r="B1983" s="1"/>
      <c r="C1983" s="76"/>
      <c r="D1983" s="76"/>
      <c r="E1983" s="76"/>
      <c r="F1983" s="76"/>
      <c r="G1983" s="79"/>
      <c r="H1983" s="80"/>
      <c r="I1983" s="79"/>
      <c r="J1983" s="80"/>
      <c r="K1983" s="79"/>
      <c r="L1983" s="142"/>
      <c r="M1983" s="1"/>
      <c r="N1983" s="142"/>
      <c r="O1983" s="1"/>
      <c r="P1983" s="142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79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R1983" s="1"/>
      <c r="CS1983" s="1"/>
      <c r="CT1983" s="1"/>
      <c r="CU1983" s="1"/>
      <c r="CV1983" s="1"/>
      <c r="CW1983" s="1"/>
      <c r="CX1983" s="1"/>
      <c r="CY1983" s="91" t="str">
        <f t="shared" si="831"/>
        <v/>
      </c>
      <c r="CZ1983" s="1"/>
      <c r="DC1983" s="307"/>
      <c r="DE1983" s="307"/>
    </row>
    <row r="1984">
      <c r="A1984" s="1"/>
      <c r="B1984" s="1"/>
      <c r="C1984" s="76"/>
      <c r="D1984" s="76"/>
      <c r="E1984" s="76"/>
      <c r="F1984" s="76"/>
      <c r="G1984" s="79"/>
      <c r="H1984" s="80"/>
      <c r="I1984" s="79"/>
      <c r="J1984" s="80"/>
      <c r="K1984" s="79"/>
      <c r="L1984" s="142"/>
      <c r="M1984" s="1"/>
      <c r="N1984" s="142"/>
      <c r="O1984" s="1"/>
      <c r="P1984" s="142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79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R1984" s="1"/>
      <c r="CS1984" s="1"/>
      <c r="CT1984" s="1"/>
      <c r="CU1984" s="1"/>
      <c r="CV1984" s="1"/>
      <c r="CW1984" s="1"/>
      <c r="CX1984" s="1"/>
      <c r="CY1984" s="91" t="str">
        <f t="shared" si="831"/>
        <v/>
      </c>
      <c r="CZ1984" s="1"/>
      <c r="DC1984" s="307"/>
      <c r="DE1984" s="307"/>
    </row>
    <row r="1985">
      <c r="A1985" s="1"/>
      <c r="B1985" s="1"/>
      <c r="C1985" s="76"/>
      <c r="D1985" s="76"/>
      <c r="E1985" s="76"/>
      <c r="F1985" s="76"/>
      <c r="G1985" s="79"/>
      <c r="H1985" s="80"/>
      <c r="I1985" s="79"/>
      <c r="J1985" s="80"/>
      <c r="K1985" s="79"/>
      <c r="L1985" s="142"/>
      <c r="M1985" s="1"/>
      <c r="N1985" s="142"/>
      <c r="O1985" s="1"/>
      <c r="P1985" s="142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79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R1985" s="1"/>
      <c r="CS1985" s="1"/>
      <c r="CT1985" s="1"/>
      <c r="CU1985" s="1"/>
      <c r="CV1985" s="1"/>
      <c r="CW1985" s="1"/>
      <c r="CX1985" s="1"/>
      <c r="CY1985" s="91" t="str">
        <f t="shared" si="831"/>
        <v/>
      </c>
      <c r="CZ1985" s="1"/>
      <c r="DC1985" s="307"/>
      <c r="DE1985" s="307"/>
    </row>
    <row r="1986">
      <c r="A1986" s="1"/>
      <c r="B1986" s="1"/>
      <c r="C1986" s="76"/>
      <c r="D1986" s="76"/>
      <c r="E1986" s="76"/>
      <c r="F1986" s="76"/>
      <c r="G1986" s="79"/>
      <c r="H1986" s="80"/>
      <c r="I1986" s="79"/>
      <c r="J1986" s="80"/>
      <c r="K1986" s="79"/>
      <c r="L1986" s="142"/>
      <c r="M1986" s="1"/>
      <c r="N1986" s="142"/>
      <c r="O1986" s="1"/>
      <c r="P1986" s="142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79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R1986" s="1"/>
      <c r="CS1986" s="1"/>
      <c r="CT1986" s="1"/>
      <c r="CU1986" s="1"/>
      <c r="CV1986" s="1"/>
      <c r="CW1986" s="1"/>
      <c r="CX1986" s="1"/>
      <c r="CY1986" s="91" t="str">
        <f t="shared" si="831"/>
        <v/>
      </c>
      <c r="CZ1986" s="1"/>
      <c r="DC1986" s="307"/>
      <c r="DE1986" s="307"/>
    </row>
    <row r="1987">
      <c r="A1987" s="1"/>
      <c r="B1987" s="1"/>
      <c r="C1987" s="76"/>
      <c r="D1987" s="76"/>
      <c r="E1987" s="76"/>
      <c r="F1987" s="76"/>
      <c r="G1987" s="79"/>
      <c r="H1987" s="80"/>
      <c r="I1987" s="79"/>
      <c r="J1987" s="80"/>
      <c r="K1987" s="79"/>
      <c r="L1987" s="142"/>
      <c r="M1987" s="1"/>
      <c r="N1987" s="142"/>
      <c r="O1987" s="1"/>
      <c r="P1987" s="142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79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R1987" s="1"/>
      <c r="CS1987" s="1"/>
      <c r="CT1987" s="1"/>
      <c r="CU1987" s="1"/>
      <c r="CV1987" s="1"/>
      <c r="CW1987" s="1"/>
      <c r="CX1987" s="1"/>
      <c r="CY1987" s="91" t="str">
        <f t="shared" si="831"/>
        <v/>
      </c>
      <c r="CZ1987" s="1"/>
      <c r="DC1987" s="307"/>
      <c r="DE1987" s="307"/>
    </row>
    <row r="1988">
      <c r="A1988" s="1"/>
      <c r="B1988" s="1"/>
      <c r="C1988" s="76"/>
      <c r="D1988" s="76"/>
      <c r="E1988" s="76"/>
      <c r="F1988" s="76"/>
      <c r="G1988" s="79"/>
      <c r="H1988" s="80"/>
      <c r="I1988" s="79"/>
      <c r="J1988" s="80"/>
      <c r="K1988" s="79"/>
      <c r="L1988" s="142"/>
      <c r="M1988" s="1"/>
      <c r="N1988" s="142"/>
      <c r="O1988" s="1"/>
      <c r="P1988" s="142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79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R1988" s="1"/>
      <c r="CS1988" s="1"/>
      <c r="CT1988" s="1"/>
      <c r="CU1988" s="1"/>
      <c r="CV1988" s="1"/>
      <c r="CW1988" s="1"/>
      <c r="CX1988" s="1"/>
      <c r="CY1988" s="91" t="str">
        <f t="shared" si="831"/>
        <v/>
      </c>
      <c r="CZ1988" s="1"/>
      <c r="DC1988" s="307"/>
      <c r="DE1988" s="307"/>
    </row>
    <row r="1989">
      <c r="A1989" s="1"/>
      <c r="B1989" s="1"/>
      <c r="C1989" s="76"/>
      <c r="D1989" s="76"/>
      <c r="E1989" s="76"/>
      <c r="F1989" s="76"/>
      <c r="G1989" s="79"/>
      <c r="H1989" s="80"/>
      <c r="I1989" s="79"/>
      <c r="J1989" s="80"/>
      <c r="K1989" s="79"/>
      <c r="L1989" s="142"/>
      <c r="M1989" s="1"/>
      <c r="N1989" s="142"/>
      <c r="O1989" s="1"/>
      <c r="P1989" s="142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79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R1989" s="1"/>
      <c r="CS1989" s="1"/>
      <c r="CT1989" s="1"/>
      <c r="CU1989" s="1"/>
      <c r="CV1989" s="1"/>
      <c r="CW1989" s="1"/>
      <c r="CX1989" s="1"/>
      <c r="CY1989" s="91" t="str">
        <f t="shared" si="831"/>
        <v/>
      </c>
      <c r="CZ1989" s="1"/>
      <c r="DC1989" s="307"/>
      <c r="DE1989" s="307"/>
    </row>
    <row r="1990">
      <c r="A1990" s="1"/>
      <c r="B1990" s="1"/>
      <c r="C1990" s="76"/>
      <c r="D1990" s="76"/>
      <c r="E1990" s="76"/>
      <c r="F1990" s="76"/>
      <c r="G1990" s="79"/>
      <c r="H1990" s="80"/>
      <c r="I1990" s="79"/>
      <c r="J1990" s="80"/>
      <c r="K1990" s="79"/>
      <c r="L1990" s="142"/>
      <c r="M1990" s="1"/>
      <c r="N1990" s="142"/>
      <c r="O1990" s="1"/>
      <c r="P1990" s="142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79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R1990" s="1"/>
      <c r="CS1990" s="1"/>
      <c r="CT1990" s="1"/>
      <c r="CU1990" s="1"/>
      <c r="CV1990" s="1"/>
      <c r="CW1990" s="1"/>
      <c r="CX1990" s="1"/>
      <c r="CY1990" s="91" t="str">
        <f t="shared" si="831"/>
        <v/>
      </c>
      <c r="CZ1990" s="1"/>
      <c r="DC1990" s="307"/>
      <c r="DE1990" s="307"/>
    </row>
    <row r="1991">
      <c r="A1991" s="1"/>
      <c r="B1991" s="1"/>
      <c r="C1991" s="76"/>
      <c r="D1991" s="76"/>
      <c r="E1991" s="76"/>
      <c r="F1991" s="76"/>
      <c r="G1991" s="79"/>
      <c r="H1991" s="80"/>
      <c r="I1991" s="79"/>
      <c r="J1991" s="80"/>
      <c r="K1991" s="79"/>
      <c r="L1991" s="142"/>
      <c r="M1991" s="1"/>
      <c r="N1991" s="142"/>
      <c r="O1991" s="1"/>
      <c r="P1991" s="142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79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R1991" s="1"/>
      <c r="CS1991" s="1"/>
      <c r="CT1991" s="1"/>
      <c r="CU1991" s="1"/>
      <c r="CV1991" s="1"/>
      <c r="CW1991" s="1"/>
      <c r="CX1991" s="1"/>
      <c r="CY1991" s="91" t="str">
        <f t="shared" si="831"/>
        <v/>
      </c>
      <c r="CZ1991" s="1"/>
      <c r="DC1991" s="307"/>
      <c r="DE1991" s="307"/>
    </row>
    <row r="1992">
      <c r="A1992" s="1"/>
      <c r="B1992" s="1"/>
      <c r="C1992" s="76"/>
      <c r="D1992" s="76"/>
      <c r="E1992" s="76"/>
      <c r="F1992" s="76"/>
      <c r="G1992" s="79"/>
      <c r="H1992" s="80"/>
      <c r="I1992" s="79"/>
      <c r="J1992" s="80"/>
      <c r="K1992" s="79"/>
      <c r="L1992" s="142"/>
      <c r="M1992" s="1"/>
      <c r="N1992" s="142"/>
      <c r="O1992" s="1"/>
      <c r="P1992" s="142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79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R1992" s="1"/>
      <c r="CS1992" s="1"/>
      <c r="CT1992" s="1"/>
      <c r="CU1992" s="1"/>
      <c r="CV1992" s="1"/>
      <c r="CW1992" s="1"/>
      <c r="CX1992" s="1"/>
      <c r="CY1992" s="91" t="str">
        <f t="shared" si="831"/>
        <v/>
      </c>
      <c r="CZ1992" s="1"/>
      <c r="DC1992" s="307"/>
      <c r="DE1992" s="307"/>
    </row>
    <row r="1993">
      <c r="A1993" s="1"/>
      <c r="B1993" s="1"/>
      <c r="C1993" s="76"/>
      <c r="D1993" s="76"/>
      <c r="E1993" s="76"/>
      <c r="F1993" s="76"/>
      <c r="G1993" s="79"/>
      <c r="H1993" s="80"/>
      <c r="I1993" s="79"/>
      <c r="J1993" s="80"/>
      <c r="K1993" s="79"/>
      <c r="L1993" s="142"/>
      <c r="M1993" s="1"/>
      <c r="N1993" s="142"/>
      <c r="O1993" s="1"/>
      <c r="P1993" s="142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79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R1993" s="1"/>
      <c r="CS1993" s="1"/>
      <c r="CT1993" s="1"/>
      <c r="CU1993" s="1"/>
      <c r="CV1993" s="1"/>
      <c r="CW1993" s="1"/>
      <c r="CX1993" s="1"/>
      <c r="CY1993" s="91" t="str">
        <f t="shared" si="831"/>
        <v/>
      </c>
      <c r="CZ1993" s="1"/>
      <c r="DC1993" s="307"/>
      <c r="DE1993" s="307"/>
    </row>
    <row r="1994">
      <c r="A1994" s="1"/>
      <c r="B1994" s="1"/>
      <c r="C1994" s="76"/>
      <c r="D1994" s="76"/>
      <c r="E1994" s="76"/>
      <c r="F1994" s="76"/>
      <c r="G1994" s="79"/>
      <c r="H1994" s="80"/>
      <c r="I1994" s="79"/>
      <c r="J1994" s="80"/>
      <c r="K1994" s="79"/>
      <c r="L1994" s="142"/>
      <c r="M1994" s="1"/>
      <c r="N1994" s="142"/>
      <c r="O1994" s="1"/>
      <c r="P1994" s="142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79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R1994" s="1"/>
      <c r="CS1994" s="1"/>
      <c r="CT1994" s="1"/>
      <c r="CU1994" s="1"/>
      <c r="CV1994" s="1"/>
      <c r="CW1994" s="1"/>
      <c r="CX1994" s="1"/>
      <c r="CY1994" s="91" t="str">
        <f t="shared" si="831"/>
        <v/>
      </c>
      <c r="CZ1994" s="1"/>
      <c r="DC1994" s="307"/>
      <c r="DE1994" s="307"/>
    </row>
    <row r="1995">
      <c r="A1995" s="1"/>
      <c r="B1995" s="1"/>
      <c r="C1995" s="76"/>
      <c r="D1995" s="76"/>
      <c r="E1995" s="76"/>
      <c r="F1995" s="76"/>
      <c r="G1995" s="79"/>
      <c r="H1995" s="80"/>
      <c r="I1995" s="79"/>
      <c r="J1995" s="80"/>
      <c r="K1995" s="79"/>
      <c r="L1995" s="142"/>
      <c r="M1995" s="1"/>
      <c r="N1995" s="142"/>
      <c r="O1995" s="1"/>
      <c r="P1995" s="142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79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R1995" s="1"/>
      <c r="CS1995" s="1"/>
      <c r="CT1995" s="1"/>
      <c r="CU1995" s="1"/>
      <c r="CV1995" s="1"/>
      <c r="CW1995" s="1"/>
      <c r="CX1995" s="1"/>
      <c r="CY1995" s="91" t="str">
        <f t="shared" si="831"/>
        <v/>
      </c>
      <c r="CZ1995" s="1"/>
      <c r="DC1995" s="307"/>
      <c r="DE1995" s="307"/>
    </row>
    <row r="1996">
      <c r="A1996" s="1"/>
      <c r="B1996" s="1"/>
      <c r="C1996" s="76"/>
      <c r="D1996" s="76"/>
      <c r="E1996" s="76"/>
      <c r="F1996" s="76"/>
      <c r="G1996" s="79"/>
      <c r="H1996" s="80"/>
      <c r="I1996" s="79"/>
      <c r="J1996" s="80"/>
      <c r="K1996" s="79"/>
      <c r="L1996" s="142"/>
      <c r="M1996" s="1"/>
      <c r="N1996" s="142"/>
      <c r="O1996" s="1"/>
      <c r="P1996" s="142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79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R1996" s="1"/>
      <c r="CS1996" s="1"/>
      <c r="CT1996" s="1"/>
      <c r="CU1996" s="1"/>
      <c r="CV1996" s="1"/>
      <c r="CW1996" s="1"/>
      <c r="CX1996" s="1"/>
      <c r="CY1996" s="91" t="str">
        <f t="shared" si="831"/>
        <v/>
      </c>
      <c r="CZ1996" s="1"/>
      <c r="DC1996" s="307"/>
      <c r="DE1996" s="307"/>
    </row>
    <row r="1997">
      <c r="A1997" s="1"/>
      <c r="B1997" s="1"/>
      <c r="C1997" s="76"/>
      <c r="D1997" s="76"/>
      <c r="E1997" s="76"/>
      <c r="F1997" s="76"/>
      <c r="G1997" s="79"/>
      <c r="H1997" s="80"/>
      <c r="I1997" s="79"/>
      <c r="J1997" s="80"/>
      <c r="K1997" s="79"/>
      <c r="L1997" s="142"/>
      <c r="M1997" s="1"/>
      <c r="N1997" s="142"/>
      <c r="O1997" s="1"/>
      <c r="P1997" s="142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79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R1997" s="1"/>
      <c r="CS1997" s="1"/>
      <c r="CT1997" s="1"/>
      <c r="CU1997" s="1"/>
      <c r="CV1997" s="1"/>
      <c r="CW1997" s="1"/>
      <c r="CX1997" s="1"/>
      <c r="CY1997" s="91" t="str">
        <f t="shared" si="831"/>
        <v/>
      </c>
      <c r="CZ1997" s="1"/>
      <c r="DC1997" s="307"/>
      <c r="DE1997" s="307"/>
    </row>
    <row r="1998">
      <c r="A1998" s="1"/>
      <c r="B1998" s="1"/>
      <c r="C1998" s="76"/>
      <c r="D1998" s="76"/>
      <c r="E1998" s="76"/>
      <c r="F1998" s="76"/>
      <c r="G1998" s="79"/>
      <c r="H1998" s="80"/>
      <c r="I1998" s="79"/>
      <c r="J1998" s="80"/>
      <c r="K1998" s="79"/>
      <c r="L1998" s="142"/>
      <c r="M1998" s="1"/>
      <c r="N1998" s="142"/>
      <c r="O1998" s="1"/>
      <c r="P1998" s="142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79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R1998" s="1"/>
      <c r="CS1998" s="1"/>
      <c r="CT1998" s="1"/>
      <c r="CU1998" s="1"/>
      <c r="CV1998" s="1"/>
      <c r="CW1998" s="1"/>
      <c r="CX1998" s="1"/>
      <c r="CY1998" s="91" t="str">
        <f t="shared" si="831"/>
        <v/>
      </c>
      <c r="CZ1998" s="1"/>
      <c r="DC1998" s="307"/>
      <c r="DE1998" s="307"/>
    </row>
    <row r="1999">
      <c r="A1999" s="1"/>
      <c r="B1999" s="1"/>
      <c r="C1999" s="76"/>
      <c r="D1999" s="76"/>
      <c r="E1999" s="76"/>
      <c r="F1999" s="76"/>
      <c r="G1999" s="79"/>
      <c r="H1999" s="80"/>
      <c r="I1999" s="79"/>
      <c r="J1999" s="80"/>
      <c r="K1999" s="79"/>
      <c r="L1999" s="142"/>
      <c r="M1999" s="1"/>
      <c r="N1999" s="142"/>
      <c r="O1999" s="1"/>
      <c r="P1999" s="142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79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R1999" s="1"/>
      <c r="CS1999" s="1"/>
      <c r="CT1999" s="1"/>
      <c r="CU1999" s="1"/>
      <c r="CV1999" s="1"/>
      <c r="CW1999" s="1"/>
      <c r="CX1999" s="1"/>
      <c r="CY1999" s="91" t="str">
        <f t="shared" si="831"/>
        <v/>
      </c>
      <c r="CZ1999" s="1"/>
      <c r="DC1999" s="307"/>
      <c r="DE1999" s="307"/>
    </row>
    <row r="2000">
      <c r="A2000" s="1"/>
      <c r="B2000" s="1"/>
      <c r="C2000" s="76"/>
      <c r="D2000" s="76"/>
      <c r="E2000" s="76"/>
      <c r="F2000" s="76"/>
      <c r="G2000" s="79"/>
      <c r="H2000" s="80"/>
      <c r="I2000" s="79"/>
      <c r="J2000" s="80"/>
      <c r="K2000" s="79"/>
      <c r="L2000" s="142"/>
      <c r="M2000" s="1"/>
      <c r="N2000" s="142"/>
      <c r="O2000" s="1"/>
      <c r="P2000" s="142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79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R2000" s="1"/>
      <c r="CS2000" s="1"/>
      <c r="CT2000" s="1"/>
      <c r="CU2000" s="1"/>
      <c r="CV2000" s="1"/>
      <c r="CW2000" s="1"/>
      <c r="CX2000" s="1"/>
      <c r="CY2000" s="91" t="str">
        <f t="shared" si="831"/>
        <v/>
      </c>
      <c r="CZ2000" s="1"/>
      <c r="DC2000" s="307"/>
      <c r="DE2000" s="307"/>
    </row>
    <row r="2001">
      <c r="A2001" s="1"/>
      <c r="B2001" s="1"/>
      <c r="C2001" s="76"/>
      <c r="D2001" s="76"/>
      <c r="E2001" s="76"/>
      <c r="F2001" s="76"/>
      <c r="G2001" s="79"/>
      <c r="H2001" s="80"/>
      <c r="I2001" s="79"/>
      <c r="J2001" s="80"/>
      <c r="K2001" s="79"/>
      <c r="L2001" s="142"/>
      <c r="M2001" s="1"/>
      <c r="N2001" s="142"/>
      <c r="O2001" s="1"/>
      <c r="P2001" s="142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79"/>
      <c r="BJ2001" s="1"/>
      <c r="BK2001" s="1"/>
      <c r="BL2001" s="1"/>
      <c r="BM2001" s="1"/>
      <c r="BN2001" s="1"/>
      <c r="BO2001" s="1"/>
      <c r="BP2001" s="1"/>
      <c r="BQ2001" s="1"/>
      <c r="BR2001" s="1"/>
      <c r="BS2001" s="1"/>
      <c r="BT2001" s="1"/>
      <c r="BU2001" s="1"/>
      <c r="BV2001" s="1"/>
      <c r="BW2001" s="1"/>
      <c r="BX2001" s="1"/>
      <c r="BY2001" s="1"/>
      <c r="BZ2001" s="1"/>
      <c r="CA2001" s="1"/>
      <c r="CB2001" s="1"/>
      <c r="CC2001" s="1"/>
      <c r="CD2001" s="1"/>
      <c r="CE2001" s="1"/>
      <c r="CF2001" s="1"/>
      <c r="CG2001" s="1"/>
      <c r="CH2001" s="1"/>
      <c r="CI2001" s="1"/>
      <c r="CJ2001" s="1"/>
      <c r="CK2001" s="1"/>
      <c r="CL2001" s="1"/>
      <c r="CM2001" s="1"/>
      <c r="CN2001" s="1"/>
      <c r="CO2001" s="1"/>
      <c r="CP2001" s="1"/>
      <c r="CR2001" s="1"/>
      <c r="CS2001" s="1"/>
      <c r="CT2001" s="1"/>
      <c r="CU2001" s="1"/>
      <c r="CV2001" s="1"/>
      <c r="CW2001" s="1"/>
      <c r="CX2001" s="1"/>
      <c r="CY2001" s="91" t="str">
        <f t="shared" si="831"/>
        <v/>
      </c>
      <c r="CZ2001" s="1"/>
      <c r="DC2001" s="307"/>
      <c r="DE2001" s="307"/>
    </row>
    <row r="2002">
      <c r="A2002" s="1"/>
      <c r="B2002" s="1"/>
      <c r="C2002" s="76"/>
      <c r="D2002" s="76"/>
      <c r="E2002" s="76"/>
      <c r="F2002" s="76"/>
      <c r="G2002" s="79"/>
      <c r="H2002" s="80"/>
      <c r="I2002" s="79"/>
      <c r="J2002" s="80"/>
      <c r="K2002" s="79"/>
      <c r="L2002" s="142"/>
      <c r="M2002" s="1"/>
      <c r="N2002" s="142"/>
      <c r="O2002" s="1"/>
      <c r="P2002" s="142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79"/>
      <c r="BJ2002" s="1"/>
      <c r="BK2002" s="1"/>
      <c r="BL2002" s="1"/>
      <c r="BM2002" s="1"/>
      <c r="BN2002" s="1"/>
      <c r="BO2002" s="1"/>
      <c r="BP2002" s="1"/>
      <c r="BQ2002" s="1"/>
      <c r="BR2002" s="1"/>
      <c r="BS2002" s="1"/>
      <c r="BT2002" s="1"/>
      <c r="BU2002" s="1"/>
      <c r="BV2002" s="1"/>
      <c r="BW2002" s="1"/>
      <c r="BX2002" s="1"/>
      <c r="BY2002" s="1"/>
      <c r="BZ2002" s="1"/>
      <c r="CA2002" s="1"/>
      <c r="CB2002" s="1"/>
      <c r="CC2002" s="1"/>
      <c r="CD2002" s="1"/>
      <c r="CE2002" s="1"/>
      <c r="CF2002" s="1"/>
      <c r="CG2002" s="1"/>
      <c r="CH2002" s="1"/>
      <c r="CI2002" s="1"/>
      <c r="CJ2002" s="1"/>
      <c r="CK2002" s="1"/>
      <c r="CL2002" s="1"/>
      <c r="CM2002" s="1"/>
      <c r="CN2002" s="1"/>
      <c r="CO2002" s="1"/>
      <c r="CP2002" s="1"/>
      <c r="CR2002" s="1"/>
      <c r="CS2002" s="1"/>
      <c r="CT2002" s="1"/>
      <c r="CU2002" s="1"/>
      <c r="CV2002" s="1"/>
      <c r="CW2002" s="1"/>
      <c r="CX2002" s="1"/>
      <c r="CY2002" s="91" t="str">
        <f t="shared" si="831"/>
        <v/>
      </c>
      <c r="CZ2002" s="1"/>
      <c r="DC2002" s="307"/>
      <c r="DE2002" s="307"/>
    </row>
    <row r="2003">
      <c r="A2003" s="1"/>
      <c r="B2003" s="1"/>
      <c r="C2003" s="76"/>
      <c r="D2003" s="76"/>
      <c r="E2003" s="76"/>
      <c r="F2003" s="76"/>
      <c r="G2003" s="79"/>
      <c r="H2003" s="80"/>
      <c r="I2003" s="79"/>
      <c r="J2003" s="80"/>
      <c r="K2003" s="79"/>
      <c r="L2003" s="142"/>
      <c r="M2003" s="1"/>
      <c r="N2003" s="142"/>
      <c r="O2003" s="1"/>
      <c r="P2003" s="142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79"/>
      <c r="BJ2003" s="1"/>
      <c r="BK2003" s="1"/>
      <c r="BL2003" s="1"/>
      <c r="BM2003" s="1"/>
      <c r="BN2003" s="1"/>
      <c r="BO2003" s="1"/>
      <c r="BP2003" s="1"/>
      <c r="BQ2003" s="1"/>
      <c r="BR2003" s="1"/>
      <c r="BS2003" s="1"/>
      <c r="BT2003" s="1"/>
      <c r="BU2003" s="1"/>
      <c r="BV2003" s="1"/>
      <c r="BW2003" s="1"/>
      <c r="BX2003" s="1"/>
      <c r="BY2003" s="1"/>
      <c r="BZ2003" s="1"/>
      <c r="CA2003" s="1"/>
      <c r="CB2003" s="1"/>
      <c r="CC2003" s="1"/>
      <c r="CD2003" s="1"/>
      <c r="CE2003" s="1"/>
      <c r="CF2003" s="1"/>
      <c r="CG2003" s="1"/>
      <c r="CH2003" s="1"/>
      <c r="CI2003" s="1"/>
      <c r="CJ2003" s="1"/>
      <c r="CK2003" s="1"/>
      <c r="CL2003" s="1"/>
      <c r="CM2003" s="1"/>
      <c r="CN2003" s="1"/>
      <c r="CO2003" s="1"/>
      <c r="CP2003" s="1"/>
      <c r="CR2003" s="1"/>
      <c r="CS2003" s="1"/>
      <c r="CT2003" s="1"/>
      <c r="CU2003" s="1"/>
      <c r="CV2003" s="1"/>
      <c r="CW2003" s="1"/>
      <c r="CX2003" s="1"/>
      <c r="CY2003" s="91" t="str">
        <f t="shared" si="831"/>
        <v/>
      </c>
      <c r="CZ2003" s="1"/>
      <c r="DC2003" s="307"/>
      <c r="DE2003" s="307"/>
    </row>
    <row r="2004">
      <c r="A2004" s="1"/>
      <c r="B2004" s="1"/>
      <c r="C2004" s="76"/>
      <c r="D2004" s="76"/>
      <c r="E2004" s="76"/>
      <c r="F2004" s="76"/>
      <c r="G2004" s="79"/>
      <c r="H2004" s="80"/>
      <c r="I2004" s="79"/>
      <c r="J2004" s="80"/>
      <c r="K2004" s="79"/>
      <c r="L2004" s="142"/>
      <c r="M2004" s="1"/>
      <c r="N2004" s="142"/>
      <c r="O2004" s="1"/>
      <c r="P2004" s="142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79"/>
      <c r="BJ2004" s="1"/>
      <c r="BK2004" s="1"/>
      <c r="BL2004" s="1"/>
      <c r="BM2004" s="1"/>
      <c r="BN2004" s="1"/>
      <c r="BO2004" s="1"/>
      <c r="BP2004" s="1"/>
      <c r="BQ2004" s="1"/>
      <c r="BR2004" s="1"/>
      <c r="BS2004" s="1"/>
      <c r="BT2004" s="1"/>
      <c r="BU2004" s="1"/>
      <c r="BV2004" s="1"/>
      <c r="BW2004" s="1"/>
      <c r="BX2004" s="1"/>
      <c r="BY2004" s="1"/>
      <c r="BZ2004" s="1"/>
      <c r="CA2004" s="1"/>
      <c r="CB2004" s="1"/>
      <c r="CC2004" s="1"/>
      <c r="CD2004" s="1"/>
      <c r="CE2004" s="1"/>
      <c r="CF2004" s="1"/>
      <c r="CG2004" s="1"/>
      <c r="CH2004" s="1"/>
      <c r="CI2004" s="1"/>
      <c r="CJ2004" s="1"/>
      <c r="CK2004" s="1"/>
      <c r="CL2004" s="1"/>
      <c r="CM2004" s="1"/>
      <c r="CN2004" s="1"/>
      <c r="CO2004" s="1"/>
      <c r="CP2004" s="1"/>
      <c r="CR2004" s="1"/>
      <c r="CS2004" s="1"/>
      <c r="CT2004" s="1"/>
      <c r="CU2004" s="1"/>
      <c r="CV2004" s="1"/>
      <c r="CW2004" s="1"/>
      <c r="CX2004" s="1"/>
      <c r="CY2004" s="91" t="str">
        <f t="shared" si="831"/>
        <v/>
      </c>
      <c r="CZ2004" s="1"/>
      <c r="DC2004" s="307"/>
      <c r="DE2004" s="307"/>
    </row>
    <row r="2005">
      <c r="A2005" s="1"/>
      <c r="B2005" s="1"/>
      <c r="C2005" s="76"/>
      <c r="D2005" s="76"/>
      <c r="E2005" s="76"/>
      <c r="F2005" s="76"/>
      <c r="G2005" s="79"/>
      <c r="H2005" s="80"/>
      <c r="I2005" s="79"/>
      <c r="J2005" s="80"/>
      <c r="K2005" s="79"/>
      <c r="L2005" s="142"/>
      <c r="M2005" s="1"/>
      <c r="N2005" s="142"/>
      <c r="O2005" s="1"/>
      <c r="P2005" s="142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79"/>
      <c r="BJ2005" s="1"/>
      <c r="BK2005" s="1"/>
      <c r="BL2005" s="1"/>
      <c r="BM2005" s="1"/>
      <c r="BN2005" s="1"/>
      <c r="BO2005" s="1"/>
      <c r="BP2005" s="1"/>
      <c r="BQ2005" s="1"/>
      <c r="BR2005" s="1"/>
      <c r="BS2005" s="1"/>
      <c r="BT2005" s="1"/>
      <c r="BU2005" s="1"/>
      <c r="BV2005" s="1"/>
      <c r="BW2005" s="1"/>
      <c r="BX2005" s="1"/>
      <c r="BY2005" s="1"/>
      <c r="BZ2005" s="1"/>
      <c r="CA2005" s="1"/>
      <c r="CB2005" s="1"/>
      <c r="CC2005" s="1"/>
      <c r="CD2005" s="1"/>
      <c r="CE2005" s="1"/>
      <c r="CF2005" s="1"/>
      <c r="CG2005" s="1"/>
      <c r="CH2005" s="1"/>
      <c r="CI2005" s="1"/>
      <c r="CJ2005" s="1"/>
      <c r="CK2005" s="1"/>
      <c r="CL2005" s="1"/>
      <c r="CM2005" s="1"/>
      <c r="CN2005" s="1"/>
      <c r="CO2005" s="1"/>
      <c r="CP2005" s="1"/>
      <c r="CR2005" s="1"/>
      <c r="CS2005" s="1"/>
      <c r="CT2005" s="1"/>
      <c r="CU2005" s="1"/>
      <c r="CV2005" s="1"/>
      <c r="CW2005" s="1"/>
      <c r="CX2005" s="1"/>
      <c r="CY2005" s="91" t="str">
        <f t="shared" si="831"/>
        <v/>
      </c>
      <c r="CZ2005" s="1"/>
      <c r="DC2005" s="307"/>
      <c r="DE2005" s="307"/>
    </row>
    <row r="2006">
      <c r="A2006" s="1"/>
      <c r="B2006" s="1"/>
      <c r="C2006" s="76"/>
      <c r="D2006" s="76"/>
      <c r="E2006" s="76"/>
      <c r="F2006" s="76"/>
      <c r="G2006" s="79"/>
      <c r="H2006" s="80"/>
      <c r="I2006" s="79"/>
      <c r="J2006" s="80"/>
      <c r="K2006" s="79"/>
      <c r="L2006" s="142"/>
      <c r="M2006" s="1"/>
      <c r="N2006" s="142"/>
      <c r="O2006" s="1"/>
      <c r="P2006" s="142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79"/>
      <c r="BJ2006" s="1"/>
      <c r="BK2006" s="1"/>
      <c r="BL2006" s="1"/>
      <c r="BM2006" s="1"/>
      <c r="BN2006" s="1"/>
      <c r="BO2006" s="1"/>
      <c r="BP2006" s="1"/>
      <c r="BQ2006" s="1"/>
      <c r="BR2006" s="1"/>
      <c r="BS2006" s="1"/>
      <c r="BT2006" s="1"/>
      <c r="BU2006" s="1"/>
      <c r="BV2006" s="1"/>
      <c r="BW2006" s="1"/>
      <c r="BX2006" s="1"/>
      <c r="BY2006" s="1"/>
      <c r="BZ2006" s="1"/>
      <c r="CA2006" s="1"/>
      <c r="CB2006" s="1"/>
      <c r="CC2006" s="1"/>
      <c r="CD2006" s="1"/>
      <c r="CE2006" s="1"/>
      <c r="CF2006" s="1"/>
      <c r="CG2006" s="1"/>
      <c r="CH2006" s="1"/>
      <c r="CI2006" s="1"/>
      <c r="CJ2006" s="1"/>
      <c r="CK2006" s="1"/>
      <c r="CL2006" s="1"/>
      <c r="CM2006" s="1"/>
      <c r="CN2006" s="1"/>
      <c r="CO2006" s="1"/>
      <c r="CP2006" s="1"/>
      <c r="CR2006" s="1"/>
      <c r="CS2006" s="1"/>
      <c r="CT2006" s="1"/>
      <c r="CU2006" s="1"/>
      <c r="CV2006" s="1"/>
      <c r="CW2006" s="1"/>
      <c r="CX2006" s="1"/>
      <c r="CY2006" s="91" t="str">
        <f t="shared" si="831"/>
        <v/>
      </c>
      <c r="CZ2006" s="1"/>
      <c r="DC2006" s="307"/>
      <c r="DE2006" s="307"/>
    </row>
    <row r="2007">
      <c r="A2007" s="1"/>
      <c r="B2007" s="1"/>
      <c r="C2007" s="76"/>
      <c r="D2007" s="76"/>
      <c r="E2007" s="76"/>
      <c r="F2007" s="76"/>
      <c r="G2007" s="79"/>
      <c r="H2007" s="80"/>
      <c r="I2007" s="79"/>
      <c r="J2007" s="80"/>
      <c r="K2007" s="79"/>
      <c r="L2007" s="142"/>
      <c r="M2007" s="1"/>
      <c r="N2007" s="142"/>
      <c r="O2007" s="1"/>
      <c r="P2007" s="142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79"/>
      <c r="BJ2007" s="1"/>
      <c r="BK2007" s="1"/>
      <c r="BL2007" s="1"/>
      <c r="BM2007" s="1"/>
      <c r="BN2007" s="1"/>
      <c r="BO2007" s="1"/>
      <c r="BP2007" s="1"/>
      <c r="BQ2007" s="1"/>
      <c r="BR2007" s="1"/>
      <c r="BS2007" s="1"/>
      <c r="BT2007" s="1"/>
      <c r="BU2007" s="1"/>
      <c r="BV2007" s="1"/>
      <c r="BW2007" s="1"/>
      <c r="BX2007" s="1"/>
      <c r="BY2007" s="1"/>
      <c r="BZ2007" s="1"/>
      <c r="CA2007" s="1"/>
      <c r="CB2007" s="1"/>
      <c r="CC2007" s="1"/>
      <c r="CD2007" s="1"/>
      <c r="CE2007" s="1"/>
      <c r="CF2007" s="1"/>
      <c r="CG2007" s="1"/>
      <c r="CH2007" s="1"/>
      <c r="CI2007" s="1"/>
      <c r="CJ2007" s="1"/>
      <c r="CK2007" s="1"/>
      <c r="CL2007" s="1"/>
      <c r="CM2007" s="1"/>
      <c r="CN2007" s="1"/>
      <c r="CO2007" s="1"/>
      <c r="CP2007" s="1"/>
      <c r="CR2007" s="1"/>
      <c r="CS2007" s="1"/>
      <c r="CT2007" s="1"/>
      <c r="CU2007" s="1"/>
      <c r="CV2007" s="1"/>
      <c r="CW2007" s="1"/>
      <c r="CX2007" s="1"/>
      <c r="CY2007" s="91" t="str">
        <f t="shared" si="831"/>
        <v/>
      </c>
      <c r="CZ2007" s="1"/>
      <c r="DC2007" s="307"/>
      <c r="DE2007" s="307"/>
    </row>
    <row r="2008">
      <c r="A2008" s="1"/>
      <c r="B2008" s="1"/>
      <c r="C2008" s="76"/>
      <c r="D2008" s="76"/>
      <c r="E2008" s="76"/>
      <c r="F2008" s="76"/>
      <c r="G2008" s="79"/>
      <c r="H2008" s="80"/>
      <c r="I2008" s="79"/>
      <c r="J2008" s="80"/>
      <c r="K2008" s="79"/>
      <c r="L2008" s="142"/>
      <c r="M2008" s="1"/>
      <c r="N2008" s="142"/>
      <c r="O2008" s="1"/>
      <c r="P2008" s="142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79"/>
      <c r="BJ2008" s="1"/>
      <c r="BK2008" s="1"/>
      <c r="BL2008" s="1"/>
      <c r="BM2008" s="1"/>
      <c r="BN2008" s="1"/>
      <c r="BO2008" s="1"/>
      <c r="BP2008" s="1"/>
      <c r="BQ2008" s="1"/>
      <c r="BR2008" s="1"/>
      <c r="BS2008" s="1"/>
      <c r="BT2008" s="1"/>
      <c r="BU2008" s="1"/>
      <c r="BV2008" s="1"/>
      <c r="BW2008" s="1"/>
      <c r="BX2008" s="1"/>
      <c r="BY2008" s="1"/>
      <c r="BZ2008" s="1"/>
      <c r="CA2008" s="1"/>
      <c r="CB2008" s="1"/>
      <c r="CC2008" s="1"/>
      <c r="CD2008" s="1"/>
      <c r="CE2008" s="1"/>
      <c r="CF2008" s="1"/>
      <c r="CG2008" s="1"/>
      <c r="CH2008" s="1"/>
      <c r="CI2008" s="1"/>
      <c r="CJ2008" s="1"/>
      <c r="CK2008" s="1"/>
      <c r="CL2008" s="1"/>
      <c r="CM2008" s="1"/>
      <c r="CN2008" s="1"/>
      <c r="CO2008" s="1"/>
      <c r="CP2008" s="1"/>
      <c r="CR2008" s="1"/>
      <c r="CS2008" s="1"/>
      <c r="CT2008" s="1"/>
      <c r="CU2008" s="1"/>
      <c r="CV2008" s="1"/>
      <c r="CW2008" s="1"/>
      <c r="CX2008" s="1"/>
      <c r="CY2008" s="91" t="str">
        <f t="shared" si="831"/>
        <v/>
      </c>
      <c r="CZ2008" s="1"/>
      <c r="DC2008" s="307"/>
      <c r="DE2008" s="307"/>
    </row>
    <row r="2009">
      <c r="A2009" s="1"/>
      <c r="B2009" s="1"/>
      <c r="C2009" s="76"/>
      <c r="D2009" s="76"/>
      <c r="E2009" s="76"/>
      <c r="F2009" s="76"/>
      <c r="G2009" s="79"/>
      <c r="H2009" s="80"/>
      <c r="I2009" s="79"/>
      <c r="J2009" s="80"/>
      <c r="K2009" s="79"/>
      <c r="L2009" s="142"/>
      <c r="M2009" s="1"/>
      <c r="N2009" s="142"/>
      <c r="O2009" s="1"/>
      <c r="P2009" s="142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79"/>
      <c r="BJ2009" s="1"/>
      <c r="BK2009" s="1"/>
      <c r="BL2009" s="1"/>
      <c r="BM2009" s="1"/>
      <c r="BN2009" s="1"/>
      <c r="BO2009" s="1"/>
      <c r="BP2009" s="1"/>
      <c r="BQ2009" s="1"/>
      <c r="BR2009" s="1"/>
      <c r="BS2009" s="1"/>
      <c r="BT2009" s="1"/>
      <c r="BU2009" s="1"/>
      <c r="BV2009" s="1"/>
      <c r="BW2009" s="1"/>
      <c r="BX2009" s="1"/>
      <c r="BY2009" s="1"/>
      <c r="BZ2009" s="1"/>
      <c r="CA2009" s="1"/>
      <c r="CB2009" s="1"/>
      <c r="CC2009" s="1"/>
      <c r="CD2009" s="1"/>
      <c r="CE2009" s="1"/>
      <c r="CF2009" s="1"/>
      <c r="CG2009" s="1"/>
      <c r="CH2009" s="1"/>
      <c r="CI2009" s="1"/>
      <c r="CJ2009" s="1"/>
      <c r="CK2009" s="1"/>
      <c r="CL2009" s="1"/>
      <c r="CM2009" s="1"/>
      <c r="CN2009" s="1"/>
      <c r="CO2009" s="1"/>
      <c r="CP2009" s="1"/>
      <c r="CR2009" s="1"/>
      <c r="CS2009" s="1"/>
      <c r="CT2009" s="1"/>
      <c r="CU2009" s="1"/>
      <c r="CV2009" s="1"/>
      <c r="CW2009" s="1"/>
      <c r="CX2009" s="1"/>
      <c r="CY2009" s="91" t="str">
        <f t="shared" si="831"/>
        <v/>
      </c>
      <c r="CZ2009" s="1"/>
      <c r="DC2009" s="307"/>
      <c r="DE2009" s="307"/>
    </row>
    <row r="2010">
      <c r="A2010" s="1"/>
      <c r="B2010" s="1"/>
      <c r="C2010" s="76"/>
      <c r="D2010" s="76"/>
      <c r="E2010" s="76"/>
      <c r="F2010" s="76"/>
      <c r="G2010" s="79"/>
      <c r="H2010" s="80"/>
      <c r="I2010" s="79"/>
      <c r="J2010" s="80"/>
      <c r="K2010" s="79"/>
      <c r="L2010" s="142"/>
      <c r="M2010" s="1"/>
      <c r="N2010" s="142"/>
      <c r="O2010" s="1"/>
      <c r="P2010" s="142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79"/>
      <c r="BJ2010" s="1"/>
      <c r="BK2010" s="1"/>
      <c r="BL2010" s="1"/>
      <c r="BM2010" s="1"/>
      <c r="BN2010" s="1"/>
      <c r="BO2010" s="1"/>
      <c r="BP2010" s="1"/>
      <c r="BQ2010" s="1"/>
      <c r="BR2010" s="1"/>
      <c r="BS2010" s="1"/>
      <c r="BT2010" s="1"/>
      <c r="BU2010" s="1"/>
      <c r="BV2010" s="1"/>
      <c r="BW2010" s="1"/>
      <c r="BX2010" s="1"/>
      <c r="BY2010" s="1"/>
      <c r="BZ2010" s="1"/>
      <c r="CA2010" s="1"/>
      <c r="CB2010" s="1"/>
      <c r="CC2010" s="1"/>
      <c r="CD2010" s="1"/>
      <c r="CE2010" s="1"/>
      <c r="CF2010" s="1"/>
      <c r="CG2010" s="1"/>
      <c r="CH2010" s="1"/>
      <c r="CI2010" s="1"/>
      <c r="CJ2010" s="1"/>
      <c r="CK2010" s="1"/>
      <c r="CL2010" s="1"/>
      <c r="CM2010" s="1"/>
      <c r="CN2010" s="1"/>
      <c r="CO2010" s="1"/>
      <c r="CP2010" s="1"/>
      <c r="CR2010" s="1"/>
      <c r="CS2010" s="1"/>
      <c r="CT2010" s="1"/>
      <c r="CU2010" s="1"/>
      <c r="CV2010" s="1"/>
      <c r="CW2010" s="1"/>
      <c r="CX2010" s="1"/>
      <c r="CY2010" s="91" t="str">
        <f t="shared" si="831"/>
        <v/>
      </c>
      <c r="CZ2010" s="1"/>
      <c r="DC2010" s="307"/>
      <c r="DE2010" s="307"/>
    </row>
  </sheetData>
  <autoFilter ref="$A$3:$DJ$1011"/>
  <customSheetViews>
    <customSheetView guid="{0611FD0D-C295-4726-9974-AD1843523F92}" filter="1" showAutoFilter="1">
      <autoFilter ref="$A$1:$BH$1011"/>
    </customSheetView>
  </customSheetViews>
  <conditionalFormatting sqref="A182:B182 A230:B232 B252">
    <cfRule type="expression" dxfId="3" priority="1">
      <formula>isformula(A182)</formula>
    </cfRule>
  </conditionalFormatting>
  <conditionalFormatting sqref="A211">
    <cfRule type="expression" dxfId="2" priority="2">
      <formula>countifs(A$1:A2010,A211)&gt;1</formula>
    </cfRule>
  </conditionalFormatting>
  <conditionalFormatting sqref="A224:D224 F224:CL224 CN224 CP224 CR224">
    <cfRule type="notContainsBlanks" dxfId="2" priority="3">
      <formula>LEN(TRIM(A224))&gt;0</formula>
    </cfRule>
  </conditionalFormatting>
  <dataValidations>
    <dataValidation type="list" allowBlank="1" showErrorMessage="1" sqref="D225">
      <formula1>'Master Sheet'!$A:$A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2"/>
  <legacyDrawing r:id="rId3"/>
</worksheet>
</file>